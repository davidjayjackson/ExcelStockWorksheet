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99064209-006B-480D-96CA-9C7E4D3F1522}" xr6:coauthVersionLast="47" xr6:coauthVersionMax="47" xr10:uidLastSave="{00000000-0000-0000-0000-000000000000}"/>
  <bookViews>
    <workbookView xWindow="-120" yWindow="-120" windowWidth="20730" windowHeight="11040" activeTab="4" xr2:uid="{524EF1C0-3CB0-4C8D-8FCB-814655134A30}"/>
  </bookViews>
  <sheets>
    <sheet name="WMT" sheetId="14" r:id="rId1"/>
    <sheet name="MondayStart" sheetId="26" r:id="rId2"/>
    <sheet name="Sheet3" sheetId="25" r:id="rId3"/>
    <sheet name="Forecast Sunday Start" sheetId="24" r:id="rId4"/>
    <sheet name="Dashboard" sheetId="10" r:id="rId5"/>
    <sheet name="Dividends" sheetId="3" r:id="rId6"/>
  </sheets>
  <definedNames>
    <definedName name="ExternalData_1" localSheetId="3" hidden="1">'Forecast Sunday Start'!$A$1:$B$120</definedName>
    <definedName name="ExternalData_1" localSheetId="1" hidden="1">MondayStart!$A$1:$B$120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" i="26" l="1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E111" i="26"/>
  <c r="E112" i="26"/>
  <c r="E120" i="26"/>
  <c r="E107" i="26"/>
  <c r="E116" i="26"/>
  <c r="E109" i="26"/>
  <c r="E118" i="26"/>
  <c r="E113" i="26"/>
  <c r="E114" i="26"/>
  <c r="E115" i="26"/>
  <c r="E108" i="26"/>
  <c r="E117" i="26"/>
  <c r="E110" i="26"/>
  <c r="E119" i="26"/>
  <c r="E106" i="26"/>
  <c r="D108" i="26"/>
  <c r="D116" i="26"/>
  <c r="D117" i="26"/>
  <c r="D115" i="26"/>
  <c r="D109" i="26"/>
  <c r="D110" i="26"/>
  <c r="D118" i="26"/>
  <c r="D111" i="26"/>
  <c r="D119" i="26"/>
  <c r="D112" i="26"/>
  <c r="D120" i="26"/>
  <c r="D113" i="26"/>
  <c r="D107" i="26"/>
  <c r="D114" i="26"/>
  <c r="D106" i="26"/>
  <c r="D108" i="24"/>
  <c r="D109" i="24"/>
  <c r="D111" i="24"/>
  <c r="D119" i="24"/>
  <c r="D112" i="24"/>
  <c r="D120" i="24"/>
  <c r="D113" i="24"/>
  <c r="D110" i="24"/>
  <c r="D114" i="24"/>
  <c r="D107" i="24"/>
  <c r="D115" i="24"/>
  <c r="D116" i="24"/>
  <c r="D117" i="24"/>
  <c r="D118" i="24"/>
  <c r="D106" i="24"/>
  <c r="B1" i="14" a="1"/>
  <c r="M6" i="14" l="1"/>
  <c r="M5" i="14"/>
  <c r="M4" i="14"/>
  <c r="M3" i="14"/>
  <c r="M2" i="14"/>
  <c r="F523" i="14"/>
  <c r="G523" i="14"/>
  <c r="I523" i="14"/>
  <c r="H523" i="14"/>
  <c r="E523" i="14"/>
  <c r="A523" i="14"/>
  <c r="B1" i="14"/>
  <c r="A5" i="14"/>
  <c r="A13" i="14"/>
  <c r="A21" i="14"/>
  <c r="A29" i="14"/>
  <c r="A37" i="14"/>
  <c r="A45" i="14"/>
  <c r="A53" i="14"/>
  <c r="A61" i="14"/>
  <c r="A69" i="14"/>
  <c r="A77" i="14"/>
  <c r="A85" i="14"/>
  <c r="A93" i="14"/>
  <c r="A101" i="14"/>
  <c r="A109" i="14"/>
  <c r="A117" i="14"/>
  <c r="A125" i="14"/>
  <c r="A133" i="14"/>
  <c r="A141" i="14"/>
  <c r="A149" i="14"/>
  <c r="A157" i="14"/>
  <c r="A165" i="14"/>
  <c r="A173" i="14"/>
  <c r="A181" i="14"/>
  <c r="A189" i="14"/>
  <c r="A197" i="14"/>
  <c r="A205" i="14"/>
  <c r="A213" i="14"/>
  <c r="A221" i="14"/>
  <c r="A229" i="14"/>
  <c r="A237" i="14"/>
  <c r="A245" i="14"/>
  <c r="A253" i="14"/>
  <c r="A261" i="14"/>
  <c r="A269" i="14"/>
  <c r="A277" i="14"/>
  <c r="A285" i="14"/>
  <c r="A293" i="14"/>
  <c r="A301" i="14"/>
  <c r="A309" i="14"/>
  <c r="A317" i="14"/>
  <c r="A325" i="14"/>
  <c r="A333" i="14"/>
  <c r="A341" i="14"/>
  <c r="A349" i="14"/>
  <c r="A357" i="14"/>
  <c r="A365" i="14"/>
  <c r="A373" i="14"/>
  <c r="A381" i="14"/>
  <c r="A389" i="14"/>
  <c r="A397" i="14"/>
  <c r="A405" i="14"/>
  <c r="A413" i="14"/>
  <c r="A421" i="14"/>
  <c r="A429" i="14"/>
  <c r="A437" i="14"/>
  <c r="A445" i="14"/>
  <c r="A453" i="14"/>
  <c r="A461" i="14"/>
  <c r="A469" i="14"/>
  <c r="A477" i="14"/>
  <c r="A485" i="14"/>
  <c r="A493" i="14"/>
  <c r="A501" i="14"/>
  <c r="A509" i="14"/>
  <c r="A517" i="14"/>
  <c r="A6" i="14"/>
  <c r="A14" i="14"/>
  <c r="A22" i="14"/>
  <c r="A30" i="14"/>
  <c r="A38" i="14"/>
  <c r="A46" i="14"/>
  <c r="A54" i="14"/>
  <c r="A62" i="14"/>
  <c r="A70" i="14"/>
  <c r="A78" i="14"/>
  <c r="A86" i="14"/>
  <c r="A94" i="14"/>
  <c r="A102" i="14"/>
  <c r="A110" i="14"/>
  <c r="A118" i="14"/>
  <c r="A126" i="14"/>
  <c r="A134" i="14"/>
  <c r="A142" i="14"/>
  <c r="A150" i="14"/>
  <c r="A158" i="14"/>
  <c r="A7" i="14"/>
  <c r="A15" i="14"/>
  <c r="A23" i="14"/>
  <c r="A31" i="14"/>
  <c r="A39" i="14"/>
  <c r="A47" i="14"/>
  <c r="A55" i="14"/>
  <c r="A63" i="14"/>
  <c r="A9" i="14"/>
  <c r="A17" i="14"/>
  <c r="A25" i="14"/>
  <c r="A33" i="14"/>
  <c r="A41" i="14"/>
  <c r="A49" i="14"/>
  <c r="A57" i="14"/>
  <c r="A65" i="14"/>
  <c r="A73" i="14"/>
  <c r="A81" i="14"/>
  <c r="A89" i="14"/>
  <c r="A97" i="14"/>
  <c r="A105" i="14"/>
  <c r="A113" i="14"/>
  <c r="A121" i="14"/>
  <c r="A129" i="14"/>
  <c r="A137" i="14"/>
  <c r="A145" i="14"/>
  <c r="A153" i="14"/>
  <c r="A161" i="14"/>
  <c r="A169" i="14"/>
  <c r="A177" i="14"/>
  <c r="A185" i="14"/>
  <c r="A193" i="14"/>
  <c r="A201" i="14"/>
  <c r="A209" i="14"/>
  <c r="A217" i="14"/>
  <c r="A225" i="14"/>
  <c r="A233" i="14"/>
  <c r="A241" i="14"/>
  <c r="A249" i="14"/>
  <c r="A257" i="14"/>
  <c r="A265" i="14"/>
  <c r="A273" i="14"/>
  <c r="A281" i="14"/>
  <c r="A289" i="14"/>
  <c r="A297" i="14"/>
  <c r="A305" i="14"/>
  <c r="A313" i="14"/>
  <c r="A321" i="14"/>
  <c r="A329" i="14"/>
  <c r="A337" i="14"/>
  <c r="A345" i="14"/>
  <c r="A353" i="14"/>
  <c r="A361" i="14"/>
  <c r="A369" i="14"/>
  <c r="A377" i="14"/>
  <c r="A385" i="14"/>
  <c r="A393" i="14"/>
  <c r="A401" i="14"/>
  <c r="A409" i="14"/>
  <c r="A417" i="14"/>
  <c r="A425" i="14"/>
  <c r="A433" i="14"/>
  <c r="A441" i="14"/>
  <c r="A449" i="14"/>
  <c r="A457" i="14"/>
  <c r="A465" i="14"/>
  <c r="A473" i="14"/>
  <c r="A481" i="14"/>
  <c r="A489" i="14"/>
  <c r="A497" i="14"/>
  <c r="A505" i="14"/>
  <c r="A513" i="14"/>
  <c r="A521" i="14"/>
  <c r="A10" i="14"/>
  <c r="A18" i="14"/>
  <c r="A26" i="14"/>
  <c r="A34" i="14"/>
  <c r="A42" i="14"/>
  <c r="A50" i="14"/>
  <c r="A58" i="14"/>
  <c r="A66" i="14"/>
  <c r="A74" i="14"/>
  <c r="A82" i="14"/>
  <c r="A90" i="14"/>
  <c r="A98" i="14"/>
  <c r="A106" i="14"/>
  <c r="A114" i="14"/>
  <c r="A122" i="14"/>
  <c r="A130" i="14"/>
  <c r="A138" i="14"/>
  <c r="A146" i="14"/>
  <c r="A154" i="14"/>
  <c r="A162" i="14"/>
  <c r="A3" i="14"/>
  <c r="A24" i="14"/>
  <c r="A44" i="14"/>
  <c r="A67" i="14"/>
  <c r="A83" i="14"/>
  <c r="A99" i="14"/>
  <c r="A115" i="14"/>
  <c r="A131" i="14"/>
  <c r="A147" i="14"/>
  <c r="A163" i="14"/>
  <c r="A174" i="14"/>
  <c r="A184" i="14"/>
  <c r="A195" i="14"/>
  <c r="A206" i="14"/>
  <c r="A216" i="14"/>
  <c r="A227" i="14"/>
  <c r="A238" i="14"/>
  <c r="A248" i="14"/>
  <c r="A259" i="14"/>
  <c r="A270" i="14"/>
  <c r="A280" i="14"/>
  <c r="A291" i="14"/>
  <c r="A302" i="14"/>
  <c r="A312" i="14"/>
  <c r="A323" i="14"/>
  <c r="A334" i="14"/>
  <c r="A344" i="14"/>
  <c r="A355" i="14"/>
  <c r="A366" i="14"/>
  <c r="A376" i="14"/>
  <c r="A387" i="14"/>
  <c r="A398" i="14"/>
  <c r="A408" i="14"/>
  <c r="A419" i="14"/>
  <c r="A430" i="14"/>
  <c r="A440" i="14"/>
  <c r="A451" i="14"/>
  <c r="A462" i="14"/>
  <c r="A472" i="14"/>
  <c r="A483" i="14"/>
  <c r="A494" i="14"/>
  <c r="A504" i="14"/>
  <c r="A515" i="14"/>
  <c r="A4" i="14"/>
  <c r="A27" i="14"/>
  <c r="A48" i="14"/>
  <c r="A84" i="14"/>
  <c r="A68" i="14"/>
  <c r="A8" i="14"/>
  <c r="A28" i="14"/>
  <c r="A51" i="14"/>
  <c r="A71" i="14"/>
  <c r="A87" i="14"/>
  <c r="A103" i="14"/>
  <c r="A119" i="14"/>
  <c r="A135" i="14"/>
  <c r="A151" i="14"/>
  <c r="A166" i="14"/>
  <c r="A176" i="14"/>
  <c r="A187" i="14"/>
  <c r="A198" i="14"/>
  <c r="A208" i="14"/>
  <c r="A219" i="14"/>
  <c r="A230" i="14"/>
  <c r="A240" i="14"/>
  <c r="A251" i="14"/>
  <c r="A262" i="14"/>
  <c r="A272" i="14"/>
  <c r="A283" i="14"/>
  <c r="A294" i="14"/>
  <c r="A304" i="14"/>
  <c r="A315" i="14"/>
  <c r="A326" i="14"/>
  <c r="A336" i="14"/>
  <c r="A347" i="14"/>
  <c r="A358" i="14"/>
  <c r="A368" i="14"/>
  <c r="A379" i="14"/>
  <c r="A390" i="14"/>
  <c r="A400" i="14"/>
  <c r="A411" i="14"/>
  <c r="A422" i="14"/>
  <c r="A432" i="14"/>
  <c r="A443" i="14"/>
  <c r="A454" i="14"/>
  <c r="A464" i="14"/>
  <c r="A475" i="14"/>
  <c r="A486" i="14"/>
  <c r="A496" i="14"/>
  <c r="A507" i="14"/>
  <c r="A518" i="14"/>
  <c r="A32" i="14"/>
  <c r="A52" i="14"/>
  <c r="A72" i="14"/>
  <c r="A88" i="14"/>
  <c r="A104" i="14"/>
  <c r="A120" i="14"/>
  <c r="A136" i="14"/>
  <c r="A152" i="14"/>
  <c r="A167" i="14"/>
  <c r="A178" i="14"/>
  <c r="A188" i="14"/>
  <c r="A199" i="14"/>
  <c r="A210" i="14"/>
  <c r="A220" i="14"/>
  <c r="A231" i="14"/>
  <c r="A242" i="14"/>
  <c r="A252" i="14"/>
  <c r="A263" i="14"/>
  <c r="A274" i="14"/>
  <c r="A284" i="14"/>
  <c r="A295" i="14"/>
  <c r="A306" i="14"/>
  <c r="A327" i="14"/>
  <c r="A338" i="14"/>
  <c r="A348" i="14"/>
  <c r="A359" i="14"/>
  <c r="A370" i="14"/>
  <c r="A380" i="14"/>
  <c r="A391" i="14"/>
  <c r="A402" i="14"/>
  <c r="A412" i="14"/>
  <c r="A423" i="14"/>
  <c r="A434" i="14"/>
  <c r="A455" i="14"/>
  <c r="A466" i="14"/>
  <c r="A476" i="14"/>
  <c r="A487" i="14"/>
  <c r="A498" i="14"/>
  <c r="A508" i="14"/>
  <c r="A12" i="14"/>
  <c r="A75" i="14"/>
  <c r="A107" i="14"/>
  <c r="A139" i="14"/>
  <c r="A168" i="14"/>
  <c r="A179" i="14"/>
  <c r="A190" i="14"/>
  <c r="A200" i="14"/>
  <c r="A211" i="14"/>
  <c r="A222" i="14"/>
  <c r="A232" i="14"/>
  <c r="A243" i="14"/>
  <c r="A254" i="14"/>
  <c r="A275" i="14"/>
  <c r="A286" i="14"/>
  <c r="A307" i="14"/>
  <c r="A328" i="14"/>
  <c r="A350" i="14"/>
  <c r="A360" i="14"/>
  <c r="A382" i="14"/>
  <c r="A403" i="14"/>
  <c r="A424" i="14"/>
  <c r="A456" i="14"/>
  <c r="A478" i="14"/>
  <c r="A499" i="14"/>
  <c r="A520" i="14"/>
  <c r="A436" i="14"/>
  <c r="A479" i="14"/>
  <c r="A511" i="14"/>
  <c r="A480" i="14"/>
  <c r="A512" i="14"/>
  <c r="A43" i="14"/>
  <c r="A236" i="14"/>
  <c r="A311" i="14"/>
  <c r="A375" i="14"/>
  <c r="A450" i="14"/>
  <c r="A116" i="14"/>
  <c r="A164" i="14"/>
  <c r="A175" i="14"/>
  <c r="A196" i="14"/>
  <c r="A250" i="14"/>
  <c r="A314" i="14"/>
  <c r="A367" i="14"/>
  <c r="A410" i="14"/>
  <c r="A463" i="14"/>
  <c r="A495" i="14"/>
  <c r="A11" i="14"/>
  <c r="A316" i="14"/>
  <c r="A444" i="14"/>
  <c r="A519" i="14"/>
  <c r="A35" i="14"/>
  <c r="A56" i="14"/>
  <c r="A91" i="14"/>
  <c r="A123" i="14"/>
  <c r="A155" i="14"/>
  <c r="A264" i="14"/>
  <c r="A296" i="14"/>
  <c r="A318" i="14"/>
  <c r="A339" i="14"/>
  <c r="A371" i="14"/>
  <c r="A392" i="14"/>
  <c r="A414" i="14"/>
  <c r="A435" i="14"/>
  <c r="A446" i="14"/>
  <c r="A467" i="14"/>
  <c r="A488" i="14"/>
  <c r="A510" i="14"/>
  <c r="A426" i="14"/>
  <c r="A458" i="14"/>
  <c r="A490" i="14"/>
  <c r="A522" i="14"/>
  <c r="A459" i="14"/>
  <c r="A20" i="14"/>
  <c r="A112" i="14"/>
  <c r="A144" i="14"/>
  <c r="A172" i="14"/>
  <c r="A194" i="14"/>
  <c r="A215" i="14"/>
  <c r="A247" i="14"/>
  <c r="A268" i="14"/>
  <c r="A290" i="14"/>
  <c r="A332" i="14"/>
  <c r="A354" i="14"/>
  <c r="A396" i="14"/>
  <c r="A418" i="14"/>
  <c r="A439" i="14"/>
  <c r="A471" i="14"/>
  <c r="A492" i="14"/>
  <c r="A514" i="14"/>
  <c r="A132" i="14"/>
  <c r="A207" i="14"/>
  <c r="A271" i="14"/>
  <c r="A303" i="14"/>
  <c r="A324" i="14"/>
  <c r="A356" i="14"/>
  <c r="A399" i="14"/>
  <c r="A420" i="14"/>
  <c r="A452" i="14"/>
  <c r="A484" i="14"/>
  <c r="A516" i="14"/>
  <c r="A228" i="14"/>
  <c r="A16" i="14"/>
  <c r="A36" i="14"/>
  <c r="A59" i="14"/>
  <c r="A76" i="14"/>
  <c r="A92" i="14"/>
  <c r="A108" i="14"/>
  <c r="A124" i="14"/>
  <c r="A140" i="14"/>
  <c r="A156" i="14"/>
  <c r="A170" i="14"/>
  <c r="A180" i="14"/>
  <c r="A191" i="14"/>
  <c r="A202" i="14"/>
  <c r="A212" i="14"/>
  <c r="A223" i="14"/>
  <c r="A234" i="14"/>
  <c r="A244" i="14"/>
  <c r="A255" i="14"/>
  <c r="A266" i="14"/>
  <c r="A276" i="14"/>
  <c r="A287" i="14"/>
  <c r="A298" i="14"/>
  <c r="A308" i="14"/>
  <c r="A319" i="14"/>
  <c r="A330" i="14"/>
  <c r="A340" i="14"/>
  <c r="A351" i="14"/>
  <c r="A362" i="14"/>
  <c r="A372" i="14"/>
  <c r="A383" i="14"/>
  <c r="A394" i="14"/>
  <c r="A404" i="14"/>
  <c r="A415" i="14"/>
  <c r="A447" i="14"/>
  <c r="A468" i="14"/>
  <c r="A500" i="14"/>
  <c r="A491" i="14"/>
  <c r="A80" i="14"/>
  <c r="A300" i="14"/>
  <c r="A386" i="14"/>
  <c r="A482" i="14"/>
  <c r="A148" i="14"/>
  <c r="A186" i="14"/>
  <c r="A239" i="14"/>
  <c r="A282" i="14"/>
  <c r="A335" i="14"/>
  <c r="A378" i="14"/>
  <c r="A442" i="14"/>
  <c r="A506" i="14"/>
  <c r="A19" i="14"/>
  <c r="A40" i="14"/>
  <c r="A60" i="14"/>
  <c r="A79" i="14"/>
  <c r="A95" i="14"/>
  <c r="A111" i="14"/>
  <c r="A127" i="14"/>
  <c r="A143" i="14"/>
  <c r="A159" i="14"/>
  <c r="A171" i="14"/>
  <c r="A182" i="14"/>
  <c r="A192" i="14"/>
  <c r="A203" i="14"/>
  <c r="A214" i="14"/>
  <c r="A224" i="14"/>
  <c r="A235" i="14"/>
  <c r="A246" i="14"/>
  <c r="A256" i="14"/>
  <c r="A267" i="14"/>
  <c r="A278" i="14"/>
  <c r="A288" i="14"/>
  <c r="A299" i="14"/>
  <c r="A310" i="14"/>
  <c r="A320" i="14"/>
  <c r="A331" i="14"/>
  <c r="A342" i="14"/>
  <c r="A352" i="14"/>
  <c r="A363" i="14"/>
  <c r="A374" i="14"/>
  <c r="A384" i="14"/>
  <c r="A395" i="14"/>
  <c r="A406" i="14"/>
  <c r="A416" i="14"/>
  <c r="A427" i="14"/>
  <c r="A438" i="14"/>
  <c r="A448" i="14"/>
  <c r="A470" i="14"/>
  <c r="A502" i="14"/>
  <c r="A64" i="14"/>
  <c r="A96" i="14"/>
  <c r="A128" i="14"/>
  <c r="A160" i="14"/>
  <c r="A183" i="14"/>
  <c r="A204" i="14"/>
  <c r="A226" i="14"/>
  <c r="A258" i="14"/>
  <c r="A279" i="14"/>
  <c r="A322" i="14"/>
  <c r="A343" i="14"/>
  <c r="A364" i="14"/>
  <c r="A407" i="14"/>
  <c r="A428" i="14"/>
  <c r="A460" i="14"/>
  <c r="A503" i="14"/>
  <c r="A100" i="14"/>
  <c r="A218" i="14"/>
  <c r="A260" i="14"/>
  <c r="A292" i="14"/>
  <c r="A346" i="14"/>
  <c r="A388" i="14"/>
  <c r="A431" i="14"/>
  <c r="A474" i="14"/>
  <c r="A2" i="14"/>
  <c r="I22" i="14"/>
  <c r="I24" i="14"/>
  <c r="I26" i="14"/>
  <c r="I34" i="14"/>
  <c r="I42" i="14"/>
  <c r="I50" i="14"/>
  <c r="I58" i="14"/>
  <c r="I66" i="14"/>
  <c r="I74" i="14"/>
  <c r="I82" i="14"/>
  <c r="I90" i="14"/>
  <c r="I98" i="14"/>
  <c r="I106" i="14"/>
  <c r="I114" i="14"/>
  <c r="I122" i="14"/>
  <c r="I130" i="14"/>
  <c r="I138" i="14"/>
  <c r="I146" i="14"/>
  <c r="I154" i="14"/>
  <c r="I162" i="14"/>
  <c r="I170" i="14"/>
  <c r="I178" i="14"/>
  <c r="I186" i="14"/>
  <c r="I194" i="14"/>
  <c r="I202" i="14"/>
  <c r="I210" i="14"/>
  <c r="I218" i="14"/>
  <c r="I226" i="14"/>
  <c r="I234" i="14"/>
  <c r="I242" i="14"/>
  <c r="I250" i="14"/>
  <c r="I258" i="14"/>
  <c r="I266" i="14"/>
  <c r="I274" i="14"/>
  <c r="I282" i="14"/>
  <c r="I290" i="14"/>
  <c r="I298" i="14"/>
  <c r="I306" i="14"/>
  <c r="I314" i="14"/>
  <c r="I322" i="14"/>
  <c r="I330" i="14"/>
  <c r="I338" i="14"/>
  <c r="I346" i="14"/>
  <c r="I354" i="14"/>
  <c r="I362" i="14"/>
  <c r="I370" i="14"/>
  <c r="I378" i="14"/>
  <c r="I386" i="14"/>
  <c r="I394" i="14"/>
  <c r="I402" i="14"/>
  <c r="I410" i="14"/>
  <c r="I418" i="14"/>
  <c r="I426" i="14"/>
  <c r="I434" i="14"/>
  <c r="I442" i="14"/>
  <c r="I450" i="14"/>
  <c r="I458" i="14"/>
  <c r="I466" i="14"/>
  <c r="I474" i="14"/>
  <c r="I482" i="14"/>
  <c r="I490" i="14"/>
  <c r="I498" i="14"/>
  <c r="I506" i="14"/>
  <c r="I514" i="14"/>
  <c r="I522" i="14"/>
  <c r="I36" i="14"/>
  <c r="I44" i="14"/>
  <c r="I52" i="14"/>
  <c r="I68" i="14"/>
  <c r="I84" i="14"/>
  <c r="I100" i="14"/>
  <c r="I116" i="14"/>
  <c r="I132" i="14"/>
  <c r="I148" i="14"/>
  <c r="I164" i="14"/>
  <c r="I180" i="14"/>
  <c r="I188" i="14"/>
  <c r="I204" i="14"/>
  <c r="I220" i="14"/>
  <c r="I244" i="14"/>
  <c r="I260" i="14"/>
  <c r="I276" i="14"/>
  <c r="I292" i="14"/>
  <c r="I308" i="14"/>
  <c r="I27" i="14"/>
  <c r="I35" i="14"/>
  <c r="I43" i="14"/>
  <c r="I51" i="14"/>
  <c r="I59" i="14"/>
  <c r="I67" i="14"/>
  <c r="I75" i="14"/>
  <c r="I83" i="14"/>
  <c r="I91" i="14"/>
  <c r="I99" i="14"/>
  <c r="I107" i="14"/>
  <c r="I115" i="14"/>
  <c r="I123" i="14"/>
  <c r="I131" i="14"/>
  <c r="I139" i="14"/>
  <c r="I147" i="14"/>
  <c r="I155" i="14"/>
  <c r="I163" i="14"/>
  <c r="I171" i="14"/>
  <c r="I179" i="14"/>
  <c r="I187" i="14"/>
  <c r="I195" i="14"/>
  <c r="I203" i="14"/>
  <c r="I211" i="14"/>
  <c r="I219" i="14"/>
  <c r="I227" i="14"/>
  <c r="I235" i="14"/>
  <c r="I243" i="14"/>
  <c r="I251" i="14"/>
  <c r="I259" i="14"/>
  <c r="I267" i="14"/>
  <c r="I275" i="14"/>
  <c r="I283" i="14"/>
  <c r="I291" i="14"/>
  <c r="I299" i="14"/>
  <c r="I307" i="14"/>
  <c r="I315" i="14"/>
  <c r="I323" i="14"/>
  <c r="I331" i="14"/>
  <c r="I339" i="14"/>
  <c r="I347" i="14"/>
  <c r="I355" i="14"/>
  <c r="I363" i="14"/>
  <c r="I371" i="14"/>
  <c r="I379" i="14"/>
  <c r="I387" i="14"/>
  <c r="I395" i="14"/>
  <c r="I403" i="14"/>
  <c r="I411" i="14"/>
  <c r="I419" i="14"/>
  <c r="I427" i="14"/>
  <c r="I435" i="14"/>
  <c r="I443" i="14"/>
  <c r="I451" i="14"/>
  <c r="I459" i="14"/>
  <c r="I467" i="14"/>
  <c r="I475" i="14"/>
  <c r="I483" i="14"/>
  <c r="I491" i="14"/>
  <c r="I499" i="14"/>
  <c r="I507" i="14"/>
  <c r="I515" i="14"/>
  <c r="I28" i="14"/>
  <c r="I60" i="14"/>
  <c r="I76" i="14"/>
  <c r="I92" i="14"/>
  <c r="I108" i="14"/>
  <c r="I124" i="14"/>
  <c r="I140" i="14"/>
  <c r="I156" i="14"/>
  <c r="I172" i="14"/>
  <c r="I196" i="14"/>
  <c r="I212" i="14"/>
  <c r="I228" i="14"/>
  <c r="I236" i="14"/>
  <c r="I252" i="14"/>
  <c r="I268" i="14"/>
  <c r="I284" i="14"/>
  <c r="I300" i="14"/>
  <c r="I316" i="14"/>
  <c r="I29" i="14"/>
  <c r="I37" i="14"/>
  <c r="I45" i="14"/>
  <c r="I53" i="14"/>
  <c r="I61" i="14"/>
  <c r="I69" i="14"/>
  <c r="I77" i="14"/>
  <c r="I85" i="14"/>
  <c r="I93" i="14"/>
  <c r="I101" i="14"/>
  <c r="I109" i="14"/>
  <c r="I117" i="14"/>
  <c r="I125" i="14"/>
  <c r="I133" i="14"/>
  <c r="I141" i="14"/>
  <c r="I149" i="14"/>
  <c r="I157" i="14"/>
  <c r="I165" i="14"/>
  <c r="I173" i="14"/>
  <c r="I181" i="14"/>
  <c r="I189" i="14"/>
  <c r="I197" i="14"/>
  <c r="I205" i="14"/>
  <c r="I213" i="14"/>
  <c r="I221" i="14"/>
  <c r="I229" i="14"/>
  <c r="I237" i="14"/>
  <c r="I245" i="14"/>
  <c r="I253" i="14"/>
  <c r="I261" i="14"/>
  <c r="I269" i="14"/>
  <c r="I277" i="14"/>
  <c r="I285" i="14"/>
  <c r="I293" i="14"/>
  <c r="I301" i="14"/>
  <c r="I309" i="14"/>
  <c r="I317" i="14"/>
  <c r="I325" i="14"/>
  <c r="I333" i="14"/>
  <c r="I341" i="14"/>
  <c r="I349" i="14"/>
  <c r="I357" i="14"/>
  <c r="I365" i="14"/>
  <c r="I373" i="14"/>
  <c r="I381" i="14"/>
  <c r="I389" i="14"/>
  <c r="I397" i="14"/>
  <c r="I405" i="14"/>
  <c r="I413" i="14"/>
  <c r="I421" i="14"/>
  <c r="I429" i="14"/>
  <c r="I437" i="14"/>
  <c r="I445" i="14"/>
  <c r="I453" i="14"/>
  <c r="I461" i="14"/>
  <c r="I469" i="14"/>
  <c r="I477" i="14"/>
  <c r="I485" i="14"/>
  <c r="I493" i="14"/>
  <c r="I501" i="14"/>
  <c r="I509" i="14"/>
  <c r="I517" i="14"/>
  <c r="I30" i="14"/>
  <c r="I38" i="14"/>
  <c r="I46" i="14"/>
  <c r="I54" i="14"/>
  <c r="I62" i="14"/>
  <c r="I70" i="14"/>
  <c r="I78" i="14"/>
  <c r="I86" i="14"/>
  <c r="I94" i="14"/>
  <c r="I102" i="14"/>
  <c r="I110" i="14"/>
  <c r="I118" i="14"/>
  <c r="I126" i="14"/>
  <c r="I134" i="14"/>
  <c r="I142" i="14"/>
  <c r="I150" i="14"/>
  <c r="I158" i="14"/>
  <c r="I166" i="14"/>
  <c r="I174" i="14"/>
  <c r="I182" i="14"/>
  <c r="I190" i="14"/>
  <c r="I198" i="14"/>
  <c r="I206" i="14"/>
  <c r="I152" i="14"/>
  <c r="I337" i="14"/>
  <c r="I376" i="14"/>
  <c r="I401" i="14"/>
  <c r="I440" i="14"/>
  <c r="I465" i="14"/>
  <c r="I492" i="14"/>
  <c r="I518" i="14"/>
  <c r="I48" i="14"/>
  <c r="I199" i="14"/>
  <c r="I280" i="14"/>
  <c r="I340" i="14"/>
  <c r="I404" i="14"/>
  <c r="I455" i="14"/>
  <c r="I505" i="14"/>
  <c r="I49" i="14"/>
  <c r="I72" i="14"/>
  <c r="I113" i="14"/>
  <c r="I159" i="14"/>
  <c r="I177" i="14"/>
  <c r="I249" i="14"/>
  <c r="I281" i="14"/>
  <c r="I342" i="14"/>
  <c r="I392" i="14"/>
  <c r="I444" i="14"/>
  <c r="I495" i="14"/>
  <c r="I484" i="14"/>
  <c r="I32" i="14"/>
  <c r="I55" i="14"/>
  <c r="I73" i="14"/>
  <c r="I96" i="14"/>
  <c r="I119" i="14"/>
  <c r="I137" i="14"/>
  <c r="I160" i="14"/>
  <c r="I183" i="14"/>
  <c r="I201" i="14"/>
  <c r="I222" i="14"/>
  <c r="I238" i="14"/>
  <c r="I254" i="14"/>
  <c r="I270" i="14"/>
  <c r="I286" i="14"/>
  <c r="I302" i="14"/>
  <c r="I318" i="14"/>
  <c r="I329" i="14"/>
  <c r="I343" i="14"/>
  <c r="I356" i="14"/>
  <c r="I368" i="14"/>
  <c r="I382" i="14"/>
  <c r="I393" i="14"/>
  <c r="I407" i="14"/>
  <c r="I420" i="14"/>
  <c r="I432" i="14"/>
  <c r="I446" i="14"/>
  <c r="I510" i="14"/>
  <c r="I33" i="14"/>
  <c r="I56" i="14"/>
  <c r="I79" i="14"/>
  <c r="I97" i="14"/>
  <c r="I120" i="14"/>
  <c r="I143" i="14"/>
  <c r="I161" i="14"/>
  <c r="I184" i="14"/>
  <c r="I207" i="14"/>
  <c r="I223" i="14"/>
  <c r="I239" i="14"/>
  <c r="I255" i="14"/>
  <c r="I271" i="14"/>
  <c r="I287" i="14"/>
  <c r="I303" i="14"/>
  <c r="I319" i="14"/>
  <c r="I332" i="14"/>
  <c r="I344" i="14"/>
  <c r="I358" i="14"/>
  <c r="I369" i="14"/>
  <c r="I383" i="14"/>
  <c r="I396" i="14"/>
  <c r="I408" i="14"/>
  <c r="I422" i="14"/>
  <c r="I433" i="14"/>
  <c r="I447" i="14"/>
  <c r="I460" i="14"/>
  <c r="I472" i="14"/>
  <c r="I486" i="14"/>
  <c r="I497" i="14"/>
  <c r="I511" i="14"/>
  <c r="I372" i="14"/>
  <c r="I145" i="14"/>
  <c r="I209" i="14"/>
  <c r="I257" i="14"/>
  <c r="I289" i="14"/>
  <c r="I321" i="14"/>
  <c r="I348" i="14"/>
  <c r="I374" i="14"/>
  <c r="I399" i="14"/>
  <c r="I424" i="14"/>
  <c r="I449" i="14"/>
  <c r="I476" i="14"/>
  <c r="I502" i="14"/>
  <c r="I89" i="14"/>
  <c r="I176" i="14"/>
  <c r="I232" i="14"/>
  <c r="I296" i="14"/>
  <c r="I327" i="14"/>
  <c r="I377" i="14"/>
  <c r="I430" i="14"/>
  <c r="I494" i="14"/>
  <c r="I519" i="14"/>
  <c r="I31" i="14"/>
  <c r="I95" i="14"/>
  <c r="I136" i="14"/>
  <c r="I200" i="14"/>
  <c r="I265" i="14"/>
  <c r="I328" i="14"/>
  <c r="I380" i="14"/>
  <c r="I431" i="14"/>
  <c r="I481" i="14"/>
  <c r="I508" i="14"/>
  <c r="I471" i="14"/>
  <c r="I39" i="14"/>
  <c r="I57" i="14"/>
  <c r="I80" i="14"/>
  <c r="I103" i="14"/>
  <c r="I121" i="14"/>
  <c r="I144" i="14"/>
  <c r="I167" i="14"/>
  <c r="I185" i="14"/>
  <c r="I208" i="14"/>
  <c r="I224" i="14"/>
  <c r="I240" i="14"/>
  <c r="I256" i="14"/>
  <c r="I272" i="14"/>
  <c r="I288" i="14"/>
  <c r="I304" i="14"/>
  <c r="I320" i="14"/>
  <c r="I334" i="14"/>
  <c r="I345" i="14"/>
  <c r="I359" i="14"/>
  <c r="I384" i="14"/>
  <c r="I398" i="14"/>
  <c r="I409" i="14"/>
  <c r="I423" i="14"/>
  <c r="I436" i="14"/>
  <c r="I448" i="14"/>
  <c r="I462" i="14"/>
  <c r="I473" i="14"/>
  <c r="I487" i="14"/>
  <c r="I500" i="14"/>
  <c r="I512" i="14"/>
  <c r="I40" i="14"/>
  <c r="I63" i="14"/>
  <c r="I81" i="14"/>
  <c r="I104" i="14"/>
  <c r="I127" i="14"/>
  <c r="I168" i="14"/>
  <c r="I191" i="14"/>
  <c r="I225" i="14"/>
  <c r="I241" i="14"/>
  <c r="I273" i="14"/>
  <c r="I305" i="14"/>
  <c r="I335" i="14"/>
  <c r="I360" i="14"/>
  <c r="I385" i="14"/>
  <c r="I412" i="14"/>
  <c r="I438" i="14"/>
  <c r="I463" i="14"/>
  <c r="I488" i="14"/>
  <c r="I513" i="14"/>
  <c r="I135" i="14"/>
  <c r="I264" i="14"/>
  <c r="I352" i="14"/>
  <c r="I416" i="14"/>
  <c r="I468" i="14"/>
  <c r="I217" i="14"/>
  <c r="I297" i="14"/>
  <c r="I367" i="14"/>
  <c r="I417" i="14"/>
  <c r="I456" i="14"/>
  <c r="I457" i="14"/>
  <c r="I521" i="14"/>
  <c r="I41" i="14"/>
  <c r="I64" i="14"/>
  <c r="I87" i="14"/>
  <c r="I105" i="14"/>
  <c r="I128" i="14"/>
  <c r="I151" i="14"/>
  <c r="I169" i="14"/>
  <c r="I192" i="14"/>
  <c r="I214" i="14"/>
  <c r="I230" i="14"/>
  <c r="I246" i="14"/>
  <c r="I262" i="14"/>
  <c r="I278" i="14"/>
  <c r="I294" i="14"/>
  <c r="I310" i="14"/>
  <c r="I324" i="14"/>
  <c r="I336" i="14"/>
  <c r="I350" i="14"/>
  <c r="I361" i="14"/>
  <c r="I375" i="14"/>
  <c r="I388" i="14"/>
  <c r="I400" i="14"/>
  <c r="I414" i="14"/>
  <c r="I425" i="14"/>
  <c r="I439" i="14"/>
  <c r="I452" i="14"/>
  <c r="I464" i="14"/>
  <c r="I478" i="14"/>
  <c r="I489" i="14"/>
  <c r="I503" i="14"/>
  <c r="I516" i="14"/>
  <c r="I23" i="14"/>
  <c r="I47" i="14"/>
  <c r="I65" i="14"/>
  <c r="I88" i="14"/>
  <c r="I111" i="14"/>
  <c r="I129" i="14"/>
  <c r="I175" i="14"/>
  <c r="I193" i="14"/>
  <c r="I215" i="14"/>
  <c r="I231" i="14"/>
  <c r="I247" i="14"/>
  <c r="I263" i="14"/>
  <c r="I279" i="14"/>
  <c r="I295" i="14"/>
  <c r="I311" i="14"/>
  <c r="I326" i="14"/>
  <c r="I351" i="14"/>
  <c r="I364" i="14"/>
  <c r="I390" i="14"/>
  <c r="I415" i="14"/>
  <c r="I428" i="14"/>
  <c r="I454" i="14"/>
  <c r="I479" i="14"/>
  <c r="I504" i="14"/>
  <c r="I25" i="14"/>
  <c r="I71" i="14"/>
  <c r="I112" i="14"/>
  <c r="I153" i="14"/>
  <c r="I216" i="14"/>
  <c r="I248" i="14"/>
  <c r="I312" i="14"/>
  <c r="I366" i="14"/>
  <c r="I391" i="14"/>
  <c r="I441" i="14"/>
  <c r="I480" i="14"/>
  <c r="I233" i="14"/>
  <c r="I313" i="14"/>
  <c r="I353" i="14"/>
  <c r="I406" i="14"/>
  <c r="I470" i="14"/>
  <c r="I520" i="14"/>
  <c r="I496" i="14"/>
  <c r="I21" i="14"/>
  <c r="H102" i="14"/>
  <c r="H110" i="14"/>
  <c r="H118" i="14"/>
  <c r="H126" i="14"/>
  <c r="H134" i="14"/>
  <c r="H142" i="14"/>
  <c r="H150" i="14"/>
  <c r="H158" i="14"/>
  <c r="H166" i="14"/>
  <c r="H174" i="14"/>
  <c r="H182" i="14"/>
  <c r="H190" i="14"/>
  <c r="H198" i="14"/>
  <c r="H206" i="14"/>
  <c r="H214" i="14"/>
  <c r="H222" i="14"/>
  <c r="H230" i="14"/>
  <c r="H238" i="14"/>
  <c r="H246" i="14"/>
  <c r="H254" i="14"/>
  <c r="H270" i="14"/>
  <c r="H278" i="14"/>
  <c r="H302" i="14"/>
  <c r="H326" i="14"/>
  <c r="H350" i="14"/>
  <c r="H390" i="14"/>
  <c r="H414" i="14"/>
  <c r="H438" i="14"/>
  <c r="H470" i="14"/>
  <c r="H502" i="14"/>
  <c r="H323" i="14"/>
  <c r="H411" i="14"/>
  <c r="H499" i="14"/>
  <c r="H103" i="14"/>
  <c r="H111" i="14"/>
  <c r="H119" i="14"/>
  <c r="H127" i="14"/>
  <c r="H135" i="14"/>
  <c r="H143" i="14"/>
  <c r="H151" i="14"/>
  <c r="H159" i="14"/>
  <c r="H167" i="14"/>
  <c r="H175" i="14"/>
  <c r="H183" i="14"/>
  <c r="H191" i="14"/>
  <c r="H199" i="14"/>
  <c r="H207" i="14"/>
  <c r="H215" i="14"/>
  <c r="H223" i="14"/>
  <c r="H231" i="14"/>
  <c r="H239" i="14"/>
  <c r="H247" i="14"/>
  <c r="H255" i="14"/>
  <c r="H263" i="14"/>
  <c r="H271" i="14"/>
  <c r="H279" i="14"/>
  <c r="H287" i="14"/>
  <c r="H295" i="14"/>
  <c r="H303" i="14"/>
  <c r="H311" i="14"/>
  <c r="H319" i="14"/>
  <c r="H327" i="14"/>
  <c r="H335" i="14"/>
  <c r="H343" i="14"/>
  <c r="H351" i="14"/>
  <c r="H359" i="14"/>
  <c r="H367" i="14"/>
  <c r="H375" i="14"/>
  <c r="H383" i="14"/>
  <c r="H391" i="14"/>
  <c r="H399" i="14"/>
  <c r="H407" i="14"/>
  <c r="H415" i="14"/>
  <c r="H423" i="14"/>
  <c r="H431" i="14"/>
  <c r="H439" i="14"/>
  <c r="H447" i="14"/>
  <c r="H455" i="14"/>
  <c r="H463" i="14"/>
  <c r="H471" i="14"/>
  <c r="H479" i="14"/>
  <c r="H487" i="14"/>
  <c r="H495" i="14"/>
  <c r="H503" i="14"/>
  <c r="H511" i="14"/>
  <c r="H519" i="14"/>
  <c r="H384" i="14"/>
  <c r="H400" i="14"/>
  <c r="H416" i="14"/>
  <c r="H424" i="14"/>
  <c r="H440" i="14"/>
  <c r="H448" i="14"/>
  <c r="H464" i="14"/>
  <c r="H472" i="14"/>
  <c r="H488" i="14"/>
  <c r="H504" i="14"/>
  <c r="H512" i="14"/>
  <c r="H289" i="14"/>
  <c r="H321" i="14"/>
  <c r="H329" i="14"/>
  <c r="H345" i="14"/>
  <c r="H361" i="14"/>
  <c r="H377" i="14"/>
  <c r="H393" i="14"/>
  <c r="H409" i="14"/>
  <c r="H433" i="14"/>
  <c r="H449" i="14"/>
  <c r="H465" i="14"/>
  <c r="H489" i="14"/>
  <c r="H497" i="14"/>
  <c r="H521" i="14"/>
  <c r="H331" i="14"/>
  <c r="H363" i="14"/>
  <c r="H395" i="14"/>
  <c r="H451" i="14"/>
  <c r="H491" i="14"/>
  <c r="H116" i="14"/>
  <c r="H104" i="14"/>
  <c r="H112" i="14"/>
  <c r="H120" i="14"/>
  <c r="H128" i="14"/>
  <c r="H136" i="14"/>
  <c r="H144" i="14"/>
  <c r="H152" i="14"/>
  <c r="H160" i="14"/>
  <c r="H168" i="14"/>
  <c r="H176" i="14"/>
  <c r="H184" i="14"/>
  <c r="H192" i="14"/>
  <c r="H200" i="14"/>
  <c r="H208" i="14"/>
  <c r="H216" i="14"/>
  <c r="H224" i="14"/>
  <c r="H232" i="14"/>
  <c r="H240" i="14"/>
  <c r="H248" i="14"/>
  <c r="H256" i="14"/>
  <c r="H264" i="14"/>
  <c r="H272" i="14"/>
  <c r="H280" i="14"/>
  <c r="H288" i="14"/>
  <c r="H296" i="14"/>
  <c r="H304" i="14"/>
  <c r="H312" i="14"/>
  <c r="H320" i="14"/>
  <c r="H328" i="14"/>
  <c r="H336" i="14"/>
  <c r="H344" i="14"/>
  <c r="H352" i="14"/>
  <c r="H360" i="14"/>
  <c r="H368" i="14"/>
  <c r="H376" i="14"/>
  <c r="H392" i="14"/>
  <c r="H408" i="14"/>
  <c r="H432" i="14"/>
  <c r="H456" i="14"/>
  <c r="H480" i="14"/>
  <c r="H496" i="14"/>
  <c r="H520" i="14"/>
  <c r="H305" i="14"/>
  <c r="H337" i="14"/>
  <c r="H369" i="14"/>
  <c r="H401" i="14"/>
  <c r="H417" i="14"/>
  <c r="H441" i="14"/>
  <c r="H457" i="14"/>
  <c r="H481" i="14"/>
  <c r="H505" i="14"/>
  <c r="H315" i="14"/>
  <c r="H371" i="14"/>
  <c r="H427" i="14"/>
  <c r="H467" i="14"/>
  <c r="H515" i="14"/>
  <c r="H105" i="14"/>
  <c r="H113" i="14"/>
  <c r="H121" i="14"/>
  <c r="H129" i="14"/>
  <c r="H137" i="14"/>
  <c r="H145" i="14"/>
  <c r="H153" i="14"/>
  <c r="H161" i="14"/>
  <c r="H169" i="14"/>
  <c r="H177" i="14"/>
  <c r="H185" i="14"/>
  <c r="H193" i="14"/>
  <c r="H201" i="14"/>
  <c r="H209" i="14"/>
  <c r="H217" i="14"/>
  <c r="H225" i="14"/>
  <c r="H233" i="14"/>
  <c r="H241" i="14"/>
  <c r="H249" i="14"/>
  <c r="H257" i="14"/>
  <c r="H265" i="14"/>
  <c r="H273" i="14"/>
  <c r="H281" i="14"/>
  <c r="H297" i="14"/>
  <c r="H313" i="14"/>
  <c r="H353" i="14"/>
  <c r="H385" i="14"/>
  <c r="H425" i="14"/>
  <c r="H473" i="14"/>
  <c r="H513" i="14"/>
  <c r="H347" i="14"/>
  <c r="H435" i="14"/>
  <c r="H106" i="14"/>
  <c r="H114" i="14"/>
  <c r="H122" i="14"/>
  <c r="H130" i="14"/>
  <c r="H138" i="14"/>
  <c r="H146" i="14"/>
  <c r="H154" i="14"/>
  <c r="H162" i="14"/>
  <c r="H170" i="14"/>
  <c r="H178" i="14"/>
  <c r="H186" i="14"/>
  <c r="H194" i="14"/>
  <c r="H202" i="14"/>
  <c r="H210" i="14"/>
  <c r="H218" i="14"/>
  <c r="H226" i="14"/>
  <c r="H234" i="14"/>
  <c r="H242" i="14"/>
  <c r="H250" i="14"/>
  <c r="H258" i="14"/>
  <c r="H266" i="14"/>
  <c r="H274" i="14"/>
  <c r="H282" i="14"/>
  <c r="H290" i="14"/>
  <c r="H298" i="14"/>
  <c r="H306" i="14"/>
  <c r="H314" i="14"/>
  <c r="H322" i="14"/>
  <c r="H330" i="14"/>
  <c r="H338" i="14"/>
  <c r="H346" i="14"/>
  <c r="H354" i="14"/>
  <c r="H362" i="14"/>
  <c r="H370" i="14"/>
  <c r="H378" i="14"/>
  <c r="H386" i="14"/>
  <c r="H394" i="14"/>
  <c r="H402" i="14"/>
  <c r="H410" i="14"/>
  <c r="H418" i="14"/>
  <c r="H426" i="14"/>
  <c r="H434" i="14"/>
  <c r="H442" i="14"/>
  <c r="H450" i="14"/>
  <c r="H458" i="14"/>
  <c r="H466" i="14"/>
  <c r="H474" i="14"/>
  <c r="H482" i="14"/>
  <c r="H490" i="14"/>
  <c r="H498" i="14"/>
  <c r="H506" i="14"/>
  <c r="H514" i="14"/>
  <c r="H522" i="14"/>
  <c r="H107" i="14"/>
  <c r="H115" i="14"/>
  <c r="H123" i="14"/>
  <c r="H131" i="14"/>
  <c r="H139" i="14"/>
  <c r="H147" i="14"/>
  <c r="H155" i="14"/>
  <c r="H163" i="14"/>
  <c r="H171" i="14"/>
  <c r="H179" i="14"/>
  <c r="H187" i="14"/>
  <c r="H195" i="14"/>
  <c r="H203" i="14"/>
  <c r="H211" i="14"/>
  <c r="H219" i="14"/>
  <c r="H227" i="14"/>
  <c r="H235" i="14"/>
  <c r="H243" i="14"/>
  <c r="H251" i="14"/>
  <c r="H259" i="14"/>
  <c r="H267" i="14"/>
  <c r="H275" i="14"/>
  <c r="H283" i="14"/>
  <c r="H291" i="14"/>
  <c r="H307" i="14"/>
  <c r="H339" i="14"/>
  <c r="H355" i="14"/>
  <c r="H387" i="14"/>
  <c r="H403" i="14"/>
  <c r="H443" i="14"/>
  <c r="H483" i="14"/>
  <c r="H108" i="14"/>
  <c r="H109" i="14"/>
  <c r="H117" i="14"/>
  <c r="H125" i="14"/>
  <c r="H133" i="14"/>
  <c r="H141" i="14"/>
  <c r="H149" i="14"/>
  <c r="H157" i="14"/>
  <c r="H165" i="14"/>
  <c r="H173" i="14"/>
  <c r="H181" i="14"/>
  <c r="H189" i="14"/>
  <c r="H197" i="14"/>
  <c r="H205" i="14"/>
  <c r="H213" i="14"/>
  <c r="H221" i="14"/>
  <c r="H229" i="14"/>
  <c r="H237" i="14"/>
  <c r="H245" i="14"/>
  <c r="H253" i="14"/>
  <c r="H261" i="14"/>
  <c r="H269" i="14"/>
  <c r="H277" i="14"/>
  <c r="H285" i="14"/>
  <c r="H293" i="14"/>
  <c r="H301" i="14"/>
  <c r="H309" i="14"/>
  <c r="H317" i="14"/>
  <c r="H325" i="14"/>
  <c r="H333" i="14"/>
  <c r="H341" i="14"/>
  <c r="H349" i="14"/>
  <c r="H357" i="14"/>
  <c r="H365" i="14"/>
  <c r="H373" i="14"/>
  <c r="H381" i="14"/>
  <c r="H389" i="14"/>
  <c r="H397" i="14"/>
  <c r="H405" i="14"/>
  <c r="H413" i="14"/>
  <c r="H421" i="14"/>
  <c r="H429" i="14"/>
  <c r="H437" i="14"/>
  <c r="H445" i="14"/>
  <c r="H453" i="14"/>
  <c r="H461" i="14"/>
  <c r="H469" i="14"/>
  <c r="H477" i="14"/>
  <c r="H485" i="14"/>
  <c r="H493" i="14"/>
  <c r="H501" i="14"/>
  <c r="H509" i="14"/>
  <c r="H517" i="14"/>
  <c r="H262" i="14"/>
  <c r="H286" i="14"/>
  <c r="H294" i="14"/>
  <c r="H310" i="14"/>
  <c r="H318" i="14"/>
  <c r="H334" i="14"/>
  <c r="H342" i="14"/>
  <c r="H358" i="14"/>
  <c r="H366" i="14"/>
  <c r="H374" i="14"/>
  <c r="H382" i="14"/>
  <c r="H398" i="14"/>
  <c r="H406" i="14"/>
  <c r="H422" i="14"/>
  <c r="H430" i="14"/>
  <c r="H446" i="14"/>
  <c r="H454" i="14"/>
  <c r="H462" i="14"/>
  <c r="H478" i="14"/>
  <c r="H486" i="14"/>
  <c r="H494" i="14"/>
  <c r="H510" i="14"/>
  <c r="H518" i="14"/>
  <c r="H299" i="14"/>
  <c r="H379" i="14"/>
  <c r="H419" i="14"/>
  <c r="H459" i="14"/>
  <c r="H475" i="14"/>
  <c r="H507" i="14"/>
  <c r="H124" i="14"/>
  <c r="H156" i="14"/>
  <c r="H172" i="14"/>
  <c r="H132" i="14"/>
  <c r="H212" i="14"/>
  <c r="H276" i="14"/>
  <c r="H340" i="14"/>
  <c r="H404" i="14"/>
  <c r="H468" i="14"/>
  <c r="H140" i="14"/>
  <c r="H220" i="14"/>
  <c r="H284" i="14"/>
  <c r="H348" i="14"/>
  <c r="H412" i="14"/>
  <c r="H476" i="14"/>
  <c r="H148" i="14"/>
  <c r="H228" i="14"/>
  <c r="H292" i="14"/>
  <c r="H356" i="14"/>
  <c r="H420" i="14"/>
  <c r="H484" i="14"/>
  <c r="H164" i="14"/>
  <c r="H236" i="14"/>
  <c r="H300" i="14"/>
  <c r="H364" i="14"/>
  <c r="H428" i="14"/>
  <c r="H492" i="14"/>
  <c r="H180" i="14"/>
  <c r="H308" i="14"/>
  <c r="H372" i="14"/>
  <c r="H436" i="14"/>
  <c r="H500" i="14"/>
  <c r="H188" i="14"/>
  <c r="H316" i="14"/>
  <c r="H444" i="14"/>
  <c r="H196" i="14"/>
  <c r="H324" i="14"/>
  <c r="H452" i="14"/>
  <c r="H204" i="14"/>
  <c r="H332" i="14"/>
  <c r="H396" i="14"/>
  <c r="H244" i="14"/>
  <c r="H252" i="14"/>
  <c r="H380" i="14"/>
  <c r="H508" i="14"/>
  <c r="H260" i="14"/>
  <c r="H388" i="14"/>
  <c r="H516" i="14"/>
  <c r="H268" i="14"/>
  <c r="H460" i="14"/>
  <c r="H101" i="14"/>
  <c r="G52" i="14"/>
  <c r="G60" i="14"/>
  <c r="G68" i="14"/>
  <c r="G76" i="14"/>
  <c r="G84" i="14"/>
  <c r="G92" i="14"/>
  <c r="G100" i="14"/>
  <c r="G108" i="14"/>
  <c r="G116" i="14"/>
  <c r="G124" i="14"/>
  <c r="G132" i="14"/>
  <c r="G140" i="14"/>
  <c r="G148" i="14"/>
  <c r="G156" i="14"/>
  <c r="G164" i="14"/>
  <c r="G172" i="14"/>
  <c r="G180" i="14"/>
  <c r="G188" i="14"/>
  <c r="G196" i="14"/>
  <c r="G204" i="14"/>
  <c r="G212" i="14"/>
  <c r="G220" i="14"/>
  <c r="G228" i="14"/>
  <c r="G236" i="14"/>
  <c r="G244" i="14"/>
  <c r="G252" i="14"/>
  <c r="G260" i="14"/>
  <c r="G268" i="14"/>
  <c r="G276" i="14"/>
  <c r="G284" i="14"/>
  <c r="G292" i="14"/>
  <c r="G300" i="14"/>
  <c r="G308" i="14"/>
  <c r="G316" i="14"/>
  <c r="G324" i="14"/>
  <c r="G332" i="14"/>
  <c r="G340" i="14"/>
  <c r="G348" i="14"/>
  <c r="G356" i="14"/>
  <c r="G364" i="14"/>
  <c r="G372" i="14"/>
  <c r="G380" i="14"/>
  <c r="G388" i="14"/>
  <c r="G396" i="14"/>
  <c r="G404" i="14"/>
  <c r="G412" i="14"/>
  <c r="G420" i="14"/>
  <c r="G428" i="14"/>
  <c r="G436" i="14"/>
  <c r="G444" i="14"/>
  <c r="G452" i="14"/>
  <c r="G460" i="14"/>
  <c r="G468" i="14"/>
  <c r="G476" i="14"/>
  <c r="G484" i="14"/>
  <c r="G492" i="14"/>
  <c r="G500" i="14"/>
  <c r="G508" i="14"/>
  <c r="G516" i="14"/>
  <c r="G53" i="14"/>
  <c r="G61" i="14"/>
  <c r="G69" i="14"/>
  <c r="G77" i="14"/>
  <c r="G85" i="14"/>
  <c r="G93" i="14"/>
  <c r="G101" i="14"/>
  <c r="G109" i="14"/>
  <c r="G117" i="14"/>
  <c r="G125" i="14"/>
  <c r="G133" i="14"/>
  <c r="G141" i="14"/>
  <c r="G149" i="14"/>
  <c r="G157" i="14"/>
  <c r="G165" i="14"/>
  <c r="G173" i="14"/>
  <c r="G181" i="14"/>
  <c r="G189" i="14"/>
  <c r="G197" i="14"/>
  <c r="G205" i="14"/>
  <c r="G213" i="14"/>
  <c r="G221" i="14"/>
  <c r="G229" i="14"/>
  <c r="G237" i="14"/>
  <c r="G245" i="14"/>
  <c r="G253" i="14"/>
  <c r="G261" i="14"/>
  <c r="G269" i="14"/>
  <c r="G277" i="14"/>
  <c r="G285" i="14"/>
  <c r="G293" i="14"/>
  <c r="G301" i="14"/>
  <c r="G309" i="14"/>
  <c r="G317" i="14"/>
  <c r="G325" i="14"/>
  <c r="G333" i="14"/>
  <c r="G341" i="14"/>
  <c r="G349" i="14"/>
  <c r="G357" i="14"/>
  <c r="G365" i="14"/>
  <c r="G373" i="14"/>
  <c r="G381" i="14"/>
  <c r="G389" i="14"/>
  <c r="G397" i="14"/>
  <c r="G405" i="14"/>
  <c r="G413" i="14"/>
  <c r="G421" i="14"/>
  <c r="G429" i="14"/>
  <c r="G437" i="14"/>
  <c r="G445" i="14"/>
  <c r="G453" i="14"/>
  <c r="G461" i="14"/>
  <c r="G469" i="14"/>
  <c r="G477" i="14"/>
  <c r="G485" i="14"/>
  <c r="G493" i="14"/>
  <c r="G501" i="14"/>
  <c r="G509" i="14"/>
  <c r="G517" i="14"/>
  <c r="G366" i="14"/>
  <c r="G390" i="14"/>
  <c r="G406" i="14"/>
  <c r="G422" i="14"/>
  <c r="G438" i="14"/>
  <c r="G454" i="14"/>
  <c r="G462" i="14"/>
  <c r="G478" i="14"/>
  <c r="G494" i="14"/>
  <c r="G510" i="14"/>
  <c r="G518" i="14"/>
  <c r="G282" i="14"/>
  <c r="G362" i="14"/>
  <c r="G402" i="14"/>
  <c r="G434" i="14"/>
  <c r="G474" i="14"/>
  <c r="G514" i="14"/>
  <c r="G54" i="14"/>
  <c r="G62" i="14"/>
  <c r="G70" i="14"/>
  <c r="G78" i="14"/>
  <c r="G86" i="14"/>
  <c r="G94" i="14"/>
  <c r="G102" i="14"/>
  <c r="G110" i="14"/>
  <c r="G118" i="14"/>
  <c r="G126" i="14"/>
  <c r="G134" i="14"/>
  <c r="G142" i="14"/>
  <c r="G150" i="14"/>
  <c r="G158" i="14"/>
  <c r="G166" i="14"/>
  <c r="G174" i="14"/>
  <c r="G182" i="14"/>
  <c r="G190" i="14"/>
  <c r="G198" i="14"/>
  <c r="G206" i="14"/>
  <c r="G214" i="14"/>
  <c r="G222" i="14"/>
  <c r="G230" i="14"/>
  <c r="G238" i="14"/>
  <c r="G246" i="14"/>
  <c r="G254" i="14"/>
  <c r="G262" i="14"/>
  <c r="G270" i="14"/>
  <c r="G278" i="14"/>
  <c r="G286" i="14"/>
  <c r="G294" i="14"/>
  <c r="G302" i="14"/>
  <c r="G310" i="14"/>
  <c r="G318" i="14"/>
  <c r="G326" i="14"/>
  <c r="G334" i="14"/>
  <c r="G342" i="14"/>
  <c r="G350" i="14"/>
  <c r="G358" i="14"/>
  <c r="G374" i="14"/>
  <c r="G382" i="14"/>
  <c r="G398" i="14"/>
  <c r="G414" i="14"/>
  <c r="G430" i="14"/>
  <c r="G446" i="14"/>
  <c r="G470" i="14"/>
  <c r="G486" i="14"/>
  <c r="G502" i="14"/>
  <c r="G274" i="14"/>
  <c r="G378" i="14"/>
  <c r="G442" i="14"/>
  <c r="G498" i="14"/>
  <c r="G515" i="14"/>
  <c r="G55" i="14"/>
  <c r="G63" i="14"/>
  <c r="G71" i="14"/>
  <c r="G79" i="14"/>
  <c r="G87" i="14"/>
  <c r="G95" i="14"/>
  <c r="G103" i="14"/>
  <c r="G111" i="14"/>
  <c r="G119" i="14"/>
  <c r="G127" i="14"/>
  <c r="G135" i="14"/>
  <c r="G143" i="14"/>
  <c r="G151" i="14"/>
  <c r="G159" i="14"/>
  <c r="G167" i="14"/>
  <c r="G175" i="14"/>
  <c r="G183" i="14"/>
  <c r="G191" i="14"/>
  <c r="G199" i="14"/>
  <c r="G207" i="14"/>
  <c r="G215" i="14"/>
  <c r="G223" i="14"/>
  <c r="G231" i="14"/>
  <c r="G239" i="14"/>
  <c r="G247" i="14"/>
  <c r="G255" i="14"/>
  <c r="G263" i="14"/>
  <c r="G271" i="14"/>
  <c r="G279" i="14"/>
  <c r="G287" i="14"/>
  <c r="G295" i="14"/>
  <c r="G303" i="14"/>
  <c r="G311" i="14"/>
  <c r="G319" i="14"/>
  <c r="G327" i="14"/>
  <c r="G335" i="14"/>
  <c r="G343" i="14"/>
  <c r="G351" i="14"/>
  <c r="G359" i="14"/>
  <c r="G367" i="14"/>
  <c r="G375" i="14"/>
  <c r="G383" i="14"/>
  <c r="G391" i="14"/>
  <c r="G399" i="14"/>
  <c r="G407" i="14"/>
  <c r="G415" i="14"/>
  <c r="G423" i="14"/>
  <c r="G431" i="14"/>
  <c r="G439" i="14"/>
  <c r="G447" i="14"/>
  <c r="G455" i="14"/>
  <c r="G463" i="14"/>
  <c r="G471" i="14"/>
  <c r="G479" i="14"/>
  <c r="G487" i="14"/>
  <c r="G495" i="14"/>
  <c r="G503" i="14"/>
  <c r="G511" i="14"/>
  <c r="G519" i="14"/>
  <c r="G74" i="14"/>
  <c r="G82" i="14"/>
  <c r="G106" i="14"/>
  <c r="G130" i="14"/>
  <c r="G154" i="14"/>
  <c r="G178" i="14"/>
  <c r="G202" i="14"/>
  <c r="G226" i="14"/>
  <c r="G250" i="14"/>
  <c r="G290" i="14"/>
  <c r="G330" i="14"/>
  <c r="G354" i="14"/>
  <c r="G394" i="14"/>
  <c r="G426" i="14"/>
  <c r="G466" i="14"/>
  <c r="G506" i="14"/>
  <c r="G56" i="14"/>
  <c r="G64" i="14"/>
  <c r="G72" i="14"/>
  <c r="G80" i="14"/>
  <c r="G88" i="14"/>
  <c r="G96" i="14"/>
  <c r="G104" i="14"/>
  <c r="G112" i="14"/>
  <c r="G120" i="14"/>
  <c r="G128" i="14"/>
  <c r="G136" i="14"/>
  <c r="G144" i="14"/>
  <c r="G152" i="14"/>
  <c r="G160" i="14"/>
  <c r="G168" i="14"/>
  <c r="G176" i="14"/>
  <c r="G184" i="14"/>
  <c r="G192" i="14"/>
  <c r="G200" i="14"/>
  <c r="G208" i="14"/>
  <c r="G216" i="14"/>
  <c r="G224" i="14"/>
  <c r="G232" i="14"/>
  <c r="G240" i="14"/>
  <c r="G248" i="14"/>
  <c r="G256" i="14"/>
  <c r="G264" i="14"/>
  <c r="G272" i="14"/>
  <c r="G280" i="14"/>
  <c r="G288" i="14"/>
  <c r="G296" i="14"/>
  <c r="G304" i="14"/>
  <c r="G312" i="14"/>
  <c r="G320" i="14"/>
  <c r="G328" i="14"/>
  <c r="G336" i="14"/>
  <c r="G344" i="14"/>
  <c r="G352" i="14"/>
  <c r="G360" i="14"/>
  <c r="G368" i="14"/>
  <c r="G376" i="14"/>
  <c r="G384" i="14"/>
  <c r="G392" i="14"/>
  <c r="G400" i="14"/>
  <c r="G408" i="14"/>
  <c r="G416" i="14"/>
  <c r="G424" i="14"/>
  <c r="G432" i="14"/>
  <c r="G440" i="14"/>
  <c r="G448" i="14"/>
  <c r="G456" i="14"/>
  <c r="G464" i="14"/>
  <c r="G472" i="14"/>
  <c r="G480" i="14"/>
  <c r="G488" i="14"/>
  <c r="G496" i="14"/>
  <c r="G504" i="14"/>
  <c r="G512" i="14"/>
  <c r="G520" i="14"/>
  <c r="G58" i="14"/>
  <c r="G90" i="14"/>
  <c r="G114" i="14"/>
  <c r="G138" i="14"/>
  <c r="G162" i="14"/>
  <c r="G186" i="14"/>
  <c r="G210" i="14"/>
  <c r="G234" i="14"/>
  <c r="G258" i="14"/>
  <c r="G306" i="14"/>
  <c r="G322" i="14"/>
  <c r="G346" i="14"/>
  <c r="G370" i="14"/>
  <c r="G410" i="14"/>
  <c r="G458" i="14"/>
  <c r="G482" i="14"/>
  <c r="G522" i="14"/>
  <c r="G57" i="14"/>
  <c r="G65" i="14"/>
  <c r="G73" i="14"/>
  <c r="G81" i="14"/>
  <c r="G89" i="14"/>
  <c r="G97" i="14"/>
  <c r="G105" i="14"/>
  <c r="G113" i="14"/>
  <c r="G121" i="14"/>
  <c r="G129" i="14"/>
  <c r="G137" i="14"/>
  <c r="G145" i="14"/>
  <c r="G153" i="14"/>
  <c r="G161" i="14"/>
  <c r="G169" i="14"/>
  <c r="G177" i="14"/>
  <c r="G185" i="14"/>
  <c r="G193" i="14"/>
  <c r="G201" i="14"/>
  <c r="G209" i="14"/>
  <c r="G217" i="14"/>
  <c r="G225" i="14"/>
  <c r="G233" i="14"/>
  <c r="G241" i="14"/>
  <c r="G249" i="14"/>
  <c r="G257" i="14"/>
  <c r="G265" i="14"/>
  <c r="G273" i="14"/>
  <c r="G281" i="14"/>
  <c r="G289" i="14"/>
  <c r="G297" i="14"/>
  <c r="G305" i="14"/>
  <c r="G313" i="14"/>
  <c r="G321" i="14"/>
  <c r="G329" i="14"/>
  <c r="G337" i="14"/>
  <c r="G345" i="14"/>
  <c r="G353" i="14"/>
  <c r="G361" i="14"/>
  <c r="G369" i="14"/>
  <c r="G377" i="14"/>
  <c r="G385" i="14"/>
  <c r="G393" i="14"/>
  <c r="G401" i="14"/>
  <c r="G409" i="14"/>
  <c r="G417" i="14"/>
  <c r="G425" i="14"/>
  <c r="G433" i="14"/>
  <c r="G441" i="14"/>
  <c r="G449" i="14"/>
  <c r="G457" i="14"/>
  <c r="G465" i="14"/>
  <c r="G473" i="14"/>
  <c r="G481" i="14"/>
  <c r="G489" i="14"/>
  <c r="G497" i="14"/>
  <c r="G505" i="14"/>
  <c r="G513" i="14"/>
  <c r="G521" i="14"/>
  <c r="G66" i="14"/>
  <c r="G98" i="14"/>
  <c r="G122" i="14"/>
  <c r="G146" i="14"/>
  <c r="G170" i="14"/>
  <c r="G194" i="14"/>
  <c r="G218" i="14"/>
  <c r="G242" i="14"/>
  <c r="G266" i="14"/>
  <c r="G298" i="14"/>
  <c r="G314" i="14"/>
  <c r="G338" i="14"/>
  <c r="G386" i="14"/>
  <c r="G418" i="14"/>
  <c r="G450" i="14"/>
  <c r="G490" i="14"/>
  <c r="G499" i="14"/>
  <c r="G59" i="14"/>
  <c r="G67" i="14"/>
  <c r="G75" i="14"/>
  <c r="G83" i="14"/>
  <c r="G91" i="14"/>
  <c r="G99" i="14"/>
  <c r="G107" i="14"/>
  <c r="G115" i="14"/>
  <c r="G123" i="14"/>
  <c r="G131" i="14"/>
  <c r="G139" i="14"/>
  <c r="G147" i="14"/>
  <c r="G155" i="14"/>
  <c r="G163" i="14"/>
  <c r="G171" i="14"/>
  <c r="G179" i="14"/>
  <c r="G187" i="14"/>
  <c r="G195" i="14"/>
  <c r="G203" i="14"/>
  <c r="G211" i="14"/>
  <c r="G219" i="14"/>
  <c r="G227" i="14"/>
  <c r="G235" i="14"/>
  <c r="G243" i="14"/>
  <c r="G251" i="14"/>
  <c r="G259" i="14"/>
  <c r="G267" i="14"/>
  <c r="G275" i="14"/>
  <c r="G283" i="14"/>
  <c r="G291" i="14"/>
  <c r="G299" i="14"/>
  <c r="G307" i="14"/>
  <c r="G315" i="14"/>
  <c r="G323" i="14"/>
  <c r="G331" i="14"/>
  <c r="G339" i="14"/>
  <c r="G347" i="14"/>
  <c r="G355" i="14"/>
  <c r="G363" i="14"/>
  <c r="G371" i="14"/>
  <c r="G379" i="14"/>
  <c r="G387" i="14"/>
  <c r="G395" i="14"/>
  <c r="G403" i="14"/>
  <c r="G411" i="14"/>
  <c r="G419" i="14"/>
  <c r="G427" i="14"/>
  <c r="G435" i="14"/>
  <c r="G443" i="14"/>
  <c r="G451" i="14"/>
  <c r="G459" i="14"/>
  <c r="G467" i="14"/>
  <c r="G475" i="14"/>
  <c r="G483" i="14"/>
  <c r="G491" i="14"/>
  <c r="G507" i="14"/>
  <c r="G51" i="14"/>
  <c r="F22" i="14"/>
  <c r="F30" i="14"/>
  <c r="F38" i="14"/>
  <c r="F46" i="14"/>
  <c r="F54" i="14"/>
  <c r="F62" i="14"/>
  <c r="F70" i="14"/>
  <c r="F78" i="14"/>
  <c r="F86" i="14"/>
  <c r="F94" i="14"/>
  <c r="F102" i="14"/>
  <c r="F110" i="14"/>
  <c r="F118" i="14"/>
  <c r="F126" i="14"/>
  <c r="F134" i="14"/>
  <c r="F142" i="14"/>
  <c r="F150" i="14"/>
  <c r="F158" i="14"/>
  <c r="F166" i="14"/>
  <c r="F174" i="14"/>
  <c r="F182" i="14"/>
  <c r="F190" i="14"/>
  <c r="F198" i="14"/>
  <c r="F206" i="14"/>
  <c r="F214" i="14"/>
  <c r="F222" i="14"/>
  <c r="F230" i="14"/>
  <c r="F238" i="14"/>
  <c r="F246" i="14"/>
  <c r="F254" i="14"/>
  <c r="F262" i="14"/>
  <c r="F270" i="14"/>
  <c r="F278" i="14"/>
  <c r="F286" i="14"/>
  <c r="F294" i="14"/>
  <c r="F302" i="14"/>
  <c r="F310" i="14"/>
  <c r="F318" i="14"/>
  <c r="F326" i="14"/>
  <c r="F334" i="14"/>
  <c r="F342" i="14"/>
  <c r="F350" i="14"/>
  <c r="F358" i="14"/>
  <c r="F366" i="14"/>
  <c r="F374" i="14"/>
  <c r="F382" i="14"/>
  <c r="F390" i="14"/>
  <c r="F23" i="14"/>
  <c r="F31" i="14"/>
  <c r="F39" i="14"/>
  <c r="F47" i="14"/>
  <c r="F55" i="14"/>
  <c r="F63" i="14"/>
  <c r="F71" i="14"/>
  <c r="F79" i="14"/>
  <c r="F87" i="14"/>
  <c r="F95" i="14"/>
  <c r="F103" i="14"/>
  <c r="F111" i="14"/>
  <c r="F119" i="14"/>
  <c r="F127" i="14"/>
  <c r="F135" i="14"/>
  <c r="F143" i="14"/>
  <c r="F151" i="14"/>
  <c r="F159" i="14"/>
  <c r="F167" i="14"/>
  <c r="F175" i="14"/>
  <c r="F183" i="14"/>
  <c r="F191" i="14"/>
  <c r="F199" i="14"/>
  <c r="F207" i="14"/>
  <c r="F215" i="14"/>
  <c r="F223" i="14"/>
  <c r="F231" i="14"/>
  <c r="F239" i="14"/>
  <c r="F247" i="14"/>
  <c r="F255" i="14"/>
  <c r="F263" i="14"/>
  <c r="F271" i="14"/>
  <c r="F279" i="14"/>
  <c r="F287" i="14"/>
  <c r="F295" i="14"/>
  <c r="F303" i="14"/>
  <c r="F311" i="14"/>
  <c r="F319" i="14"/>
  <c r="F327" i="14"/>
  <c r="F335" i="14"/>
  <c r="F343" i="14"/>
  <c r="F351" i="14"/>
  <c r="F359" i="14"/>
  <c r="F367" i="14"/>
  <c r="F375" i="14"/>
  <c r="F383" i="14"/>
  <c r="F391" i="14"/>
  <c r="F399" i="14"/>
  <c r="F407" i="14"/>
  <c r="F415" i="14"/>
  <c r="F423" i="14"/>
  <c r="F431" i="14"/>
  <c r="F439" i="14"/>
  <c r="F447" i="14"/>
  <c r="F455" i="14"/>
  <c r="F463" i="14"/>
  <c r="F471" i="14"/>
  <c r="F479" i="14"/>
  <c r="F487" i="14"/>
  <c r="F495" i="14"/>
  <c r="F503" i="14"/>
  <c r="F511" i="14"/>
  <c r="F519" i="14"/>
  <c r="F224" i="14"/>
  <c r="F264" i="14"/>
  <c r="F288" i="14"/>
  <c r="F304" i="14"/>
  <c r="F320" i="14"/>
  <c r="F336" i="14"/>
  <c r="F352" i="14"/>
  <c r="F368" i="14"/>
  <c r="F384" i="14"/>
  <c r="F392" i="14"/>
  <c r="F408" i="14"/>
  <c r="F424" i="14"/>
  <c r="F432" i="14"/>
  <c r="F456" i="14"/>
  <c r="F472" i="14"/>
  <c r="F488" i="14"/>
  <c r="F504" i="14"/>
  <c r="F520" i="14"/>
  <c r="F24" i="14"/>
  <c r="F32" i="14"/>
  <c r="F40" i="14"/>
  <c r="F48" i="14"/>
  <c r="F56" i="14"/>
  <c r="F64" i="14"/>
  <c r="F72" i="14"/>
  <c r="F80" i="14"/>
  <c r="F88" i="14"/>
  <c r="F96" i="14"/>
  <c r="F104" i="14"/>
  <c r="F112" i="14"/>
  <c r="F120" i="14"/>
  <c r="F128" i="14"/>
  <c r="F136" i="14"/>
  <c r="F144" i="14"/>
  <c r="F152" i="14"/>
  <c r="F160" i="14"/>
  <c r="F168" i="14"/>
  <c r="F176" i="14"/>
  <c r="F184" i="14"/>
  <c r="F192" i="14"/>
  <c r="F200" i="14"/>
  <c r="F208" i="14"/>
  <c r="F216" i="14"/>
  <c r="F232" i="14"/>
  <c r="F240" i="14"/>
  <c r="F248" i="14"/>
  <c r="F256" i="14"/>
  <c r="F272" i="14"/>
  <c r="F280" i="14"/>
  <c r="F296" i="14"/>
  <c r="F312" i="14"/>
  <c r="F328" i="14"/>
  <c r="F344" i="14"/>
  <c r="F360" i="14"/>
  <c r="F376" i="14"/>
  <c r="F400" i="14"/>
  <c r="F416" i="14"/>
  <c r="F440" i="14"/>
  <c r="F448" i="14"/>
  <c r="F464" i="14"/>
  <c r="F480" i="14"/>
  <c r="F496" i="14"/>
  <c r="F512" i="14"/>
  <c r="F25" i="14"/>
  <c r="F33" i="14"/>
  <c r="F41" i="14"/>
  <c r="F49" i="14"/>
  <c r="F57" i="14"/>
  <c r="F65" i="14"/>
  <c r="F73" i="14"/>
  <c r="F81" i="14"/>
  <c r="F89" i="14"/>
  <c r="F97" i="14"/>
  <c r="F105" i="14"/>
  <c r="F113" i="14"/>
  <c r="F121" i="14"/>
  <c r="F129" i="14"/>
  <c r="F137" i="14"/>
  <c r="F145" i="14"/>
  <c r="F153" i="14"/>
  <c r="F161" i="14"/>
  <c r="F169" i="14"/>
  <c r="F177" i="14"/>
  <c r="F185" i="14"/>
  <c r="F193" i="14"/>
  <c r="F201" i="14"/>
  <c r="F209" i="14"/>
  <c r="F217" i="14"/>
  <c r="F225" i="14"/>
  <c r="F233" i="14"/>
  <c r="F241" i="14"/>
  <c r="F249" i="14"/>
  <c r="F257" i="14"/>
  <c r="F265" i="14"/>
  <c r="F273" i="14"/>
  <c r="F281" i="14"/>
  <c r="F289" i="14"/>
  <c r="F297" i="14"/>
  <c r="F305" i="14"/>
  <c r="F313" i="14"/>
  <c r="F321" i="14"/>
  <c r="F329" i="14"/>
  <c r="F337" i="14"/>
  <c r="F345" i="14"/>
  <c r="F353" i="14"/>
  <c r="F361" i="14"/>
  <c r="F369" i="14"/>
  <c r="F377" i="14"/>
  <c r="F385" i="14"/>
  <c r="F393" i="14"/>
  <c r="F401" i="14"/>
  <c r="F409" i="14"/>
  <c r="F417" i="14"/>
  <c r="F425" i="14"/>
  <c r="F433" i="14"/>
  <c r="F441" i="14"/>
  <c r="F449" i="14"/>
  <c r="F457" i="14"/>
  <c r="F465" i="14"/>
  <c r="F473" i="14"/>
  <c r="F481" i="14"/>
  <c r="F489" i="14"/>
  <c r="F497" i="14"/>
  <c r="F505" i="14"/>
  <c r="F513" i="14"/>
  <c r="F521" i="14"/>
  <c r="F26" i="14"/>
  <c r="F34" i="14"/>
  <c r="F42" i="14"/>
  <c r="F50" i="14"/>
  <c r="F58" i="14"/>
  <c r="F66" i="14"/>
  <c r="F74" i="14"/>
  <c r="F82" i="14"/>
  <c r="F90" i="14"/>
  <c r="F98" i="14"/>
  <c r="F106" i="14"/>
  <c r="F114" i="14"/>
  <c r="F122" i="14"/>
  <c r="F130" i="14"/>
  <c r="F138" i="14"/>
  <c r="F146" i="14"/>
  <c r="F154" i="14"/>
  <c r="F162" i="14"/>
  <c r="F170" i="14"/>
  <c r="F178" i="14"/>
  <c r="F186" i="14"/>
  <c r="F194" i="14"/>
  <c r="F27" i="14"/>
  <c r="F35" i="14"/>
  <c r="F43" i="14"/>
  <c r="F51" i="14"/>
  <c r="F59" i="14"/>
  <c r="F67" i="14"/>
  <c r="F75" i="14"/>
  <c r="F83" i="14"/>
  <c r="F91" i="14"/>
  <c r="F99" i="14"/>
  <c r="F107" i="14"/>
  <c r="F115" i="14"/>
  <c r="F123" i="14"/>
  <c r="F131" i="14"/>
  <c r="F139" i="14"/>
  <c r="F147" i="14"/>
  <c r="F155" i="14"/>
  <c r="F163" i="14"/>
  <c r="F171" i="14"/>
  <c r="F179" i="14"/>
  <c r="F187" i="14"/>
  <c r="F195" i="14"/>
  <c r="F203" i="14"/>
  <c r="F211" i="14"/>
  <c r="F219" i="14"/>
  <c r="F227" i="14"/>
  <c r="F235" i="14"/>
  <c r="F243" i="14"/>
  <c r="F251" i="14"/>
  <c r="F259" i="14"/>
  <c r="F267" i="14"/>
  <c r="F275" i="14"/>
  <c r="F283" i="14"/>
  <c r="F291" i="14"/>
  <c r="F299" i="14"/>
  <c r="F307" i="14"/>
  <c r="F315" i="14"/>
  <c r="F323" i="14"/>
  <c r="F331" i="14"/>
  <c r="F339" i="14"/>
  <c r="F347" i="14"/>
  <c r="F355" i="14"/>
  <c r="F363" i="14"/>
  <c r="F371" i="14"/>
  <c r="F379" i="14"/>
  <c r="F387" i="14"/>
  <c r="F395" i="14"/>
  <c r="F403" i="14"/>
  <c r="F411" i="14"/>
  <c r="F419" i="14"/>
  <c r="F427" i="14"/>
  <c r="F435" i="14"/>
  <c r="F443" i="14"/>
  <c r="F451" i="14"/>
  <c r="F459" i="14"/>
  <c r="F467" i="14"/>
  <c r="F475" i="14"/>
  <c r="F483" i="14"/>
  <c r="F491" i="14"/>
  <c r="F499" i="14"/>
  <c r="F507" i="14"/>
  <c r="F515" i="14"/>
  <c r="F29" i="14"/>
  <c r="F53" i="14"/>
  <c r="F69" i="14"/>
  <c r="F85" i="14"/>
  <c r="F101" i="14"/>
  <c r="F117" i="14"/>
  <c r="F133" i="14"/>
  <c r="F149" i="14"/>
  <c r="F165" i="14"/>
  <c r="F181" i="14"/>
  <c r="F197" i="14"/>
  <c r="F213" i="14"/>
  <c r="F229" i="14"/>
  <c r="F245" i="14"/>
  <c r="F261" i="14"/>
  <c r="F277" i="14"/>
  <c r="F293" i="14"/>
  <c r="F309" i="14"/>
  <c r="F325" i="14"/>
  <c r="F341" i="14"/>
  <c r="F357" i="14"/>
  <c r="F373" i="14"/>
  <c r="F389" i="14"/>
  <c r="F28" i="14"/>
  <c r="F36" i="14"/>
  <c r="F44" i="14"/>
  <c r="F52" i="14"/>
  <c r="F60" i="14"/>
  <c r="F68" i="14"/>
  <c r="F76" i="14"/>
  <c r="F84" i="14"/>
  <c r="F92" i="14"/>
  <c r="F100" i="14"/>
  <c r="F108" i="14"/>
  <c r="F116" i="14"/>
  <c r="F124" i="14"/>
  <c r="F132" i="14"/>
  <c r="F140" i="14"/>
  <c r="F148" i="14"/>
  <c r="F156" i="14"/>
  <c r="F164" i="14"/>
  <c r="F172" i="14"/>
  <c r="F180" i="14"/>
  <c r="F188" i="14"/>
  <c r="F196" i="14"/>
  <c r="F204" i="14"/>
  <c r="F212" i="14"/>
  <c r="F220" i="14"/>
  <c r="F228" i="14"/>
  <c r="F236" i="14"/>
  <c r="F244" i="14"/>
  <c r="F252" i="14"/>
  <c r="F260" i="14"/>
  <c r="F268" i="14"/>
  <c r="F276" i="14"/>
  <c r="F284" i="14"/>
  <c r="F292" i="14"/>
  <c r="F300" i="14"/>
  <c r="F308" i="14"/>
  <c r="F316" i="14"/>
  <c r="F324" i="14"/>
  <c r="F332" i="14"/>
  <c r="F340" i="14"/>
  <c r="F348" i="14"/>
  <c r="F356" i="14"/>
  <c r="F364" i="14"/>
  <c r="F372" i="14"/>
  <c r="F380" i="14"/>
  <c r="F388" i="14"/>
  <c r="F396" i="14"/>
  <c r="F404" i="14"/>
  <c r="F412" i="14"/>
  <c r="F420" i="14"/>
  <c r="F428" i="14"/>
  <c r="F436" i="14"/>
  <c r="F444" i="14"/>
  <c r="F452" i="14"/>
  <c r="F460" i="14"/>
  <c r="F468" i="14"/>
  <c r="F476" i="14"/>
  <c r="F484" i="14"/>
  <c r="F492" i="14"/>
  <c r="F500" i="14"/>
  <c r="F508" i="14"/>
  <c r="F516" i="14"/>
  <c r="F37" i="14"/>
  <c r="F45" i="14"/>
  <c r="F61" i="14"/>
  <c r="F77" i="14"/>
  <c r="F93" i="14"/>
  <c r="F109" i="14"/>
  <c r="F125" i="14"/>
  <c r="F141" i="14"/>
  <c r="F157" i="14"/>
  <c r="F173" i="14"/>
  <c r="F189" i="14"/>
  <c r="F205" i="14"/>
  <c r="F221" i="14"/>
  <c r="F237" i="14"/>
  <c r="F253" i="14"/>
  <c r="F269" i="14"/>
  <c r="F285" i="14"/>
  <c r="F301" i="14"/>
  <c r="F317" i="14"/>
  <c r="F333" i="14"/>
  <c r="F349" i="14"/>
  <c r="F365" i="14"/>
  <c r="F381" i="14"/>
  <c r="F210" i="14"/>
  <c r="F274" i="14"/>
  <c r="F338" i="14"/>
  <c r="F397" i="14"/>
  <c r="F418" i="14"/>
  <c r="F438" i="14"/>
  <c r="F461" i="14"/>
  <c r="F482" i="14"/>
  <c r="F502" i="14"/>
  <c r="F290" i="14"/>
  <c r="F402" i="14"/>
  <c r="F445" i="14"/>
  <c r="F486" i="14"/>
  <c r="F298" i="14"/>
  <c r="F405" i="14"/>
  <c r="F446" i="14"/>
  <c r="F490" i="14"/>
  <c r="F517" i="14"/>
  <c r="F413" i="14"/>
  <c r="F477" i="14"/>
  <c r="F394" i="14"/>
  <c r="F478" i="14"/>
  <c r="F218" i="14"/>
  <c r="F282" i="14"/>
  <c r="F346" i="14"/>
  <c r="F398" i="14"/>
  <c r="F421" i="14"/>
  <c r="F442" i="14"/>
  <c r="F462" i="14"/>
  <c r="F485" i="14"/>
  <c r="F506" i="14"/>
  <c r="F226" i="14"/>
  <c r="F354" i="14"/>
  <c r="F422" i="14"/>
  <c r="F466" i="14"/>
  <c r="F509" i="14"/>
  <c r="F362" i="14"/>
  <c r="F426" i="14"/>
  <c r="F469" i="14"/>
  <c r="F510" i="14"/>
  <c r="F514" i="14"/>
  <c r="F322" i="14"/>
  <c r="F434" i="14"/>
  <c r="F498" i="14"/>
  <c r="F330" i="14"/>
  <c r="F522" i="14"/>
  <c r="F234" i="14"/>
  <c r="F266" i="14"/>
  <c r="F458" i="14"/>
  <c r="F242" i="14"/>
  <c r="F306" i="14"/>
  <c r="F370" i="14"/>
  <c r="F406" i="14"/>
  <c r="F429" i="14"/>
  <c r="F450" i="14"/>
  <c r="F470" i="14"/>
  <c r="F493" i="14"/>
  <c r="F494" i="14"/>
  <c r="F386" i="14"/>
  <c r="F518" i="14"/>
  <c r="F414" i="14"/>
  <c r="F501" i="14"/>
  <c r="F250" i="14"/>
  <c r="F314" i="14"/>
  <c r="F378" i="14"/>
  <c r="F410" i="14"/>
  <c r="F430" i="14"/>
  <c r="F453" i="14"/>
  <c r="F474" i="14"/>
  <c r="F258" i="14"/>
  <c r="F454" i="14"/>
  <c r="F202" i="14"/>
  <c r="F437" i="14"/>
  <c r="F21" i="14"/>
  <c r="E11" i="14"/>
  <c r="E19" i="14"/>
  <c r="E27" i="14"/>
  <c r="E35" i="14"/>
  <c r="E43" i="14"/>
  <c r="E51" i="14"/>
  <c r="E59" i="14"/>
  <c r="E67" i="14"/>
  <c r="E75" i="14"/>
  <c r="E83" i="14"/>
  <c r="E91" i="14"/>
  <c r="E99" i="14"/>
  <c r="E107" i="14"/>
  <c r="E115" i="14"/>
  <c r="E123" i="14"/>
  <c r="E131" i="14"/>
  <c r="E139" i="14"/>
  <c r="E147" i="14"/>
  <c r="E155" i="14"/>
  <c r="E163" i="14"/>
  <c r="E171" i="14"/>
  <c r="E179" i="14"/>
  <c r="E187" i="14"/>
  <c r="E195" i="14"/>
  <c r="E203" i="14"/>
  <c r="E211" i="14"/>
  <c r="E219" i="14"/>
  <c r="E227" i="14"/>
  <c r="E235" i="14"/>
  <c r="E243" i="14"/>
  <c r="E251" i="14"/>
  <c r="E259" i="14"/>
  <c r="E267" i="14"/>
  <c r="E275" i="14"/>
  <c r="E283" i="14"/>
  <c r="E291" i="14"/>
  <c r="E299" i="14"/>
  <c r="E307" i="14"/>
  <c r="E315" i="14"/>
  <c r="E323" i="14"/>
  <c r="E331" i="14"/>
  <c r="E339" i="14"/>
  <c r="E347" i="14"/>
  <c r="E355" i="14"/>
  <c r="E363" i="14"/>
  <c r="E371" i="14"/>
  <c r="E379" i="14"/>
  <c r="E387" i="14"/>
  <c r="E395" i="14"/>
  <c r="E403" i="14"/>
  <c r="E411" i="14"/>
  <c r="E419" i="14"/>
  <c r="E427" i="14"/>
  <c r="E435" i="14"/>
  <c r="E443" i="14"/>
  <c r="E451" i="14"/>
  <c r="E459" i="14"/>
  <c r="E467" i="14"/>
  <c r="E475" i="14"/>
  <c r="E483" i="14"/>
  <c r="E491" i="14"/>
  <c r="E499" i="14"/>
  <c r="E507" i="14"/>
  <c r="E515" i="14"/>
  <c r="E17" i="14"/>
  <c r="E73" i="14"/>
  <c r="E89" i="14"/>
  <c r="E121" i="14"/>
  <c r="E161" i="14"/>
  <c r="E193" i="14"/>
  <c r="E233" i="14"/>
  <c r="E281" i="14"/>
  <c r="E321" i="14"/>
  <c r="E353" i="14"/>
  <c r="E393" i="14"/>
  <c r="E433" i="14"/>
  <c r="E473" i="14"/>
  <c r="E521" i="14"/>
  <c r="E394" i="14"/>
  <c r="E442" i="14"/>
  <c r="E506" i="14"/>
  <c r="E12" i="14"/>
  <c r="E20" i="14"/>
  <c r="E28" i="14"/>
  <c r="E36" i="14"/>
  <c r="E44" i="14"/>
  <c r="E52" i="14"/>
  <c r="E60" i="14"/>
  <c r="E68" i="14"/>
  <c r="E76" i="14"/>
  <c r="E84" i="14"/>
  <c r="E92" i="14"/>
  <c r="E100" i="14"/>
  <c r="E108" i="14"/>
  <c r="E116" i="14"/>
  <c r="E124" i="14"/>
  <c r="E132" i="14"/>
  <c r="E140" i="14"/>
  <c r="E148" i="14"/>
  <c r="E156" i="14"/>
  <c r="E164" i="14"/>
  <c r="E172" i="14"/>
  <c r="E180" i="14"/>
  <c r="E188" i="14"/>
  <c r="E196" i="14"/>
  <c r="E204" i="14"/>
  <c r="E212" i="14"/>
  <c r="E220" i="14"/>
  <c r="E228" i="14"/>
  <c r="E236" i="14"/>
  <c r="E244" i="14"/>
  <c r="E252" i="14"/>
  <c r="E260" i="14"/>
  <c r="E268" i="14"/>
  <c r="E276" i="14"/>
  <c r="E284" i="14"/>
  <c r="E292" i="14"/>
  <c r="E300" i="14"/>
  <c r="E308" i="14"/>
  <c r="E316" i="14"/>
  <c r="E324" i="14"/>
  <c r="E332" i="14"/>
  <c r="E340" i="14"/>
  <c r="E348" i="14"/>
  <c r="E356" i="14"/>
  <c r="E364" i="14"/>
  <c r="E372" i="14"/>
  <c r="E380" i="14"/>
  <c r="E388" i="14"/>
  <c r="E396" i="14"/>
  <c r="E404" i="14"/>
  <c r="E412" i="14"/>
  <c r="E420" i="14"/>
  <c r="E428" i="14"/>
  <c r="E436" i="14"/>
  <c r="E444" i="14"/>
  <c r="E452" i="14"/>
  <c r="E460" i="14"/>
  <c r="E468" i="14"/>
  <c r="E476" i="14"/>
  <c r="E484" i="14"/>
  <c r="E492" i="14"/>
  <c r="E500" i="14"/>
  <c r="E508" i="14"/>
  <c r="E516" i="14"/>
  <c r="E25" i="14"/>
  <c r="E137" i="14"/>
  <c r="E209" i="14"/>
  <c r="E257" i="14"/>
  <c r="E313" i="14"/>
  <c r="E377" i="14"/>
  <c r="E425" i="14"/>
  <c r="E489" i="14"/>
  <c r="E362" i="14"/>
  <c r="E450" i="14"/>
  <c r="E498" i="14"/>
  <c r="E13" i="14"/>
  <c r="E21" i="14"/>
  <c r="E29" i="14"/>
  <c r="E37" i="14"/>
  <c r="E45" i="14"/>
  <c r="E53" i="14"/>
  <c r="E61" i="14"/>
  <c r="E69" i="14"/>
  <c r="E77" i="14"/>
  <c r="E85" i="14"/>
  <c r="E93" i="14"/>
  <c r="E101" i="14"/>
  <c r="E109" i="14"/>
  <c r="E117" i="14"/>
  <c r="E125" i="14"/>
  <c r="E133" i="14"/>
  <c r="E141" i="14"/>
  <c r="E149" i="14"/>
  <c r="E157" i="14"/>
  <c r="E165" i="14"/>
  <c r="E173" i="14"/>
  <c r="E181" i="14"/>
  <c r="E189" i="14"/>
  <c r="E197" i="14"/>
  <c r="E205" i="14"/>
  <c r="E213" i="14"/>
  <c r="E221" i="14"/>
  <c r="E229" i="14"/>
  <c r="E237" i="14"/>
  <c r="E245" i="14"/>
  <c r="E253" i="14"/>
  <c r="E261" i="14"/>
  <c r="E269" i="14"/>
  <c r="E277" i="14"/>
  <c r="E285" i="14"/>
  <c r="E293" i="14"/>
  <c r="E301" i="14"/>
  <c r="E309" i="14"/>
  <c r="E317" i="14"/>
  <c r="E325" i="14"/>
  <c r="E333" i="14"/>
  <c r="E341" i="14"/>
  <c r="E349" i="14"/>
  <c r="E357" i="14"/>
  <c r="E365" i="14"/>
  <c r="E373" i="14"/>
  <c r="E381" i="14"/>
  <c r="E389" i="14"/>
  <c r="E397" i="14"/>
  <c r="E405" i="14"/>
  <c r="E413" i="14"/>
  <c r="E421" i="14"/>
  <c r="E429" i="14"/>
  <c r="E437" i="14"/>
  <c r="E445" i="14"/>
  <c r="E453" i="14"/>
  <c r="E461" i="14"/>
  <c r="E469" i="14"/>
  <c r="E477" i="14"/>
  <c r="E485" i="14"/>
  <c r="E493" i="14"/>
  <c r="E501" i="14"/>
  <c r="E509" i="14"/>
  <c r="E517" i="14"/>
  <c r="E33" i="14"/>
  <c r="E97" i="14"/>
  <c r="E145" i="14"/>
  <c r="E201" i="14"/>
  <c r="E249" i="14"/>
  <c r="E289" i="14"/>
  <c r="E337" i="14"/>
  <c r="E385" i="14"/>
  <c r="E449" i="14"/>
  <c r="E505" i="14"/>
  <c r="E378" i="14"/>
  <c r="E434" i="14"/>
  <c r="E474" i="14"/>
  <c r="E14" i="14"/>
  <c r="E22" i="14"/>
  <c r="E30" i="14"/>
  <c r="E38" i="14"/>
  <c r="E46" i="14"/>
  <c r="E54" i="14"/>
  <c r="E62" i="14"/>
  <c r="E70" i="14"/>
  <c r="E78" i="14"/>
  <c r="E86" i="14"/>
  <c r="E94" i="14"/>
  <c r="E102" i="14"/>
  <c r="E110" i="14"/>
  <c r="E118" i="14"/>
  <c r="E126" i="14"/>
  <c r="E134" i="14"/>
  <c r="E142" i="14"/>
  <c r="E150" i="14"/>
  <c r="E158" i="14"/>
  <c r="E166" i="14"/>
  <c r="E174" i="14"/>
  <c r="E182" i="14"/>
  <c r="E190" i="14"/>
  <c r="E198" i="14"/>
  <c r="E206" i="14"/>
  <c r="E214" i="14"/>
  <c r="E222" i="14"/>
  <c r="E230" i="14"/>
  <c r="E238" i="14"/>
  <c r="E246" i="14"/>
  <c r="E254" i="14"/>
  <c r="E262" i="14"/>
  <c r="E270" i="14"/>
  <c r="E278" i="14"/>
  <c r="E286" i="14"/>
  <c r="E294" i="14"/>
  <c r="E302" i="14"/>
  <c r="E310" i="14"/>
  <c r="E318" i="14"/>
  <c r="E326" i="14"/>
  <c r="E334" i="14"/>
  <c r="E342" i="14"/>
  <c r="E350" i="14"/>
  <c r="E358" i="14"/>
  <c r="E366" i="14"/>
  <c r="E374" i="14"/>
  <c r="E382" i="14"/>
  <c r="E390" i="14"/>
  <c r="E398" i="14"/>
  <c r="E406" i="14"/>
  <c r="E414" i="14"/>
  <c r="E422" i="14"/>
  <c r="E430" i="14"/>
  <c r="E438" i="14"/>
  <c r="E446" i="14"/>
  <c r="E454" i="14"/>
  <c r="E462" i="14"/>
  <c r="E470" i="14"/>
  <c r="E478" i="14"/>
  <c r="E486" i="14"/>
  <c r="E494" i="14"/>
  <c r="E502" i="14"/>
  <c r="E510" i="14"/>
  <c r="E518" i="14"/>
  <c r="E520" i="14"/>
  <c r="E57" i="14"/>
  <c r="E113" i="14"/>
  <c r="E169" i="14"/>
  <c r="E225" i="14"/>
  <c r="E273" i="14"/>
  <c r="E329" i="14"/>
  <c r="E361" i="14"/>
  <c r="E409" i="14"/>
  <c r="E457" i="14"/>
  <c r="E497" i="14"/>
  <c r="E370" i="14"/>
  <c r="E402" i="14"/>
  <c r="E458" i="14"/>
  <c r="E514" i="14"/>
  <c r="E15" i="14"/>
  <c r="E23" i="14"/>
  <c r="E31" i="14"/>
  <c r="E39" i="14"/>
  <c r="E47" i="14"/>
  <c r="E55" i="14"/>
  <c r="E63" i="14"/>
  <c r="E71" i="14"/>
  <c r="E79" i="14"/>
  <c r="E87" i="14"/>
  <c r="E95" i="14"/>
  <c r="E103" i="14"/>
  <c r="E111" i="14"/>
  <c r="E119" i="14"/>
  <c r="E127" i="14"/>
  <c r="E135" i="14"/>
  <c r="E143" i="14"/>
  <c r="E151" i="14"/>
  <c r="E159" i="14"/>
  <c r="E167" i="14"/>
  <c r="E175" i="14"/>
  <c r="E183" i="14"/>
  <c r="E191" i="14"/>
  <c r="E199" i="14"/>
  <c r="E207" i="14"/>
  <c r="E215" i="14"/>
  <c r="E223" i="14"/>
  <c r="E231" i="14"/>
  <c r="E239" i="14"/>
  <c r="E247" i="14"/>
  <c r="E255" i="14"/>
  <c r="E263" i="14"/>
  <c r="E271" i="14"/>
  <c r="E279" i="14"/>
  <c r="E287" i="14"/>
  <c r="E295" i="14"/>
  <c r="E303" i="14"/>
  <c r="E311" i="14"/>
  <c r="E319" i="14"/>
  <c r="E327" i="14"/>
  <c r="E335" i="14"/>
  <c r="E343" i="14"/>
  <c r="E351" i="14"/>
  <c r="E359" i="14"/>
  <c r="E367" i="14"/>
  <c r="E375" i="14"/>
  <c r="E383" i="14"/>
  <c r="E391" i="14"/>
  <c r="E399" i="14"/>
  <c r="E407" i="14"/>
  <c r="E415" i="14"/>
  <c r="E423" i="14"/>
  <c r="E431" i="14"/>
  <c r="E439" i="14"/>
  <c r="E447" i="14"/>
  <c r="E455" i="14"/>
  <c r="E463" i="14"/>
  <c r="E471" i="14"/>
  <c r="E479" i="14"/>
  <c r="E487" i="14"/>
  <c r="E495" i="14"/>
  <c r="E503" i="14"/>
  <c r="E511" i="14"/>
  <c r="E519" i="14"/>
  <c r="E512" i="14"/>
  <c r="E49" i="14"/>
  <c r="E129" i="14"/>
  <c r="E177" i="14"/>
  <c r="E217" i="14"/>
  <c r="E265" i="14"/>
  <c r="E305" i="14"/>
  <c r="E369" i="14"/>
  <c r="E417" i="14"/>
  <c r="E465" i="14"/>
  <c r="E513" i="14"/>
  <c r="E354" i="14"/>
  <c r="E426" i="14"/>
  <c r="E482" i="14"/>
  <c r="E16" i="14"/>
  <c r="E24" i="14"/>
  <c r="E32" i="14"/>
  <c r="E40" i="14"/>
  <c r="E48" i="14"/>
  <c r="E56" i="14"/>
  <c r="E64" i="14"/>
  <c r="E72" i="14"/>
  <c r="E80" i="14"/>
  <c r="E88" i="14"/>
  <c r="E96" i="14"/>
  <c r="E104" i="14"/>
  <c r="E112" i="14"/>
  <c r="E120" i="14"/>
  <c r="E128" i="14"/>
  <c r="E136" i="14"/>
  <c r="E144" i="14"/>
  <c r="E152" i="14"/>
  <c r="E160" i="14"/>
  <c r="E168" i="14"/>
  <c r="E176" i="14"/>
  <c r="E184" i="14"/>
  <c r="E192" i="14"/>
  <c r="E200" i="14"/>
  <c r="E208" i="14"/>
  <c r="E216" i="14"/>
  <c r="E224" i="14"/>
  <c r="E232" i="14"/>
  <c r="E240" i="14"/>
  <c r="E248" i="14"/>
  <c r="E256" i="14"/>
  <c r="E264" i="14"/>
  <c r="E272" i="14"/>
  <c r="E280" i="14"/>
  <c r="E288" i="14"/>
  <c r="E296" i="14"/>
  <c r="E304" i="14"/>
  <c r="E312" i="14"/>
  <c r="E320" i="14"/>
  <c r="E328" i="14"/>
  <c r="E336" i="14"/>
  <c r="E344" i="14"/>
  <c r="E352" i="14"/>
  <c r="E360" i="14"/>
  <c r="E368" i="14"/>
  <c r="E376" i="14"/>
  <c r="E384" i="14"/>
  <c r="E392" i="14"/>
  <c r="E400" i="14"/>
  <c r="E408" i="14"/>
  <c r="E416" i="14"/>
  <c r="E424" i="14"/>
  <c r="E432" i="14"/>
  <c r="E440" i="14"/>
  <c r="E448" i="14"/>
  <c r="E456" i="14"/>
  <c r="E464" i="14"/>
  <c r="E472" i="14"/>
  <c r="E480" i="14"/>
  <c r="E488" i="14"/>
  <c r="E496" i="14"/>
  <c r="E504" i="14"/>
  <c r="E41" i="14"/>
  <c r="E65" i="14"/>
  <c r="E81" i="14"/>
  <c r="E105" i="14"/>
  <c r="E153" i="14"/>
  <c r="E185" i="14"/>
  <c r="E241" i="14"/>
  <c r="E297" i="14"/>
  <c r="E345" i="14"/>
  <c r="E401" i="14"/>
  <c r="E441" i="14"/>
  <c r="E481" i="14"/>
  <c r="E338" i="14"/>
  <c r="E410" i="14"/>
  <c r="E466" i="14"/>
  <c r="E522" i="14"/>
  <c r="E18" i="14"/>
  <c r="E26" i="14"/>
  <c r="E34" i="14"/>
  <c r="E42" i="14"/>
  <c r="E50" i="14"/>
  <c r="E58" i="14"/>
  <c r="E66" i="14"/>
  <c r="E74" i="14"/>
  <c r="E82" i="14"/>
  <c r="E90" i="14"/>
  <c r="E98" i="14"/>
  <c r="E106" i="14"/>
  <c r="E114" i="14"/>
  <c r="E122" i="14"/>
  <c r="E130" i="14"/>
  <c r="E138" i="14"/>
  <c r="E146" i="14"/>
  <c r="E154" i="14"/>
  <c r="E162" i="14"/>
  <c r="E170" i="14"/>
  <c r="E178" i="14"/>
  <c r="E186" i="14"/>
  <c r="E194" i="14"/>
  <c r="E202" i="14"/>
  <c r="E210" i="14"/>
  <c r="E218" i="14"/>
  <c r="E226" i="14"/>
  <c r="E234" i="14"/>
  <c r="E242" i="14"/>
  <c r="E250" i="14"/>
  <c r="E258" i="14"/>
  <c r="E266" i="14"/>
  <c r="E274" i="14"/>
  <c r="E282" i="14"/>
  <c r="E290" i="14"/>
  <c r="E298" i="14"/>
  <c r="E306" i="14"/>
  <c r="E314" i="14"/>
  <c r="E322" i="14"/>
  <c r="E330" i="14"/>
  <c r="E346" i="14"/>
  <c r="E386" i="14"/>
  <c r="E418" i="14"/>
  <c r="E490" i="14"/>
  <c r="E10" i="14"/>
  <c r="J523" i="14" l="1"/>
  <c r="K523" i="14"/>
  <c r="K446" i="14"/>
  <c r="K483" i="14"/>
  <c r="K355" i="14"/>
  <c r="K227" i="14"/>
  <c r="K99" i="14"/>
  <c r="K247" i="14"/>
  <c r="K228" i="14"/>
  <c r="K293" i="14"/>
  <c r="K408" i="14"/>
  <c r="K95" i="14"/>
  <c r="K165" i="14"/>
  <c r="K241" i="14"/>
  <c r="K370" i="14"/>
  <c r="K498" i="14"/>
  <c r="K92" i="14"/>
  <c r="K178" i="14"/>
  <c r="K114" i="14"/>
  <c r="K50" i="14"/>
  <c r="K440" i="14"/>
  <c r="K343" i="14"/>
  <c r="K434" i="14"/>
  <c r="K421" i="14"/>
  <c r="K84" i="14"/>
  <c r="K390" i="14"/>
  <c r="K306" i="14"/>
  <c r="K404" i="14"/>
  <c r="K161" i="14"/>
  <c r="K463" i="14"/>
  <c r="K242" i="14"/>
  <c r="K37" i="14"/>
  <c r="K204" i="14"/>
  <c r="K217" i="14"/>
  <c r="K64" i="14"/>
  <c r="K452" i="14"/>
  <c r="K357" i="14"/>
  <c r="K229" i="14"/>
  <c r="K101" i="14"/>
  <c r="K511" i="14"/>
  <c r="K374" i="14"/>
  <c r="K182" i="14"/>
  <c r="K118" i="14"/>
  <c r="K54" i="14"/>
  <c r="K508" i="14"/>
  <c r="K419" i="14"/>
  <c r="K291" i="14"/>
  <c r="K163" i="14"/>
  <c r="K35" i="14"/>
  <c r="K112" i="14"/>
  <c r="K55" i="14"/>
  <c r="J469" i="14"/>
  <c r="K469" i="14"/>
  <c r="J109" i="14"/>
  <c r="K109" i="14"/>
  <c r="J180" i="14"/>
  <c r="K180" i="14"/>
  <c r="J475" i="14"/>
  <c r="K475" i="14"/>
  <c r="J27" i="14"/>
  <c r="K27" i="14"/>
  <c r="J257" i="14"/>
  <c r="K257" i="14"/>
  <c r="J168" i="14"/>
  <c r="K168" i="14"/>
  <c r="J431" i="14"/>
  <c r="K431" i="14"/>
  <c r="J111" i="14"/>
  <c r="K111" i="14"/>
  <c r="J102" i="14"/>
  <c r="K102" i="14"/>
  <c r="J410" i="14"/>
  <c r="K410" i="14"/>
  <c r="J322" i="14"/>
  <c r="K322" i="14"/>
  <c r="J398" i="14"/>
  <c r="K398" i="14"/>
  <c r="J274" i="14"/>
  <c r="K274" i="14"/>
  <c r="J332" i="14"/>
  <c r="K332" i="14"/>
  <c r="J140" i="14"/>
  <c r="K140" i="14"/>
  <c r="J245" i="14"/>
  <c r="K245" i="14"/>
  <c r="J435" i="14"/>
  <c r="K435" i="14"/>
  <c r="J307" i="14"/>
  <c r="K307" i="14"/>
  <c r="J115" i="14"/>
  <c r="K115" i="14"/>
  <c r="J98" i="14"/>
  <c r="K98" i="14"/>
  <c r="J409" i="14"/>
  <c r="K409" i="14"/>
  <c r="J89" i="14"/>
  <c r="K89" i="14"/>
  <c r="J272" i="14"/>
  <c r="K272" i="14"/>
  <c r="J128" i="14"/>
  <c r="K128" i="14"/>
  <c r="K455" i="14"/>
  <c r="J382" i="14"/>
  <c r="K382" i="14"/>
  <c r="K378" i="14"/>
  <c r="J458" i="14"/>
  <c r="K458" i="14"/>
  <c r="J354" i="14"/>
  <c r="K354" i="14"/>
  <c r="J490" i="14"/>
  <c r="K490" i="14"/>
  <c r="J210" i="14"/>
  <c r="K210" i="14"/>
  <c r="J141" i="14"/>
  <c r="K141" i="14"/>
  <c r="J516" i="14"/>
  <c r="K516" i="14"/>
  <c r="J388" i="14"/>
  <c r="K388" i="14"/>
  <c r="J260" i="14"/>
  <c r="K260" i="14"/>
  <c r="J132" i="14"/>
  <c r="K132" i="14"/>
  <c r="J68" i="14"/>
  <c r="K68" i="14"/>
  <c r="K491" i="14"/>
  <c r="K363" i="14"/>
  <c r="K171" i="14"/>
  <c r="K43" i="14"/>
  <c r="J90" i="14"/>
  <c r="K90" i="14"/>
  <c r="K465" i="14"/>
  <c r="J337" i="14"/>
  <c r="K337" i="14"/>
  <c r="J209" i="14"/>
  <c r="K209" i="14"/>
  <c r="J81" i="14"/>
  <c r="K81" i="14"/>
  <c r="J512" i="14"/>
  <c r="K512" i="14"/>
  <c r="J256" i="14"/>
  <c r="K256" i="14"/>
  <c r="J120" i="14"/>
  <c r="K120" i="14"/>
  <c r="J472" i="14"/>
  <c r="K472" i="14"/>
  <c r="K319" i="14"/>
  <c r="J191" i="14"/>
  <c r="K191" i="14"/>
  <c r="K63" i="14"/>
  <c r="J310" i="14"/>
  <c r="K310" i="14"/>
  <c r="J202" i="14"/>
  <c r="K202" i="14"/>
  <c r="K314" i="14"/>
  <c r="J470" i="14"/>
  <c r="K470" i="14"/>
  <c r="J266" i="14"/>
  <c r="K266" i="14"/>
  <c r="K510" i="14"/>
  <c r="J226" i="14"/>
  <c r="K226" i="14"/>
  <c r="J282" i="14"/>
  <c r="K282" i="14"/>
  <c r="J482" i="14"/>
  <c r="K482" i="14"/>
  <c r="J381" i="14"/>
  <c r="K381" i="14"/>
  <c r="J253" i="14"/>
  <c r="K253" i="14"/>
  <c r="J125" i="14"/>
  <c r="K125" i="14"/>
  <c r="J444" i="14"/>
  <c r="K444" i="14"/>
  <c r="J380" i="14"/>
  <c r="K380" i="14"/>
  <c r="J316" i="14"/>
  <c r="K316" i="14"/>
  <c r="J252" i="14"/>
  <c r="K252" i="14"/>
  <c r="J188" i="14"/>
  <c r="K188" i="14"/>
  <c r="J124" i="14"/>
  <c r="K124" i="14"/>
  <c r="J60" i="14"/>
  <c r="K60" i="14"/>
  <c r="J341" i="14"/>
  <c r="K341" i="14"/>
  <c r="J213" i="14"/>
  <c r="K213" i="14"/>
  <c r="J85" i="14"/>
  <c r="K85" i="14"/>
  <c r="J146" i="14"/>
  <c r="K146" i="14"/>
  <c r="J82" i="14"/>
  <c r="K82" i="14"/>
  <c r="J521" i="14"/>
  <c r="K521" i="14"/>
  <c r="J457" i="14"/>
  <c r="K457" i="14"/>
  <c r="J393" i="14"/>
  <c r="K393" i="14"/>
  <c r="J329" i="14"/>
  <c r="K329" i="14"/>
  <c r="J265" i="14"/>
  <c r="K265" i="14"/>
  <c r="J201" i="14"/>
  <c r="K201" i="14"/>
  <c r="J137" i="14"/>
  <c r="K137" i="14"/>
  <c r="K73" i="14"/>
  <c r="J496" i="14"/>
  <c r="K496" i="14"/>
  <c r="J360" i="14"/>
  <c r="K360" i="14"/>
  <c r="J248" i="14"/>
  <c r="K248" i="14"/>
  <c r="J176" i="14"/>
  <c r="K176" i="14"/>
  <c r="J48" i="14"/>
  <c r="K48" i="14"/>
  <c r="J456" i="14"/>
  <c r="K456" i="14"/>
  <c r="J336" i="14"/>
  <c r="K336" i="14"/>
  <c r="J503" i="14"/>
  <c r="K503" i="14"/>
  <c r="J439" i="14"/>
  <c r="K439" i="14"/>
  <c r="J375" i="14"/>
  <c r="K375" i="14"/>
  <c r="J311" i="14"/>
  <c r="K311" i="14"/>
  <c r="J183" i="14"/>
  <c r="K183" i="14"/>
  <c r="J119" i="14"/>
  <c r="K119" i="14"/>
  <c r="J366" i="14"/>
  <c r="K366" i="14"/>
  <c r="J302" i="14"/>
  <c r="K302" i="14"/>
  <c r="K238" i="14"/>
  <c r="J174" i="14"/>
  <c r="K174" i="14"/>
  <c r="J110" i="14"/>
  <c r="K110" i="14"/>
  <c r="J46" i="14"/>
  <c r="K46" i="14"/>
  <c r="J506" i="14"/>
  <c r="K506" i="14"/>
  <c r="J436" i="14"/>
  <c r="K436" i="14"/>
  <c r="J325" i="14"/>
  <c r="K325" i="14"/>
  <c r="J219" i="14"/>
  <c r="K219" i="14"/>
  <c r="J449" i="14"/>
  <c r="K449" i="14"/>
  <c r="J344" i="14"/>
  <c r="K344" i="14"/>
  <c r="J495" i="14"/>
  <c r="K495" i="14"/>
  <c r="J47" i="14"/>
  <c r="K47" i="14"/>
  <c r="J501" i="14"/>
  <c r="K501" i="14"/>
  <c r="J522" i="14"/>
  <c r="K522" i="14"/>
  <c r="J485" i="14"/>
  <c r="K485" i="14"/>
  <c r="J298" i="14"/>
  <c r="K298" i="14"/>
  <c r="J349" i="14"/>
  <c r="K349" i="14"/>
  <c r="J93" i="14"/>
  <c r="K93" i="14"/>
  <c r="J428" i="14"/>
  <c r="K428" i="14"/>
  <c r="K236" i="14"/>
  <c r="K108" i="14"/>
  <c r="J309" i="14"/>
  <c r="K309" i="14"/>
  <c r="J53" i="14"/>
  <c r="K53" i="14"/>
  <c r="J339" i="14"/>
  <c r="K339" i="14"/>
  <c r="J211" i="14"/>
  <c r="K211" i="14"/>
  <c r="J83" i="14"/>
  <c r="K83" i="14"/>
  <c r="J130" i="14"/>
  <c r="K130" i="14"/>
  <c r="J505" i="14"/>
  <c r="K505" i="14"/>
  <c r="J377" i="14"/>
  <c r="K377" i="14"/>
  <c r="K185" i="14"/>
  <c r="K464" i="14"/>
  <c r="J232" i="14"/>
  <c r="K232" i="14"/>
  <c r="J96" i="14"/>
  <c r="K96" i="14"/>
  <c r="J424" i="14"/>
  <c r="K424" i="14"/>
  <c r="J487" i="14"/>
  <c r="K487" i="14"/>
  <c r="J359" i="14"/>
  <c r="K359" i="14"/>
  <c r="J231" i="14"/>
  <c r="K231" i="14"/>
  <c r="J103" i="14"/>
  <c r="K103" i="14"/>
  <c r="J286" i="14"/>
  <c r="K286" i="14"/>
  <c r="J158" i="14"/>
  <c r="K158" i="14"/>
  <c r="J30" i="14"/>
  <c r="K30" i="14"/>
  <c r="J234" i="14"/>
  <c r="K234" i="14"/>
  <c r="J365" i="14"/>
  <c r="K365" i="14"/>
  <c r="J244" i="14"/>
  <c r="K244" i="14"/>
  <c r="J69" i="14"/>
  <c r="K69" i="14"/>
  <c r="J91" i="14"/>
  <c r="K91" i="14"/>
  <c r="J385" i="14"/>
  <c r="K385" i="14"/>
  <c r="J480" i="14"/>
  <c r="K480" i="14"/>
  <c r="J432" i="14"/>
  <c r="K432" i="14"/>
  <c r="J175" i="14"/>
  <c r="K175" i="14"/>
  <c r="J166" i="14"/>
  <c r="K166" i="14"/>
  <c r="J258" i="14"/>
  <c r="K258" i="14"/>
  <c r="K429" i="14"/>
  <c r="J426" i="14"/>
  <c r="K426" i="14"/>
  <c r="J478" i="14"/>
  <c r="K478" i="14"/>
  <c r="J438" i="14"/>
  <c r="K438" i="14"/>
  <c r="J221" i="14"/>
  <c r="K221" i="14"/>
  <c r="J492" i="14"/>
  <c r="K492" i="14"/>
  <c r="J364" i="14"/>
  <c r="K364" i="14"/>
  <c r="J300" i="14"/>
  <c r="K300" i="14"/>
  <c r="J172" i="14"/>
  <c r="K172" i="14"/>
  <c r="J44" i="14"/>
  <c r="K44" i="14"/>
  <c r="J181" i="14"/>
  <c r="K181" i="14"/>
  <c r="J467" i="14"/>
  <c r="K467" i="14"/>
  <c r="J403" i="14"/>
  <c r="K403" i="14"/>
  <c r="J275" i="14"/>
  <c r="K275" i="14"/>
  <c r="J147" i="14"/>
  <c r="K147" i="14"/>
  <c r="J194" i="14"/>
  <c r="K194" i="14"/>
  <c r="J66" i="14"/>
  <c r="K66" i="14"/>
  <c r="J441" i="14"/>
  <c r="K441" i="14"/>
  <c r="J313" i="14"/>
  <c r="K313" i="14"/>
  <c r="J249" i="14"/>
  <c r="K249" i="14"/>
  <c r="J121" i="14"/>
  <c r="K121" i="14"/>
  <c r="J57" i="14"/>
  <c r="K57" i="14"/>
  <c r="J328" i="14"/>
  <c r="K328" i="14"/>
  <c r="J160" i="14"/>
  <c r="K160" i="14"/>
  <c r="J32" i="14"/>
  <c r="K32" i="14"/>
  <c r="J304" i="14"/>
  <c r="K304" i="14"/>
  <c r="J423" i="14"/>
  <c r="K423" i="14"/>
  <c r="J295" i="14"/>
  <c r="K295" i="14"/>
  <c r="J167" i="14"/>
  <c r="K167" i="14"/>
  <c r="J39" i="14"/>
  <c r="K39" i="14"/>
  <c r="J350" i="14"/>
  <c r="K350" i="14"/>
  <c r="J222" i="14"/>
  <c r="K222" i="14"/>
  <c r="J94" i="14"/>
  <c r="K94" i="14"/>
  <c r="J474" i="14"/>
  <c r="K474" i="14"/>
  <c r="J414" i="14"/>
  <c r="K414" i="14"/>
  <c r="J406" i="14"/>
  <c r="K406" i="14"/>
  <c r="J330" i="14"/>
  <c r="K330" i="14"/>
  <c r="J362" i="14"/>
  <c r="K362" i="14"/>
  <c r="J462" i="14"/>
  <c r="K462" i="14"/>
  <c r="J394" i="14"/>
  <c r="K394" i="14"/>
  <c r="J486" i="14"/>
  <c r="K486" i="14"/>
  <c r="J418" i="14"/>
  <c r="K418" i="14"/>
  <c r="J333" i="14"/>
  <c r="K333" i="14"/>
  <c r="J205" i="14"/>
  <c r="K205" i="14"/>
  <c r="J77" i="14"/>
  <c r="K77" i="14"/>
  <c r="J484" i="14"/>
  <c r="K484" i="14"/>
  <c r="J420" i="14"/>
  <c r="K420" i="14"/>
  <c r="K356" i="14"/>
  <c r="J292" i="14"/>
  <c r="K292" i="14"/>
  <c r="J164" i="14"/>
  <c r="K164" i="14"/>
  <c r="K100" i="14"/>
  <c r="J36" i="14"/>
  <c r="K36" i="14"/>
  <c r="J29" i="14"/>
  <c r="K29" i="14"/>
  <c r="J459" i="14"/>
  <c r="K459" i="14"/>
  <c r="J395" i="14"/>
  <c r="K395" i="14"/>
  <c r="J331" i="14"/>
  <c r="K331" i="14"/>
  <c r="J267" i="14"/>
  <c r="K267" i="14"/>
  <c r="J203" i="14"/>
  <c r="K203" i="14"/>
  <c r="J139" i="14"/>
  <c r="K139" i="14"/>
  <c r="J75" i="14"/>
  <c r="K75" i="14"/>
  <c r="K186" i="14"/>
  <c r="K122" i="14"/>
  <c r="K58" i="14"/>
  <c r="J497" i="14"/>
  <c r="K497" i="14"/>
  <c r="J433" i="14"/>
  <c r="K433" i="14"/>
  <c r="J369" i="14"/>
  <c r="K369" i="14"/>
  <c r="J305" i="14"/>
  <c r="K305" i="14"/>
  <c r="J177" i="14"/>
  <c r="K177" i="14"/>
  <c r="J113" i="14"/>
  <c r="K113" i="14"/>
  <c r="J49" i="14"/>
  <c r="K49" i="14"/>
  <c r="J448" i="14"/>
  <c r="K448" i="14"/>
  <c r="J312" i="14"/>
  <c r="K312" i="14"/>
  <c r="J216" i="14"/>
  <c r="K216" i="14"/>
  <c r="J152" i="14"/>
  <c r="K152" i="14"/>
  <c r="K88" i="14"/>
  <c r="J24" i="14"/>
  <c r="K24" i="14"/>
  <c r="J288" i="14"/>
  <c r="K288" i="14"/>
  <c r="J479" i="14"/>
  <c r="K479" i="14"/>
  <c r="K415" i="14"/>
  <c r="J351" i="14"/>
  <c r="K351" i="14"/>
  <c r="J287" i="14"/>
  <c r="K287" i="14"/>
  <c r="J223" i="14"/>
  <c r="K223" i="14"/>
  <c r="J159" i="14"/>
  <c r="K159" i="14"/>
  <c r="J31" i="14"/>
  <c r="K31" i="14"/>
  <c r="J342" i="14"/>
  <c r="K342" i="14"/>
  <c r="J278" i="14"/>
  <c r="K278" i="14"/>
  <c r="J214" i="14"/>
  <c r="K214" i="14"/>
  <c r="J150" i="14"/>
  <c r="K150" i="14"/>
  <c r="J86" i="14"/>
  <c r="K86" i="14"/>
  <c r="J22" i="14"/>
  <c r="K22" i="14"/>
  <c r="J250" i="14"/>
  <c r="K250" i="14"/>
  <c r="J461" i="14"/>
  <c r="K461" i="14"/>
  <c r="J308" i="14"/>
  <c r="K308" i="14"/>
  <c r="J411" i="14"/>
  <c r="K411" i="14"/>
  <c r="J138" i="14"/>
  <c r="K138" i="14"/>
  <c r="J193" i="14"/>
  <c r="K193" i="14"/>
  <c r="J104" i="14"/>
  <c r="K104" i="14"/>
  <c r="J303" i="14"/>
  <c r="K303" i="14"/>
  <c r="J230" i="14"/>
  <c r="K230" i="14"/>
  <c r="J518" i="14"/>
  <c r="K518" i="14"/>
  <c r="K442" i="14"/>
  <c r="J445" i="14"/>
  <c r="K445" i="14"/>
  <c r="J317" i="14"/>
  <c r="K317" i="14"/>
  <c r="J61" i="14"/>
  <c r="K61" i="14"/>
  <c r="J412" i="14"/>
  <c r="K412" i="14"/>
  <c r="J284" i="14"/>
  <c r="K284" i="14"/>
  <c r="J156" i="14"/>
  <c r="K156" i="14"/>
  <c r="J28" i="14"/>
  <c r="K28" i="14"/>
  <c r="J149" i="14"/>
  <c r="K149" i="14"/>
  <c r="J451" i="14"/>
  <c r="K451" i="14"/>
  <c r="J323" i="14"/>
  <c r="K323" i="14"/>
  <c r="J195" i="14"/>
  <c r="K195" i="14"/>
  <c r="J67" i="14"/>
  <c r="K67" i="14"/>
  <c r="J489" i="14"/>
  <c r="K489" i="14"/>
  <c r="J425" i="14"/>
  <c r="K425" i="14"/>
  <c r="K233" i="14"/>
  <c r="J105" i="14"/>
  <c r="K105" i="14"/>
  <c r="J208" i="14"/>
  <c r="K208" i="14"/>
  <c r="J80" i="14"/>
  <c r="K80" i="14"/>
  <c r="J392" i="14"/>
  <c r="K392" i="14"/>
  <c r="K471" i="14"/>
  <c r="J407" i="14"/>
  <c r="K407" i="14"/>
  <c r="K87" i="14"/>
  <c r="J334" i="14"/>
  <c r="K334" i="14"/>
  <c r="J206" i="14"/>
  <c r="K206" i="14"/>
  <c r="J78" i="14"/>
  <c r="K78" i="14"/>
  <c r="J450" i="14"/>
  <c r="K450" i="14"/>
  <c r="J237" i="14"/>
  <c r="K237" i="14"/>
  <c r="J116" i="14"/>
  <c r="K116" i="14"/>
  <c r="J347" i="14"/>
  <c r="K347" i="14"/>
  <c r="J74" i="14"/>
  <c r="K74" i="14"/>
  <c r="J129" i="14"/>
  <c r="K129" i="14"/>
  <c r="J40" i="14"/>
  <c r="K40" i="14"/>
  <c r="J239" i="14"/>
  <c r="K239" i="14"/>
  <c r="J38" i="14"/>
  <c r="K38" i="14"/>
  <c r="J453" i="14"/>
  <c r="K453" i="14"/>
  <c r="J509" i="14"/>
  <c r="K509" i="14"/>
  <c r="J477" i="14"/>
  <c r="K477" i="14"/>
  <c r="J397" i="14"/>
  <c r="K397" i="14"/>
  <c r="J189" i="14"/>
  <c r="K189" i="14"/>
  <c r="J476" i="14"/>
  <c r="K476" i="14"/>
  <c r="J348" i="14"/>
  <c r="K348" i="14"/>
  <c r="K220" i="14"/>
  <c r="J277" i="14"/>
  <c r="K277" i="14"/>
  <c r="J515" i="14"/>
  <c r="K515" i="14"/>
  <c r="J387" i="14"/>
  <c r="K387" i="14"/>
  <c r="J259" i="14"/>
  <c r="K259" i="14"/>
  <c r="J131" i="14"/>
  <c r="K131" i="14"/>
  <c r="K361" i="14"/>
  <c r="K297" i="14"/>
  <c r="J169" i="14"/>
  <c r="K169" i="14"/>
  <c r="J41" i="14"/>
  <c r="K41" i="14"/>
  <c r="K296" i="14"/>
  <c r="J144" i="14"/>
  <c r="K144" i="14"/>
  <c r="J520" i="14"/>
  <c r="K520" i="14"/>
  <c r="J264" i="14"/>
  <c r="K264" i="14"/>
  <c r="J279" i="14"/>
  <c r="K279" i="14"/>
  <c r="J215" i="14"/>
  <c r="K215" i="14"/>
  <c r="J151" i="14"/>
  <c r="K151" i="14"/>
  <c r="J23" i="14"/>
  <c r="K23" i="14"/>
  <c r="J270" i="14"/>
  <c r="K270" i="14"/>
  <c r="J142" i="14"/>
  <c r="K142" i="14"/>
  <c r="J430" i="14"/>
  <c r="K430" i="14"/>
  <c r="J386" i="14"/>
  <c r="K386" i="14"/>
  <c r="J466" i="14"/>
  <c r="K466" i="14"/>
  <c r="J413" i="14"/>
  <c r="K413" i="14"/>
  <c r="J402" i="14"/>
  <c r="K402" i="14"/>
  <c r="J338" i="14"/>
  <c r="K338" i="14"/>
  <c r="K301" i="14"/>
  <c r="K173" i="14"/>
  <c r="K45" i="14"/>
  <c r="J468" i="14"/>
  <c r="K468" i="14"/>
  <c r="J340" i="14"/>
  <c r="K340" i="14"/>
  <c r="J276" i="14"/>
  <c r="K276" i="14"/>
  <c r="J212" i="14"/>
  <c r="K212" i="14"/>
  <c r="J148" i="14"/>
  <c r="K148" i="14"/>
  <c r="J389" i="14"/>
  <c r="K389" i="14"/>
  <c r="J261" i="14"/>
  <c r="K261" i="14"/>
  <c r="J133" i="14"/>
  <c r="K133" i="14"/>
  <c r="J507" i="14"/>
  <c r="K507" i="14"/>
  <c r="J443" i="14"/>
  <c r="K443" i="14"/>
  <c r="J379" i="14"/>
  <c r="K379" i="14"/>
  <c r="J315" i="14"/>
  <c r="K315" i="14"/>
  <c r="J251" i="14"/>
  <c r="K251" i="14"/>
  <c r="J187" i="14"/>
  <c r="K187" i="14"/>
  <c r="J123" i="14"/>
  <c r="K123" i="14"/>
  <c r="J59" i="14"/>
  <c r="K59" i="14"/>
  <c r="J170" i="14"/>
  <c r="K170" i="14"/>
  <c r="J106" i="14"/>
  <c r="K106" i="14"/>
  <c r="J42" i="14"/>
  <c r="K42" i="14"/>
  <c r="J481" i="14"/>
  <c r="K481" i="14"/>
  <c r="J417" i="14"/>
  <c r="K417" i="14"/>
  <c r="J353" i="14"/>
  <c r="K353" i="14"/>
  <c r="J289" i="14"/>
  <c r="K289" i="14"/>
  <c r="J225" i="14"/>
  <c r="K225" i="14"/>
  <c r="J97" i="14"/>
  <c r="K97" i="14"/>
  <c r="J33" i="14"/>
  <c r="K33" i="14"/>
  <c r="J416" i="14"/>
  <c r="K416" i="14"/>
  <c r="J280" i="14"/>
  <c r="K280" i="14"/>
  <c r="J200" i="14"/>
  <c r="K200" i="14"/>
  <c r="K136" i="14"/>
  <c r="J72" i="14"/>
  <c r="K72" i="14"/>
  <c r="J504" i="14"/>
  <c r="K504" i="14"/>
  <c r="J384" i="14"/>
  <c r="K384" i="14"/>
  <c r="J224" i="14"/>
  <c r="K224" i="14"/>
  <c r="K399" i="14"/>
  <c r="J335" i="14"/>
  <c r="K335" i="14"/>
  <c r="J271" i="14"/>
  <c r="K271" i="14"/>
  <c r="J207" i="14"/>
  <c r="K207" i="14"/>
  <c r="J143" i="14"/>
  <c r="K143" i="14"/>
  <c r="J79" i="14"/>
  <c r="K79" i="14"/>
  <c r="J326" i="14"/>
  <c r="K326" i="14"/>
  <c r="J262" i="14"/>
  <c r="K262" i="14"/>
  <c r="J198" i="14"/>
  <c r="K198" i="14"/>
  <c r="J134" i="14"/>
  <c r="K134" i="14"/>
  <c r="J70" i="14"/>
  <c r="K70" i="14"/>
  <c r="J218" i="14"/>
  <c r="K218" i="14"/>
  <c r="J500" i="14"/>
  <c r="K500" i="14"/>
  <c r="J52" i="14"/>
  <c r="K52" i="14"/>
  <c r="J283" i="14"/>
  <c r="K283" i="14"/>
  <c r="J513" i="14"/>
  <c r="K513" i="14"/>
  <c r="J65" i="14"/>
  <c r="K65" i="14"/>
  <c r="J320" i="14"/>
  <c r="K320" i="14"/>
  <c r="J358" i="14"/>
  <c r="K358" i="14"/>
  <c r="J517" i="14"/>
  <c r="K517" i="14"/>
  <c r="J285" i="14"/>
  <c r="K285" i="14"/>
  <c r="J460" i="14"/>
  <c r="K460" i="14"/>
  <c r="J373" i="14"/>
  <c r="K373" i="14"/>
  <c r="J499" i="14"/>
  <c r="K499" i="14"/>
  <c r="J243" i="14"/>
  <c r="K243" i="14"/>
  <c r="J51" i="14"/>
  <c r="K51" i="14"/>
  <c r="J34" i="14"/>
  <c r="K34" i="14"/>
  <c r="J345" i="14"/>
  <c r="K345" i="14"/>
  <c r="K153" i="14"/>
  <c r="J400" i="14"/>
  <c r="K400" i="14"/>
  <c r="J368" i="14"/>
  <c r="K368" i="14"/>
  <c r="J391" i="14"/>
  <c r="K391" i="14"/>
  <c r="J327" i="14"/>
  <c r="K327" i="14"/>
  <c r="K263" i="14"/>
  <c r="J199" i="14"/>
  <c r="K199" i="14"/>
  <c r="J135" i="14"/>
  <c r="K135" i="14"/>
  <c r="J318" i="14"/>
  <c r="K318" i="14"/>
  <c r="J254" i="14"/>
  <c r="K254" i="14"/>
  <c r="K190" i="14"/>
  <c r="K126" i="14"/>
  <c r="K62" i="14"/>
  <c r="J454" i="14"/>
  <c r="K454" i="14"/>
  <c r="J405" i="14"/>
  <c r="K405" i="14"/>
  <c r="J372" i="14"/>
  <c r="K372" i="14"/>
  <c r="J197" i="14"/>
  <c r="K197" i="14"/>
  <c r="J155" i="14"/>
  <c r="K155" i="14"/>
  <c r="J321" i="14"/>
  <c r="K321" i="14"/>
  <c r="J240" i="14"/>
  <c r="K240" i="14"/>
  <c r="J367" i="14"/>
  <c r="K367" i="14"/>
  <c r="J294" i="14"/>
  <c r="K294" i="14"/>
  <c r="J494" i="14"/>
  <c r="K494" i="14"/>
  <c r="K422" i="14"/>
  <c r="J290" i="14"/>
  <c r="K290" i="14"/>
  <c r="J157" i="14"/>
  <c r="K157" i="14"/>
  <c r="J396" i="14"/>
  <c r="K396" i="14"/>
  <c r="J268" i="14"/>
  <c r="K268" i="14"/>
  <c r="J76" i="14"/>
  <c r="K76" i="14"/>
  <c r="J117" i="14"/>
  <c r="K117" i="14"/>
  <c r="J371" i="14"/>
  <c r="K371" i="14"/>
  <c r="J179" i="14"/>
  <c r="K179" i="14"/>
  <c r="J162" i="14"/>
  <c r="K162" i="14"/>
  <c r="J473" i="14"/>
  <c r="K473" i="14"/>
  <c r="K281" i="14"/>
  <c r="J25" i="14"/>
  <c r="K25" i="14"/>
  <c r="J192" i="14"/>
  <c r="K192" i="14"/>
  <c r="K488" i="14"/>
  <c r="J519" i="14"/>
  <c r="K519" i="14"/>
  <c r="J71" i="14"/>
  <c r="K71" i="14"/>
  <c r="J437" i="14"/>
  <c r="K437" i="14"/>
  <c r="K493" i="14"/>
  <c r="J514" i="14"/>
  <c r="K514" i="14"/>
  <c r="J346" i="14"/>
  <c r="K346" i="14"/>
  <c r="J502" i="14"/>
  <c r="K502" i="14"/>
  <c r="J269" i="14"/>
  <c r="K269" i="14"/>
  <c r="J324" i="14"/>
  <c r="K324" i="14"/>
  <c r="J196" i="14"/>
  <c r="K196" i="14"/>
  <c r="K427" i="14"/>
  <c r="K299" i="14"/>
  <c r="K235" i="14"/>
  <c r="K107" i="14"/>
  <c r="J154" i="14"/>
  <c r="K154" i="14"/>
  <c r="J26" i="14"/>
  <c r="K26" i="14"/>
  <c r="J401" i="14"/>
  <c r="K401" i="14"/>
  <c r="K273" i="14"/>
  <c r="J145" i="14"/>
  <c r="K145" i="14"/>
  <c r="J376" i="14"/>
  <c r="K376" i="14"/>
  <c r="K184" i="14"/>
  <c r="J56" i="14"/>
  <c r="K56" i="14"/>
  <c r="J352" i="14"/>
  <c r="K352" i="14"/>
  <c r="J447" i="14"/>
  <c r="K447" i="14"/>
  <c r="J383" i="14"/>
  <c r="K383" i="14"/>
  <c r="J255" i="14"/>
  <c r="K255" i="14"/>
  <c r="J127" i="14"/>
  <c r="K127" i="14"/>
  <c r="K246" i="14"/>
  <c r="J446" i="14"/>
  <c r="J508" i="14"/>
  <c r="J483" i="14"/>
  <c r="J419" i="14"/>
  <c r="J355" i="14"/>
  <c r="J291" i="14"/>
  <c r="J227" i="14"/>
  <c r="J163" i="14"/>
  <c r="J99" i="14"/>
  <c r="J35" i="14"/>
  <c r="J112" i="14"/>
  <c r="J247" i="14"/>
  <c r="J55" i="14"/>
  <c r="J228" i="14"/>
  <c r="J293" i="14"/>
  <c r="J165" i="14"/>
  <c r="J241" i="14"/>
  <c r="J408" i="14"/>
  <c r="J95" i="14"/>
  <c r="J370" i="14"/>
  <c r="J498" i="14"/>
  <c r="J92" i="14"/>
  <c r="J178" i="14"/>
  <c r="J114" i="14"/>
  <c r="J50" i="14"/>
  <c r="J440" i="14"/>
  <c r="J343" i="14"/>
  <c r="J306" i="14"/>
  <c r="J434" i="14"/>
  <c r="J421" i="14"/>
  <c r="J404" i="14"/>
  <c r="J84" i="14"/>
  <c r="J161" i="14"/>
  <c r="J463" i="14"/>
  <c r="J390" i="14"/>
  <c r="J21" i="14"/>
  <c r="K21" i="14"/>
  <c r="J242" i="14"/>
  <c r="J37" i="14"/>
  <c r="J204" i="14"/>
  <c r="J217" i="14"/>
  <c r="J64" i="14"/>
  <c r="J452" i="14"/>
  <c r="J357" i="14"/>
  <c r="J229" i="14"/>
  <c r="J101" i="14"/>
  <c r="J511" i="14"/>
  <c r="J374" i="14"/>
  <c r="J182" i="14"/>
  <c r="J118" i="14"/>
  <c r="J54" i="14"/>
  <c r="J493" i="14"/>
  <c r="J427" i="14"/>
  <c r="J299" i="14"/>
  <c r="J171" i="14"/>
  <c r="J43" i="14"/>
  <c r="J273" i="14"/>
  <c r="J314" i="14"/>
  <c r="J510" i="14"/>
  <c r="J73" i="14"/>
  <c r="J238" i="14"/>
  <c r="J429" i="14"/>
  <c r="J236" i="14"/>
  <c r="J108" i="14"/>
  <c r="J185" i="14"/>
  <c r="J464" i="14"/>
  <c r="J356" i="14"/>
  <c r="J100" i="14"/>
  <c r="J186" i="14"/>
  <c r="J122" i="14"/>
  <c r="J58" i="14"/>
  <c r="J88" i="14"/>
  <c r="J415" i="14"/>
  <c r="J442" i="14"/>
  <c r="J220" i="14"/>
  <c r="J361" i="14"/>
  <c r="J297" i="14"/>
  <c r="J233" i="14"/>
  <c r="J296" i="14"/>
  <c r="J471" i="14"/>
  <c r="J87" i="14"/>
  <c r="J173" i="14"/>
  <c r="J136" i="14"/>
  <c r="J399" i="14"/>
  <c r="J301" i="14"/>
  <c r="J45" i="14"/>
  <c r="J422" i="14"/>
  <c r="J281" i="14"/>
  <c r="J153" i="14"/>
  <c r="J488" i="14"/>
  <c r="J455" i="14"/>
  <c r="J263" i="14"/>
  <c r="J190" i="14"/>
  <c r="J126" i="14"/>
  <c r="J62" i="14"/>
  <c r="J378" i="14"/>
  <c r="J491" i="14"/>
  <c r="J363" i="14"/>
  <c r="J235" i="14"/>
  <c r="J107" i="14"/>
  <c r="J465" i="14"/>
  <c r="J184" i="14"/>
  <c r="J319" i="14"/>
  <c r="J63" i="14"/>
  <c r="J246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48E5C1-B1DB-412C-A4E9-854D7ECDF9CC}" keepAlive="1" name="Query - MondayStart" description="Connection to the 'MondayStart' query in the workbook." type="5" refreshedVersion="8" background="1" saveData="1">
    <dbPr connection="Provider=Microsoft.Mashup.OleDb.1;Data Source=$Workbook$;Location=MondayStart;Extended Properties=&quot;&quot;" command="SELECT * FROM [MondayStart]"/>
  </connection>
  <connection id="2" xr16:uid="{B991CDF1-A5AC-4709-ACEC-5E6B72B06D02}" keepAlive="1" name="Query - Weekly(1)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4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</futureMetadata>
  <cellMetadata count="1">
    <bk>
      <rc t="1" v="0"/>
    </bk>
  </cellMetadata>
  <valueMetadata count="154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</valueMetadata>
</metadata>
</file>

<file path=xl/sharedStrings.xml><?xml version="1.0" encoding="utf-8"?>
<sst xmlns="http://schemas.openxmlformats.org/spreadsheetml/2006/main" count="31" uniqueCount="24">
  <si>
    <t>10d SMA</t>
  </si>
  <si>
    <t>20d SMA</t>
  </si>
  <si>
    <t>50d SMA</t>
  </si>
  <si>
    <t>100d SMA</t>
  </si>
  <si>
    <t>Date</t>
  </si>
  <si>
    <t>Upper</t>
  </si>
  <si>
    <t>Lower</t>
  </si>
  <si>
    <t>Stdev</t>
  </si>
  <si>
    <t xml:space="preserve">Week </t>
  </si>
  <si>
    <t>Close</t>
  </si>
  <si>
    <t>CI/PI</t>
  </si>
  <si>
    <t>Walmart Inc</t>
  </si>
  <si>
    <t>Min</t>
  </si>
  <si>
    <t>Max</t>
  </si>
  <si>
    <t>Median</t>
  </si>
  <si>
    <t>Average</t>
  </si>
  <si>
    <t>Stats</t>
  </si>
  <si>
    <t>Count</t>
  </si>
  <si>
    <t>Mean</t>
  </si>
  <si>
    <t>date</t>
  </si>
  <si>
    <t>value</t>
  </si>
  <si>
    <t>Values</t>
  </si>
  <si>
    <t>Frozen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</si>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</sst>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yyyy\-mm\-dd"/>
    <numFmt numFmtId="165" formatCode="0.0%"/>
    <numFmt numFmtId="166" formatCode="yyyy\-mm\-dd;@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3" borderId="0" xfId="0" applyFill="1"/>
    <xf numFmtId="0" fontId="4" fillId="3" borderId="0" xfId="0" applyFont="1" applyFill="1" applyAlignment="1">
      <alignment horizontal="center"/>
    </xf>
    <xf numFmtId="14" fontId="0" fillId="0" borderId="0" xfId="0" applyNumberFormat="1"/>
    <xf numFmtId="44" fontId="0" fillId="0" borderId="0" xfId="2" applyFont="1"/>
    <xf numFmtId="166" fontId="0" fillId="0" borderId="0" xfId="0" applyNumberFormat="1"/>
    <xf numFmtId="165" fontId="5" fillId="5" borderId="0" xfId="1" applyNumberFormat="1" applyFont="1" applyFill="1" applyAlignment="1">
      <alignment horizontal="center"/>
    </xf>
    <xf numFmtId="0" fontId="6" fillId="0" borderId="1" xfId="0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right" wrapText="1"/>
    </xf>
    <xf numFmtId="8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0" fontId="1" fillId="6" borderId="0" xfId="0" applyFont="1" applyFill="1"/>
    <xf numFmtId="0" fontId="0" fillId="0" borderId="0" xfId="0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5">
    <dxf>
      <numFmt numFmtId="19" formatCode="m/d/yyyy"/>
    </dxf>
    <dxf>
      <numFmt numFmtId="166" formatCode="yyyy\-mm\-dd;@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Sunday Start'!$B$1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Sunday Start'!$A$2:$A$120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'Forecast Sunday Start'!$B$2:$B$120</c:f>
              <c:numCache>
                <c:formatCode>General</c:formatCode>
                <c:ptCount val="119"/>
                <c:pt idx="0">
                  <c:v>52.754449999999999</c:v>
                </c:pt>
                <c:pt idx="1">
                  <c:v>53.418140000000001</c:v>
                </c:pt>
                <c:pt idx="2">
                  <c:v>54.0428</c:v>
                </c:pt>
                <c:pt idx="3">
                  <c:v>54.186140000000002</c:v>
                </c:pt>
                <c:pt idx="4">
                  <c:v>55.583460000000002</c:v>
                </c:pt>
                <c:pt idx="5">
                  <c:v>56.432760000000002</c:v>
                </c:pt>
                <c:pt idx="6">
                  <c:v>56.512079999999997</c:v>
                </c:pt>
                <c:pt idx="7">
                  <c:v>58.376899999999999</c:v>
                </c:pt>
                <c:pt idx="8">
                  <c:v>59.235999999999997</c:v>
                </c:pt>
                <c:pt idx="9">
                  <c:v>60.077999999999996</c:v>
                </c:pt>
                <c:pt idx="10">
                  <c:v>61.01</c:v>
                </c:pt>
                <c:pt idx="11">
                  <c:v>61.06</c:v>
                </c:pt>
                <c:pt idx="12">
                  <c:v>60.4925</c:v>
                </c:pt>
                <c:pt idx="13">
                  <c:v>59.588000000000001</c:v>
                </c:pt>
                <c:pt idx="14">
                  <c:v>60.084000000000003</c:v>
                </c:pt>
                <c:pt idx="15">
                  <c:v>59.642000000000003</c:v>
                </c:pt>
                <c:pt idx="16">
                  <c:v>59.893999999999998</c:v>
                </c:pt>
                <c:pt idx="17">
                  <c:v>59.594000000000001</c:v>
                </c:pt>
                <c:pt idx="18">
                  <c:v>60.341999999999999</c:v>
                </c:pt>
                <c:pt idx="19">
                  <c:v>61.752000000000002</c:v>
                </c:pt>
                <c:pt idx="20">
                  <c:v>64.960000000000008</c:v>
                </c:pt>
                <c:pt idx="21">
                  <c:v>65.152500000000003</c:v>
                </c:pt>
                <c:pt idx="22">
                  <c:v>66.507999999999996</c:v>
                </c:pt>
                <c:pt idx="23">
                  <c:v>66.744</c:v>
                </c:pt>
                <c:pt idx="24">
                  <c:v>67.734999999999999</c:v>
                </c:pt>
                <c:pt idx="25">
                  <c:v>68.040000000000006</c:v>
                </c:pt>
                <c:pt idx="26">
                  <c:v>68.457499999999996</c:v>
                </c:pt>
                <c:pt idx="27">
                  <c:v>69.805999999999997</c:v>
                </c:pt>
                <c:pt idx="28">
                  <c:v>70.44</c:v>
                </c:pt>
                <c:pt idx="29">
                  <c:v>70.286000000000001</c:v>
                </c:pt>
                <c:pt idx="30">
                  <c:v>69.14</c:v>
                </c:pt>
                <c:pt idx="31">
                  <c:v>67.569999999999993</c:v>
                </c:pt>
                <c:pt idx="32">
                  <c:v>70.424000000000007</c:v>
                </c:pt>
                <c:pt idx="33">
                  <c:v>74.956000000000003</c:v>
                </c:pt>
                <c:pt idx="34">
                  <c:v>76.378</c:v>
                </c:pt>
                <c:pt idx="35">
                  <c:v>77.002499999999998</c:v>
                </c:pt>
                <c:pt idx="36">
                  <c:v>79.05</c:v>
                </c:pt>
                <c:pt idx="37">
                  <c:v>79.058000000000007</c:v>
                </c:pt>
                <c:pt idx="38">
                  <c:v>80.42</c:v>
                </c:pt>
                <c:pt idx="39">
                  <c:v>80.763999999999996</c:v>
                </c:pt>
                <c:pt idx="40">
                  <c:v>79.783999999999992</c:v>
                </c:pt>
                <c:pt idx="41">
                  <c:v>81.072000000000003</c:v>
                </c:pt>
                <c:pt idx="42">
                  <c:v>82.33</c:v>
                </c:pt>
                <c:pt idx="43">
                  <c:v>81.995999999999995</c:v>
                </c:pt>
                <c:pt idx="44">
                  <c:v>83.65</c:v>
                </c:pt>
                <c:pt idx="45">
                  <c:v>84.683999999999997</c:v>
                </c:pt>
                <c:pt idx="46">
                  <c:v>87.337999999999994</c:v>
                </c:pt>
                <c:pt idx="47">
                  <c:v>91.297499999999999</c:v>
                </c:pt>
                <c:pt idx="48">
                  <c:v>94.320000000000007</c:v>
                </c:pt>
                <c:pt idx="49">
                  <c:v>94.335999999999999</c:v>
                </c:pt>
                <c:pt idx="50">
                  <c:v>93.896000000000001</c:v>
                </c:pt>
                <c:pt idx="51">
                  <c:v>91.87</c:v>
                </c:pt>
                <c:pt idx="52">
                  <c:v>90.424999999999997</c:v>
                </c:pt>
                <c:pt idx="53">
                  <c:v>91.76</c:v>
                </c:pt>
                <c:pt idx="54">
                  <c:v>91.38</c:v>
                </c:pt>
                <c:pt idx="55">
                  <c:v>93.72</c:v>
                </c:pt>
                <c:pt idx="56">
                  <c:v>97.8</c:v>
                </c:pt>
                <c:pt idx="57">
                  <c:v>101.354</c:v>
                </c:pt>
                <c:pt idx="58">
                  <c:v>103.61799999999999</c:v>
                </c:pt>
                <c:pt idx="59">
                  <c:v>99.942499999999995</c:v>
                </c:pt>
                <c:pt idx="60">
                  <c:v>96.591999999999999</c:v>
                </c:pt>
                <c:pt idx="61">
                  <c:v>94.98</c:v>
                </c:pt>
                <c:pt idx="62">
                  <c:v>86.061999999999998</c:v>
                </c:pt>
                <c:pt idx="63">
                  <c:v>86.233999999999995</c:v>
                </c:pt>
                <c:pt idx="64">
                  <c:v>85.647999999999996</c:v>
                </c:pt>
                <c:pt idx="65">
                  <c:v>87.366</c:v>
                </c:pt>
                <c:pt idx="66">
                  <c:v>87.725999999999999</c:v>
                </c:pt>
                <c:pt idx="67">
                  <c:v>93.277500000000003</c:v>
                </c:pt>
                <c:pt idx="68">
                  <c:v>94.63</c:v>
                </c:pt>
                <c:pt idx="69">
                  <c:v>96.933999999999997</c:v>
                </c:pt>
                <c:pt idx="70">
                  <c:v>98.171999999999997</c:v>
                </c:pt>
                <c:pt idx="71">
                  <c:v>96.81</c:v>
                </c:pt>
                <c:pt idx="72">
                  <c:v>96.924000000000007</c:v>
                </c:pt>
                <c:pt idx="73">
                  <c:v>97.66</c:v>
                </c:pt>
                <c:pt idx="74">
                  <c:v>98.905999999999992</c:v>
                </c:pt>
                <c:pt idx="75">
                  <c:v>95.968000000000004</c:v>
                </c:pt>
                <c:pt idx="76">
                  <c:v>94.9375</c:v>
                </c:pt>
                <c:pt idx="77">
                  <c:v>97.284000000000006</c:v>
                </c:pt>
                <c:pt idx="78">
                  <c:v>97.997500000000002</c:v>
                </c:pt>
                <c:pt idx="79">
                  <c:v>96.501999999999995</c:v>
                </c:pt>
                <c:pt idx="80">
                  <c:v>95.292000000000002</c:v>
                </c:pt>
                <c:pt idx="81">
                  <c:v>96.254000000000005</c:v>
                </c:pt>
                <c:pt idx="82">
                  <c:v>98</c:v>
                </c:pt>
                <c:pt idx="83">
                  <c:v>101.822</c:v>
                </c:pt>
                <c:pt idx="84">
                  <c:v>101.878</c:v>
                </c:pt>
                <c:pt idx="85">
                  <c:v>99.87</c:v>
                </c:pt>
                <c:pt idx="86">
                  <c:v>96.257999999999996</c:v>
                </c:pt>
                <c:pt idx="87">
                  <c:v>99.682500000000005</c:v>
                </c:pt>
                <c:pt idx="88">
                  <c:v>102.224</c:v>
                </c:pt>
                <c:pt idx="89">
                  <c:v>103.462</c:v>
                </c:pt>
                <c:pt idx="90">
                  <c:v>102.85599999999999</c:v>
                </c:pt>
                <c:pt idx="91">
                  <c:v>102.374</c:v>
                </c:pt>
                <c:pt idx="92">
                  <c:v>102.49</c:v>
                </c:pt>
                <c:pt idx="93">
                  <c:v>106.512</c:v>
                </c:pt>
                <c:pt idx="94">
                  <c:v>106.688</c:v>
                </c:pt>
                <c:pt idx="95">
                  <c:v>102.702</c:v>
                </c:pt>
                <c:pt idx="96">
                  <c:v>101.92</c:v>
                </c:pt>
                <c:pt idx="97">
                  <c:v>102.864</c:v>
                </c:pt>
                <c:pt idx="98">
                  <c:v>103.476</c:v>
                </c:pt>
                <c:pt idx="99">
                  <c:v>107.6675</c:v>
                </c:pt>
                <c:pt idx="100">
                  <c:v>113.66</c:v>
                </c:pt>
                <c:pt idx="101">
                  <c:v>114.804</c:v>
                </c:pt>
                <c:pt idx="102">
                  <c:v>115.41200000000001</c:v>
                </c:pt>
                <c:pt idx="103">
                  <c:v>111.71250000000001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7-47F2-8992-69EA9F4F5651}"/>
            </c:ext>
          </c:extLst>
        </c:ser>
        <c:ser>
          <c:idx val="1"/>
          <c:order val="1"/>
          <c:tx>
            <c:strRef>
              <c:f>'Forecast Sunday Start'!$C$1</c:f>
              <c:strCache>
                <c:ptCount val="1"/>
                <c:pt idx="0">
                  <c:v>Frozen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Sunday Start'!$A$2:$A$120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'Forecast Sunday Start'!$C$2:$C$120</c:f>
              <c:numCache>
                <c:formatCode>General</c:formatCode>
                <c:ptCount val="119"/>
                <c:pt idx="104">
                  <c:v>112.155</c:v>
                </c:pt>
                <c:pt idx="105">
                  <c:v>113.474</c:v>
                </c:pt>
                <c:pt idx="106">
                  <c:v>119.45400000000001</c:v>
                </c:pt>
                <c:pt idx="107">
                  <c:v>118.4075</c:v>
                </c:pt>
                <c:pt idx="108">
                  <c:v>117.53999999999999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07-47F2-8992-69EA9F4F5651}"/>
            </c:ext>
          </c:extLst>
        </c:ser>
        <c:ser>
          <c:idx val="2"/>
          <c:order val="2"/>
          <c:tx>
            <c:strRef>
              <c:f>'Forecast Sunday Start'!$D$1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'Forecast Sunday Start'!$A$2:$A$120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'Forecast Sunday Start'!$D$2:$D$120</c:f>
              <c:numCache>
                <c:formatCode>General</c:formatCode>
                <c:ptCount val="119"/>
                <c:pt idx="104">
                  <c:v>112.93713185259743</c:v>
                </c:pt>
                <c:pt idx="105">
                  <c:v>113.13473761150379</c:v>
                </c:pt>
                <c:pt idx="106">
                  <c:v>113.36758660713444</c:v>
                </c:pt>
                <c:pt idx="107">
                  <c:v>114.26202566219585</c:v>
                </c:pt>
                <c:pt idx="108">
                  <c:v>115.9561471383491</c:v>
                </c:pt>
                <c:pt idx="109">
                  <c:v>116.43985181567326</c:v>
                </c:pt>
                <c:pt idx="110">
                  <c:v>115.96424727692512</c:v>
                </c:pt>
                <c:pt idx="111">
                  <c:v>116.48449767458024</c:v>
                </c:pt>
                <c:pt idx="112">
                  <c:v>117.0132721383017</c:v>
                </c:pt>
                <c:pt idx="113">
                  <c:v>117.5400179297917</c:v>
                </c:pt>
                <c:pt idx="114">
                  <c:v>118.063918264394</c:v>
                </c:pt>
                <c:pt idx="115">
                  <c:v>118.59765795109075</c:v>
                </c:pt>
                <c:pt idx="116">
                  <c:v>119.13369791710195</c:v>
                </c:pt>
                <c:pt idx="117">
                  <c:v>119.66255383117998</c:v>
                </c:pt>
                <c:pt idx="118">
                  <c:v>120.15177943346544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07-47F2-8992-69EA9F4F5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89856"/>
        <c:axId val="163985056"/>
      </c:lineChart>
      <c:dateAx>
        <c:axId val="163989856"/>
        <c:scaling>
          <c:orientation val="minMax"/>
          <c:min val="4580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5056"/>
        <c:crosses val="autoZero"/>
        <c:auto val="1"/>
        <c:lblOffset val="100"/>
        <c:baseTimeUnit val="days"/>
      </c:dateAx>
      <c:valAx>
        <c:axId val="163985056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WMT!$C$1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WMT!$B$2:$B$522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WMT!$C$2:$C$522</c:f>
              <c:numCache>
                <c:formatCode>_([$$-409]* #,##0.00_);_([$$-409]* \(#,##0.00\);_([$$-409]* "-"??_);_(@_)</c:formatCode>
                <c:ptCount val="521"/>
                <c:pt idx="0">
                  <c:v>53.0961</c:v>
                </c:pt>
                <c:pt idx="1">
                  <c:v>53.099499999999999</c:v>
                </c:pt>
                <c:pt idx="2">
                  <c:v>52.586100000000002</c:v>
                </c:pt>
                <c:pt idx="3">
                  <c:v>52.2361</c:v>
                </c:pt>
                <c:pt idx="4">
                  <c:v>52.749499999999998</c:v>
                </c:pt>
                <c:pt idx="5">
                  <c:v>53.102800000000002</c:v>
                </c:pt>
                <c:pt idx="6">
                  <c:v>53.762799999999999</c:v>
                </c:pt>
                <c:pt idx="7">
                  <c:v>53.702800000000003</c:v>
                </c:pt>
                <c:pt idx="8">
                  <c:v>53.772799999999997</c:v>
                </c:pt>
                <c:pt idx="9">
                  <c:v>53.942799999999998</c:v>
                </c:pt>
                <c:pt idx="10">
                  <c:v>53.689500000000002</c:v>
                </c:pt>
                <c:pt idx="11">
                  <c:v>54.412799999999997</c:v>
                </c:pt>
                <c:pt idx="12">
                  <c:v>54.126100000000001</c:v>
                </c:pt>
                <c:pt idx="13">
                  <c:v>54.1295</c:v>
                </c:pt>
                <c:pt idx="14">
                  <c:v>54.266100000000002</c:v>
                </c:pt>
                <c:pt idx="15">
                  <c:v>53.499499999999998</c:v>
                </c:pt>
                <c:pt idx="16">
                  <c:v>54.279499999999999</c:v>
                </c:pt>
                <c:pt idx="17">
                  <c:v>54.756100000000004</c:v>
                </c:pt>
                <c:pt idx="18">
                  <c:v>55.012799999999999</c:v>
                </c:pt>
                <c:pt idx="19">
                  <c:v>55.196100000000001</c:v>
                </c:pt>
                <c:pt idx="20">
                  <c:v>55.082799999999999</c:v>
                </c:pt>
                <c:pt idx="21">
                  <c:v>56.102800000000002</c:v>
                </c:pt>
                <c:pt idx="22">
                  <c:v>56.522799999999997</c:v>
                </c:pt>
                <c:pt idx="23">
                  <c:v>56.2194</c:v>
                </c:pt>
                <c:pt idx="24">
                  <c:v>56.602800000000002</c:v>
                </c:pt>
                <c:pt idx="25">
                  <c:v>56.459400000000002</c:v>
                </c:pt>
                <c:pt idx="26">
                  <c:v>56.456099999999999</c:v>
                </c:pt>
                <c:pt idx="27">
                  <c:v>56.426099999999998</c:v>
                </c:pt>
                <c:pt idx="28">
                  <c:v>56.766100000000002</c:v>
                </c:pt>
                <c:pt idx="29">
                  <c:v>56.379399999999997</c:v>
                </c:pt>
                <c:pt idx="30">
                  <c:v>56.199399999999997</c:v>
                </c:pt>
                <c:pt idx="31">
                  <c:v>56.429400000000001</c:v>
                </c:pt>
                <c:pt idx="32">
                  <c:v>56.786099999999998</c:v>
                </c:pt>
                <c:pt idx="33">
                  <c:v>58.619399999999999</c:v>
                </c:pt>
                <c:pt idx="34">
                  <c:v>57.8994</c:v>
                </c:pt>
                <c:pt idx="35">
                  <c:v>58.4694</c:v>
                </c:pt>
                <c:pt idx="36">
                  <c:v>58.519399999999997</c:v>
                </c:pt>
                <c:pt idx="37">
                  <c:v>59.6</c:v>
                </c:pt>
                <c:pt idx="38">
                  <c:v>59.59</c:v>
                </c:pt>
                <c:pt idx="39">
                  <c:v>59.62</c:v>
                </c:pt>
                <c:pt idx="40">
                  <c:v>58.61</c:v>
                </c:pt>
                <c:pt idx="41">
                  <c:v>58.76</c:v>
                </c:pt>
                <c:pt idx="42">
                  <c:v>59.3</c:v>
                </c:pt>
                <c:pt idx="43">
                  <c:v>60.04</c:v>
                </c:pt>
                <c:pt idx="44">
                  <c:v>60.57</c:v>
                </c:pt>
                <c:pt idx="45">
                  <c:v>60.36</c:v>
                </c:pt>
                <c:pt idx="46">
                  <c:v>60.12</c:v>
                </c:pt>
                <c:pt idx="47">
                  <c:v>60.66</c:v>
                </c:pt>
                <c:pt idx="48">
                  <c:v>61.41</c:v>
                </c:pt>
                <c:pt idx="49">
                  <c:v>61.28</c:v>
                </c:pt>
                <c:pt idx="50">
                  <c:v>61.02</c:v>
                </c:pt>
                <c:pt idx="51">
                  <c:v>60.68</c:v>
                </c:pt>
                <c:pt idx="52">
                  <c:v>60.86</c:v>
                </c:pt>
                <c:pt idx="53">
                  <c:v>60.87</c:v>
                </c:pt>
                <c:pt idx="54">
                  <c:v>61.25</c:v>
                </c:pt>
                <c:pt idx="55">
                  <c:v>61.45</c:v>
                </c:pt>
                <c:pt idx="56">
                  <c:v>60.87</c:v>
                </c:pt>
                <c:pt idx="57">
                  <c:v>60.57</c:v>
                </c:pt>
                <c:pt idx="58">
                  <c:v>60.51</c:v>
                </c:pt>
                <c:pt idx="59">
                  <c:v>60.72</c:v>
                </c:pt>
                <c:pt idx="60">
                  <c:v>60.17</c:v>
                </c:pt>
                <c:pt idx="61">
                  <c:v>60</c:v>
                </c:pt>
                <c:pt idx="62">
                  <c:v>59.16</c:v>
                </c:pt>
                <c:pt idx="63">
                  <c:v>59.43</c:v>
                </c:pt>
                <c:pt idx="64">
                  <c:v>59.5</c:v>
                </c:pt>
                <c:pt idx="65">
                  <c:v>59.85</c:v>
                </c:pt>
                <c:pt idx="66">
                  <c:v>59.78</c:v>
                </c:pt>
                <c:pt idx="67">
                  <c:v>59.79</c:v>
                </c:pt>
                <c:pt idx="68">
                  <c:v>60.62</c:v>
                </c:pt>
                <c:pt idx="69">
                  <c:v>60.09</c:v>
                </c:pt>
                <c:pt idx="70">
                  <c:v>60.14</c:v>
                </c:pt>
                <c:pt idx="71">
                  <c:v>59.93</c:v>
                </c:pt>
                <c:pt idx="72">
                  <c:v>59.84</c:v>
                </c:pt>
                <c:pt idx="73">
                  <c:v>59.65</c:v>
                </c:pt>
                <c:pt idx="74">
                  <c:v>59.26</c:v>
                </c:pt>
                <c:pt idx="75">
                  <c:v>59.53</c:v>
                </c:pt>
                <c:pt idx="76">
                  <c:v>60.14</c:v>
                </c:pt>
                <c:pt idx="77">
                  <c:v>59.09</c:v>
                </c:pt>
                <c:pt idx="78">
                  <c:v>59.87</c:v>
                </c:pt>
                <c:pt idx="79">
                  <c:v>60.21</c:v>
                </c:pt>
                <c:pt idx="80">
                  <c:v>60.16</c:v>
                </c:pt>
                <c:pt idx="81">
                  <c:v>60.24</c:v>
                </c:pt>
                <c:pt idx="82">
                  <c:v>59.35</c:v>
                </c:pt>
                <c:pt idx="83">
                  <c:v>58.85</c:v>
                </c:pt>
                <c:pt idx="84">
                  <c:v>59.71</c:v>
                </c:pt>
                <c:pt idx="85">
                  <c:v>59.82</c:v>
                </c:pt>
                <c:pt idx="86">
                  <c:v>59.87</c:v>
                </c:pt>
                <c:pt idx="87">
                  <c:v>60.62</c:v>
                </c:pt>
                <c:pt idx="88">
                  <c:v>60.3</c:v>
                </c:pt>
                <c:pt idx="89">
                  <c:v>60.44</c:v>
                </c:pt>
                <c:pt idx="90">
                  <c:v>60.48</c:v>
                </c:pt>
                <c:pt idx="91">
                  <c:v>60.41</c:v>
                </c:pt>
                <c:pt idx="92">
                  <c:v>59.86</c:v>
                </c:pt>
                <c:pt idx="93">
                  <c:v>59.83</c:v>
                </c:pt>
                <c:pt idx="94">
                  <c:v>64.010000000000005</c:v>
                </c:pt>
                <c:pt idx="95">
                  <c:v>64.650000000000006</c:v>
                </c:pt>
                <c:pt idx="96">
                  <c:v>64.180000000000007</c:v>
                </c:pt>
                <c:pt idx="97">
                  <c:v>65.150000000000006</c:v>
                </c:pt>
                <c:pt idx="98">
                  <c:v>65.25</c:v>
                </c:pt>
                <c:pt idx="99">
                  <c:v>64.84</c:v>
                </c:pt>
                <c:pt idx="100">
                  <c:v>65.38</c:v>
                </c:pt>
                <c:pt idx="101">
                  <c:v>65.040000000000006</c:v>
                </c:pt>
                <c:pt idx="102">
                  <c:v>64.92</c:v>
                </c:pt>
                <c:pt idx="103">
                  <c:v>64.89</c:v>
                </c:pt>
                <c:pt idx="104">
                  <c:v>65.760000000000005</c:v>
                </c:pt>
                <c:pt idx="105">
                  <c:v>65.819999999999993</c:v>
                </c:pt>
                <c:pt idx="106">
                  <c:v>66.599999999999994</c:v>
                </c:pt>
                <c:pt idx="107">
                  <c:v>67.09</c:v>
                </c:pt>
                <c:pt idx="108">
                  <c:v>67.150000000000006</c:v>
                </c:pt>
                <c:pt idx="109">
                  <c:v>65.88</c:v>
                </c:pt>
                <c:pt idx="110">
                  <c:v>66.959999999999994</c:v>
                </c:pt>
                <c:pt idx="111">
                  <c:v>66.73</c:v>
                </c:pt>
                <c:pt idx="112">
                  <c:v>66.31</c:v>
                </c:pt>
                <c:pt idx="113">
                  <c:v>66.7</c:v>
                </c:pt>
                <c:pt idx="114">
                  <c:v>67.02</c:v>
                </c:pt>
                <c:pt idx="115">
                  <c:v>67.42</c:v>
                </c:pt>
                <c:pt idx="116">
                  <c:v>67.599999999999994</c:v>
                </c:pt>
                <c:pt idx="117">
                  <c:v>68.010000000000005</c:v>
                </c:pt>
                <c:pt idx="118">
                  <c:v>67.91</c:v>
                </c:pt>
                <c:pt idx="119">
                  <c:v>68.900000000000006</c:v>
                </c:pt>
                <c:pt idx="120">
                  <c:v>67.42</c:v>
                </c:pt>
                <c:pt idx="121">
                  <c:v>68.290000000000006</c:v>
                </c:pt>
                <c:pt idx="122">
                  <c:v>67.88</c:v>
                </c:pt>
                <c:pt idx="123">
                  <c:v>67.709999999999994</c:v>
                </c:pt>
                <c:pt idx="124">
                  <c:v>67.48</c:v>
                </c:pt>
                <c:pt idx="125">
                  <c:v>68.069999999999993</c:v>
                </c:pt>
                <c:pt idx="126">
                  <c:v>68.239999999999995</c:v>
                </c:pt>
                <c:pt idx="127">
                  <c:v>70.040000000000006</c:v>
                </c:pt>
                <c:pt idx="128">
                  <c:v>69.680000000000007</c:v>
                </c:pt>
                <c:pt idx="129">
                  <c:v>69.900000000000006</c:v>
                </c:pt>
                <c:pt idx="130">
                  <c:v>70.41</c:v>
                </c:pt>
                <c:pt idx="131">
                  <c:v>69.8</c:v>
                </c:pt>
                <c:pt idx="132">
                  <c:v>69.239999999999995</c:v>
                </c:pt>
                <c:pt idx="133">
                  <c:v>69.61</c:v>
                </c:pt>
                <c:pt idx="134">
                  <c:v>69.989999999999995</c:v>
                </c:pt>
                <c:pt idx="135">
                  <c:v>71.03</c:v>
                </c:pt>
                <c:pt idx="136">
                  <c:v>70.819999999999993</c:v>
                </c:pt>
                <c:pt idx="137">
                  <c:v>70.75</c:v>
                </c:pt>
                <c:pt idx="138">
                  <c:v>70.38</c:v>
                </c:pt>
                <c:pt idx="139">
                  <c:v>70.650000000000006</c:v>
                </c:pt>
                <c:pt idx="140">
                  <c:v>70.599999999999994</c:v>
                </c:pt>
                <c:pt idx="141">
                  <c:v>70.02</c:v>
                </c:pt>
                <c:pt idx="142">
                  <c:v>69.78</c:v>
                </c:pt>
                <c:pt idx="143">
                  <c:v>69.62</c:v>
                </c:pt>
                <c:pt idx="144">
                  <c:v>69.19</c:v>
                </c:pt>
                <c:pt idx="145">
                  <c:v>68.64</c:v>
                </c:pt>
                <c:pt idx="146">
                  <c:v>69.790000000000006</c:v>
                </c:pt>
                <c:pt idx="147">
                  <c:v>68.459999999999994</c:v>
                </c:pt>
                <c:pt idx="148">
                  <c:v>67.59</c:v>
                </c:pt>
                <c:pt idx="149">
                  <c:v>67.739999999999995</c:v>
                </c:pt>
                <c:pt idx="150">
                  <c:v>66.91</c:v>
                </c:pt>
                <c:pt idx="151">
                  <c:v>67.66</c:v>
                </c:pt>
                <c:pt idx="152">
                  <c:v>67.95</c:v>
                </c:pt>
                <c:pt idx="153">
                  <c:v>68.7</c:v>
                </c:pt>
                <c:pt idx="154">
                  <c:v>68.13</c:v>
                </c:pt>
                <c:pt idx="155">
                  <c:v>68.66</c:v>
                </c:pt>
                <c:pt idx="156">
                  <c:v>73.180000000000007</c:v>
                </c:pt>
                <c:pt idx="157">
                  <c:v>73.45</c:v>
                </c:pt>
                <c:pt idx="158">
                  <c:v>73.72</c:v>
                </c:pt>
                <c:pt idx="159">
                  <c:v>74.540000000000006</c:v>
                </c:pt>
                <c:pt idx="160">
                  <c:v>75.239999999999995</c:v>
                </c:pt>
                <c:pt idx="161">
                  <c:v>75.58</c:v>
                </c:pt>
                <c:pt idx="162">
                  <c:v>75.7</c:v>
                </c:pt>
                <c:pt idx="163">
                  <c:v>76.03</c:v>
                </c:pt>
                <c:pt idx="164">
                  <c:v>76.13</c:v>
                </c:pt>
                <c:pt idx="165">
                  <c:v>76.08</c:v>
                </c:pt>
                <c:pt idx="166">
                  <c:v>76.42</c:v>
                </c:pt>
                <c:pt idx="167">
                  <c:v>77.23</c:v>
                </c:pt>
                <c:pt idx="168">
                  <c:v>77.17</c:v>
                </c:pt>
                <c:pt idx="169">
                  <c:v>77.239999999999995</c:v>
                </c:pt>
                <c:pt idx="170">
                  <c:v>76.959999999999994</c:v>
                </c:pt>
                <c:pt idx="171">
                  <c:v>76.64</c:v>
                </c:pt>
                <c:pt idx="172">
                  <c:v>77.34</c:v>
                </c:pt>
                <c:pt idx="173">
                  <c:v>78.81</c:v>
                </c:pt>
                <c:pt idx="174">
                  <c:v>78.84</c:v>
                </c:pt>
                <c:pt idx="175">
                  <c:v>79.66</c:v>
                </c:pt>
                <c:pt idx="176">
                  <c:v>80.599999999999994</c:v>
                </c:pt>
                <c:pt idx="177">
                  <c:v>80.56</c:v>
                </c:pt>
                <c:pt idx="178">
                  <c:v>78.599999999999994</c:v>
                </c:pt>
                <c:pt idx="179">
                  <c:v>79.03</c:v>
                </c:pt>
                <c:pt idx="180">
                  <c:v>78.040000000000006</c:v>
                </c:pt>
                <c:pt idx="181">
                  <c:v>79.06</c:v>
                </c:pt>
                <c:pt idx="182">
                  <c:v>80.33</c:v>
                </c:pt>
                <c:pt idx="183">
                  <c:v>80.67</c:v>
                </c:pt>
                <c:pt idx="184">
                  <c:v>81.400000000000006</c:v>
                </c:pt>
                <c:pt idx="185">
                  <c:v>79.92</c:v>
                </c:pt>
                <c:pt idx="186">
                  <c:v>79.78</c:v>
                </c:pt>
                <c:pt idx="187">
                  <c:v>80.75</c:v>
                </c:pt>
                <c:pt idx="188">
                  <c:v>81.27</c:v>
                </c:pt>
                <c:pt idx="189">
                  <c:v>80.430000000000007</c:v>
                </c:pt>
                <c:pt idx="190">
                  <c:v>80.430000000000007</c:v>
                </c:pt>
                <c:pt idx="191">
                  <c:v>80.94</c:v>
                </c:pt>
                <c:pt idx="192">
                  <c:v>79.099999999999994</c:v>
                </c:pt>
                <c:pt idx="193">
                  <c:v>79.709999999999994</c:v>
                </c:pt>
                <c:pt idx="194">
                  <c:v>80.400000000000006</c:v>
                </c:pt>
                <c:pt idx="195">
                  <c:v>79.61</c:v>
                </c:pt>
                <c:pt idx="196">
                  <c:v>80.099999999999994</c:v>
                </c:pt>
                <c:pt idx="197">
                  <c:v>80.290000000000006</c:v>
                </c:pt>
                <c:pt idx="198">
                  <c:v>81.650000000000006</c:v>
                </c:pt>
                <c:pt idx="199">
                  <c:v>81.22</c:v>
                </c:pt>
                <c:pt idx="200">
                  <c:v>80.89</c:v>
                </c:pt>
                <c:pt idx="201">
                  <c:v>81.31</c:v>
                </c:pt>
                <c:pt idx="202">
                  <c:v>80.81</c:v>
                </c:pt>
                <c:pt idx="203">
                  <c:v>82.02</c:v>
                </c:pt>
                <c:pt idx="204">
                  <c:v>83.27</c:v>
                </c:pt>
                <c:pt idx="205">
                  <c:v>83.04</c:v>
                </c:pt>
                <c:pt idx="206">
                  <c:v>82.51</c:v>
                </c:pt>
                <c:pt idx="207">
                  <c:v>82.75</c:v>
                </c:pt>
                <c:pt idx="208">
                  <c:v>81.7</c:v>
                </c:pt>
                <c:pt idx="209">
                  <c:v>81.39</c:v>
                </c:pt>
                <c:pt idx="210">
                  <c:v>81.95</c:v>
                </c:pt>
                <c:pt idx="211">
                  <c:v>82.19</c:v>
                </c:pt>
                <c:pt idx="212">
                  <c:v>82.45</c:v>
                </c:pt>
                <c:pt idx="213">
                  <c:v>83.68</c:v>
                </c:pt>
                <c:pt idx="214">
                  <c:v>83.44</c:v>
                </c:pt>
                <c:pt idx="215">
                  <c:v>83.85</c:v>
                </c:pt>
                <c:pt idx="216">
                  <c:v>84.83</c:v>
                </c:pt>
                <c:pt idx="217">
                  <c:v>84.21</c:v>
                </c:pt>
                <c:pt idx="218">
                  <c:v>84.99</c:v>
                </c:pt>
                <c:pt idx="219">
                  <c:v>85.5</c:v>
                </c:pt>
                <c:pt idx="220">
                  <c:v>84.47</c:v>
                </c:pt>
                <c:pt idx="221">
                  <c:v>84.25</c:v>
                </c:pt>
                <c:pt idx="222">
                  <c:v>84.08</c:v>
                </c:pt>
                <c:pt idx="223">
                  <c:v>86.6</c:v>
                </c:pt>
                <c:pt idx="224">
                  <c:v>87.18</c:v>
                </c:pt>
                <c:pt idx="225">
                  <c:v>88.39</c:v>
                </c:pt>
                <c:pt idx="226">
                  <c:v>90.44</c:v>
                </c:pt>
                <c:pt idx="227">
                  <c:v>89.5</c:v>
                </c:pt>
                <c:pt idx="228">
                  <c:v>91.31</c:v>
                </c:pt>
                <c:pt idx="229">
                  <c:v>91.88</c:v>
                </c:pt>
                <c:pt idx="230">
                  <c:v>92.5</c:v>
                </c:pt>
                <c:pt idx="231">
                  <c:v>92.64</c:v>
                </c:pt>
                <c:pt idx="232">
                  <c:v>93.51</c:v>
                </c:pt>
                <c:pt idx="233">
                  <c:v>94.45</c:v>
                </c:pt>
                <c:pt idx="234">
                  <c:v>95.3</c:v>
                </c:pt>
                <c:pt idx="235">
                  <c:v>95.7</c:v>
                </c:pt>
                <c:pt idx="236">
                  <c:v>93.83</c:v>
                </c:pt>
                <c:pt idx="237">
                  <c:v>94.55</c:v>
                </c:pt>
                <c:pt idx="238">
                  <c:v>94.96</c:v>
                </c:pt>
                <c:pt idx="239">
                  <c:v>94.09</c:v>
                </c:pt>
                <c:pt idx="240">
                  <c:v>94.25</c:v>
                </c:pt>
                <c:pt idx="241">
                  <c:v>94.87</c:v>
                </c:pt>
                <c:pt idx="242">
                  <c:v>95.42</c:v>
                </c:pt>
                <c:pt idx="243">
                  <c:v>93.55</c:v>
                </c:pt>
                <c:pt idx="244">
                  <c:v>93.4</c:v>
                </c:pt>
                <c:pt idx="245">
                  <c:v>92.24</c:v>
                </c:pt>
                <c:pt idx="246">
                  <c:v>90.35</c:v>
                </c:pt>
                <c:pt idx="247">
                  <c:v>92.68</c:v>
                </c:pt>
                <c:pt idx="248">
                  <c:v>92.79</c:v>
                </c:pt>
                <c:pt idx="249">
                  <c:v>91.66</c:v>
                </c:pt>
                <c:pt idx="250">
                  <c:v>90.57</c:v>
                </c:pt>
                <c:pt idx="251">
                  <c:v>90.35</c:v>
                </c:pt>
                <c:pt idx="252">
                  <c:v>90</c:v>
                </c:pt>
                <c:pt idx="253">
                  <c:v>90.78</c:v>
                </c:pt>
                <c:pt idx="254">
                  <c:v>91.43</c:v>
                </c:pt>
                <c:pt idx="255">
                  <c:v>90.81</c:v>
                </c:pt>
                <c:pt idx="256">
                  <c:v>91.8</c:v>
                </c:pt>
                <c:pt idx="257">
                  <c:v>93</c:v>
                </c:pt>
                <c:pt idx="258">
                  <c:v>91.53</c:v>
                </c:pt>
                <c:pt idx="259">
                  <c:v>90.79</c:v>
                </c:pt>
                <c:pt idx="260">
                  <c:v>91.34</c:v>
                </c:pt>
                <c:pt idx="261">
                  <c:v>91.3</c:v>
                </c:pt>
                <c:pt idx="262">
                  <c:v>91.94</c:v>
                </c:pt>
                <c:pt idx="263">
                  <c:v>93.08</c:v>
                </c:pt>
                <c:pt idx="264">
                  <c:v>93.23</c:v>
                </c:pt>
                <c:pt idx="265">
                  <c:v>93.81</c:v>
                </c:pt>
                <c:pt idx="266">
                  <c:v>94.76</c:v>
                </c:pt>
                <c:pt idx="267">
                  <c:v>97.4</c:v>
                </c:pt>
                <c:pt idx="268">
                  <c:v>97.29</c:v>
                </c:pt>
                <c:pt idx="269">
                  <c:v>97.5</c:v>
                </c:pt>
                <c:pt idx="270">
                  <c:v>98.65</c:v>
                </c:pt>
                <c:pt idx="271">
                  <c:v>98.16</c:v>
                </c:pt>
                <c:pt idx="272">
                  <c:v>99.54</c:v>
                </c:pt>
                <c:pt idx="273">
                  <c:v>100.77</c:v>
                </c:pt>
                <c:pt idx="274">
                  <c:v>102.46</c:v>
                </c:pt>
                <c:pt idx="275">
                  <c:v>102.85</c:v>
                </c:pt>
                <c:pt idx="276">
                  <c:v>101.15</c:v>
                </c:pt>
                <c:pt idx="277">
                  <c:v>102.92</c:v>
                </c:pt>
                <c:pt idx="278">
                  <c:v>102.47</c:v>
                </c:pt>
                <c:pt idx="279">
                  <c:v>103.61</c:v>
                </c:pt>
                <c:pt idx="280">
                  <c:v>105.05</c:v>
                </c:pt>
                <c:pt idx="281">
                  <c:v>104.04</c:v>
                </c:pt>
                <c:pt idx="282">
                  <c:v>103.78</c:v>
                </c:pt>
                <c:pt idx="283">
                  <c:v>104</c:v>
                </c:pt>
                <c:pt idx="284">
                  <c:v>97.21</c:v>
                </c:pt>
                <c:pt idx="285">
                  <c:v>94.78</c:v>
                </c:pt>
                <c:pt idx="286">
                  <c:v>93.67</c:v>
                </c:pt>
                <c:pt idx="287">
                  <c:v>97.69</c:v>
                </c:pt>
                <c:pt idx="288">
                  <c:v>96.2</c:v>
                </c:pt>
                <c:pt idx="289">
                  <c:v>96.79</c:v>
                </c:pt>
                <c:pt idx="290">
                  <c:v>98.61</c:v>
                </c:pt>
                <c:pt idx="291">
                  <c:v>97.59</c:v>
                </c:pt>
                <c:pt idx="292">
                  <c:v>94.97</c:v>
                </c:pt>
                <c:pt idx="293">
                  <c:v>95.98</c:v>
                </c:pt>
                <c:pt idx="294">
                  <c:v>94.64</c:v>
                </c:pt>
                <c:pt idx="295">
                  <c:v>91.72</c:v>
                </c:pt>
                <c:pt idx="296">
                  <c:v>87.82</c:v>
                </c:pt>
                <c:pt idx="297">
                  <c:v>87.44</c:v>
                </c:pt>
                <c:pt idx="298">
                  <c:v>85.2</c:v>
                </c:pt>
                <c:pt idx="299">
                  <c:v>84.5</c:v>
                </c:pt>
                <c:pt idx="300">
                  <c:v>85.35</c:v>
                </c:pt>
                <c:pt idx="301">
                  <c:v>87.46</c:v>
                </c:pt>
                <c:pt idx="302">
                  <c:v>85.59</c:v>
                </c:pt>
                <c:pt idx="303">
                  <c:v>86.33</c:v>
                </c:pt>
                <c:pt idx="304">
                  <c:v>85.81</c:v>
                </c:pt>
                <c:pt idx="305">
                  <c:v>85.98</c:v>
                </c:pt>
                <c:pt idx="306">
                  <c:v>87.49</c:v>
                </c:pt>
                <c:pt idx="307">
                  <c:v>84.76</c:v>
                </c:pt>
                <c:pt idx="308">
                  <c:v>85.21</c:v>
                </c:pt>
                <c:pt idx="309">
                  <c:v>85.63</c:v>
                </c:pt>
                <c:pt idx="310">
                  <c:v>85.15</c:v>
                </c:pt>
                <c:pt idx="311">
                  <c:v>87.79</c:v>
                </c:pt>
                <c:pt idx="312">
                  <c:v>88.83</c:v>
                </c:pt>
                <c:pt idx="313">
                  <c:v>89.76</c:v>
                </c:pt>
                <c:pt idx="314">
                  <c:v>87.26</c:v>
                </c:pt>
                <c:pt idx="315">
                  <c:v>83.19</c:v>
                </c:pt>
                <c:pt idx="316">
                  <c:v>83.83</c:v>
                </c:pt>
                <c:pt idx="317">
                  <c:v>81.790000000000006</c:v>
                </c:pt>
                <c:pt idx="318">
                  <c:v>89.6</c:v>
                </c:pt>
                <c:pt idx="319">
                  <c:v>90.61</c:v>
                </c:pt>
                <c:pt idx="320">
                  <c:v>92.8</c:v>
                </c:pt>
                <c:pt idx="321">
                  <c:v>94.73</c:v>
                </c:pt>
                <c:pt idx="322">
                  <c:v>93.97</c:v>
                </c:pt>
                <c:pt idx="323">
                  <c:v>91.19</c:v>
                </c:pt>
                <c:pt idx="324">
                  <c:v>93.22</c:v>
                </c:pt>
                <c:pt idx="325">
                  <c:v>92.41</c:v>
                </c:pt>
                <c:pt idx="326">
                  <c:v>94.85</c:v>
                </c:pt>
                <c:pt idx="327">
                  <c:v>94.96</c:v>
                </c:pt>
                <c:pt idx="328">
                  <c:v>95.84</c:v>
                </c:pt>
                <c:pt idx="329">
                  <c:v>95.09</c:v>
                </c:pt>
                <c:pt idx="330">
                  <c:v>95.22</c:v>
                </c:pt>
                <c:pt idx="331">
                  <c:v>96.04</c:v>
                </c:pt>
                <c:pt idx="332">
                  <c:v>97.25</c:v>
                </c:pt>
                <c:pt idx="333">
                  <c:v>97.41</c:v>
                </c:pt>
                <c:pt idx="334">
                  <c:v>98.75</c:v>
                </c:pt>
                <c:pt idx="335">
                  <c:v>99.33</c:v>
                </c:pt>
                <c:pt idx="336">
                  <c:v>98.55</c:v>
                </c:pt>
                <c:pt idx="337">
                  <c:v>98.83</c:v>
                </c:pt>
                <c:pt idx="338">
                  <c:v>97.43</c:v>
                </c:pt>
                <c:pt idx="339">
                  <c:v>96.72</c:v>
                </c:pt>
                <c:pt idx="340">
                  <c:v>96.75</c:v>
                </c:pt>
                <c:pt idx="341">
                  <c:v>95.88</c:v>
                </c:pt>
                <c:pt idx="342">
                  <c:v>96.83</c:v>
                </c:pt>
                <c:pt idx="343">
                  <c:v>96.35</c:v>
                </c:pt>
                <c:pt idx="344">
                  <c:v>98.24</c:v>
                </c:pt>
                <c:pt idx="345">
                  <c:v>98.12</c:v>
                </c:pt>
                <c:pt idx="346">
                  <c:v>97.8</c:v>
                </c:pt>
                <c:pt idx="347">
                  <c:v>96.43</c:v>
                </c:pt>
                <c:pt idx="348">
                  <c:v>95.93</c:v>
                </c:pt>
                <c:pt idx="349">
                  <c:v>96.34</c:v>
                </c:pt>
                <c:pt idx="350">
                  <c:v>97.58</c:v>
                </c:pt>
                <c:pt idx="351">
                  <c:v>97.24</c:v>
                </c:pt>
                <c:pt idx="352">
                  <c:v>97.1</c:v>
                </c:pt>
                <c:pt idx="353">
                  <c:v>98.72</c:v>
                </c:pt>
                <c:pt idx="354">
                  <c:v>99.77</c:v>
                </c:pt>
                <c:pt idx="355">
                  <c:v>99.98</c:v>
                </c:pt>
                <c:pt idx="356">
                  <c:v>99.35</c:v>
                </c:pt>
                <c:pt idx="357">
                  <c:v>97.96</c:v>
                </c:pt>
                <c:pt idx="358">
                  <c:v>97.47</c:v>
                </c:pt>
                <c:pt idx="359">
                  <c:v>97.45</c:v>
                </c:pt>
                <c:pt idx="360">
                  <c:v>97.32</c:v>
                </c:pt>
                <c:pt idx="361">
                  <c:v>95.8</c:v>
                </c:pt>
                <c:pt idx="362">
                  <c:v>94.83</c:v>
                </c:pt>
                <c:pt idx="363">
                  <c:v>94.44</c:v>
                </c:pt>
                <c:pt idx="364">
                  <c:v>94.29</c:v>
                </c:pt>
                <c:pt idx="365">
                  <c:v>94.25</c:v>
                </c:pt>
                <c:pt idx="366">
                  <c:v>95.09</c:v>
                </c:pt>
                <c:pt idx="367">
                  <c:v>96.12</c:v>
                </c:pt>
                <c:pt idx="368">
                  <c:v>97.87</c:v>
                </c:pt>
                <c:pt idx="369">
                  <c:v>98</c:v>
                </c:pt>
                <c:pt idx="370">
                  <c:v>97.26</c:v>
                </c:pt>
                <c:pt idx="371">
                  <c:v>96.02</c:v>
                </c:pt>
                <c:pt idx="372">
                  <c:v>97.27</c:v>
                </c:pt>
                <c:pt idx="373">
                  <c:v>97.78</c:v>
                </c:pt>
                <c:pt idx="374">
                  <c:v>98.24</c:v>
                </c:pt>
                <c:pt idx="375">
                  <c:v>97.61</c:v>
                </c:pt>
                <c:pt idx="376">
                  <c:v>98.36</c:v>
                </c:pt>
                <c:pt idx="377">
                  <c:v>99.35</c:v>
                </c:pt>
                <c:pt idx="378">
                  <c:v>97.09</c:v>
                </c:pt>
                <c:pt idx="379">
                  <c:v>96.81</c:v>
                </c:pt>
                <c:pt idx="380">
                  <c:v>94.86</c:v>
                </c:pt>
                <c:pt idx="381">
                  <c:v>94.4</c:v>
                </c:pt>
                <c:pt idx="382">
                  <c:v>95.78</c:v>
                </c:pt>
                <c:pt idx="383">
                  <c:v>95.39</c:v>
                </c:pt>
                <c:pt idx="384">
                  <c:v>95.15</c:v>
                </c:pt>
                <c:pt idx="385">
                  <c:v>95.09</c:v>
                </c:pt>
                <c:pt idx="386">
                  <c:v>95.05</c:v>
                </c:pt>
                <c:pt idx="387">
                  <c:v>95.67</c:v>
                </c:pt>
                <c:pt idx="388">
                  <c:v>95.85</c:v>
                </c:pt>
                <c:pt idx="389">
                  <c:v>95.68</c:v>
                </c:pt>
                <c:pt idx="390">
                  <c:v>96.6</c:v>
                </c:pt>
                <c:pt idx="391">
                  <c:v>97.47</c:v>
                </c:pt>
                <c:pt idx="392">
                  <c:v>97.61</c:v>
                </c:pt>
                <c:pt idx="393">
                  <c:v>98.33</c:v>
                </c:pt>
                <c:pt idx="394">
                  <c:v>97.59</c:v>
                </c:pt>
                <c:pt idx="395">
                  <c:v>97.98</c:v>
                </c:pt>
                <c:pt idx="396">
                  <c:v>98.49</c:v>
                </c:pt>
                <c:pt idx="397">
                  <c:v>99.59</c:v>
                </c:pt>
                <c:pt idx="398">
                  <c:v>99.31</c:v>
                </c:pt>
                <c:pt idx="399">
                  <c:v>103.36</c:v>
                </c:pt>
                <c:pt idx="400">
                  <c:v>103.12</c:v>
                </c:pt>
                <c:pt idx="401">
                  <c:v>103.73</c:v>
                </c:pt>
                <c:pt idx="402">
                  <c:v>103.93</c:v>
                </c:pt>
                <c:pt idx="403">
                  <c:v>103.62</c:v>
                </c:pt>
                <c:pt idx="404">
                  <c:v>100.99</c:v>
                </c:pt>
                <c:pt idx="405">
                  <c:v>100.85</c:v>
                </c:pt>
                <c:pt idx="406">
                  <c:v>100</c:v>
                </c:pt>
                <c:pt idx="407">
                  <c:v>100.7</c:v>
                </c:pt>
                <c:pt idx="408">
                  <c:v>101.29</c:v>
                </c:pt>
                <c:pt idx="409">
                  <c:v>102.57</c:v>
                </c:pt>
                <c:pt idx="410">
                  <c:v>97.96</c:v>
                </c:pt>
                <c:pt idx="411">
                  <c:v>96.83</c:v>
                </c:pt>
                <c:pt idx="412">
                  <c:v>96.07</c:v>
                </c:pt>
                <c:pt idx="413">
                  <c:v>96.05</c:v>
                </c:pt>
                <c:pt idx="414">
                  <c:v>96.08</c:v>
                </c:pt>
                <c:pt idx="415">
                  <c:v>96.11</c:v>
                </c:pt>
                <c:pt idx="416">
                  <c:v>96.98</c:v>
                </c:pt>
                <c:pt idx="417">
                  <c:v>97.85</c:v>
                </c:pt>
                <c:pt idx="418">
                  <c:v>99.44</c:v>
                </c:pt>
                <c:pt idx="419">
                  <c:v>100.93</c:v>
                </c:pt>
                <c:pt idx="420">
                  <c:v>100.51</c:v>
                </c:pt>
                <c:pt idx="421">
                  <c:v>102.28</c:v>
                </c:pt>
                <c:pt idx="422">
                  <c:v>102.29</c:v>
                </c:pt>
                <c:pt idx="423">
                  <c:v>100.41</c:v>
                </c:pt>
                <c:pt idx="424">
                  <c:v>102.65</c:v>
                </c:pt>
                <c:pt idx="425">
                  <c:v>103.49</c:v>
                </c:pt>
                <c:pt idx="426">
                  <c:v>103.69</c:v>
                </c:pt>
                <c:pt idx="427">
                  <c:v>103.42</c:v>
                </c:pt>
                <c:pt idx="428">
                  <c:v>104.27</c:v>
                </c:pt>
                <c:pt idx="429">
                  <c:v>103.6</c:v>
                </c:pt>
                <c:pt idx="430">
                  <c:v>102.33</c:v>
                </c:pt>
                <c:pt idx="431">
                  <c:v>102.82</c:v>
                </c:pt>
                <c:pt idx="432">
                  <c:v>102.52</c:v>
                </c:pt>
                <c:pt idx="433">
                  <c:v>102.73</c:v>
                </c:pt>
                <c:pt idx="434">
                  <c:v>103.05</c:v>
                </c:pt>
                <c:pt idx="435">
                  <c:v>103.16</c:v>
                </c:pt>
                <c:pt idx="436">
                  <c:v>103.08</c:v>
                </c:pt>
                <c:pt idx="437">
                  <c:v>103.06</c:v>
                </c:pt>
                <c:pt idx="438">
                  <c:v>101.96</c:v>
                </c:pt>
                <c:pt idx="439">
                  <c:v>101.7</c:v>
                </c:pt>
                <c:pt idx="440">
                  <c:v>102.07</c:v>
                </c:pt>
                <c:pt idx="441">
                  <c:v>102.7</c:v>
                </c:pt>
                <c:pt idx="442">
                  <c:v>103.24</c:v>
                </c:pt>
                <c:pt idx="443">
                  <c:v>102.9</c:v>
                </c:pt>
                <c:pt idx="444">
                  <c:v>101.77</c:v>
                </c:pt>
                <c:pt idx="445">
                  <c:v>101.84</c:v>
                </c:pt>
                <c:pt idx="446">
                  <c:v>102.12</c:v>
                </c:pt>
                <c:pt idx="447">
                  <c:v>107.21</c:v>
                </c:pt>
                <c:pt idx="448">
                  <c:v>109.03</c:v>
                </c:pt>
                <c:pt idx="449">
                  <c:v>106.47</c:v>
                </c:pt>
                <c:pt idx="450">
                  <c:v>107.73</c:v>
                </c:pt>
                <c:pt idx="451">
                  <c:v>107.05</c:v>
                </c:pt>
                <c:pt idx="452">
                  <c:v>106.22</c:v>
                </c:pt>
                <c:pt idx="453">
                  <c:v>107.14</c:v>
                </c:pt>
                <c:pt idx="454">
                  <c:v>106.86</c:v>
                </c:pt>
                <c:pt idx="455">
                  <c:v>106.17</c:v>
                </c:pt>
                <c:pt idx="456">
                  <c:v>104.47</c:v>
                </c:pt>
                <c:pt idx="457">
                  <c:v>103.17</c:v>
                </c:pt>
                <c:pt idx="458">
                  <c:v>102.46</c:v>
                </c:pt>
                <c:pt idx="459">
                  <c:v>102.23</c:v>
                </c:pt>
                <c:pt idx="460">
                  <c:v>101.18</c:v>
                </c:pt>
                <c:pt idx="461">
                  <c:v>101.59</c:v>
                </c:pt>
                <c:pt idx="462">
                  <c:v>102.27</c:v>
                </c:pt>
                <c:pt idx="463">
                  <c:v>101.47</c:v>
                </c:pt>
                <c:pt idx="464">
                  <c:v>101.68</c:v>
                </c:pt>
                <c:pt idx="465">
                  <c:v>102.59</c:v>
                </c:pt>
                <c:pt idx="466">
                  <c:v>102.42</c:v>
                </c:pt>
                <c:pt idx="467">
                  <c:v>103.44</c:v>
                </c:pt>
                <c:pt idx="468">
                  <c:v>103.44</c:v>
                </c:pt>
                <c:pt idx="469">
                  <c:v>102.54</c:v>
                </c:pt>
                <c:pt idx="470">
                  <c:v>102.48</c:v>
                </c:pt>
                <c:pt idx="471">
                  <c:v>102.95</c:v>
                </c:pt>
                <c:pt idx="472">
                  <c:v>101.39</c:v>
                </c:pt>
                <c:pt idx="473">
                  <c:v>100.61</c:v>
                </c:pt>
                <c:pt idx="474">
                  <c:v>107.11</c:v>
                </c:pt>
                <c:pt idx="475">
                  <c:v>105.32</c:v>
                </c:pt>
                <c:pt idx="476">
                  <c:v>104.06</c:v>
                </c:pt>
                <c:pt idx="477">
                  <c:v>107</c:v>
                </c:pt>
                <c:pt idx="478">
                  <c:v>109.1</c:v>
                </c:pt>
                <c:pt idx="479">
                  <c:v>110.51</c:v>
                </c:pt>
                <c:pt idx="480">
                  <c:v>111.53</c:v>
                </c:pt>
                <c:pt idx="481">
                  <c:v>112.41</c:v>
                </c:pt>
                <c:pt idx="482">
                  <c:v>114.41</c:v>
                </c:pt>
                <c:pt idx="483">
                  <c:v>114.84</c:v>
                </c:pt>
                <c:pt idx="484">
                  <c:v>115.11</c:v>
                </c:pt>
                <c:pt idx="485">
                  <c:v>113.56</c:v>
                </c:pt>
                <c:pt idx="486">
                  <c:v>115.06</c:v>
                </c:pt>
                <c:pt idx="487">
                  <c:v>113.18</c:v>
                </c:pt>
                <c:pt idx="488">
                  <c:v>115.52</c:v>
                </c:pt>
                <c:pt idx="489">
                  <c:v>116.7</c:v>
                </c:pt>
                <c:pt idx="490">
                  <c:v>116.79</c:v>
                </c:pt>
                <c:pt idx="491">
                  <c:v>115.42</c:v>
                </c:pt>
                <c:pt idx="492">
                  <c:v>115.66</c:v>
                </c:pt>
                <c:pt idx="493">
                  <c:v>114.83</c:v>
                </c:pt>
                <c:pt idx="494">
                  <c:v>114.36</c:v>
                </c:pt>
                <c:pt idx="495">
                  <c:v>112.6</c:v>
                </c:pt>
                <c:pt idx="496">
                  <c:v>110.9</c:v>
                </c:pt>
                <c:pt idx="497">
                  <c:v>111.61</c:v>
                </c:pt>
                <c:pt idx="498">
                  <c:v>111.74</c:v>
                </c:pt>
                <c:pt idx="499">
                  <c:v>112.53</c:v>
                </c:pt>
                <c:pt idx="500">
                  <c:v>111.92</c:v>
                </c:pt>
                <c:pt idx="501">
                  <c:v>111.41</c:v>
                </c:pt>
                <c:pt idx="502">
                  <c:v>112.76</c:v>
                </c:pt>
                <c:pt idx="503">
                  <c:v>112.71</c:v>
                </c:pt>
                <c:pt idx="504">
                  <c:v>114.34</c:v>
                </c:pt>
                <c:pt idx="505">
                  <c:v>112.72</c:v>
                </c:pt>
                <c:pt idx="506">
                  <c:v>113.07</c:v>
                </c:pt>
                <c:pt idx="507">
                  <c:v>114.53</c:v>
                </c:pt>
                <c:pt idx="508">
                  <c:v>117.97</c:v>
                </c:pt>
                <c:pt idx="509">
                  <c:v>120.36</c:v>
                </c:pt>
                <c:pt idx="510">
                  <c:v>120.04</c:v>
                </c:pt>
                <c:pt idx="511">
                  <c:v>119.2</c:v>
                </c:pt>
                <c:pt idx="512">
                  <c:v>119.7</c:v>
                </c:pt>
                <c:pt idx="513">
                  <c:v>118.71</c:v>
                </c:pt>
                <c:pt idx="514">
                  <c:v>119.36</c:v>
                </c:pt>
                <c:pt idx="515">
                  <c:v>117.83</c:v>
                </c:pt>
                <c:pt idx="516">
                  <c:v>117.73</c:v>
                </c:pt>
                <c:pt idx="517">
                  <c:v>117.64</c:v>
                </c:pt>
                <c:pt idx="518">
                  <c:v>116.94</c:v>
                </c:pt>
                <c:pt idx="519">
                  <c:v>116.57</c:v>
                </c:pt>
                <c:pt idx="520">
                  <c:v>117.41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68B-9131-354F8BD72AA0}"/>
            </c:ext>
          </c:extLst>
        </c:ser>
        <c:ser>
          <c:idx val="1"/>
          <c:order val="1"/>
          <c:tx>
            <c:strRef>
              <c:f>WMT!$E$1</c:f>
              <c:strCache>
                <c:ptCount val="1"/>
                <c:pt idx="0">
                  <c:v>10d SMA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WMT!$B$2:$B$522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WMT!$E$2:$E$522</c:f>
              <c:numCache>
                <c:formatCode>General</c:formatCode>
                <c:ptCount val="521"/>
                <c:pt idx="8">
                  <c:v>53.123166666666663</c:v>
                </c:pt>
                <c:pt idx="9">
                  <c:v>53.217244444444447</c:v>
                </c:pt>
                <c:pt idx="10">
                  <c:v>53.282800000000009</c:v>
                </c:pt>
                <c:pt idx="11">
                  <c:v>53.48576666666667</c:v>
                </c:pt>
                <c:pt idx="12">
                  <c:v>53.695766666666664</c:v>
                </c:pt>
                <c:pt idx="13">
                  <c:v>53.8491</c:v>
                </c:pt>
                <c:pt idx="14">
                  <c:v>53.978355555555559</c:v>
                </c:pt>
                <c:pt idx="15">
                  <c:v>53.949100000000001</c:v>
                </c:pt>
                <c:pt idx="16">
                  <c:v>54.013177777777777</c:v>
                </c:pt>
                <c:pt idx="17">
                  <c:v>54.122433333333333</c:v>
                </c:pt>
                <c:pt idx="18">
                  <c:v>54.24132222222223</c:v>
                </c:pt>
                <c:pt idx="19">
                  <c:v>54.408722222222224</c:v>
                </c:pt>
                <c:pt idx="20">
                  <c:v>54.483166666666676</c:v>
                </c:pt>
                <c:pt idx="21">
                  <c:v>54.702799999999996</c:v>
                </c:pt>
                <c:pt idx="22">
                  <c:v>54.968722222222226</c:v>
                </c:pt>
                <c:pt idx="23">
                  <c:v>55.185755555555566</c:v>
                </c:pt>
                <c:pt idx="24">
                  <c:v>55.530566666666672</c:v>
                </c:pt>
                <c:pt idx="25">
                  <c:v>55.772777777777783</c:v>
                </c:pt>
                <c:pt idx="26">
                  <c:v>55.961666666666673</c:v>
                </c:pt>
                <c:pt idx="27">
                  <c:v>56.118700000000004</c:v>
                </c:pt>
                <c:pt idx="28">
                  <c:v>56.293144444444444</c:v>
                </c:pt>
                <c:pt idx="29">
                  <c:v>56.437211111111111</c:v>
                </c:pt>
                <c:pt idx="30">
                  <c:v>56.447944444444438</c:v>
                </c:pt>
                <c:pt idx="31">
                  <c:v>56.437566666666662</c:v>
                </c:pt>
                <c:pt idx="32">
                  <c:v>56.50053333333333</c:v>
                </c:pt>
                <c:pt idx="33">
                  <c:v>56.724599999999995</c:v>
                </c:pt>
                <c:pt idx="34">
                  <c:v>56.884599999999999</c:v>
                </c:pt>
                <c:pt idx="35">
                  <c:v>57.1083</c:v>
                </c:pt>
                <c:pt idx="36">
                  <c:v>57.340888888888884</c:v>
                </c:pt>
                <c:pt idx="37">
                  <c:v>57.655766666666672</c:v>
                </c:pt>
                <c:pt idx="38">
                  <c:v>58.01250000000001</c:v>
                </c:pt>
                <c:pt idx="39">
                  <c:v>58.392566666666681</c:v>
                </c:pt>
                <c:pt idx="40">
                  <c:v>58.634855555555561</c:v>
                </c:pt>
                <c:pt idx="41">
                  <c:v>58.854177777777778</c:v>
                </c:pt>
                <c:pt idx="42">
                  <c:v>58.9298</c:v>
                </c:pt>
                <c:pt idx="43">
                  <c:v>59.167644444444441</c:v>
                </c:pt>
                <c:pt idx="44">
                  <c:v>59.401044444444452</c:v>
                </c:pt>
                <c:pt idx="45">
                  <c:v>59.605555555555561</c:v>
                </c:pt>
                <c:pt idx="46">
                  <c:v>59.663333333333334</c:v>
                </c:pt>
                <c:pt idx="47">
                  <c:v>59.782222222222217</c:v>
                </c:pt>
                <c:pt idx="48">
                  <c:v>59.981111111111119</c:v>
                </c:pt>
                <c:pt idx="49">
                  <c:v>60.277777777777764</c:v>
                </c:pt>
                <c:pt idx="50">
                  <c:v>60.528888888888872</c:v>
                </c:pt>
                <c:pt idx="51">
                  <c:v>60.682222222222208</c:v>
                </c:pt>
                <c:pt idx="52">
                  <c:v>60.773333333333326</c:v>
                </c:pt>
                <c:pt idx="53">
                  <c:v>60.806666666666665</c:v>
                </c:pt>
                <c:pt idx="54">
                  <c:v>60.905555555555566</c:v>
                </c:pt>
                <c:pt idx="55">
                  <c:v>61.053333333333335</c:v>
                </c:pt>
                <c:pt idx="56">
                  <c:v>61.076666666666661</c:v>
                </c:pt>
                <c:pt idx="57">
                  <c:v>60.983333333333334</c:v>
                </c:pt>
                <c:pt idx="58">
                  <c:v>60.897777777777783</c:v>
                </c:pt>
                <c:pt idx="59">
                  <c:v>60.864444444444445</c:v>
                </c:pt>
                <c:pt idx="60">
                  <c:v>60.807777777777773</c:v>
                </c:pt>
                <c:pt idx="61">
                  <c:v>60.712222222222231</c:v>
                </c:pt>
                <c:pt idx="62">
                  <c:v>60.522222222222226</c:v>
                </c:pt>
                <c:pt idx="63">
                  <c:v>60.32</c:v>
                </c:pt>
                <c:pt idx="64">
                  <c:v>60.103333333333339</c:v>
                </c:pt>
                <c:pt idx="65">
                  <c:v>59.989999999999995</c:v>
                </c:pt>
                <c:pt idx="66">
                  <c:v>59.902222222222221</c:v>
                </c:pt>
                <c:pt idx="67">
                  <c:v>59.822222222222223</c:v>
                </c:pt>
                <c:pt idx="68">
                  <c:v>59.811111111111103</c:v>
                </c:pt>
                <c:pt idx="69">
                  <c:v>59.802222222222227</c:v>
                </c:pt>
                <c:pt idx="70">
                  <c:v>59.817777777777778</c:v>
                </c:pt>
                <c:pt idx="71">
                  <c:v>59.903333333333336</c:v>
                </c:pt>
                <c:pt idx="72">
                  <c:v>59.948888888888888</c:v>
                </c:pt>
                <c:pt idx="73">
                  <c:v>59.965555555555547</c:v>
                </c:pt>
                <c:pt idx="74">
                  <c:v>59.900000000000006</c:v>
                </c:pt>
                <c:pt idx="75">
                  <c:v>59.872222222222213</c:v>
                </c:pt>
                <c:pt idx="76">
                  <c:v>59.911111111111104</c:v>
                </c:pt>
                <c:pt idx="77">
                  <c:v>59.74111111111111</c:v>
                </c:pt>
                <c:pt idx="78">
                  <c:v>59.716666666666669</c:v>
                </c:pt>
                <c:pt idx="79">
                  <c:v>59.724444444444458</c:v>
                </c:pt>
                <c:pt idx="80">
                  <c:v>59.75</c:v>
                </c:pt>
                <c:pt idx="81">
                  <c:v>59.794444444444444</c:v>
                </c:pt>
                <c:pt idx="82">
                  <c:v>59.761111111111113</c:v>
                </c:pt>
                <c:pt idx="83">
                  <c:v>59.715555555555561</c:v>
                </c:pt>
                <c:pt idx="84">
                  <c:v>59.735555555555571</c:v>
                </c:pt>
                <c:pt idx="85">
                  <c:v>59.70000000000001</c:v>
                </c:pt>
                <c:pt idx="86">
                  <c:v>59.786666666666669</c:v>
                </c:pt>
                <c:pt idx="87">
                  <c:v>59.86999999999999</c:v>
                </c:pt>
                <c:pt idx="88">
                  <c:v>59.879999999999995</c:v>
                </c:pt>
                <c:pt idx="89">
                  <c:v>59.911111111111119</c:v>
                </c:pt>
                <c:pt idx="90">
                  <c:v>59.937777777777768</c:v>
                </c:pt>
                <c:pt idx="91">
                  <c:v>60.055555555555557</c:v>
                </c:pt>
                <c:pt idx="92">
                  <c:v>60.167777777777779</c:v>
                </c:pt>
                <c:pt idx="93">
                  <c:v>60.181111111111122</c:v>
                </c:pt>
                <c:pt idx="94">
                  <c:v>60.646666666666675</c:v>
                </c:pt>
                <c:pt idx="95">
                  <c:v>61.177777777777777</c:v>
                </c:pt>
                <c:pt idx="96">
                  <c:v>61.573333333333345</c:v>
                </c:pt>
                <c:pt idx="97">
                  <c:v>62.112222222222222</c:v>
                </c:pt>
                <c:pt idx="98">
                  <c:v>62.646666666666675</c:v>
                </c:pt>
                <c:pt idx="99">
                  <c:v>63.131111111111117</c:v>
                </c:pt>
                <c:pt idx="100">
                  <c:v>63.68333333333333</c:v>
                </c:pt>
                <c:pt idx="101">
                  <c:v>64.25888888888889</c:v>
                </c:pt>
                <c:pt idx="102">
                  <c:v>64.824444444444438</c:v>
                </c:pt>
                <c:pt idx="103">
                  <c:v>64.922222222222231</c:v>
                </c:pt>
                <c:pt idx="104">
                  <c:v>65.045555555555566</c:v>
                </c:pt>
                <c:pt idx="105">
                  <c:v>65.227777777777774</c:v>
                </c:pt>
                <c:pt idx="106">
                  <c:v>65.388888888888886</c:v>
                </c:pt>
                <c:pt idx="107">
                  <c:v>65.593333333333334</c:v>
                </c:pt>
                <c:pt idx="108">
                  <c:v>65.849999999999994</c:v>
                </c:pt>
                <c:pt idx="109">
                  <c:v>65.905555555555551</c:v>
                </c:pt>
                <c:pt idx="110">
                  <c:v>66.11888888888889</c:v>
                </c:pt>
                <c:pt idx="111">
                  <c:v>66.319999999999993</c:v>
                </c:pt>
                <c:pt idx="112">
                  <c:v>66.477777777777774</c:v>
                </c:pt>
                <c:pt idx="113">
                  <c:v>66.582222222222228</c:v>
                </c:pt>
                <c:pt idx="114">
                  <c:v>66.715555555555568</c:v>
                </c:pt>
                <c:pt idx="115">
                  <c:v>66.806666666666672</c:v>
                </c:pt>
                <c:pt idx="116">
                  <c:v>66.86333333333333</c:v>
                </c:pt>
                <c:pt idx="117">
                  <c:v>66.958888888888893</c:v>
                </c:pt>
                <c:pt idx="118">
                  <c:v>67.184444444444438</c:v>
                </c:pt>
                <c:pt idx="119">
                  <c:v>67.399999999999991</c:v>
                </c:pt>
                <c:pt idx="120">
                  <c:v>67.476666666666645</c:v>
                </c:pt>
                <c:pt idx="121">
                  <c:v>67.696666666666658</c:v>
                </c:pt>
                <c:pt idx="122">
                  <c:v>67.827777777777783</c:v>
                </c:pt>
                <c:pt idx="123">
                  <c:v>67.904444444444437</c:v>
                </c:pt>
                <c:pt idx="124">
                  <c:v>67.911111111111111</c:v>
                </c:pt>
                <c:pt idx="125">
                  <c:v>67.963333333333338</c:v>
                </c:pt>
                <c:pt idx="126">
                  <c:v>67.988888888888894</c:v>
                </c:pt>
                <c:pt idx="127">
                  <c:v>68.225555555555559</c:v>
                </c:pt>
                <c:pt idx="128">
                  <c:v>68.312222222222218</c:v>
                </c:pt>
                <c:pt idx="129">
                  <c:v>68.587777777777788</c:v>
                </c:pt>
                <c:pt idx="130">
                  <c:v>68.823333333333323</c:v>
                </c:pt>
                <c:pt idx="131">
                  <c:v>69.036666666666662</c:v>
                </c:pt>
                <c:pt idx="132">
                  <c:v>69.206666666666663</c:v>
                </c:pt>
                <c:pt idx="133">
                  <c:v>69.443333333333328</c:v>
                </c:pt>
                <c:pt idx="134">
                  <c:v>69.656666666666666</c:v>
                </c:pt>
                <c:pt idx="135">
                  <c:v>69.966666666666669</c:v>
                </c:pt>
                <c:pt idx="136">
                  <c:v>70.053333333333342</c:v>
                </c:pt>
                <c:pt idx="137">
                  <c:v>70.172222222222217</c:v>
                </c:pt>
                <c:pt idx="138">
                  <c:v>70.225555555555559</c:v>
                </c:pt>
                <c:pt idx="139">
                  <c:v>70.252222222222201</c:v>
                </c:pt>
                <c:pt idx="140">
                  <c:v>70.341111111111118</c:v>
                </c:pt>
                <c:pt idx="141">
                  <c:v>70.427777777777777</c:v>
                </c:pt>
                <c:pt idx="142">
                  <c:v>70.446666666666658</c:v>
                </c:pt>
                <c:pt idx="143">
                  <c:v>70.405555555555551</c:v>
                </c:pt>
                <c:pt idx="144">
                  <c:v>70.201111111111103</c:v>
                </c:pt>
                <c:pt idx="145">
                  <c:v>69.958888888888893</c:v>
                </c:pt>
                <c:pt idx="146">
                  <c:v>69.852222222222224</c:v>
                </c:pt>
                <c:pt idx="147">
                  <c:v>69.638888888888886</c:v>
                </c:pt>
                <c:pt idx="148">
                  <c:v>69.298888888888897</c:v>
                </c:pt>
                <c:pt idx="149">
                  <c:v>68.981111111111119</c:v>
                </c:pt>
                <c:pt idx="150">
                  <c:v>68.635555555555555</c:v>
                </c:pt>
                <c:pt idx="151">
                  <c:v>68.399999999999991</c:v>
                </c:pt>
                <c:pt idx="152">
                  <c:v>68.214444444444439</c:v>
                </c:pt>
                <c:pt idx="153">
                  <c:v>68.160000000000011</c:v>
                </c:pt>
                <c:pt idx="154">
                  <c:v>68.103333333333325</c:v>
                </c:pt>
                <c:pt idx="155">
                  <c:v>67.977777777777774</c:v>
                </c:pt>
                <c:pt idx="156">
                  <c:v>68.502222222222215</c:v>
                </c:pt>
                <c:pt idx="157">
                  <c:v>69.15333333333335</c:v>
                </c:pt>
                <c:pt idx="158">
                  <c:v>69.817777777777778</c:v>
                </c:pt>
                <c:pt idx="159">
                  <c:v>70.665555555555557</c:v>
                </c:pt>
                <c:pt idx="160">
                  <c:v>71.507777777777775</c:v>
                </c:pt>
                <c:pt idx="161">
                  <c:v>72.355555555555554</c:v>
                </c:pt>
                <c:pt idx="162">
                  <c:v>73.13333333333334</c:v>
                </c:pt>
                <c:pt idx="163">
                  <c:v>74.01111111111112</c:v>
                </c:pt>
                <c:pt idx="164">
                  <c:v>74.841111111111104</c:v>
                </c:pt>
                <c:pt idx="165">
                  <c:v>75.163333333333341</c:v>
                </c:pt>
                <c:pt idx="166">
                  <c:v>75.493333333333325</c:v>
                </c:pt>
                <c:pt idx="167">
                  <c:v>75.88333333333334</c:v>
                </c:pt>
                <c:pt idx="168">
                  <c:v>76.175555555555547</c:v>
                </c:pt>
                <c:pt idx="169">
                  <c:v>76.397777777777776</c:v>
                </c:pt>
                <c:pt idx="170">
                  <c:v>76.551111111111112</c:v>
                </c:pt>
                <c:pt idx="171">
                  <c:v>76.655555555555566</c:v>
                </c:pt>
                <c:pt idx="172">
                  <c:v>76.801111111111112</c:v>
                </c:pt>
                <c:pt idx="173">
                  <c:v>77.098888888888894</c:v>
                </c:pt>
                <c:pt idx="174">
                  <c:v>77.405555555555551</c:v>
                </c:pt>
                <c:pt idx="175">
                  <c:v>77.765555555555537</c:v>
                </c:pt>
                <c:pt idx="176">
                  <c:v>78.14</c:v>
                </c:pt>
                <c:pt idx="177">
                  <c:v>78.516666666666652</c:v>
                </c:pt>
                <c:pt idx="178">
                  <c:v>78.667777777777786</c:v>
                </c:pt>
                <c:pt idx="179">
                  <c:v>78.897777777777776</c:v>
                </c:pt>
                <c:pt idx="180">
                  <c:v>79.053333333333327</c:v>
                </c:pt>
                <c:pt idx="181">
                  <c:v>79.244444444444426</c:v>
                </c:pt>
                <c:pt idx="182">
                  <c:v>79.413333333333327</c:v>
                </c:pt>
                <c:pt idx="183">
                  <c:v>79.61666666666666</c:v>
                </c:pt>
                <c:pt idx="184">
                  <c:v>79.81</c:v>
                </c:pt>
                <c:pt idx="185">
                  <c:v>79.734444444444435</c:v>
                </c:pt>
                <c:pt idx="186">
                  <c:v>79.647777777777776</c:v>
                </c:pt>
                <c:pt idx="187">
                  <c:v>79.886666666666656</c:v>
                </c:pt>
                <c:pt idx="188">
                  <c:v>80.135555555555555</c:v>
                </c:pt>
                <c:pt idx="189">
                  <c:v>80.401111111111121</c:v>
                </c:pt>
                <c:pt idx="190">
                  <c:v>80.553333333333342</c:v>
                </c:pt>
                <c:pt idx="191">
                  <c:v>80.621111111111134</c:v>
                </c:pt>
                <c:pt idx="192">
                  <c:v>80.446666666666673</c:v>
                </c:pt>
                <c:pt idx="193">
                  <c:v>80.25888888888889</c:v>
                </c:pt>
                <c:pt idx="194">
                  <c:v>80.312222222222232</c:v>
                </c:pt>
                <c:pt idx="195">
                  <c:v>80.293333333333337</c:v>
                </c:pt>
                <c:pt idx="196">
                  <c:v>80.221111111111114</c:v>
                </c:pt>
                <c:pt idx="197">
                  <c:v>80.112222222222215</c:v>
                </c:pt>
                <c:pt idx="198">
                  <c:v>80.247777777777785</c:v>
                </c:pt>
                <c:pt idx="199">
                  <c:v>80.335555555555558</c:v>
                </c:pt>
                <c:pt idx="200">
                  <c:v>80.33</c:v>
                </c:pt>
                <c:pt idx="201">
                  <c:v>80.575555555555567</c:v>
                </c:pt>
                <c:pt idx="202">
                  <c:v>80.697777777777773</c:v>
                </c:pt>
                <c:pt idx="203">
                  <c:v>80.877777777777766</c:v>
                </c:pt>
                <c:pt idx="204">
                  <c:v>81.284444444444432</c:v>
                </c:pt>
                <c:pt idx="205">
                  <c:v>81.611111111111114</c:v>
                </c:pt>
                <c:pt idx="206">
                  <c:v>81.85777777777777</c:v>
                </c:pt>
                <c:pt idx="207">
                  <c:v>81.97999999999999</c:v>
                </c:pt>
                <c:pt idx="208">
                  <c:v>82.033333333333346</c:v>
                </c:pt>
                <c:pt idx="209">
                  <c:v>82.088888888888903</c:v>
                </c:pt>
                <c:pt idx="210">
                  <c:v>82.160000000000011</c:v>
                </c:pt>
                <c:pt idx="211">
                  <c:v>82.313333333333333</c:v>
                </c:pt>
                <c:pt idx="212">
                  <c:v>82.361111111111114</c:v>
                </c:pt>
                <c:pt idx="213">
                  <c:v>82.40666666666668</c:v>
                </c:pt>
                <c:pt idx="214">
                  <c:v>82.451111111111103</c:v>
                </c:pt>
                <c:pt idx="215">
                  <c:v>82.6</c:v>
                </c:pt>
                <c:pt idx="216">
                  <c:v>82.831111111111113</c:v>
                </c:pt>
                <c:pt idx="217">
                  <c:v>83.110000000000014</c:v>
                </c:pt>
                <c:pt idx="218">
                  <c:v>83.51</c:v>
                </c:pt>
                <c:pt idx="219">
                  <c:v>83.904444444444437</c:v>
                </c:pt>
                <c:pt idx="220">
                  <c:v>84.157777777777767</c:v>
                </c:pt>
                <c:pt idx="221">
                  <c:v>84.357777777777784</c:v>
                </c:pt>
                <c:pt idx="222">
                  <c:v>84.402222222222221</c:v>
                </c:pt>
                <c:pt idx="223">
                  <c:v>84.753333333333345</c:v>
                </c:pt>
                <c:pt idx="224">
                  <c:v>85.123333333333349</c:v>
                </c:pt>
                <c:pt idx="225">
                  <c:v>85.518888888888881</c:v>
                </c:pt>
                <c:pt idx="226">
                  <c:v>86.211111111111094</c:v>
                </c:pt>
                <c:pt idx="227">
                  <c:v>86.712222222222209</c:v>
                </c:pt>
                <c:pt idx="228">
                  <c:v>87.357777777777784</c:v>
                </c:pt>
                <c:pt idx="229">
                  <c:v>88.181111111111107</c:v>
                </c:pt>
                <c:pt idx="230">
                  <c:v>89.097777777777779</c:v>
                </c:pt>
                <c:pt idx="231">
                  <c:v>90.048888888888897</c:v>
                </c:pt>
                <c:pt idx="232">
                  <c:v>90.816666666666663</c:v>
                </c:pt>
                <c:pt idx="233">
                  <c:v>91.62444444444445</c:v>
                </c:pt>
                <c:pt idx="234">
                  <c:v>92.392222222222216</c:v>
                </c:pt>
                <c:pt idx="235">
                  <c:v>92.976666666666674</c:v>
                </c:pt>
                <c:pt idx="236">
                  <c:v>93.457777777777778</c:v>
                </c:pt>
                <c:pt idx="237">
                  <c:v>93.817777777777778</c:v>
                </c:pt>
                <c:pt idx="238">
                  <c:v>94.160000000000011</c:v>
                </c:pt>
                <c:pt idx="239">
                  <c:v>94.336666666666673</c:v>
                </c:pt>
                <c:pt idx="240">
                  <c:v>94.515555555555551</c:v>
                </c:pt>
                <c:pt idx="241">
                  <c:v>94.666666666666671</c:v>
                </c:pt>
                <c:pt idx="242">
                  <c:v>94.774444444444441</c:v>
                </c:pt>
                <c:pt idx="243">
                  <c:v>94.579999999999984</c:v>
                </c:pt>
                <c:pt idx="244">
                  <c:v>94.324444444444424</c:v>
                </c:pt>
                <c:pt idx="245">
                  <c:v>94.147777777777776</c:v>
                </c:pt>
                <c:pt idx="246">
                  <c:v>93.681111111111107</c:v>
                </c:pt>
                <c:pt idx="247">
                  <c:v>93.427777777777791</c:v>
                </c:pt>
                <c:pt idx="248">
                  <c:v>93.283333333333331</c:v>
                </c:pt>
                <c:pt idx="249">
                  <c:v>92.995555555555541</c:v>
                </c:pt>
                <c:pt idx="250">
                  <c:v>92.517777777777781</c:v>
                </c:pt>
                <c:pt idx="251">
                  <c:v>91.954444444444448</c:v>
                </c:pt>
                <c:pt idx="252">
                  <c:v>91.56</c:v>
                </c:pt>
                <c:pt idx="253">
                  <c:v>91.268888888888881</c:v>
                </c:pt>
                <c:pt idx="254">
                  <c:v>91.178888888888878</c:v>
                </c:pt>
                <c:pt idx="255">
                  <c:v>91.22999999999999</c:v>
                </c:pt>
                <c:pt idx="256">
                  <c:v>91.132222222222197</c:v>
                </c:pt>
                <c:pt idx="257">
                  <c:v>91.155555555555537</c:v>
                </c:pt>
                <c:pt idx="258">
                  <c:v>91.141111111111101</c:v>
                </c:pt>
                <c:pt idx="259">
                  <c:v>91.165555555555542</c:v>
                </c:pt>
                <c:pt idx="260">
                  <c:v>91.275555555555556</c:v>
                </c:pt>
                <c:pt idx="261">
                  <c:v>91.42</c:v>
                </c:pt>
                <c:pt idx="262">
                  <c:v>91.548888888888897</c:v>
                </c:pt>
                <c:pt idx="263">
                  <c:v>91.732222222222219</c:v>
                </c:pt>
                <c:pt idx="264">
                  <c:v>92.001111111111129</c:v>
                </c:pt>
                <c:pt idx="265">
                  <c:v>92.224444444444444</c:v>
                </c:pt>
                <c:pt idx="266">
                  <c:v>92.42</c:v>
                </c:pt>
                <c:pt idx="267">
                  <c:v>93.072222222222223</c:v>
                </c:pt>
                <c:pt idx="268">
                  <c:v>93.794444444444437</c:v>
                </c:pt>
                <c:pt idx="269">
                  <c:v>94.478888888888889</c:v>
                </c:pt>
                <c:pt idx="270">
                  <c:v>95.295555555555552</c:v>
                </c:pt>
                <c:pt idx="271">
                  <c:v>95.98666666666665</c:v>
                </c:pt>
                <c:pt idx="272">
                  <c:v>96.704444444444434</c:v>
                </c:pt>
                <c:pt idx="273">
                  <c:v>97.542222222222222</c:v>
                </c:pt>
                <c:pt idx="274">
                  <c:v>98.50333333333333</c:v>
                </c:pt>
                <c:pt idx="275">
                  <c:v>99.402222222222221</c:v>
                </c:pt>
                <c:pt idx="276">
                  <c:v>99.818888888888907</c:v>
                </c:pt>
                <c:pt idx="277">
                  <c:v>100.44444444444444</c:v>
                </c:pt>
                <c:pt idx="278">
                  <c:v>100.99666666666666</c:v>
                </c:pt>
                <c:pt idx="279">
                  <c:v>101.54777777777777</c:v>
                </c:pt>
                <c:pt idx="280">
                  <c:v>102.31333333333333</c:v>
                </c:pt>
                <c:pt idx="281">
                  <c:v>102.81333333333333</c:v>
                </c:pt>
                <c:pt idx="282">
                  <c:v>103.14777777777778</c:v>
                </c:pt>
                <c:pt idx="283">
                  <c:v>103.31888888888888</c:v>
                </c:pt>
                <c:pt idx="284">
                  <c:v>102.69222222222221</c:v>
                </c:pt>
                <c:pt idx="285">
                  <c:v>101.98444444444445</c:v>
                </c:pt>
                <c:pt idx="286">
                  <c:v>100.95666666666666</c:v>
                </c:pt>
                <c:pt idx="287">
                  <c:v>100.42555555555555</c:v>
                </c:pt>
                <c:pt idx="288">
                  <c:v>99.602222222222224</c:v>
                </c:pt>
                <c:pt idx="289">
                  <c:v>98.684444444444424</c:v>
                </c:pt>
                <c:pt idx="290">
                  <c:v>98.081111111111113</c:v>
                </c:pt>
                <c:pt idx="291">
                  <c:v>97.393333333333345</c:v>
                </c:pt>
                <c:pt idx="292">
                  <c:v>96.390000000000015</c:v>
                </c:pt>
                <c:pt idx="293">
                  <c:v>96.253333333333345</c:v>
                </c:pt>
                <c:pt idx="294">
                  <c:v>96.237777777777794</c:v>
                </c:pt>
                <c:pt idx="295">
                  <c:v>96.021111111111111</c:v>
                </c:pt>
                <c:pt idx="296">
                  <c:v>94.924444444444461</c:v>
                </c:pt>
                <c:pt idx="297">
                  <c:v>93.951111111111132</c:v>
                </c:pt>
                <c:pt idx="298">
                  <c:v>92.663333333333341</c:v>
                </c:pt>
                <c:pt idx="299">
                  <c:v>91.095555555555563</c:v>
                </c:pt>
                <c:pt idx="300">
                  <c:v>89.73555555555555</c:v>
                </c:pt>
                <c:pt idx="301">
                  <c:v>88.901111111111121</c:v>
                </c:pt>
                <c:pt idx="302">
                  <c:v>87.74666666666667</c:v>
                </c:pt>
                <c:pt idx="303">
                  <c:v>86.823333333333338</c:v>
                </c:pt>
                <c:pt idx="304">
                  <c:v>86.166666666666671</c:v>
                </c:pt>
                <c:pt idx="305">
                  <c:v>85.962222222222238</c:v>
                </c:pt>
                <c:pt idx="306">
                  <c:v>85.967777777777783</c:v>
                </c:pt>
                <c:pt idx="307">
                  <c:v>85.918888888888887</c:v>
                </c:pt>
                <c:pt idx="308">
                  <c:v>85.997777777777785</c:v>
                </c:pt>
                <c:pt idx="309">
                  <c:v>86.028888888888886</c:v>
                </c:pt>
                <c:pt idx="310">
                  <c:v>85.772222222222226</c:v>
                </c:pt>
                <c:pt idx="311">
                  <c:v>86.016666666666666</c:v>
                </c:pt>
                <c:pt idx="312">
                  <c:v>86.294444444444437</c:v>
                </c:pt>
                <c:pt idx="313">
                  <c:v>86.733333333333334</c:v>
                </c:pt>
                <c:pt idx="314">
                  <c:v>86.87555555555555</c:v>
                </c:pt>
                <c:pt idx="315">
                  <c:v>86.397777777777776</c:v>
                </c:pt>
                <c:pt idx="316">
                  <c:v>86.294444444444437</c:v>
                </c:pt>
                <c:pt idx="317">
                  <c:v>85.914444444444428</c:v>
                </c:pt>
                <c:pt idx="318">
                  <c:v>86.355555555555554</c:v>
                </c:pt>
                <c:pt idx="319">
                  <c:v>86.962222222222223</c:v>
                </c:pt>
                <c:pt idx="320">
                  <c:v>87.518888888888881</c:v>
                </c:pt>
                <c:pt idx="321">
                  <c:v>88.174444444444447</c:v>
                </c:pt>
                <c:pt idx="322">
                  <c:v>88.642222222222216</c:v>
                </c:pt>
                <c:pt idx="323">
                  <c:v>89.078888888888898</c:v>
                </c:pt>
                <c:pt idx="324">
                  <c:v>90.193333333333328</c:v>
                </c:pt>
                <c:pt idx="325">
                  <c:v>91.146666666666675</c:v>
                </c:pt>
                <c:pt idx="326">
                  <c:v>92.597777777777793</c:v>
                </c:pt>
                <c:pt idx="327">
                  <c:v>93.193333333333328</c:v>
                </c:pt>
                <c:pt idx="328">
                  <c:v>93.774444444444441</c:v>
                </c:pt>
                <c:pt idx="329">
                  <c:v>94.028888888888901</c:v>
                </c:pt>
                <c:pt idx="330">
                  <c:v>94.083333333333343</c:v>
                </c:pt>
                <c:pt idx="331">
                  <c:v>94.313333333333333</c:v>
                </c:pt>
                <c:pt idx="332">
                  <c:v>94.986666666666665</c:v>
                </c:pt>
                <c:pt idx="333">
                  <c:v>95.452222222222218</c:v>
                </c:pt>
                <c:pt idx="334">
                  <c:v>96.156666666666666</c:v>
                </c:pt>
                <c:pt idx="335">
                  <c:v>96.654444444444451</c:v>
                </c:pt>
                <c:pt idx="336">
                  <c:v>97.053333333333342</c:v>
                </c:pt>
                <c:pt idx="337">
                  <c:v>97.385555555555555</c:v>
                </c:pt>
                <c:pt idx="338">
                  <c:v>97.645555555555546</c:v>
                </c:pt>
                <c:pt idx="339">
                  <c:v>97.812222222222246</c:v>
                </c:pt>
                <c:pt idx="340">
                  <c:v>97.891111111111115</c:v>
                </c:pt>
                <c:pt idx="341">
                  <c:v>97.73888888888888</c:v>
                </c:pt>
                <c:pt idx="342">
                  <c:v>97.674444444444447</c:v>
                </c:pt>
                <c:pt idx="343">
                  <c:v>97.407777777777781</c:v>
                </c:pt>
                <c:pt idx="344">
                  <c:v>97.286666666666676</c:v>
                </c:pt>
                <c:pt idx="345">
                  <c:v>97.238888888888894</c:v>
                </c:pt>
                <c:pt idx="346">
                  <c:v>97.124444444444435</c:v>
                </c:pt>
                <c:pt idx="347">
                  <c:v>97.013333333333321</c:v>
                </c:pt>
                <c:pt idx="348">
                  <c:v>96.925555555555547</c:v>
                </c:pt>
                <c:pt idx="349">
                  <c:v>96.88</c:v>
                </c:pt>
                <c:pt idx="350">
                  <c:v>97.068888888888907</c:v>
                </c:pt>
                <c:pt idx="351">
                  <c:v>97.114444444444459</c:v>
                </c:pt>
                <c:pt idx="352">
                  <c:v>97.197777777777787</c:v>
                </c:pt>
                <c:pt idx="353">
                  <c:v>97.251111111111129</c:v>
                </c:pt>
                <c:pt idx="354">
                  <c:v>97.434444444444438</c:v>
                </c:pt>
                <c:pt idx="355">
                  <c:v>97.676666666666677</c:v>
                </c:pt>
                <c:pt idx="356">
                  <c:v>98.001111111111129</c:v>
                </c:pt>
                <c:pt idx="357">
                  <c:v>98.226666666666674</c:v>
                </c:pt>
                <c:pt idx="358">
                  <c:v>98.352222222222224</c:v>
                </c:pt>
                <c:pt idx="359">
                  <c:v>98.337777777777788</c:v>
                </c:pt>
                <c:pt idx="360">
                  <c:v>98.346666666666678</c:v>
                </c:pt>
                <c:pt idx="361">
                  <c:v>98.202222222222218</c:v>
                </c:pt>
                <c:pt idx="362">
                  <c:v>97.77</c:v>
                </c:pt>
                <c:pt idx="363">
                  <c:v>97.177777777777763</c:v>
                </c:pt>
                <c:pt idx="364">
                  <c:v>96.545555555555538</c:v>
                </c:pt>
                <c:pt idx="365">
                  <c:v>95.978888888888889</c:v>
                </c:pt>
                <c:pt idx="366">
                  <c:v>95.66</c:v>
                </c:pt>
                <c:pt idx="367">
                  <c:v>95.51</c:v>
                </c:pt>
                <c:pt idx="368">
                  <c:v>95.556666666666672</c:v>
                </c:pt>
                <c:pt idx="369">
                  <c:v>95.632222222222225</c:v>
                </c:pt>
                <c:pt idx="370">
                  <c:v>95.794444444444437</c:v>
                </c:pt>
                <c:pt idx="371">
                  <c:v>95.926666666666677</c:v>
                </c:pt>
                <c:pt idx="372">
                  <c:v>96.24111111111111</c:v>
                </c:pt>
                <c:pt idx="373">
                  <c:v>96.628888888888881</c:v>
                </c:pt>
                <c:pt idx="374">
                  <c:v>97.072222222222223</c:v>
                </c:pt>
                <c:pt idx="375">
                  <c:v>97.352222222222224</c:v>
                </c:pt>
                <c:pt idx="376">
                  <c:v>97.601111111111109</c:v>
                </c:pt>
                <c:pt idx="377">
                  <c:v>97.765555555555551</c:v>
                </c:pt>
                <c:pt idx="378">
                  <c:v>97.664444444444456</c:v>
                </c:pt>
                <c:pt idx="379">
                  <c:v>97.614444444444445</c:v>
                </c:pt>
                <c:pt idx="380">
                  <c:v>97.48555555555555</c:v>
                </c:pt>
                <c:pt idx="381">
                  <c:v>97.166666666666671</c:v>
                </c:pt>
                <c:pt idx="382">
                  <c:v>96.944444444444443</c:v>
                </c:pt>
                <c:pt idx="383">
                  <c:v>96.627777777777766</c:v>
                </c:pt>
                <c:pt idx="384">
                  <c:v>96.354444444444439</c:v>
                </c:pt>
                <c:pt idx="385">
                  <c:v>95.99111111111111</c:v>
                </c:pt>
                <c:pt idx="386">
                  <c:v>95.513333333333321</c:v>
                </c:pt>
                <c:pt idx="387">
                  <c:v>95.355555555555554</c:v>
                </c:pt>
                <c:pt idx="388">
                  <c:v>95.248888888888871</c:v>
                </c:pt>
                <c:pt idx="389">
                  <c:v>95.339999999999989</c:v>
                </c:pt>
                <c:pt idx="390">
                  <c:v>95.584444444444458</c:v>
                </c:pt>
                <c:pt idx="391">
                  <c:v>95.77222222222224</c:v>
                </c:pt>
                <c:pt idx="392">
                  <c:v>96.018888888888895</c:v>
                </c:pt>
                <c:pt idx="393">
                  <c:v>96.37222222222222</c:v>
                </c:pt>
                <c:pt idx="394">
                  <c:v>96.65000000000002</c:v>
                </c:pt>
                <c:pt idx="395">
                  <c:v>96.975555555555559</c:v>
                </c:pt>
                <c:pt idx="396">
                  <c:v>97.288888888888906</c:v>
                </c:pt>
                <c:pt idx="397">
                  <c:v>97.704444444444448</c:v>
                </c:pt>
                <c:pt idx="398">
                  <c:v>98.107777777777784</c:v>
                </c:pt>
                <c:pt idx="399">
                  <c:v>98.858888888888899</c:v>
                </c:pt>
                <c:pt idx="400">
                  <c:v>99.486666666666679</c:v>
                </c:pt>
                <c:pt idx="401">
                  <c:v>100.16666666666667</c:v>
                </c:pt>
                <c:pt idx="402">
                  <c:v>100.78888888888888</c:v>
                </c:pt>
                <c:pt idx="403">
                  <c:v>101.45888888888889</c:v>
                </c:pt>
                <c:pt idx="404">
                  <c:v>101.79333333333334</c:v>
                </c:pt>
                <c:pt idx="405">
                  <c:v>102.05555555555556</c:v>
                </c:pt>
                <c:pt idx="406">
                  <c:v>102.10111111111112</c:v>
                </c:pt>
                <c:pt idx="407">
                  <c:v>102.25555555555556</c:v>
                </c:pt>
                <c:pt idx="408">
                  <c:v>102.02555555555556</c:v>
                </c:pt>
                <c:pt idx="409">
                  <c:v>101.96444444444445</c:v>
                </c:pt>
                <c:pt idx="410">
                  <c:v>101.32333333333334</c:v>
                </c:pt>
                <c:pt idx="411">
                  <c:v>100.53444444444445</c:v>
                </c:pt>
                <c:pt idx="412">
                  <c:v>99.695555555555558</c:v>
                </c:pt>
                <c:pt idx="413">
                  <c:v>99.146666666666661</c:v>
                </c:pt>
                <c:pt idx="414">
                  <c:v>98.616666666666674</c:v>
                </c:pt>
                <c:pt idx="415">
                  <c:v>98.184444444444438</c:v>
                </c:pt>
                <c:pt idx="416">
                  <c:v>97.771111111111111</c:v>
                </c:pt>
                <c:pt idx="417">
                  <c:v>97.388888888888886</c:v>
                </c:pt>
                <c:pt idx="418">
                  <c:v>97.041111111111121</c:v>
                </c:pt>
                <c:pt idx="419">
                  <c:v>97.371111111111134</c:v>
                </c:pt>
                <c:pt idx="420">
                  <c:v>97.78</c:v>
                </c:pt>
                <c:pt idx="421">
                  <c:v>98.47</c:v>
                </c:pt>
                <c:pt idx="422">
                  <c:v>99.163333333333327</c:v>
                </c:pt>
                <c:pt idx="423">
                  <c:v>99.644444444444446</c:v>
                </c:pt>
                <c:pt idx="424">
                  <c:v>100.37111111111111</c:v>
                </c:pt>
                <c:pt idx="425">
                  <c:v>101.09444444444443</c:v>
                </c:pt>
                <c:pt idx="426">
                  <c:v>101.74333333333334</c:v>
                </c:pt>
                <c:pt idx="427">
                  <c:v>102.18555555555555</c:v>
                </c:pt>
                <c:pt idx="428">
                  <c:v>102.55666666666666</c:v>
                </c:pt>
                <c:pt idx="429">
                  <c:v>102.89999999999999</c:v>
                </c:pt>
                <c:pt idx="430">
                  <c:v>102.90555555555555</c:v>
                </c:pt>
                <c:pt idx="431">
                  <c:v>102.96444444444445</c:v>
                </c:pt>
                <c:pt idx="432">
                  <c:v>103.19888888888889</c:v>
                </c:pt>
                <c:pt idx="433">
                  <c:v>103.20777777777779</c:v>
                </c:pt>
                <c:pt idx="434">
                  <c:v>103.1588888888889</c:v>
                </c:pt>
                <c:pt idx="435">
                  <c:v>103.09999999999998</c:v>
                </c:pt>
                <c:pt idx="436">
                  <c:v>103.06222222222222</c:v>
                </c:pt>
                <c:pt idx="437">
                  <c:v>102.92777777777776</c:v>
                </c:pt>
                <c:pt idx="438">
                  <c:v>102.74555555555555</c:v>
                </c:pt>
                <c:pt idx="439">
                  <c:v>102.67555555555558</c:v>
                </c:pt>
                <c:pt idx="440">
                  <c:v>102.59222222222223</c:v>
                </c:pt>
                <c:pt idx="441">
                  <c:v>102.61222222222221</c:v>
                </c:pt>
                <c:pt idx="442">
                  <c:v>102.66888888888889</c:v>
                </c:pt>
                <c:pt idx="443">
                  <c:v>102.65222222222222</c:v>
                </c:pt>
                <c:pt idx="444">
                  <c:v>102.49777777777777</c:v>
                </c:pt>
                <c:pt idx="445">
                  <c:v>102.35999999999999</c:v>
                </c:pt>
                <c:pt idx="446">
                  <c:v>102.25555555555556</c:v>
                </c:pt>
                <c:pt idx="447">
                  <c:v>102.8388888888889</c:v>
                </c:pt>
                <c:pt idx="448">
                  <c:v>103.65333333333334</c:v>
                </c:pt>
                <c:pt idx="449">
                  <c:v>104.14222222222223</c:v>
                </c:pt>
                <c:pt idx="450">
                  <c:v>104.70111111111112</c:v>
                </c:pt>
                <c:pt idx="451">
                  <c:v>105.12444444444445</c:v>
                </c:pt>
                <c:pt idx="452">
                  <c:v>105.49333333333334</c:v>
                </c:pt>
                <c:pt idx="453">
                  <c:v>106.09</c:v>
                </c:pt>
                <c:pt idx="454">
                  <c:v>106.64777777777778</c:v>
                </c:pt>
                <c:pt idx="455">
                  <c:v>107.09777777777778</c:v>
                </c:pt>
                <c:pt idx="456">
                  <c:v>106.79333333333334</c:v>
                </c:pt>
                <c:pt idx="457">
                  <c:v>106.14222222222222</c:v>
                </c:pt>
                <c:pt idx="458">
                  <c:v>105.69666666666666</c:v>
                </c:pt>
                <c:pt idx="459">
                  <c:v>105.08555555555556</c:v>
                </c:pt>
                <c:pt idx="460">
                  <c:v>104.43333333333334</c:v>
                </c:pt>
                <c:pt idx="461">
                  <c:v>103.9188888888889</c:v>
                </c:pt>
                <c:pt idx="462">
                  <c:v>103.37777777777778</c:v>
                </c:pt>
                <c:pt idx="463">
                  <c:v>102.7788888888889</c:v>
                </c:pt>
                <c:pt idx="464">
                  <c:v>102.28</c:v>
                </c:pt>
                <c:pt idx="465">
                  <c:v>102.07111111111111</c:v>
                </c:pt>
                <c:pt idx="466">
                  <c:v>101.98777777777779</c:v>
                </c:pt>
                <c:pt idx="467">
                  <c:v>102.09666666666668</c:v>
                </c:pt>
                <c:pt idx="468">
                  <c:v>102.2311111111111</c:v>
                </c:pt>
                <c:pt idx="469">
                  <c:v>102.38222222222223</c:v>
                </c:pt>
                <c:pt idx="470">
                  <c:v>102.4811111111111</c:v>
                </c:pt>
                <c:pt idx="471">
                  <c:v>102.55666666666667</c:v>
                </c:pt>
                <c:pt idx="472">
                  <c:v>102.54777777777777</c:v>
                </c:pt>
                <c:pt idx="473">
                  <c:v>102.42888888888889</c:v>
                </c:pt>
                <c:pt idx="474">
                  <c:v>102.93111111111112</c:v>
                </c:pt>
                <c:pt idx="475">
                  <c:v>103.25333333333333</c:v>
                </c:pt>
                <c:pt idx="476">
                  <c:v>103.32222222222224</c:v>
                </c:pt>
                <c:pt idx="477">
                  <c:v>103.71777777777778</c:v>
                </c:pt>
                <c:pt idx="478">
                  <c:v>104.44666666666666</c:v>
                </c:pt>
                <c:pt idx="479">
                  <c:v>105.3388888888889</c:v>
                </c:pt>
                <c:pt idx="480">
                  <c:v>106.29222222222222</c:v>
                </c:pt>
                <c:pt idx="481">
                  <c:v>107.51666666666665</c:v>
                </c:pt>
                <c:pt idx="482">
                  <c:v>109.05</c:v>
                </c:pt>
                <c:pt idx="483">
                  <c:v>109.90888888888888</c:v>
                </c:pt>
                <c:pt idx="484">
                  <c:v>110.99666666666666</c:v>
                </c:pt>
                <c:pt idx="485">
                  <c:v>112.05222222222223</c:v>
                </c:pt>
                <c:pt idx="486">
                  <c:v>112.94777777777777</c:v>
                </c:pt>
                <c:pt idx="487">
                  <c:v>113.40111111111112</c:v>
                </c:pt>
                <c:pt idx="488">
                  <c:v>113.95777777777779</c:v>
                </c:pt>
                <c:pt idx="489">
                  <c:v>114.53222222222222</c:v>
                </c:pt>
                <c:pt idx="490">
                  <c:v>115.0188888888889</c:v>
                </c:pt>
                <c:pt idx="491">
                  <c:v>115.13111111111112</c:v>
                </c:pt>
                <c:pt idx="492">
                  <c:v>115.22222222222223</c:v>
                </c:pt>
                <c:pt idx="493">
                  <c:v>115.19111111111108</c:v>
                </c:pt>
                <c:pt idx="494">
                  <c:v>115.28</c:v>
                </c:pt>
                <c:pt idx="495">
                  <c:v>115.00666666666666</c:v>
                </c:pt>
                <c:pt idx="496">
                  <c:v>114.75333333333336</c:v>
                </c:pt>
                <c:pt idx="497">
                  <c:v>114.31888888888891</c:v>
                </c:pt>
                <c:pt idx="498">
                  <c:v>113.76777777777778</c:v>
                </c:pt>
                <c:pt idx="499">
                  <c:v>113.29444444444444</c:v>
                </c:pt>
                <c:pt idx="500">
                  <c:v>112.90555555555555</c:v>
                </c:pt>
                <c:pt idx="501">
                  <c:v>112.43333333333332</c:v>
                </c:pt>
                <c:pt idx="502">
                  <c:v>112.20333333333332</c:v>
                </c:pt>
                <c:pt idx="503">
                  <c:v>112.02</c:v>
                </c:pt>
                <c:pt idx="504">
                  <c:v>112.21333333333332</c:v>
                </c:pt>
                <c:pt idx="505">
                  <c:v>112.41555555555557</c:v>
                </c:pt>
                <c:pt idx="506">
                  <c:v>112.57777777777778</c:v>
                </c:pt>
                <c:pt idx="507">
                  <c:v>112.88777777777779</c:v>
                </c:pt>
                <c:pt idx="508">
                  <c:v>113.49222222222222</c:v>
                </c:pt>
                <c:pt idx="509">
                  <c:v>114.42999999999999</c:v>
                </c:pt>
                <c:pt idx="510">
                  <c:v>115.38888888888889</c:v>
                </c:pt>
                <c:pt idx="511">
                  <c:v>116.10444444444445</c:v>
                </c:pt>
                <c:pt idx="512">
                  <c:v>116.88111111111112</c:v>
                </c:pt>
                <c:pt idx="513">
                  <c:v>117.36666666666666</c:v>
                </c:pt>
                <c:pt idx="514">
                  <c:v>118.10444444444445</c:v>
                </c:pt>
                <c:pt idx="515">
                  <c:v>118.63333333333334</c:v>
                </c:pt>
                <c:pt idx="516">
                  <c:v>118.98888888888889</c:v>
                </c:pt>
                <c:pt idx="517">
                  <c:v>118.95222222222225</c:v>
                </c:pt>
                <c:pt idx="518">
                  <c:v>118.57222222222224</c:v>
                </c:pt>
                <c:pt idx="519">
                  <c:v>118.18666666666667</c:v>
                </c:pt>
                <c:pt idx="520">
                  <c:v>117.98777777777777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3-468B-9131-354F8BD72AA0}"/>
            </c:ext>
          </c:extLst>
        </c:ser>
        <c:ser>
          <c:idx val="2"/>
          <c:order val="2"/>
          <c:tx>
            <c:strRef>
              <c:f>WMT!$F$1</c:f>
              <c:strCache>
                <c:ptCount val="1"/>
                <c:pt idx="0">
                  <c:v>20d SMA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WMT!$B$2:$B$522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WMT!$F$2:$F$522</c:f>
              <c:numCache>
                <c:formatCode>General</c:formatCode>
                <c:ptCount val="521"/>
                <c:pt idx="19">
                  <c:v>53.770965000000004</c:v>
                </c:pt>
                <c:pt idx="20">
                  <c:v>53.8703</c:v>
                </c:pt>
                <c:pt idx="21">
                  <c:v>54.020465000000016</c:v>
                </c:pt>
                <c:pt idx="22">
                  <c:v>54.217300000000009</c:v>
                </c:pt>
                <c:pt idx="23">
                  <c:v>54.416465000000002</c:v>
                </c:pt>
                <c:pt idx="24">
                  <c:v>54.609130000000007</c:v>
                </c:pt>
                <c:pt idx="25">
                  <c:v>54.776959999999995</c:v>
                </c:pt>
                <c:pt idx="26">
                  <c:v>54.911625000000001</c:v>
                </c:pt>
                <c:pt idx="27">
                  <c:v>55.047789999999999</c:v>
                </c:pt>
                <c:pt idx="28">
                  <c:v>55.197454999999991</c:v>
                </c:pt>
                <c:pt idx="29">
                  <c:v>55.319285000000001</c:v>
                </c:pt>
                <c:pt idx="30">
                  <c:v>55.444779999999994</c:v>
                </c:pt>
                <c:pt idx="31">
                  <c:v>55.545609999999996</c:v>
                </c:pt>
                <c:pt idx="32">
                  <c:v>55.678610000000006</c:v>
                </c:pt>
                <c:pt idx="33">
                  <c:v>55.903105000000004</c:v>
                </c:pt>
                <c:pt idx="34">
                  <c:v>56.084770000000006</c:v>
                </c:pt>
                <c:pt idx="35">
                  <c:v>56.333265000000004</c:v>
                </c:pt>
                <c:pt idx="36">
                  <c:v>56.545260000000006</c:v>
                </c:pt>
                <c:pt idx="37">
                  <c:v>56.787455000000001</c:v>
                </c:pt>
                <c:pt idx="38">
                  <c:v>57.016314999999999</c:v>
                </c:pt>
                <c:pt idx="39">
                  <c:v>57.237509999999986</c:v>
                </c:pt>
                <c:pt idx="40">
                  <c:v>57.413869999999989</c:v>
                </c:pt>
                <c:pt idx="41">
                  <c:v>57.54672999999999</c:v>
                </c:pt>
                <c:pt idx="42">
                  <c:v>57.685590000000005</c:v>
                </c:pt>
                <c:pt idx="43">
                  <c:v>57.876620000000003</c:v>
                </c:pt>
                <c:pt idx="44">
                  <c:v>58.074979999999996</c:v>
                </c:pt>
                <c:pt idx="45">
                  <c:v>58.270009999999992</c:v>
                </c:pt>
                <c:pt idx="46">
                  <c:v>58.45320499999999</c:v>
                </c:pt>
                <c:pt idx="47">
                  <c:v>58.664900000000003</c:v>
                </c:pt>
                <c:pt idx="48">
                  <c:v>58.897095000000014</c:v>
                </c:pt>
                <c:pt idx="49">
                  <c:v>59.142125000000007</c:v>
                </c:pt>
                <c:pt idx="50">
                  <c:v>59.383155000000002</c:v>
                </c:pt>
                <c:pt idx="51">
                  <c:v>59.595685000000003</c:v>
                </c:pt>
                <c:pt idx="52">
                  <c:v>59.799379999999999</c:v>
                </c:pt>
                <c:pt idx="53">
                  <c:v>59.911909999999992</c:v>
                </c:pt>
                <c:pt idx="54">
                  <c:v>60.079439999999991</c:v>
                </c:pt>
                <c:pt idx="55">
                  <c:v>60.228469999999994</c:v>
                </c:pt>
                <c:pt idx="56">
                  <c:v>60.345999999999989</c:v>
                </c:pt>
                <c:pt idx="57">
                  <c:v>60.394499999999994</c:v>
                </c:pt>
                <c:pt idx="58">
                  <c:v>60.440499999999986</c:v>
                </c:pt>
                <c:pt idx="59">
                  <c:v>60.495499999999993</c:v>
                </c:pt>
                <c:pt idx="60">
                  <c:v>60.573500000000003</c:v>
                </c:pt>
                <c:pt idx="61">
                  <c:v>60.6355</c:v>
                </c:pt>
                <c:pt idx="62">
                  <c:v>60.62850000000001</c:v>
                </c:pt>
                <c:pt idx="63">
                  <c:v>60.598000000000013</c:v>
                </c:pt>
                <c:pt idx="64">
                  <c:v>60.544500000000014</c:v>
                </c:pt>
                <c:pt idx="65">
                  <c:v>60.519000000000005</c:v>
                </c:pt>
                <c:pt idx="66">
                  <c:v>60.501999999999995</c:v>
                </c:pt>
                <c:pt idx="67">
                  <c:v>60.458499999999994</c:v>
                </c:pt>
                <c:pt idx="68">
                  <c:v>60.418999999999983</c:v>
                </c:pt>
                <c:pt idx="69">
                  <c:v>60.35949999999999</c:v>
                </c:pt>
                <c:pt idx="70">
                  <c:v>60.315499999999986</c:v>
                </c:pt>
                <c:pt idx="71">
                  <c:v>60.277999999999999</c:v>
                </c:pt>
                <c:pt idx="72">
                  <c:v>60.226999999999997</c:v>
                </c:pt>
                <c:pt idx="73">
                  <c:v>60.165999999999997</c:v>
                </c:pt>
                <c:pt idx="74">
                  <c:v>60.066499999999998</c:v>
                </c:pt>
                <c:pt idx="75">
                  <c:v>59.970500000000001</c:v>
                </c:pt>
                <c:pt idx="76">
                  <c:v>59.934000000000005</c:v>
                </c:pt>
                <c:pt idx="77">
                  <c:v>59.86</c:v>
                </c:pt>
                <c:pt idx="78">
                  <c:v>59.827999999999989</c:v>
                </c:pt>
                <c:pt idx="79">
                  <c:v>59.802499999999988</c:v>
                </c:pt>
                <c:pt idx="80">
                  <c:v>59.802</c:v>
                </c:pt>
                <c:pt idx="81">
                  <c:v>59.814</c:v>
                </c:pt>
                <c:pt idx="82">
                  <c:v>59.823500000000003</c:v>
                </c:pt>
                <c:pt idx="83">
                  <c:v>59.794499999999985</c:v>
                </c:pt>
                <c:pt idx="84">
                  <c:v>59.804999999999993</c:v>
                </c:pt>
                <c:pt idx="85">
                  <c:v>59.8035</c:v>
                </c:pt>
                <c:pt idx="86">
                  <c:v>59.807999999999993</c:v>
                </c:pt>
                <c:pt idx="87">
                  <c:v>59.849499999999992</c:v>
                </c:pt>
                <c:pt idx="88">
                  <c:v>59.833499999999994</c:v>
                </c:pt>
                <c:pt idx="89">
                  <c:v>59.851000000000013</c:v>
                </c:pt>
                <c:pt idx="90">
                  <c:v>59.868000000000016</c:v>
                </c:pt>
                <c:pt idx="91">
                  <c:v>59.89200000000001</c:v>
                </c:pt>
                <c:pt idx="92">
                  <c:v>59.893000000000008</c:v>
                </c:pt>
                <c:pt idx="93">
                  <c:v>59.902000000000001</c:v>
                </c:pt>
                <c:pt idx="94">
                  <c:v>60.139499999999998</c:v>
                </c:pt>
                <c:pt idx="95">
                  <c:v>60.395500000000006</c:v>
                </c:pt>
                <c:pt idx="96">
                  <c:v>60.597500000000011</c:v>
                </c:pt>
                <c:pt idx="97">
                  <c:v>60.900500000000022</c:v>
                </c:pt>
                <c:pt idx="98">
                  <c:v>61.169500000000006</c:v>
                </c:pt>
                <c:pt idx="99">
                  <c:v>61.400999999999996</c:v>
                </c:pt>
                <c:pt idx="100">
                  <c:v>61.662000000000013</c:v>
                </c:pt>
                <c:pt idx="101">
                  <c:v>61.901999999999973</c:v>
                </c:pt>
                <c:pt idx="102">
                  <c:v>62.180500000000009</c:v>
                </c:pt>
                <c:pt idx="103">
                  <c:v>62.482500000000016</c:v>
                </c:pt>
                <c:pt idx="104">
                  <c:v>62.785000000000011</c:v>
                </c:pt>
                <c:pt idx="105">
                  <c:v>63.085000000000001</c:v>
                </c:pt>
                <c:pt idx="106">
                  <c:v>63.421499999999995</c:v>
                </c:pt>
                <c:pt idx="107">
                  <c:v>63.74499999999999</c:v>
                </c:pt>
                <c:pt idx="108">
                  <c:v>64.087499999999991</c:v>
                </c:pt>
                <c:pt idx="109">
                  <c:v>64.359499999999997</c:v>
                </c:pt>
                <c:pt idx="110">
                  <c:v>64.683500000000009</c:v>
                </c:pt>
                <c:pt idx="111">
                  <c:v>64.999500000000012</c:v>
                </c:pt>
                <c:pt idx="112">
                  <c:v>65.322000000000003</c:v>
                </c:pt>
                <c:pt idx="113">
                  <c:v>65.665499999999994</c:v>
                </c:pt>
                <c:pt idx="114">
                  <c:v>65.816000000000003</c:v>
                </c:pt>
                <c:pt idx="115">
                  <c:v>65.95450000000001</c:v>
                </c:pt>
                <c:pt idx="116">
                  <c:v>66.125500000000002</c:v>
                </c:pt>
                <c:pt idx="117">
                  <c:v>66.268500000000003</c:v>
                </c:pt>
                <c:pt idx="118">
                  <c:v>66.401500000000013</c:v>
                </c:pt>
                <c:pt idx="119">
                  <c:v>66.604500000000002</c:v>
                </c:pt>
                <c:pt idx="120">
                  <c:v>66.70650000000002</c:v>
                </c:pt>
                <c:pt idx="121">
                  <c:v>66.869000000000014</c:v>
                </c:pt>
                <c:pt idx="122">
                  <c:v>67.01700000000001</c:v>
                </c:pt>
                <c:pt idx="123">
                  <c:v>67.157999999999987</c:v>
                </c:pt>
                <c:pt idx="124">
                  <c:v>67.244</c:v>
                </c:pt>
                <c:pt idx="125">
                  <c:v>67.356499999999997</c:v>
                </c:pt>
                <c:pt idx="126">
                  <c:v>67.438500000000005</c:v>
                </c:pt>
                <c:pt idx="127">
                  <c:v>67.585999999999984</c:v>
                </c:pt>
                <c:pt idx="128">
                  <c:v>67.712499999999991</c:v>
                </c:pt>
                <c:pt idx="129">
                  <c:v>67.913499999999999</c:v>
                </c:pt>
                <c:pt idx="130">
                  <c:v>68.085999999999999</c:v>
                </c:pt>
                <c:pt idx="131">
                  <c:v>68.239499999999992</c:v>
                </c:pt>
                <c:pt idx="132">
                  <c:v>68.385999999999996</c:v>
                </c:pt>
                <c:pt idx="133">
                  <c:v>68.531500000000008</c:v>
                </c:pt>
                <c:pt idx="134">
                  <c:v>68.680000000000007</c:v>
                </c:pt>
                <c:pt idx="135">
                  <c:v>68.860499999999988</c:v>
                </c:pt>
                <c:pt idx="136">
                  <c:v>69.021499999999989</c:v>
                </c:pt>
                <c:pt idx="137">
                  <c:v>69.158499999999989</c:v>
                </c:pt>
                <c:pt idx="138">
                  <c:v>69.281999999999996</c:v>
                </c:pt>
                <c:pt idx="139">
                  <c:v>69.369499999999988</c:v>
                </c:pt>
                <c:pt idx="140">
                  <c:v>69.528500000000008</c:v>
                </c:pt>
                <c:pt idx="141">
                  <c:v>69.614999999999981</c:v>
                </c:pt>
                <c:pt idx="142">
                  <c:v>69.710000000000008</c:v>
                </c:pt>
                <c:pt idx="143">
                  <c:v>69.805500000000009</c:v>
                </c:pt>
                <c:pt idx="144">
                  <c:v>69.890999999999991</c:v>
                </c:pt>
                <c:pt idx="145">
                  <c:v>69.919499999999999</c:v>
                </c:pt>
                <c:pt idx="146">
                  <c:v>69.997000000000014</c:v>
                </c:pt>
                <c:pt idx="147">
                  <c:v>69.918000000000021</c:v>
                </c:pt>
                <c:pt idx="148">
                  <c:v>69.813500000000005</c:v>
                </c:pt>
                <c:pt idx="149">
                  <c:v>69.705500000000001</c:v>
                </c:pt>
                <c:pt idx="150">
                  <c:v>69.530499999999989</c:v>
                </c:pt>
                <c:pt idx="151">
                  <c:v>69.423500000000018</c:v>
                </c:pt>
                <c:pt idx="152">
                  <c:v>69.359000000000009</c:v>
                </c:pt>
                <c:pt idx="153">
                  <c:v>69.313500000000005</c:v>
                </c:pt>
                <c:pt idx="154">
                  <c:v>69.220500000000015</c:v>
                </c:pt>
                <c:pt idx="155">
                  <c:v>69.102000000000004</c:v>
                </c:pt>
                <c:pt idx="156">
                  <c:v>69.22</c:v>
                </c:pt>
                <c:pt idx="157">
                  <c:v>69.355000000000004</c:v>
                </c:pt>
                <c:pt idx="158">
                  <c:v>69.522000000000006</c:v>
                </c:pt>
                <c:pt idx="159">
                  <c:v>69.716500000000025</c:v>
                </c:pt>
                <c:pt idx="160">
                  <c:v>69.94850000000001</c:v>
                </c:pt>
                <c:pt idx="161">
                  <c:v>70.226500000000001</c:v>
                </c:pt>
                <c:pt idx="162">
                  <c:v>70.522500000000008</c:v>
                </c:pt>
                <c:pt idx="163">
                  <c:v>70.842999999999989</c:v>
                </c:pt>
                <c:pt idx="164">
                  <c:v>71.190000000000012</c:v>
                </c:pt>
                <c:pt idx="165">
                  <c:v>71.561999999999983</c:v>
                </c:pt>
                <c:pt idx="166">
                  <c:v>71.893499999999989</c:v>
                </c:pt>
                <c:pt idx="167">
                  <c:v>72.331999999999994</c:v>
                </c:pt>
                <c:pt idx="168">
                  <c:v>72.811000000000007</c:v>
                </c:pt>
                <c:pt idx="169">
                  <c:v>73.286000000000001</c:v>
                </c:pt>
                <c:pt idx="170">
                  <c:v>73.788500000000013</c:v>
                </c:pt>
                <c:pt idx="171">
                  <c:v>74.237500000000011</c:v>
                </c:pt>
                <c:pt idx="172">
                  <c:v>74.707000000000008</c:v>
                </c:pt>
                <c:pt idx="173">
                  <c:v>75.212500000000006</c:v>
                </c:pt>
                <c:pt idx="174">
                  <c:v>75.748000000000005</c:v>
                </c:pt>
                <c:pt idx="175">
                  <c:v>76.297999999999988</c:v>
                </c:pt>
                <c:pt idx="176">
                  <c:v>76.668999999999997</c:v>
                </c:pt>
                <c:pt idx="177">
                  <c:v>77.024499999999989</c:v>
                </c:pt>
                <c:pt idx="178">
                  <c:v>77.268499999999989</c:v>
                </c:pt>
                <c:pt idx="179">
                  <c:v>77.492999999999981</c:v>
                </c:pt>
                <c:pt idx="180">
                  <c:v>77.632999999999981</c:v>
                </c:pt>
                <c:pt idx="181">
                  <c:v>77.806999999999988</c:v>
                </c:pt>
                <c:pt idx="182">
                  <c:v>78.038499999999985</c:v>
                </c:pt>
                <c:pt idx="183">
                  <c:v>78.270499999999998</c:v>
                </c:pt>
                <c:pt idx="184">
                  <c:v>78.534000000000006</c:v>
                </c:pt>
                <c:pt idx="185">
                  <c:v>78.726000000000013</c:v>
                </c:pt>
                <c:pt idx="186">
                  <c:v>78.894000000000005</c:v>
                </c:pt>
                <c:pt idx="187">
                  <c:v>79.070000000000007</c:v>
                </c:pt>
                <c:pt idx="188">
                  <c:v>79.275000000000006</c:v>
                </c:pt>
                <c:pt idx="189">
                  <c:v>79.434500000000014</c:v>
                </c:pt>
                <c:pt idx="190">
                  <c:v>79.608000000000018</c:v>
                </c:pt>
                <c:pt idx="191">
                  <c:v>79.823000000000008</c:v>
                </c:pt>
                <c:pt idx="192">
                  <c:v>79.910999999999987</c:v>
                </c:pt>
                <c:pt idx="193">
                  <c:v>79.955999999999989</c:v>
                </c:pt>
                <c:pt idx="194">
                  <c:v>80.034000000000006</c:v>
                </c:pt>
                <c:pt idx="195">
                  <c:v>80.031500000000008</c:v>
                </c:pt>
                <c:pt idx="196">
                  <c:v>80.006499999999988</c:v>
                </c:pt>
                <c:pt idx="197">
                  <c:v>79.992999999999995</c:v>
                </c:pt>
                <c:pt idx="198">
                  <c:v>80.145499999999998</c:v>
                </c:pt>
                <c:pt idx="199">
                  <c:v>80.25500000000001</c:v>
                </c:pt>
                <c:pt idx="200">
                  <c:v>80.397500000000008</c:v>
                </c:pt>
                <c:pt idx="201">
                  <c:v>80.510000000000005</c:v>
                </c:pt>
                <c:pt idx="202">
                  <c:v>80.534000000000006</c:v>
                </c:pt>
                <c:pt idx="203">
                  <c:v>80.601500000000016</c:v>
                </c:pt>
                <c:pt idx="204">
                  <c:v>80.695000000000007</c:v>
                </c:pt>
                <c:pt idx="205">
                  <c:v>80.850999999999999</c:v>
                </c:pt>
                <c:pt idx="206">
                  <c:v>80.987499999999983</c:v>
                </c:pt>
                <c:pt idx="207">
                  <c:v>81.087499999999991</c:v>
                </c:pt>
                <c:pt idx="208">
                  <c:v>81.108999999999995</c:v>
                </c:pt>
                <c:pt idx="209">
                  <c:v>81.157000000000011</c:v>
                </c:pt>
                <c:pt idx="210">
                  <c:v>81.233000000000004</c:v>
                </c:pt>
                <c:pt idx="211">
                  <c:v>81.295500000000004</c:v>
                </c:pt>
                <c:pt idx="212">
                  <c:v>81.463000000000008</c:v>
                </c:pt>
                <c:pt idx="213">
                  <c:v>81.661500000000018</c:v>
                </c:pt>
                <c:pt idx="214">
                  <c:v>81.813500000000005</c:v>
                </c:pt>
                <c:pt idx="215">
                  <c:v>82.025500000000008</c:v>
                </c:pt>
                <c:pt idx="216">
                  <c:v>82.262000000000015</c:v>
                </c:pt>
                <c:pt idx="217">
                  <c:v>82.457999999999998</c:v>
                </c:pt>
                <c:pt idx="218">
                  <c:v>82.625</c:v>
                </c:pt>
                <c:pt idx="219">
                  <c:v>82.839000000000013</c:v>
                </c:pt>
                <c:pt idx="220">
                  <c:v>83.018000000000001</c:v>
                </c:pt>
                <c:pt idx="221">
                  <c:v>83.165000000000006</c:v>
                </c:pt>
                <c:pt idx="222">
                  <c:v>83.328499999999991</c:v>
                </c:pt>
                <c:pt idx="223">
                  <c:v>83.557500000000005</c:v>
                </c:pt>
                <c:pt idx="224">
                  <c:v>83.753000000000014</c:v>
                </c:pt>
                <c:pt idx="225">
                  <c:v>84.020499999999998</c:v>
                </c:pt>
                <c:pt idx="226">
                  <c:v>84.417000000000002</c:v>
                </c:pt>
                <c:pt idx="227">
                  <c:v>84.754500000000007</c:v>
                </c:pt>
                <c:pt idx="228">
                  <c:v>85.235000000000014</c:v>
                </c:pt>
                <c:pt idx="229">
                  <c:v>85.759500000000003</c:v>
                </c:pt>
                <c:pt idx="230">
                  <c:v>86.287000000000006</c:v>
                </c:pt>
                <c:pt idx="231">
                  <c:v>86.809500000000014</c:v>
                </c:pt>
                <c:pt idx="232">
                  <c:v>87.362500000000026</c:v>
                </c:pt>
                <c:pt idx="233">
                  <c:v>87.90100000000001</c:v>
                </c:pt>
                <c:pt idx="234">
                  <c:v>88.494</c:v>
                </c:pt>
                <c:pt idx="235">
                  <c:v>89.086500000000015</c:v>
                </c:pt>
                <c:pt idx="236">
                  <c:v>89.53649999999999</c:v>
                </c:pt>
                <c:pt idx="237">
                  <c:v>90.053499999999985</c:v>
                </c:pt>
                <c:pt idx="238">
                  <c:v>90.551999999999992</c:v>
                </c:pt>
                <c:pt idx="239">
                  <c:v>90.981499999999997</c:v>
                </c:pt>
                <c:pt idx="240">
                  <c:v>91.470499999999987</c:v>
                </c:pt>
                <c:pt idx="241">
                  <c:v>92.001499999999993</c:v>
                </c:pt>
                <c:pt idx="242">
                  <c:v>92.5685</c:v>
                </c:pt>
                <c:pt idx="243">
                  <c:v>92.915999999999997</c:v>
                </c:pt>
                <c:pt idx="244">
                  <c:v>93.227000000000004</c:v>
                </c:pt>
                <c:pt idx="245">
                  <c:v>93.419500000000014</c:v>
                </c:pt>
                <c:pt idx="246">
                  <c:v>93.415000000000006</c:v>
                </c:pt>
                <c:pt idx="247">
                  <c:v>93.573999999999984</c:v>
                </c:pt>
                <c:pt idx="248">
                  <c:v>93.64800000000001</c:v>
                </c:pt>
                <c:pt idx="249">
                  <c:v>93.637000000000015</c:v>
                </c:pt>
                <c:pt idx="250">
                  <c:v>93.540500000000009</c:v>
                </c:pt>
                <c:pt idx="251">
                  <c:v>93.426000000000002</c:v>
                </c:pt>
                <c:pt idx="252">
                  <c:v>93.250500000000002</c:v>
                </c:pt>
                <c:pt idx="253">
                  <c:v>93.066999999999979</c:v>
                </c:pt>
                <c:pt idx="254">
                  <c:v>92.873499999999993</c:v>
                </c:pt>
                <c:pt idx="255">
                  <c:v>92.628999999999991</c:v>
                </c:pt>
                <c:pt idx="256">
                  <c:v>92.527499999999989</c:v>
                </c:pt>
                <c:pt idx="257">
                  <c:v>92.449999999999989</c:v>
                </c:pt>
                <c:pt idx="258">
                  <c:v>92.278499999999994</c:v>
                </c:pt>
                <c:pt idx="259">
                  <c:v>92.113499999999988</c:v>
                </c:pt>
                <c:pt idx="260">
                  <c:v>91.967999999999989</c:v>
                </c:pt>
                <c:pt idx="261">
                  <c:v>91.789500000000004</c:v>
                </c:pt>
                <c:pt idx="262">
                  <c:v>91.615499999999983</c:v>
                </c:pt>
                <c:pt idx="263">
                  <c:v>91.591999999999985</c:v>
                </c:pt>
                <c:pt idx="264">
                  <c:v>91.583499999999987</c:v>
                </c:pt>
                <c:pt idx="265">
                  <c:v>91.661999999999978</c:v>
                </c:pt>
                <c:pt idx="266">
                  <c:v>91.882499999999979</c:v>
                </c:pt>
                <c:pt idx="267">
                  <c:v>92.118499999999983</c:v>
                </c:pt>
                <c:pt idx="268">
                  <c:v>92.343499999999977</c:v>
                </c:pt>
                <c:pt idx="269">
                  <c:v>92.635499999999993</c:v>
                </c:pt>
                <c:pt idx="270">
                  <c:v>93.039500000000004</c:v>
                </c:pt>
                <c:pt idx="271">
                  <c:v>93.43</c:v>
                </c:pt>
                <c:pt idx="272">
                  <c:v>93.907000000000011</c:v>
                </c:pt>
                <c:pt idx="273">
                  <c:v>94.406500000000023</c:v>
                </c:pt>
                <c:pt idx="274">
                  <c:v>94.958000000000013</c:v>
                </c:pt>
                <c:pt idx="275">
                  <c:v>95.560000000000016</c:v>
                </c:pt>
                <c:pt idx="276">
                  <c:v>96.027500000000003</c:v>
                </c:pt>
                <c:pt idx="277">
                  <c:v>96.523500000000013</c:v>
                </c:pt>
                <c:pt idx="278">
                  <c:v>97.07050000000001</c:v>
                </c:pt>
                <c:pt idx="279">
                  <c:v>97.711500000000001</c:v>
                </c:pt>
                <c:pt idx="280">
                  <c:v>98.396999999999991</c:v>
                </c:pt>
                <c:pt idx="281">
                  <c:v>99.033999999999992</c:v>
                </c:pt>
                <c:pt idx="282">
                  <c:v>99.625999999999991</c:v>
                </c:pt>
                <c:pt idx="283">
                  <c:v>100.172</c:v>
                </c:pt>
                <c:pt idx="284">
                  <c:v>100.37100000000001</c:v>
                </c:pt>
                <c:pt idx="285">
                  <c:v>100.4195</c:v>
                </c:pt>
                <c:pt idx="286">
                  <c:v>100.36499999999999</c:v>
                </c:pt>
                <c:pt idx="287">
                  <c:v>100.37949999999999</c:v>
                </c:pt>
                <c:pt idx="288">
                  <c:v>100.325</c:v>
                </c:pt>
                <c:pt idx="289">
                  <c:v>100.2895</c:v>
                </c:pt>
                <c:pt idx="290">
                  <c:v>100.28749999999999</c:v>
                </c:pt>
                <c:pt idx="291">
                  <c:v>100.25899999999999</c:v>
                </c:pt>
                <c:pt idx="292">
                  <c:v>100.03049999999999</c:v>
                </c:pt>
                <c:pt idx="293">
                  <c:v>99.790999999999997</c:v>
                </c:pt>
                <c:pt idx="294">
                  <c:v>99.4</c:v>
                </c:pt>
                <c:pt idx="295">
                  <c:v>98.843499999999992</c:v>
                </c:pt>
                <c:pt idx="296">
                  <c:v>98.176999999999992</c:v>
                </c:pt>
                <c:pt idx="297">
                  <c:v>97.402999999999992</c:v>
                </c:pt>
                <c:pt idx="298">
                  <c:v>96.539500000000004</c:v>
                </c:pt>
                <c:pt idx="299">
                  <c:v>95.584000000000003</c:v>
                </c:pt>
                <c:pt idx="300">
                  <c:v>94.599000000000004</c:v>
                </c:pt>
                <c:pt idx="301">
                  <c:v>93.77000000000001</c:v>
                </c:pt>
                <c:pt idx="302">
                  <c:v>92.860500000000002</c:v>
                </c:pt>
                <c:pt idx="303">
                  <c:v>91.977000000000004</c:v>
                </c:pt>
                <c:pt idx="304">
                  <c:v>91.406999999999996</c:v>
                </c:pt>
                <c:pt idx="305">
                  <c:v>90.966999999999999</c:v>
                </c:pt>
                <c:pt idx="306">
                  <c:v>90.657999999999987</c:v>
                </c:pt>
                <c:pt idx="307">
                  <c:v>90.011499999999998</c:v>
                </c:pt>
                <c:pt idx="308">
                  <c:v>89.462000000000003</c:v>
                </c:pt>
                <c:pt idx="309">
                  <c:v>88.903999999999996</c:v>
                </c:pt>
                <c:pt idx="310">
                  <c:v>88.231000000000023</c:v>
                </c:pt>
                <c:pt idx="311">
                  <c:v>87.741000000000014</c:v>
                </c:pt>
                <c:pt idx="312">
                  <c:v>87.434000000000012</c:v>
                </c:pt>
                <c:pt idx="313">
                  <c:v>87.123000000000019</c:v>
                </c:pt>
                <c:pt idx="314">
                  <c:v>86.753999999999991</c:v>
                </c:pt>
                <c:pt idx="315">
                  <c:v>86.327500000000015</c:v>
                </c:pt>
                <c:pt idx="316">
                  <c:v>86.128</c:v>
                </c:pt>
                <c:pt idx="317">
                  <c:v>85.845499999999987</c:v>
                </c:pt>
                <c:pt idx="318">
                  <c:v>86.065499999999986</c:v>
                </c:pt>
                <c:pt idx="319">
                  <c:v>86.370999999999981</c:v>
                </c:pt>
                <c:pt idx="320">
                  <c:v>86.743499999999983</c:v>
                </c:pt>
                <c:pt idx="321">
                  <c:v>87.106999999999999</c:v>
                </c:pt>
                <c:pt idx="322">
                  <c:v>87.525999999999982</c:v>
                </c:pt>
                <c:pt idx="323">
                  <c:v>87.768999999999977</c:v>
                </c:pt>
                <c:pt idx="324">
                  <c:v>88.139499999999984</c:v>
                </c:pt>
                <c:pt idx="325">
                  <c:v>88.460999999999999</c:v>
                </c:pt>
                <c:pt idx="326">
                  <c:v>88.828999999999994</c:v>
                </c:pt>
                <c:pt idx="327">
                  <c:v>89.338999999999999</c:v>
                </c:pt>
                <c:pt idx="328">
                  <c:v>89.870500000000007</c:v>
                </c:pt>
                <c:pt idx="329">
                  <c:v>90.343499999999992</c:v>
                </c:pt>
                <c:pt idx="330">
                  <c:v>90.846999999999994</c:v>
                </c:pt>
                <c:pt idx="331">
                  <c:v>91.259499999999989</c:v>
                </c:pt>
                <c:pt idx="332">
                  <c:v>91.680499999999995</c:v>
                </c:pt>
                <c:pt idx="333">
                  <c:v>92.063000000000002</c:v>
                </c:pt>
                <c:pt idx="334">
                  <c:v>92.637500000000003</c:v>
                </c:pt>
                <c:pt idx="335">
                  <c:v>93.444499999999991</c:v>
                </c:pt>
                <c:pt idx="336">
                  <c:v>94.180499999999995</c:v>
                </c:pt>
                <c:pt idx="337">
                  <c:v>95.032499999999999</c:v>
                </c:pt>
                <c:pt idx="338">
                  <c:v>95.424000000000007</c:v>
                </c:pt>
                <c:pt idx="339">
                  <c:v>95.729500000000002</c:v>
                </c:pt>
                <c:pt idx="340">
                  <c:v>95.927000000000007</c:v>
                </c:pt>
                <c:pt idx="341">
                  <c:v>95.984499999999997</c:v>
                </c:pt>
                <c:pt idx="342">
                  <c:v>96.127499999999984</c:v>
                </c:pt>
                <c:pt idx="343">
                  <c:v>96.385499999999979</c:v>
                </c:pt>
                <c:pt idx="344">
                  <c:v>96.636499999999984</c:v>
                </c:pt>
                <c:pt idx="345">
                  <c:v>96.921999999999997</c:v>
                </c:pt>
                <c:pt idx="346">
                  <c:v>97.069500000000005</c:v>
                </c:pt>
                <c:pt idx="347">
                  <c:v>97.143000000000001</c:v>
                </c:pt>
                <c:pt idx="348">
                  <c:v>97.147500000000008</c:v>
                </c:pt>
                <c:pt idx="349">
                  <c:v>97.21</c:v>
                </c:pt>
                <c:pt idx="350">
                  <c:v>97.328000000000003</c:v>
                </c:pt>
                <c:pt idx="351">
                  <c:v>97.388000000000005</c:v>
                </c:pt>
                <c:pt idx="352">
                  <c:v>97.380499999999998</c:v>
                </c:pt>
                <c:pt idx="353">
                  <c:v>97.445999999999998</c:v>
                </c:pt>
                <c:pt idx="354">
                  <c:v>97.497</c:v>
                </c:pt>
                <c:pt idx="355">
                  <c:v>97.529499999999999</c:v>
                </c:pt>
                <c:pt idx="356">
                  <c:v>97.569499999999991</c:v>
                </c:pt>
                <c:pt idx="357">
                  <c:v>97.525999999999982</c:v>
                </c:pt>
                <c:pt idx="358">
                  <c:v>97.527999999999992</c:v>
                </c:pt>
                <c:pt idx="359">
                  <c:v>97.564499999999995</c:v>
                </c:pt>
                <c:pt idx="360">
                  <c:v>97.592999999999989</c:v>
                </c:pt>
                <c:pt idx="361">
                  <c:v>97.588999999999999</c:v>
                </c:pt>
                <c:pt idx="362">
                  <c:v>97.489000000000004</c:v>
                </c:pt>
                <c:pt idx="363">
                  <c:v>97.393500000000003</c:v>
                </c:pt>
                <c:pt idx="364">
                  <c:v>97.195999999999998</c:v>
                </c:pt>
                <c:pt idx="365">
                  <c:v>97.002499999999998</c:v>
                </c:pt>
                <c:pt idx="366">
                  <c:v>96.86699999999999</c:v>
                </c:pt>
                <c:pt idx="367">
                  <c:v>96.851499999999987</c:v>
                </c:pt>
                <c:pt idx="368">
                  <c:v>96.948499999999996</c:v>
                </c:pt>
                <c:pt idx="369">
                  <c:v>97.03149999999998</c:v>
                </c:pt>
                <c:pt idx="370">
                  <c:v>97.015499999999989</c:v>
                </c:pt>
                <c:pt idx="371">
                  <c:v>96.954499999999996</c:v>
                </c:pt>
                <c:pt idx="372">
                  <c:v>96.96299999999998</c:v>
                </c:pt>
                <c:pt idx="373">
                  <c:v>96.915999999999983</c:v>
                </c:pt>
                <c:pt idx="374">
                  <c:v>96.839499999999987</c:v>
                </c:pt>
                <c:pt idx="375">
                  <c:v>96.720999999999975</c:v>
                </c:pt>
                <c:pt idx="376">
                  <c:v>96.67149999999998</c:v>
                </c:pt>
                <c:pt idx="377">
                  <c:v>96.740999999999971</c:v>
                </c:pt>
                <c:pt idx="378">
                  <c:v>96.72199999999998</c:v>
                </c:pt>
                <c:pt idx="379">
                  <c:v>96.689999999999984</c:v>
                </c:pt>
                <c:pt idx="380">
                  <c:v>96.566999999999979</c:v>
                </c:pt>
                <c:pt idx="381">
                  <c:v>96.496999999999986</c:v>
                </c:pt>
                <c:pt idx="382">
                  <c:v>96.544499999999985</c:v>
                </c:pt>
                <c:pt idx="383">
                  <c:v>96.59199999999997</c:v>
                </c:pt>
                <c:pt idx="384">
                  <c:v>96.634999999999991</c:v>
                </c:pt>
                <c:pt idx="385">
                  <c:v>96.676999999999992</c:v>
                </c:pt>
                <c:pt idx="386">
                  <c:v>96.674999999999983</c:v>
                </c:pt>
                <c:pt idx="387">
                  <c:v>96.652500000000003</c:v>
                </c:pt>
                <c:pt idx="388">
                  <c:v>96.551500000000004</c:v>
                </c:pt>
                <c:pt idx="389">
                  <c:v>96.435500000000019</c:v>
                </c:pt>
                <c:pt idx="390">
                  <c:v>96.402500000000003</c:v>
                </c:pt>
                <c:pt idx="391">
                  <c:v>96.474999999999994</c:v>
                </c:pt>
                <c:pt idx="392">
                  <c:v>96.49199999999999</c:v>
                </c:pt>
                <c:pt idx="393">
                  <c:v>96.519499999999979</c:v>
                </c:pt>
                <c:pt idx="394">
                  <c:v>96.486999999999981</c:v>
                </c:pt>
                <c:pt idx="395">
                  <c:v>96.505499999999984</c:v>
                </c:pt>
                <c:pt idx="396">
                  <c:v>96.511999999999972</c:v>
                </c:pt>
                <c:pt idx="397">
                  <c:v>96.523999999999972</c:v>
                </c:pt>
                <c:pt idx="398">
                  <c:v>96.634999999999977</c:v>
                </c:pt>
                <c:pt idx="399">
                  <c:v>96.962499999999963</c:v>
                </c:pt>
                <c:pt idx="400">
                  <c:v>97.37549999999996</c:v>
                </c:pt>
                <c:pt idx="401">
                  <c:v>97.841999999999985</c:v>
                </c:pt>
                <c:pt idx="402">
                  <c:v>98.249499999999998</c:v>
                </c:pt>
                <c:pt idx="403">
                  <c:v>98.661000000000016</c:v>
                </c:pt>
                <c:pt idx="404">
                  <c:v>98.953000000000003</c:v>
                </c:pt>
                <c:pt idx="405">
                  <c:v>99.241</c:v>
                </c:pt>
                <c:pt idx="406">
                  <c:v>99.488500000000016</c:v>
                </c:pt>
                <c:pt idx="407">
                  <c:v>99.740000000000009</c:v>
                </c:pt>
                <c:pt idx="408">
                  <c:v>100.01200000000001</c:v>
                </c:pt>
                <c:pt idx="409">
                  <c:v>100.3565</c:v>
                </c:pt>
                <c:pt idx="410">
                  <c:v>100.42449999999999</c:v>
                </c:pt>
                <c:pt idx="411">
                  <c:v>100.39250000000001</c:v>
                </c:pt>
                <c:pt idx="412">
                  <c:v>100.3155</c:v>
                </c:pt>
                <c:pt idx="413">
                  <c:v>100.20149999999998</c:v>
                </c:pt>
                <c:pt idx="414">
                  <c:v>100.12599999999999</c:v>
                </c:pt>
                <c:pt idx="415">
                  <c:v>100.03249999999998</c:v>
                </c:pt>
                <c:pt idx="416">
                  <c:v>99.956999999999979</c:v>
                </c:pt>
                <c:pt idx="417">
                  <c:v>99.869999999999976</c:v>
                </c:pt>
                <c:pt idx="418">
                  <c:v>99.876499999999993</c:v>
                </c:pt>
                <c:pt idx="419">
                  <c:v>99.754999999999981</c:v>
                </c:pt>
                <c:pt idx="420">
                  <c:v>99.624499999999983</c:v>
                </c:pt>
                <c:pt idx="421">
                  <c:v>99.551999999999992</c:v>
                </c:pt>
                <c:pt idx="422">
                  <c:v>99.47</c:v>
                </c:pt>
                <c:pt idx="423">
                  <c:v>99.309499999999986</c:v>
                </c:pt>
                <c:pt idx="424">
                  <c:v>99.392500000000013</c:v>
                </c:pt>
                <c:pt idx="425">
                  <c:v>99.524500000000018</c:v>
                </c:pt>
                <c:pt idx="426">
                  <c:v>99.709000000000017</c:v>
                </c:pt>
                <c:pt idx="427">
                  <c:v>99.845000000000013</c:v>
                </c:pt>
                <c:pt idx="428">
                  <c:v>99.994000000000014</c:v>
                </c:pt>
                <c:pt idx="429">
                  <c:v>100.04550000000002</c:v>
                </c:pt>
                <c:pt idx="430">
                  <c:v>100.26400000000001</c:v>
                </c:pt>
                <c:pt idx="431">
                  <c:v>100.5635</c:v>
                </c:pt>
                <c:pt idx="432">
                  <c:v>100.886</c:v>
                </c:pt>
                <c:pt idx="433">
                  <c:v>101.22</c:v>
                </c:pt>
                <c:pt idx="434">
                  <c:v>101.56849999999999</c:v>
                </c:pt>
                <c:pt idx="435">
                  <c:v>101.92099999999999</c:v>
                </c:pt>
                <c:pt idx="436">
                  <c:v>102.22599999999998</c:v>
                </c:pt>
                <c:pt idx="437">
                  <c:v>102.48650000000001</c:v>
                </c:pt>
                <c:pt idx="438">
                  <c:v>102.61249999999998</c:v>
                </c:pt>
                <c:pt idx="439">
                  <c:v>102.65099999999998</c:v>
                </c:pt>
                <c:pt idx="440">
                  <c:v>102.729</c:v>
                </c:pt>
                <c:pt idx="441">
                  <c:v>102.75</c:v>
                </c:pt>
                <c:pt idx="442">
                  <c:v>102.79749999999999</c:v>
                </c:pt>
                <c:pt idx="443">
                  <c:v>102.922</c:v>
                </c:pt>
                <c:pt idx="444">
                  <c:v>102.87800000000001</c:v>
                </c:pt>
                <c:pt idx="445">
                  <c:v>102.79550000000002</c:v>
                </c:pt>
                <c:pt idx="446">
                  <c:v>102.71699999999998</c:v>
                </c:pt>
                <c:pt idx="447">
                  <c:v>102.90650000000001</c:v>
                </c:pt>
                <c:pt idx="448">
                  <c:v>103.14450000000002</c:v>
                </c:pt>
                <c:pt idx="449">
                  <c:v>103.28800000000001</c:v>
                </c:pt>
                <c:pt idx="450">
                  <c:v>103.55800000000002</c:v>
                </c:pt>
                <c:pt idx="451">
                  <c:v>103.76950000000002</c:v>
                </c:pt>
                <c:pt idx="452">
                  <c:v>103.95450000000001</c:v>
                </c:pt>
                <c:pt idx="453">
                  <c:v>104.175</c:v>
                </c:pt>
                <c:pt idx="454">
                  <c:v>104.3655</c:v>
                </c:pt>
                <c:pt idx="455">
                  <c:v>104.51600000000001</c:v>
                </c:pt>
                <c:pt idx="456">
                  <c:v>104.5855</c:v>
                </c:pt>
                <c:pt idx="457">
                  <c:v>104.59100000000001</c:v>
                </c:pt>
                <c:pt idx="458">
                  <c:v>104.61600000000001</c:v>
                </c:pt>
                <c:pt idx="459">
                  <c:v>104.6425</c:v>
                </c:pt>
                <c:pt idx="460">
                  <c:v>104.598</c:v>
                </c:pt>
                <c:pt idx="461">
                  <c:v>104.54250000000002</c:v>
                </c:pt>
                <c:pt idx="462">
                  <c:v>104.494</c:v>
                </c:pt>
                <c:pt idx="463">
                  <c:v>104.42250000000001</c:v>
                </c:pt>
                <c:pt idx="464">
                  <c:v>104.41800000000001</c:v>
                </c:pt>
                <c:pt idx="465">
                  <c:v>104.4555</c:v>
                </c:pt>
                <c:pt idx="466">
                  <c:v>104.47049999999999</c:v>
                </c:pt>
                <c:pt idx="467">
                  <c:v>104.282</c:v>
                </c:pt>
                <c:pt idx="468">
                  <c:v>104.00250000000001</c:v>
                </c:pt>
                <c:pt idx="469">
                  <c:v>103.80600000000001</c:v>
                </c:pt>
                <c:pt idx="470">
                  <c:v>103.54349999999999</c:v>
                </c:pt>
                <c:pt idx="471">
                  <c:v>103.3385</c:v>
                </c:pt>
                <c:pt idx="472">
                  <c:v>103.09700000000002</c:v>
                </c:pt>
                <c:pt idx="473">
                  <c:v>102.77050000000001</c:v>
                </c:pt>
                <c:pt idx="474">
                  <c:v>102.78300000000002</c:v>
                </c:pt>
                <c:pt idx="475">
                  <c:v>102.7405</c:v>
                </c:pt>
                <c:pt idx="476">
                  <c:v>102.72</c:v>
                </c:pt>
                <c:pt idx="477">
                  <c:v>102.9115</c:v>
                </c:pt>
                <c:pt idx="478">
                  <c:v>103.2435</c:v>
                </c:pt>
                <c:pt idx="479">
                  <c:v>103.65749999999998</c:v>
                </c:pt>
                <c:pt idx="480">
                  <c:v>104.175</c:v>
                </c:pt>
                <c:pt idx="481">
                  <c:v>104.71599999999998</c:v>
                </c:pt>
                <c:pt idx="482">
                  <c:v>105.32299999999998</c:v>
                </c:pt>
                <c:pt idx="483">
                  <c:v>105.9915</c:v>
                </c:pt>
                <c:pt idx="484">
                  <c:v>106.66299999999998</c:v>
                </c:pt>
                <c:pt idx="485">
                  <c:v>107.2115</c:v>
                </c:pt>
                <c:pt idx="486">
                  <c:v>107.84349999999999</c:v>
                </c:pt>
                <c:pt idx="487">
                  <c:v>108.33049999999999</c:v>
                </c:pt>
                <c:pt idx="488">
                  <c:v>108.93449999999999</c:v>
                </c:pt>
                <c:pt idx="489">
                  <c:v>109.6425</c:v>
                </c:pt>
                <c:pt idx="490">
                  <c:v>110.35799999999999</c:v>
                </c:pt>
                <c:pt idx="491">
                  <c:v>110.98150000000001</c:v>
                </c:pt>
                <c:pt idx="492">
                  <c:v>111.69499999999998</c:v>
                </c:pt>
                <c:pt idx="493">
                  <c:v>112.40599999999999</c:v>
                </c:pt>
                <c:pt idx="494">
                  <c:v>112.76850000000002</c:v>
                </c:pt>
                <c:pt idx="495">
                  <c:v>113.13250000000001</c:v>
                </c:pt>
                <c:pt idx="496">
                  <c:v>113.47450000000001</c:v>
                </c:pt>
                <c:pt idx="497">
                  <c:v>113.70500000000001</c:v>
                </c:pt>
                <c:pt idx="498">
                  <c:v>113.83699999999999</c:v>
                </c:pt>
                <c:pt idx="499">
                  <c:v>113.93800000000002</c:v>
                </c:pt>
                <c:pt idx="500">
                  <c:v>113.95750000000001</c:v>
                </c:pt>
                <c:pt idx="501">
                  <c:v>113.9075</c:v>
                </c:pt>
                <c:pt idx="502">
                  <c:v>113.825</c:v>
                </c:pt>
                <c:pt idx="503">
                  <c:v>113.71849999999999</c:v>
                </c:pt>
                <c:pt idx="504">
                  <c:v>113.67999999999999</c:v>
                </c:pt>
                <c:pt idx="505">
                  <c:v>113.63799999999999</c:v>
                </c:pt>
                <c:pt idx="506">
                  <c:v>113.5385</c:v>
                </c:pt>
                <c:pt idx="507">
                  <c:v>113.60600000000002</c:v>
                </c:pt>
                <c:pt idx="508">
                  <c:v>113.72850000000001</c:v>
                </c:pt>
                <c:pt idx="509">
                  <c:v>113.9115</c:v>
                </c:pt>
                <c:pt idx="510">
                  <c:v>114.074</c:v>
                </c:pt>
                <c:pt idx="511">
                  <c:v>114.26299999999999</c:v>
                </c:pt>
                <c:pt idx="512">
                  <c:v>114.46499999999996</c:v>
                </c:pt>
                <c:pt idx="513">
                  <c:v>114.65899999999996</c:v>
                </c:pt>
                <c:pt idx="514">
                  <c:v>114.90899999999999</c:v>
                </c:pt>
                <c:pt idx="515">
                  <c:v>115.17049999999999</c:v>
                </c:pt>
                <c:pt idx="516">
                  <c:v>115.51200000000001</c:v>
                </c:pt>
                <c:pt idx="517">
                  <c:v>115.8135</c:v>
                </c:pt>
                <c:pt idx="518">
                  <c:v>116.0735</c:v>
                </c:pt>
                <c:pt idx="519">
                  <c:v>116.27550000000001</c:v>
                </c:pt>
                <c:pt idx="520">
                  <c:v>116.55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03-468B-9131-354F8BD72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767472"/>
        <c:axId val="1822765552"/>
      </c:lineChart>
      <c:dateAx>
        <c:axId val="1822767472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65552"/>
        <c:crosses val="autoZero"/>
        <c:auto val="1"/>
        <c:lblOffset val="100"/>
        <c:baseTimeUnit val="days"/>
      </c:dateAx>
      <c:valAx>
        <c:axId val="1822765552"/>
        <c:scaling>
          <c:orientation val="minMax"/>
          <c:max val="12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6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WMT!$C$1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WMT!$B$2:$B$522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WMT!$C$2:$C$522</c:f>
              <c:numCache>
                <c:formatCode>_([$$-409]* #,##0.00_);_([$$-409]* \(#,##0.00\);_([$$-409]* "-"??_);_(@_)</c:formatCode>
                <c:ptCount val="521"/>
                <c:pt idx="0">
                  <c:v>53.0961</c:v>
                </c:pt>
                <c:pt idx="1">
                  <c:v>53.099499999999999</c:v>
                </c:pt>
                <c:pt idx="2">
                  <c:v>52.586100000000002</c:v>
                </c:pt>
                <c:pt idx="3">
                  <c:v>52.2361</c:v>
                </c:pt>
                <c:pt idx="4">
                  <c:v>52.749499999999998</c:v>
                </c:pt>
                <c:pt idx="5">
                  <c:v>53.102800000000002</c:v>
                </c:pt>
                <c:pt idx="6">
                  <c:v>53.762799999999999</c:v>
                </c:pt>
                <c:pt idx="7">
                  <c:v>53.702800000000003</c:v>
                </c:pt>
                <c:pt idx="8">
                  <c:v>53.772799999999997</c:v>
                </c:pt>
                <c:pt idx="9">
                  <c:v>53.942799999999998</c:v>
                </c:pt>
                <c:pt idx="10">
                  <c:v>53.689500000000002</c:v>
                </c:pt>
                <c:pt idx="11">
                  <c:v>54.412799999999997</c:v>
                </c:pt>
                <c:pt idx="12">
                  <c:v>54.126100000000001</c:v>
                </c:pt>
                <c:pt idx="13">
                  <c:v>54.1295</c:v>
                </c:pt>
                <c:pt idx="14">
                  <c:v>54.266100000000002</c:v>
                </c:pt>
                <c:pt idx="15">
                  <c:v>53.499499999999998</c:v>
                </c:pt>
                <c:pt idx="16">
                  <c:v>54.279499999999999</c:v>
                </c:pt>
                <c:pt idx="17">
                  <c:v>54.756100000000004</c:v>
                </c:pt>
                <c:pt idx="18">
                  <c:v>55.012799999999999</c:v>
                </c:pt>
                <c:pt idx="19">
                  <c:v>55.196100000000001</c:v>
                </c:pt>
                <c:pt idx="20">
                  <c:v>55.082799999999999</c:v>
                </c:pt>
                <c:pt idx="21">
                  <c:v>56.102800000000002</c:v>
                </c:pt>
                <c:pt idx="22">
                  <c:v>56.522799999999997</c:v>
                </c:pt>
                <c:pt idx="23">
                  <c:v>56.2194</c:v>
                </c:pt>
                <c:pt idx="24">
                  <c:v>56.602800000000002</c:v>
                </c:pt>
                <c:pt idx="25">
                  <c:v>56.459400000000002</c:v>
                </c:pt>
                <c:pt idx="26">
                  <c:v>56.456099999999999</c:v>
                </c:pt>
                <c:pt idx="27">
                  <c:v>56.426099999999998</c:v>
                </c:pt>
                <c:pt idx="28">
                  <c:v>56.766100000000002</c:v>
                </c:pt>
                <c:pt idx="29">
                  <c:v>56.379399999999997</c:v>
                </c:pt>
                <c:pt idx="30">
                  <c:v>56.199399999999997</c:v>
                </c:pt>
                <c:pt idx="31">
                  <c:v>56.429400000000001</c:v>
                </c:pt>
                <c:pt idx="32">
                  <c:v>56.786099999999998</c:v>
                </c:pt>
                <c:pt idx="33">
                  <c:v>58.619399999999999</c:v>
                </c:pt>
                <c:pt idx="34">
                  <c:v>57.8994</c:v>
                </c:pt>
                <c:pt idx="35">
                  <c:v>58.4694</c:v>
                </c:pt>
                <c:pt idx="36">
                  <c:v>58.519399999999997</c:v>
                </c:pt>
                <c:pt idx="37">
                  <c:v>59.6</c:v>
                </c:pt>
                <c:pt idx="38">
                  <c:v>59.59</c:v>
                </c:pt>
                <c:pt idx="39">
                  <c:v>59.62</c:v>
                </c:pt>
                <c:pt idx="40">
                  <c:v>58.61</c:v>
                </c:pt>
                <c:pt idx="41">
                  <c:v>58.76</c:v>
                </c:pt>
                <c:pt idx="42">
                  <c:v>59.3</c:v>
                </c:pt>
                <c:pt idx="43">
                  <c:v>60.04</c:v>
                </c:pt>
                <c:pt idx="44">
                  <c:v>60.57</c:v>
                </c:pt>
                <c:pt idx="45">
                  <c:v>60.36</c:v>
                </c:pt>
                <c:pt idx="46">
                  <c:v>60.12</c:v>
                </c:pt>
                <c:pt idx="47">
                  <c:v>60.66</c:v>
                </c:pt>
                <c:pt idx="48">
                  <c:v>61.41</c:v>
                </c:pt>
                <c:pt idx="49">
                  <c:v>61.28</c:v>
                </c:pt>
                <c:pt idx="50">
                  <c:v>61.02</c:v>
                </c:pt>
                <c:pt idx="51">
                  <c:v>60.68</c:v>
                </c:pt>
                <c:pt idx="52">
                  <c:v>60.86</c:v>
                </c:pt>
                <c:pt idx="53">
                  <c:v>60.87</c:v>
                </c:pt>
                <c:pt idx="54">
                  <c:v>61.25</c:v>
                </c:pt>
                <c:pt idx="55">
                  <c:v>61.45</c:v>
                </c:pt>
                <c:pt idx="56">
                  <c:v>60.87</c:v>
                </c:pt>
                <c:pt idx="57">
                  <c:v>60.57</c:v>
                </c:pt>
                <c:pt idx="58">
                  <c:v>60.51</c:v>
                </c:pt>
                <c:pt idx="59">
                  <c:v>60.72</c:v>
                </c:pt>
                <c:pt idx="60">
                  <c:v>60.17</c:v>
                </c:pt>
                <c:pt idx="61">
                  <c:v>60</c:v>
                </c:pt>
                <c:pt idx="62">
                  <c:v>59.16</c:v>
                </c:pt>
                <c:pt idx="63">
                  <c:v>59.43</c:v>
                </c:pt>
                <c:pt idx="64">
                  <c:v>59.5</c:v>
                </c:pt>
                <c:pt idx="65">
                  <c:v>59.85</c:v>
                </c:pt>
                <c:pt idx="66">
                  <c:v>59.78</c:v>
                </c:pt>
                <c:pt idx="67">
                  <c:v>59.79</c:v>
                </c:pt>
                <c:pt idx="68">
                  <c:v>60.62</c:v>
                </c:pt>
                <c:pt idx="69">
                  <c:v>60.09</c:v>
                </c:pt>
                <c:pt idx="70">
                  <c:v>60.14</c:v>
                </c:pt>
                <c:pt idx="71">
                  <c:v>59.93</c:v>
                </c:pt>
                <c:pt idx="72">
                  <c:v>59.84</c:v>
                </c:pt>
                <c:pt idx="73">
                  <c:v>59.65</c:v>
                </c:pt>
                <c:pt idx="74">
                  <c:v>59.26</c:v>
                </c:pt>
                <c:pt idx="75">
                  <c:v>59.53</c:v>
                </c:pt>
                <c:pt idx="76">
                  <c:v>60.14</c:v>
                </c:pt>
                <c:pt idx="77">
                  <c:v>59.09</c:v>
                </c:pt>
                <c:pt idx="78">
                  <c:v>59.87</c:v>
                </c:pt>
                <c:pt idx="79">
                  <c:v>60.21</c:v>
                </c:pt>
                <c:pt idx="80">
                  <c:v>60.16</c:v>
                </c:pt>
                <c:pt idx="81">
                  <c:v>60.24</c:v>
                </c:pt>
                <c:pt idx="82">
                  <c:v>59.35</c:v>
                </c:pt>
                <c:pt idx="83">
                  <c:v>58.85</c:v>
                </c:pt>
                <c:pt idx="84">
                  <c:v>59.71</c:v>
                </c:pt>
                <c:pt idx="85">
                  <c:v>59.82</c:v>
                </c:pt>
                <c:pt idx="86">
                  <c:v>59.87</c:v>
                </c:pt>
                <c:pt idx="87">
                  <c:v>60.62</c:v>
                </c:pt>
                <c:pt idx="88">
                  <c:v>60.3</c:v>
                </c:pt>
                <c:pt idx="89">
                  <c:v>60.44</c:v>
                </c:pt>
                <c:pt idx="90">
                  <c:v>60.48</c:v>
                </c:pt>
                <c:pt idx="91">
                  <c:v>60.41</c:v>
                </c:pt>
                <c:pt idx="92">
                  <c:v>59.86</c:v>
                </c:pt>
                <c:pt idx="93">
                  <c:v>59.83</c:v>
                </c:pt>
                <c:pt idx="94">
                  <c:v>64.010000000000005</c:v>
                </c:pt>
                <c:pt idx="95">
                  <c:v>64.650000000000006</c:v>
                </c:pt>
                <c:pt idx="96">
                  <c:v>64.180000000000007</c:v>
                </c:pt>
                <c:pt idx="97">
                  <c:v>65.150000000000006</c:v>
                </c:pt>
                <c:pt idx="98">
                  <c:v>65.25</c:v>
                </c:pt>
                <c:pt idx="99">
                  <c:v>64.84</c:v>
                </c:pt>
                <c:pt idx="100">
                  <c:v>65.38</c:v>
                </c:pt>
                <c:pt idx="101">
                  <c:v>65.040000000000006</c:v>
                </c:pt>
                <c:pt idx="102">
                  <c:v>64.92</c:v>
                </c:pt>
                <c:pt idx="103">
                  <c:v>64.89</c:v>
                </c:pt>
                <c:pt idx="104">
                  <c:v>65.760000000000005</c:v>
                </c:pt>
                <c:pt idx="105">
                  <c:v>65.819999999999993</c:v>
                </c:pt>
                <c:pt idx="106">
                  <c:v>66.599999999999994</c:v>
                </c:pt>
                <c:pt idx="107">
                  <c:v>67.09</c:v>
                </c:pt>
                <c:pt idx="108">
                  <c:v>67.150000000000006</c:v>
                </c:pt>
                <c:pt idx="109">
                  <c:v>65.88</c:v>
                </c:pt>
                <c:pt idx="110">
                  <c:v>66.959999999999994</c:v>
                </c:pt>
                <c:pt idx="111">
                  <c:v>66.73</c:v>
                </c:pt>
                <c:pt idx="112">
                  <c:v>66.31</c:v>
                </c:pt>
                <c:pt idx="113">
                  <c:v>66.7</c:v>
                </c:pt>
                <c:pt idx="114">
                  <c:v>67.02</c:v>
                </c:pt>
                <c:pt idx="115">
                  <c:v>67.42</c:v>
                </c:pt>
                <c:pt idx="116">
                  <c:v>67.599999999999994</c:v>
                </c:pt>
                <c:pt idx="117">
                  <c:v>68.010000000000005</c:v>
                </c:pt>
                <c:pt idx="118">
                  <c:v>67.91</c:v>
                </c:pt>
                <c:pt idx="119">
                  <c:v>68.900000000000006</c:v>
                </c:pt>
                <c:pt idx="120">
                  <c:v>67.42</c:v>
                </c:pt>
                <c:pt idx="121">
                  <c:v>68.290000000000006</c:v>
                </c:pt>
                <c:pt idx="122">
                  <c:v>67.88</c:v>
                </c:pt>
                <c:pt idx="123">
                  <c:v>67.709999999999994</c:v>
                </c:pt>
                <c:pt idx="124">
                  <c:v>67.48</c:v>
                </c:pt>
                <c:pt idx="125">
                  <c:v>68.069999999999993</c:v>
                </c:pt>
                <c:pt idx="126">
                  <c:v>68.239999999999995</c:v>
                </c:pt>
                <c:pt idx="127">
                  <c:v>70.040000000000006</c:v>
                </c:pt>
                <c:pt idx="128">
                  <c:v>69.680000000000007</c:v>
                </c:pt>
                <c:pt idx="129">
                  <c:v>69.900000000000006</c:v>
                </c:pt>
                <c:pt idx="130">
                  <c:v>70.41</c:v>
                </c:pt>
                <c:pt idx="131">
                  <c:v>69.8</c:v>
                </c:pt>
                <c:pt idx="132">
                  <c:v>69.239999999999995</c:v>
                </c:pt>
                <c:pt idx="133">
                  <c:v>69.61</c:v>
                </c:pt>
                <c:pt idx="134">
                  <c:v>69.989999999999995</c:v>
                </c:pt>
                <c:pt idx="135">
                  <c:v>71.03</c:v>
                </c:pt>
                <c:pt idx="136">
                  <c:v>70.819999999999993</c:v>
                </c:pt>
                <c:pt idx="137">
                  <c:v>70.75</c:v>
                </c:pt>
                <c:pt idx="138">
                  <c:v>70.38</c:v>
                </c:pt>
                <c:pt idx="139">
                  <c:v>70.650000000000006</c:v>
                </c:pt>
                <c:pt idx="140">
                  <c:v>70.599999999999994</c:v>
                </c:pt>
                <c:pt idx="141">
                  <c:v>70.02</c:v>
                </c:pt>
                <c:pt idx="142">
                  <c:v>69.78</c:v>
                </c:pt>
                <c:pt idx="143">
                  <c:v>69.62</c:v>
                </c:pt>
                <c:pt idx="144">
                  <c:v>69.19</c:v>
                </c:pt>
                <c:pt idx="145">
                  <c:v>68.64</c:v>
                </c:pt>
                <c:pt idx="146">
                  <c:v>69.790000000000006</c:v>
                </c:pt>
                <c:pt idx="147">
                  <c:v>68.459999999999994</c:v>
                </c:pt>
                <c:pt idx="148">
                  <c:v>67.59</c:v>
                </c:pt>
                <c:pt idx="149">
                  <c:v>67.739999999999995</c:v>
                </c:pt>
                <c:pt idx="150">
                  <c:v>66.91</c:v>
                </c:pt>
                <c:pt idx="151">
                  <c:v>67.66</c:v>
                </c:pt>
                <c:pt idx="152">
                  <c:v>67.95</c:v>
                </c:pt>
                <c:pt idx="153">
                  <c:v>68.7</c:v>
                </c:pt>
                <c:pt idx="154">
                  <c:v>68.13</c:v>
                </c:pt>
                <c:pt idx="155">
                  <c:v>68.66</c:v>
                </c:pt>
                <c:pt idx="156">
                  <c:v>73.180000000000007</c:v>
                </c:pt>
                <c:pt idx="157">
                  <c:v>73.45</c:v>
                </c:pt>
                <c:pt idx="158">
                  <c:v>73.72</c:v>
                </c:pt>
                <c:pt idx="159">
                  <c:v>74.540000000000006</c:v>
                </c:pt>
                <c:pt idx="160">
                  <c:v>75.239999999999995</c:v>
                </c:pt>
                <c:pt idx="161">
                  <c:v>75.58</c:v>
                </c:pt>
                <c:pt idx="162">
                  <c:v>75.7</c:v>
                </c:pt>
                <c:pt idx="163">
                  <c:v>76.03</c:v>
                </c:pt>
                <c:pt idx="164">
                  <c:v>76.13</c:v>
                </c:pt>
                <c:pt idx="165">
                  <c:v>76.08</c:v>
                </c:pt>
                <c:pt idx="166">
                  <c:v>76.42</c:v>
                </c:pt>
                <c:pt idx="167">
                  <c:v>77.23</c:v>
                </c:pt>
                <c:pt idx="168">
                  <c:v>77.17</c:v>
                </c:pt>
                <c:pt idx="169">
                  <c:v>77.239999999999995</c:v>
                </c:pt>
                <c:pt idx="170">
                  <c:v>76.959999999999994</c:v>
                </c:pt>
                <c:pt idx="171">
                  <c:v>76.64</c:v>
                </c:pt>
                <c:pt idx="172">
                  <c:v>77.34</c:v>
                </c:pt>
                <c:pt idx="173">
                  <c:v>78.81</c:v>
                </c:pt>
                <c:pt idx="174">
                  <c:v>78.84</c:v>
                </c:pt>
                <c:pt idx="175">
                  <c:v>79.66</c:v>
                </c:pt>
                <c:pt idx="176">
                  <c:v>80.599999999999994</c:v>
                </c:pt>
                <c:pt idx="177">
                  <c:v>80.56</c:v>
                </c:pt>
                <c:pt idx="178">
                  <c:v>78.599999999999994</c:v>
                </c:pt>
                <c:pt idx="179">
                  <c:v>79.03</c:v>
                </c:pt>
                <c:pt idx="180">
                  <c:v>78.040000000000006</c:v>
                </c:pt>
                <c:pt idx="181">
                  <c:v>79.06</c:v>
                </c:pt>
                <c:pt idx="182">
                  <c:v>80.33</c:v>
                </c:pt>
                <c:pt idx="183">
                  <c:v>80.67</c:v>
                </c:pt>
                <c:pt idx="184">
                  <c:v>81.400000000000006</c:v>
                </c:pt>
                <c:pt idx="185">
                  <c:v>79.92</c:v>
                </c:pt>
                <c:pt idx="186">
                  <c:v>79.78</c:v>
                </c:pt>
                <c:pt idx="187">
                  <c:v>80.75</c:v>
                </c:pt>
                <c:pt idx="188">
                  <c:v>81.27</c:v>
                </c:pt>
                <c:pt idx="189">
                  <c:v>80.430000000000007</c:v>
                </c:pt>
                <c:pt idx="190">
                  <c:v>80.430000000000007</c:v>
                </c:pt>
                <c:pt idx="191">
                  <c:v>80.94</c:v>
                </c:pt>
                <c:pt idx="192">
                  <c:v>79.099999999999994</c:v>
                </c:pt>
                <c:pt idx="193">
                  <c:v>79.709999999999994</c:v>
                </c:pt>
                <c:pt idx="194">
                  <c:v>80.400000000000006</c:v>
                </c:pt>
                <c:pt idx="195">
                  <c:v>79.61</c:v>
                </c:pt>
                <c:pt idx="196">
                  <c:v>80.099999999999994</c:v>
                </c:pt>
                <c:pt idx="197">
                  <c:v>80.290000000000006</c:v>
                </c:pt>
                <c:pt idx="198">
                  <c:v>81.650000000000006</c:v>
                </c:pt>
                <c:pt idx="199">
                  <c:v>81.22</c:v>
                </c:pt>
                <c:pt idx="200">
                  <c:v>80.89</c:v>
                </c:pt>
                <c:pt idx="201">
                  <c:v>81.31</c:v>
                </c:pt>
                <c:pt idx="202">
                  <c:v>80.81</c:v>
                </c:pt>
                <c:pt idx="203">
                  <c:v>82.02</c:v>
                </c:pt>
                <c:pt idx="204">
                  <c:v>83.27</c:v>
                </c:pt>
                <c:pt idx="205">
                  <c:v>83.04</c:v>
                </c:pt>
                <c:pt idx="206">
                  <c:v>82.51</c:v>
                </c:pt>
                <c:pt idx="207">
                  <c:v>82.75</c:v>
                </c:pt>
                <c:pt idx="208">
                  <c:v>81.7</c:v>
                </c:pt>
                <c:pt idx="209">
                  <c:v>81.39</c:v>
                </c:pt>
                <c:pt idx="210">
                  <c:v>81.95</c:v>
                </c:pt>
                <c:pt idx="211">
                  <c:v>82.19</c:v>
                </c:pt>
                <c:pt idx="212">
                  <c:v>82.45</c:v>
                </c:pt>
                <c:pt idx="213">
                  <c:v>83.68</c:v>
                </c:pt>
                <c:pt idx="214">
                  <c:v>83.44</c:v>
                </c:pt>
                <c:pt idx="215">
                  <c:v>83.85</c:v>
                </c:pt>
                <c:pt idx="216">
                  <c:v>84.83</c:v>
                </c:pt>
                <c:pt idx="217">
                  <c:v>84.21</c:v>
                </c:pt>
                <c:pt idx="218">
                  <c:v>84.99</c:v>
                </c:pt>
                <c:pt idx="219">
                  <c:v>85.5</c:v>
                </c:pt>
                <c:pt idx="220">
                  <c:v>84.47</c:v>
                </c:pt>
                <c:pt idx="221">
                  <c:v>84.25</c:v>
                </c:pt>
                <c:pt idx="222">
                  <c:v>84.08</c:v>
                </c:pt>
                <c:pt idx="223">
                  <c:v>86.6</c:v>
                </c:pt>
                <c:pt idx="224">
                  <c:v>87.18</c:v>
                </c:pt>
                <c:pt idx="225">
                  <c:v>88.39</c:v>
                </c:pt>
                <c:pt idx="226">
                  <c:v>90.44</c:v>
                </c:pt>
                <c:pt idx="227">
                  <c:v>89.5</c:v>
                </c:pt>
                <c:pt idx="228">
                  <c:v>91.31</c:v>
                </c:pt>
                <c:pt idx="229">
                  <c:v>91.88</c:v>
                </c:pt>
                <c:pt idx="230">
                  <c:v>92.5</c:v>
                </c:pt>
                <c:pt idx="231">
                  <c:v>92.64</c:v>
                </c:pt>
                <c:pt idx="232">
                  <c:v>93.51</c:v>
                </c:pt>
                <c:pt idx="233">
                  <c:v>94.45</c:v>
                </c:pt>
                <c:pt idx="234">
                  <c:v>95.3</c:v>
                </c:pt>
                <c:pt idx="235">
                  <c:v>95.7</c:v>
                </c:pt>
                <c:pt idx="236">
                  <c:v>93.83</c:v>
                </c:pt>
                <c:pt idx="237">
                  <c:v>94.55</c:v>
                </c:pt>
                <c:pt idx="238">
                  <c:v>94.96</c:v>
                </c:pt>
                <c:pt idx="239">
                  <c:v>94.09</c:v>
                </c:pt>
                <c:pt idx="240">
                  <c:v>94.25</c:v>
                </c:pt>
                <c:pt idx="241">
                  <c:v>94.87</c:v>
                </c:pt>
                <c:pt idx="242">
                  <c:v>95.42</c:v>
                </c:pt>
                <c:pt idx="243">
                  <c:v>93.55</c:v>
                </c:pt>
                <c:pt idx="244">
                  <c:v>93.4</c:v>
                </c:pt>
                <c:pt idx="245">
                  <c:v>92.24</c:v>
                </c:pt>
                <c:pt idx="246">
                  <c:v>90.35</c:v>
                </c:pt>
                <c:pt idx="247">
                  <c:v>92.68</c:v>
                </c:pt>
                <c:pt idx="248">
                  <c:v>92.79</c:v>
                </c:pt>
                <c:pt idx="249">
                  <c:v>91.66</c:v>
                </c:pt>
                <c:pt idx="250">
                  <c:v>90.57</c:v>
                </c:pt>
                <c:pt idx="251">
                  <c:v>90.35</c:v>
                </c:pt>
                <c:pt idx="252">
                  <c:v>90</c:v>
                </c:pt>
                <c:pt idx="253">
                  <c:v>90.78</c:v>
                </c:pt>
                <c:pt idx="254">
                  <c:v>91.43</c:v>
                </c:pt>
                <c:pt idx="255">
                  <c:v>90.81</c:v>
                </c:pt>
                <c:pt idx="256">
                  <c:v>91.8</c:v>
                </c:pt>
                <c:pt idx="257">
                  <c:v>93</c:v>
                </c:pt>
                <c:pt idx="258">
                  <c:v>91.53</c:v>
                </c:pt>
                <c:pt idx="259">
                  <c:v>90.79</c:v>
                </c:pt>
                <c:pt idx="260">
                  <c:v>91.34</c:v>
                </c:pt>
                <c:pt idx="261">
                  <c:v>91.3</c:v>
                </c:pt>
                <c:pt idx="262">
                  <c:v>91.94</c:v>
                </c:pt>
                <c:pt idx="263">
                  <c:v>93.08</c:v>
                </c:pt>
                <c:pt idx="264">
                  <c:v>93.23</c:v>
                </c:pt>
                <c:pt idx="265">
                  <c:v>93.81</c:v>
                </c:pt>
                <c:pt idx="266">
                  <c:v>94.76</c:v>
                </c:pt>
                <c:pt idx="267">
                  <c:v>97.4</c:v>
                </c:pt>
                <c:pt idx="268">
                  <c:v>97.29</c:v>
                </c:pt>
                <c:pt idx="269">
                  <c:v>97.5</c:v>
                </c:pt>
                <c:pt idx="270">
                  <c:v>98.65</c:v>
                </c:pt>
                <c:pt idx="271">
                  <c:v>98.16</c:v>
                </c:pt>
                <c:pt idx="272">
                  <c:v>99.54</c:v>
                </c:pt>
                <c:pt idx="273">
                  <c:v>100.77</c:v>
                </c:pt>
                <c:pt idx="274">
                  <c:v>102.46</c:v>
                </c:pt>
                <c:pt idx="275">
                  <c:v>102.85</c:v>
                </c:pt>
                <c:pt idx="276">
                  <c:v>101.15</c:v>
                </c:pt>
                <c:pt idx="277">
                  <c:v>102.92</c:v>
                </c:pt>
                <c:pt idx="278">
                  <c:v>102.47</c:v>
                </c:pt>
                <c:pt idx="279">
                  <c:v>103.61</c:v>
                </c:pt>
                <c:pt idx="280">
                  <c:v>105.05</c:v>
                </c:pt>
                <c:pt idx="281">
                  <c:v>104.04</c:v>
                </c:pt>
                <c:pt idx="282">
                  <c:v>103.78</c:v>
                </c:pt>
                <c:pt idx="283">
                  <c:v>104</c:v>
                </c:pt>
                <c:pt idx="284">
                  <c:v>97.21</c:v>
                </c:pt>
                <c:pt idx="285">
                  <c:v>94.78</c:v>
                </c:pt>
                <c:pt idx="286">
                  <c:v>93.67</c:v>
                </c:pt>
                <c:pt idx="287">
                  <c:v>97.69</c:v>
                </c:pt>
                <c:pt idx="288">
                  <c:v>96.2</c:v>
                </c:pt>
                <c:pt idx="289">
                  <c:v>96.79</c:v>
                </c:pt>
                <c:pt idx="290">
                  <c:v>98.61</c:v>
                </c:pt>
                <c:pt idx="291">
                  <c:v>97.59</c:v>
                </c:pt>
                <c:pt idx="292">
                  <c:v>94.97</c:v>
                </c:pt>
                <c:pt idx="293">
                  <c:v>95.98</c:v>
                </c:pt>
                <c:pt idx="294">
                  <c:v>94.64</c:v>
                </c:pt>
                <c:pt idx="295">
                  <c:v>91.72</c:v>
                </c:pt>
                <c:pt idx="296">
                  <c:v>87.82</c:v>
                </c:pt>
                <c:pt idx="297">
                  <c:v>87.44</c:v>
                </c:pt>
                <c:pt idx="298">
                  <c:v>85.2</c:v>
                </c:pt>
                <c:pt idx="299">
                  <c:v>84.5</c:v>
                </c:pt>
                <c:pt idx="300">
                  <c:v>85.35</c:v>
                </c:pt>
                <c:pt idx="301">
                  <c:v>87.46</c:v>
                </c:pt>
                <c:pt idx="302">
                  <c:v>85.59</c:v>
                </c:pt>
                <c:pt idx="303">
                  <c:v>86.33</c:v>
                </c:pt>
                <c:pt idx="304">
                  <c:v>85.81</c:v>
                </c:pt>
                <c:pt idx="305">
                  <c:v>85.98</c:v>
                </c:pt>
                <c:pt idx="306">
                  <c:v>87.49</c:v>
                </c:pt>
                <c:pt idx="307">
                  <c:v>84.76</c:v>
                </c:pt>
                <c:pt idx="308">
                  <c:v>85.21</c:v>
                </c:pt>
                <c:pt idx="309">
                  <c:v>85.63</c:v>
                </c:pt>
                <c:pt idx="310">
                  <c:v>85.15</c:v>
                </c:pt>
                <c:pt idx="311">
                  <c:v>87.79</c:v>
                </c:pt>
                <c:pt idx="312">
                  <c:v>88.83</c:v>
                </c:pt>
                <c:pt idx="313">
                  <c:v>89.76</c:v>
                </c:pt>
                <c:pt idx="314">
                  <c:v>87.26</c:v>
                </c:pt>
                <c:pt idx="315">
                  <c:v>83.19</c:v>
                </c:pt>
                <c:pt idx="316">
                  <c:v>83.83</c:v>
                </c:pt>
                <c:pt idx="317">
                  <c:v>81.790000000000006</c:v>
                </c:pt>
                <c:pt idx="318">
                  <c:v>89.6</c:v>
                </c:pt>
                <c:pt idx="319">
                  <c:v>90.61</c:v>
                </c:pt>
                <c:pt idx="320">
                  <c:v>92.8</c:v>
                </c:pt>
                <c:pt idx="321">
                  <c:v>94.73</c:v>
                </c:pt>
                <c:pt idx="322">
                  <c:v>93.97</c:v>
                </c:pt>
                <c:pt idx="323">
                  <c:v>91.19</c:v>
                </c:pt>
                <c:pt idx="324">
                  <c:v>93.22</c:v>
                </c:pt>
                <c:pt idx="325">
                  <c:v>92.41</c:v>
                </c:pt>
                <c:pt idx="326">
                  <c:v>94.85</c:v>
                </c:pt>
                <c:pt idx="327">
                  <c:v>94.96</c:v>
                </c:pt>
                <c:pt idx="328">
                  <c:v>95.84</c:v>
                </c:pt>
                <c:pt idx="329">
                  <c:v>95.09</c:v>
                </c:pt>
                <c:pt idx="330">
                  <c:v>95.22</c:v>
                </c:pt>
                <c:pt idx="331">
                  <c:v>96.04</c:v>
                </c:pt>
                <c:pt idx="332">
                  <c:v>97.25</c:v>
                </c:pt>
                <c:pt idx="333">
                  <c:v>97.41</c:v>
                </c:pt>
                <c:pt idx="334">
                  <c:v>98.75</c:v>
                </c:pt>
                <c:pt idx="335">
                  <c:v>99.33</c:v>
                </c:pt>
                <c:pt idx="336">
                  <c:v>98.55</c:v>
                </c:pt>
                <c:pt idx="337">
                  <c:v>98.83</c:v>
                </c:pt>
                <c:pt idx="338">
                  <c:v>97.43</c:v>
                </c:pt>
                <c:pt idx="339">
                  <c:v>96.72</c:v>
                </c:pt>
                <c:pt idx="340">
                  <c:v>96.75</c:v>
                </c:pt>
                <c:pt idx="341">
                  <c:v>95.88</c:v>
                </c:pt>
                <c:pt idx="342">
                  <c:v>96.83</c:v>
                </c:pt>
                <c:pt idx="343">
                  <c:v>96.35</c:v>
                </c:pt>
                <c:pt idx="344">
                  <c:v>98.24</c:v>
                </c:pt>
                <c:pt idx="345">
                  <c:v>98.12</c:v>
                </c:pt>
                <c:pt idx="346">
                  <c:v>97.8</c:v>
                </c:pt>
                <c:pt idx="347">
                  <c:v>96.43</c:v>
                </c:pt>
                <c:pt idx="348">
                  <c:v>95.93</c:v>
                </c:pt>
                <c:pt idx="349">
                  <c:v>96.34</c:v>
                </c:pt>
                <c:pt idx="350">
                  <c:v>97.58</c:v>
                </c:pt>
                <c:pt idx="351">
                  <c:v>97.24</c:v>
                </c:pt>
                <c:pt idx="352">
                  <c:v>97.1</c:v>
                </c:pt>
                <c:pt idx="353">
                  <c:v>98.72</c:v>
                </c:pt>
                <c:pt idx="354">
                  <c:v>99.77</c:v>
                </c:pt>
                <c:pt idx="355">
                  <c:v>99.98</c:v>
                </c:pt>
                <c:pt idx="356">
                  <c:v>99.35</c:v>
                </c:pt>
                <c:pt idx="357">
                  <c:v>97.96</c:v>
                </c:pt>
                <c:pt idx="358">
                  <c:v>97.47</c:v>
                </c:pt>
                <c:pt idx="359">
                  <c:v>97.45</c:v>
                </c:pt>
                <c:pt idx="360">
                  <c:v>97.32</c:v>
                </c:pt>
                <c:pt idx="361">
                  <c:v>95.8</c:v>
                </c:pt>
                <c:pt idx="362">
                  <c:v>94.83</c:v>
                </c:pt>
                <c:pt idx="363">
                  <c:v>94.44</c:v>
                </c:pt>
                <c:pt idx="364">
                  <c:v>94.29</c:v>
                </c:pt>
                <c:pt idx="365">
                  <c:v>94.25</c:v>
                </c:pt>
                <c:pt idx="366">
                  <c:v>95.09</c:v>
                </c:pt>
                <c:pt idx="367">
                  <c:v>96.12</c:v>
                </c:pt>
                <c:pt idx="368">
                  <c:v>97.87</c:v>
                </c:pt>
                <c:pt idx="369">
                  <c:v>98</c:v>
                </c:pt>
                <c:pt idx="370">
                  <c:v>97.26</c:v>
                </c:pt>
                <c:pt idx="371">
                  <c:v>96.02</c:v>
                </c:pt>
                <c:pt idx="372">
                  <c:v>97.27</c:v>
                </c:pt>
                <c:pt idx="373">
                  <c:v>97.78</c:v>
                </c:pt>
                <c:pt idx="374">
                  <c:v>98.24</c:v>
                </c:pt>
                <c:pt idx="375">
                  <c:v>97.61</c:v>
                </c:pt>
                <c:pt idx="376">
                  <c:v>98.36</c:v>
                </c:pt>
                <c:pt idx="377">
                  <c:v>99.35</c:v>
                </c:pt>
                <c:pt idx="378">
                  <c:v>97.09</c:v>
                </c:pt>
                <c:pt idx="379">
                  <c:v>96.81</c:v>
                </c:pt>
                <c:pt idx="380">
                  <c:v>94.86</c:v>
                </c:pt>
                <c:pt idx="381">
                  <c:v>94.4</c:v>
                </c:pt>
                <c:pt idx="382">
                  <c:v>95.78</c:v>
                </c:pt>
                <c:pt idx="383">
                  <c:v>95.39</c:v>
                </c:pt>
                <c:pt idx="384">
                  <c:v>95.15</c:v>
                </c:pt>
                <c:pt idx="385">
                  <c:v>95.09</c:v>
                </c:pt>
                <c:pt idx="386">
                  <c:v>95.05</c:v>
                </c:pt>
                <c:pt idx="387">
                  <c:v>95.67</c:v>
                </c:pt>
                <c:pt idx="388">
                  <c:v>95.85</c:v>
                </c:pt>
                <c:pt idx="389">
                  <c:v>95.68</c:v>
                </c:pt>
                <c:pt idx="390">
                  <c:v>96.6</c:v>
                </c:pt>
                <c:pt idx="391">
                  <c:v>97.47</c:v>
                </c:pt>
                <c:pt idx="392">
                  <c:v>97.61</c:v>
                </c:pt>
                <c:pt idx="393">
                  <c:v>98.33</c:v>
                </c:pt>
                <c:pt idx="394">
                  <c:v>97.59</c:v>
                </c:pt>
                <c:pt idx="395">
                  <c:v>97.98</c:v>
                </c:pt>
                <c:pt idx="396">
                  <c:v>98.49</c:v>
                </c:pt>
                <c:pt idx="397">
                  <c:v>99.59</c:v>
                </c:pt>
                <c:pt idx="398">
                  <c:v>99.31</c:v>
                </c:pt>
                <c:pt idx="399">
                  <c:v>103.36</c:v>
                </c:pt>
                <c:pt idx="400">
                  <c:v>103.12</c:v>
                </c:pt>
                <c:pt idx="401">
                  <c:v>103.73</c:v>
                </c:pt>
                <c:pt idx="402">
                  <c:v>103.93</c:v>
                </c:pt>
                <c:pt idx="403">
                  <c:v>103.62</c:v>
                </c:pt>
                <c:pt idx="404">
                  <c:v>100.99</c:v>
                </c:pt>
                <c:pt idx="405">
                  <c:v>100.85</c:v>
                </c:pt>
                <c:pt idx="406">
                  <c:v>100</c:v>
                </c:pt>
                <c:pt idx="407">
                  <c:v>100.7</c:v>
                </c:pt>
                <c:pt idx="408">
                  <c:v>101.29</c:v>
                </c:pt>
                <c:pt idx="409">
                  <c:v>102.57</c:v>
                </c:pt>
                <c:pt idx="410">
                  <c:v>97.96</c:v>
                </c:pt>
                <c:pt idx="411">
                  <c:v>96.83</c:v>
                </c:pt>
                <c:pt idx="412">
                  <c:v>96.07</c:v>
                </c:pt>
                <c:pt idx="413">
                  <c:v>96.05</c:v>
                </c:pt>
                <c:pt idx="414">
                  <c:v>96.08</c:v>
                </c:pt>
                <c:pt idx="415">
                  <c:v>96.11</c:v>
                </c:pt>
                <c:pt idx="416">
                  <c:v>96.98</c:v>
                </c:pt>
                <c:pt idx="417">
                  <c:v>97.85</c:v>
                </c:pt>
                <c:pt idx="418">
                  <c:v>99.44</c:v>
                </c:pt>
                <c:pt idx="419">
                  <c:v>100.93</c:v>
                </c:pt>
                <c:pt idx="420">
                  <c:v>100.51</c:v>
                </c:pt>
                <c:pt idx="421">
                  <c:v>102.28</c:v>
                </c:pt>
                <c:pt idx="422">
                  <c:v>102.29</c:v>
                </c:pt>
                <c:pt idx="423">
                  <c:v>100.41</c:v>
                </c:pt>
                <c:pt idx="424">
                  <c:v>102.65</c:v>
                </c:pt>
                <c:pt idx="425">
                  <c:v>103.49</c:v>
                </c:pt>
                <c:pt idx="426">
                  <c:v>103.69</c:v>
                </c:pt>
                <c:pt idx="427">
                  <c:v>103.42</c:v>
                </c:pt>
                <c:pt idx="428">
                  <c:v>104.27</c:v>
                </c:pt>
                <c:pt idx="429">
                  <c:v>103.6</c:v>
                </c:pt>
                <c:pt idx="430">
                  <c:v>102.33</c:v>
                </c:pt>
                <c:pt idx="431">
                  <c:v>102.82</c:v>
                </c:pt>
                <c:pt idx="432">
                  <c:v>102.52</c:v>
                </c:pt>
                <c:pt idx="433">
                  <c:v>102.73</c:v>
                </c:pt>
                <c:pt idx="434">
                  <c:v>103.05</c:v>
                </c:pt>
                <c:pt idx="435">
                  <c:v>103.16</c:v>
                </c:pt>
                <c:pt idx="436">
                  <c:v>103.08</c:v>
                </c:pt>
                <c:pt idx="437">
                  <c:v>103.06</c:v>
                </c:pt>
                <c:pt idx="438">
                  <c:v>101.96</c:v>
                </c:pt>
                <c:pt idx="439">
                  <c:v>101.7</c:v>
                </c:pt>
                <c:pt idx="440">
                  <c:v>102.07</c:v>
                </c:pt>
                <c:pt idx="441">
                  <c:v>102.7</c:v>
                </c:pt>
                <c:pt idx="442">
                  <c:v>103.24</c:v>
                </c:pt>
                <c:pt idx="443">
                  <c:v>102.9</c:v>
                </c:pt>
                <c:pt idx="444">
                  <c:v>101.77</c:v>
                </c:pt>
                <c:pt idx="445">
                  <c:v>101.84</c:v>
                </c:pt>
                <c:pt idx="446">
                  <c:v>102.12</c:v>
                </c:pt>
                <c:pt idx="447">
                  <c:v>107.21</c:v>
                </c:pt>
                <c:pt idx="448">
                  <c:v>109.03</c:v>
                </c:pt>
                <c:pt idx="449">
                  <c:v>106.47</c:v>
                </c:pt>
                <c:pt idx="450">
                  <c:v>107.73</c:v>
                </c:pt>
                <c:pt idx="451">
                  <c:v>107.05</c:v>
                </c:pt>
                <c:pt idx="452">
                  <c:v>106.22</c:v>
                </c:pt>
                <c:pt idx="453">
                  <c:v>107.14</c:v>
                </c:pt>
                <c:pt idx="454">
                  <c:v>106.86</c:v>
                </c:pt>
                <c:pt idx="455">
                  <c:v>106.17</c:v>
                </c:pt>
                <c:pt idx="456">
                  <c:v>104.47</c:v>
                </c:pt>
                <c:pt idx="457">
                  <c:v>103.17</c:v>
                </c:pt>
                <c:pt idx="458">
                  <c:v>102.46</c:v>
                </c:pt>
                <c:pt idx="459">
                  <c:v>102.23</c:v>
                </c:pt>
                <c:pt idx="460">
                  <c:v>101.18</c:v>
                </c:pt>
                <c:pt idx="461">
                  <c:v>101.59</c:v>
                </c:pt>
                <c:pt idx="462">
                  <c:v>102.27</c:v>
                </c:pt>
                <c:pt idx="463">
                  <c:v>101.47</c:v>
                </c:pt>
                <c:pt idx="464">
                  <c:v>101.68</c:v>
                </c:pt>
                <c:pt idx="465">
                  <c:v>102.59</c:v>
                </c:pt>
                <c:pt idx="466">
                  <c:v>102.42</c:v>
                </c:pt>
                <c:pt idx="467">
                  <c:v>103.44</c:v>
                </c:pt>
                <c:pt idx="468">
                  <c:v>103.44</c:v>
                </c:pt>
                <c:pt idx="469">
                  <c:v>102.54</c:v>
                </c:pt>
                <c:pt idx="470">
                  <c:v>102.48</c:v>
                </c:pt>
                <c:pt idx="471">
                  <c:v>102.95</c:v>
                </c:pt>
                <c:pt idx="472">
                  <c:v>101.39</c:v>
                </c:pt>
                <c:pt idx="473">
                  <c:v>100.61</c:v>
                </c:pt>
                <c:pt idx="474">
                  <c:v>107.11</c:v>
                </c:pt>
                <c:pt idx="475">
                  <c:v>105.32</c:v>
                </c:pt>
                <c:pt idx="476">
                  <c:v>104.06</c:v>
                </c:pt>
                <c:pt idx="477">
                  <c:v>107</c:v>
                </c:pt>
                <c:pt idx="478">
                  <c:v>109.1</c:v>
                </c:pt>
                <c:pt idx="479">
                  <c:v>110.51</c:v>
                </c:pt>
                <c:pt idx="480">
                  <c:v>111.53</c:v>
                </c:pt>
                <c:pt idx="481">
                  <c:v>112.41</c:v>
                </c:pt>
                <c:pt idx="482">
                  <c:v>114.41</c:v>
                </c:pt>
                <c:pt idx="483">
                  <c:v>114.84</c:v>
                </c:pt>
                <c:pt idx="484">
                  <c:v>115.11</c:v>
                </c:pt>
                <c:pt idx="485">
                  <c:v>113.56</c:v>
                </c:pt>
                <c:pt idx="486">
                  <c:v>115.06</c:v>
                </c:pt>
                <c:pt idx="487">
                  <c:v>113.18</c:v>
                </c:pt>
                <c:pt idx="488">
                  <c:v>115.52</c:v>
                </c:pt>
                <c:pt idx="489">
                  <c:v>116.7</c:v>
                </c:pt>
                <c:pt idx="490">
                  <c:v>116.79</c:v>
                </c:pt>
                <c:pt idx="491">
                  <c:v>115.42</c:v>
                </c:pt>
                <c:pt idx="492">
                  <c:v>115.66</c:v>
                </c:pt>
                <c:pt idx="493">
                  <c:v>114.83</c:v>
                </c:pt>
                <c:pt idx="494">
                  <c:v>114.36</c:v>
                </c:pt>
                <c:pt idx="495">
                  <c:v>112.6</c:v>
                </c:pt>
                <c:pt idx="496">
                  <c:v>110.9</c:v>
                </c:pt>
                <c:pt idx="497">
                  <c:v>111.61</c:v>
                </c:pt>
                <c:pt idx="498">
                  <c:v>111.74</c:v>
                </c:pt>
                <c:pt idx="499">
                  <c:v>112.53</c:v>
                </c:pt>
                <c:pt idx="500">
                  <c:v>111.92</c:v>
                </c:pt>
                <c:pt idx="501">
                  <c:v>111.41</c:v>
                </c:pt>
                <c:pt idx="502">
                  <c:v>112.76</c:v>
                </c:pt>
                <c:pt idx="503">
                  <c:v>112.71</c:v>
                </c:pt>
                <c:pt idx="504">
                  <c:v>114.34</c:v>
                </c:pt>
                <c:pt idx="505">
                  <c:v>112.72</c:v>
                </c:pt>
                <c:pt idx="506">
                  <c:v>113.07</c:v>
                </c:pt>
                <c:pt idx="507">
                  <c:v>114.53</c:v>
                </c:pt>
                <c:pt idx="508">
                  <c:v>117.97</c:v>
                </c:pt>
                <c:pt idx="509">
                  <c:v>120.36</c:v>
                </c:pt>
                <c:pt idx="510">
                  <c:v>120.04</c:v>
                </c:pt>
                <c:pt idx="511">
                  <c:v>119.2</c:v>
                </c:pt>
                <c:pt idx="512">
                  <c:v>119.7</c:v>
                </c:pt>
                <c:pt idx="513">
                  <c:v>118.71</c:v>
                </c:pt>
                <c:pt idx="514">
                  <c:v>119.36</c:v>
                </c:pt>
                <c:pt idx="515">
                  <c:v>117.83</c:v>
                </c:pt>
                <c:pt idx="516">
                  <c:v>117.73</c:v>
                </c:pt>
                <c:pt idx="517">
                  <c:v>117.64</c:v>
                </c:pt>
                <c:pt idx="518">
                  <c:v>116.94</c:v>
                </c:pt>
                <c:pt idx="519">
                  <c:v>116.57</c:v>
                </c:pt>
                <c:pt idx="520">
                  <c:v>117.41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F-4C34-9841-124E51C2AC75}"/>
            </c:ext>
          </c:extLst>
        </c:ser>
        <c:ser>
          <c:idx val="1"/>
          <c:order val="1"/>
          <c:tx>
            <c:strRef>
              <c:f>WMT!$G$1</c:f>
              <c:strCache>
                <c:ptCount val="1"/>
                <c:pt idx="0">
                  <c:v>50d SMA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WMT!$B$2:$B$522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WMT!$G$2:$G$522</c:f>
              <c:numCache>
                <c:formatCode>General</c:formatCode>
                <c:ptCount val="521"/>
                <c:pt idx="49">
                  <c:v>56.42559</c:v>
                </c:pt>
                <c:pt idx="50">
                  <c:v>56.584068000000009</c:v>
                </c:pt>
                <c:pt idx="51">
                  <c:v>56.735678000000007</c:v>
                </c:pt>
                <c:pt idx="52">
                  <c:v>56.901156000000007</c:v>
                </c:pt>
                <c:pt idx="53">
                  <c:v>57.073833999999998</c:v>
                </c:pt>
                <c:pt idx="54">
                  <c:v>57.243843999999996</c:v>
                </c:pt>
                <c:pt idx="55">
                  <c:v>57.410787999999982</c:v>
                </c:pt>
                <c:pt idx="56">
                  <c:v>57.552931999999984</c:v>
                </c:pt>
                <c:pt idx="57">
                  <c:v>57.690275999999983</c:v>
                </c:pt>
                <c:pt idx="58">
                  <c:v>57.825019999999974</c:v>
                </c:pt>
                <c:pt idx="59">
                  <c:v>57.960563999999977</c:v>
                </c:pt>
                <c:pt idx="60">
                  <c:v>58.090173999999976</c:v>
                </c:pt>
                <c:pt idx="61">
                  <c:v>58.201917999999978</c:v>
                </c:pt>
                <c:pt idx="62">
                  <c:v>58.302595999999987</c:v>
                </c:pt>
                <c:pt idx="63">
                  <c:v>58.408605999999985</c:v>
                </c:pt>
                <c:pt idx="64">
                  <c:v>58.513283999999977</c:v>
                </c:pt>
                <c:pt idx="65">
                  <c:v>58.640293999999976</c:v>
                </c:pt>
                <c:pt idx="66">
                  <c:v>58.750303999999986</c:v>
                </c:pt>
                <c:pt idx="67">
                  <c:v>58.850981999999988</c:v>
                </c:pt>
                <c:pt idx="68">
                  <c:v>58.963125999999981</c:v>
                </c:pt>
                <c:pt idx="69">
                  <c:v>59.061003999999983</c:v>
                </c:pt>
                <c:pt idx="70">
                  <c:v>59.162147999999981</c:v>
                </c:pt>
                <c:pt idx="71">
                  <c:v>59.238691999999986</c:v>
                </c:pt>
                <c:pt idx="72">
                  <c:v>59.305035999999994</c:v>
                </c:pt>
                <c:pt idx="73">
                  <c:v>59.373647999999982</c:v>
                </c:pt>
                <c:pt idx="74">
                  <c:v>59.426791999999985</c:v>
                </c:pt>
                <c:pt idx="75">
                  <c:v>59.488203999999996</c:v>
                </c:pt>
                <c:pt idx="76">
                  <c:v>59.561881999999997</c:v>
                </c:pt>
                <c:pt idx="77">
                  <c:v>59.615160000000003</c:v>
                </c:pt>
                <c:pt idx="78">
                  <c:v>59.67723800000001</c:v>
                </c:pt>
                <c:pt idx="79">
                  <c:v>59.753850000000014</c:v>
                </c:pt>
                <c:pt idx="80">
                  <c:v>59.833062000000012</c:v>
                </c:pt>
                <c:pt idx="81">
                  <c:v>59.909273999999996</c:v>
                </c:pt>
                <c:pt idx="82">
                  <c:v>59.960552</c:v>
                </c:pt>
                <c:pt idx="83">
                  <c:v>59.965163999999994</c:v>
                </c:pt>
                <c:pt idx="84">
                  <c:v>60.001375999999993</c:v>
                </c:pt>
                <c:pt idx="85">
                  <c:v>60.028387999999993</c:v>
                </c:pt>
                <c:pt idx="86">
                  <c:v>60.055399999999999</c:v>
                </c:pt>
                <c:pt idx="87">
                  <c:v>60.075800000000001</c:v>
                </c:pt>
                <c:pt idx="88">
                  <c:v>60.089999999999989</c:v>
                </c:pt>
                <c:pt idx="89">
                  <c:v>60.106399999999994</c:v>
                </c:pt>
                <c:pt idx="90">
                  <c:v>60.143799999999999</c:v>
                </c:pt>
                <c:pt idx="91">
                  <c:v>60.176799999999993</c:v>
                </c:pt>
                <c:pt idx="92">
                  <c:v>60.187999999999995</c:v>
                </c:pt>
                <c:pt idx="93">
                  <c:v>60.183799999999991</c:v>
                </c:pt>
                <c:pt idx="94">
                  <c:v>60.252600000000001</c:v>
                </c:pt>
                <c:pt idx="95">
                  <c:v>60.338399999999993</c:v>
                </c:pt>
                <c:pt idx="96">
                  <c:v>60.419599999999988</c:v>
                </c:pt>
                <c:pt idx="97">
                  <c:v>60.509400000000007</c:v>
                </c:pt>
                <c:pt idx="98">
                  <c:v>60.586199999999998</c:v>
                </c:pt>
                <c:pt idx="99">
                  <c:v>60.65740000000001</c:v>
                </c:pt>
                <c:pt idx="100">
                  <c:v>60.744599999999998</c:v>
                </c:pt>
                <c:pt idx="101">
                  <c:v>60.831800000000001</c:v>
                </c:pt>
                <c:pt idx="102">
                  <c:v>60.913000000000011</c:v>
                </c:pt>
                <c:pt idx="103">
                  <c:v>60.993400000000001</c:v>
                </c:pt>
                <c:pt idx="104">
                  <c:v>61.083599999999997</c:v>
                </c:pt>
                <c:pt idx="105">
                  <c:v>61.171000000000006</c:v>
                </c:pt>
                <c:pt idx="106">
                  <c:v>61.285600000000002</c:v>
                </c:pt>
                <c:pt idx="107">
                  <c:v>61.416000000000011</c:v>
                </c:pt>
                <c:pt idx="108">
                  <c:v>61.548800000000007</c:v>
                </c:pt>
                <c:pt idx="109">
                  <c:v>61.652000000000008</c:v>
                </c:pt>
                <c:pt idx="110">
                  <c:v>61.787800000000004</c:v>
                </c:pt>
                <c:pt idx="111">
                  <c:v>61.92240000000001</c:v>
                </c:pt>
                <c:pt idx="112">
                  <c:v>62.065400000000011</c:v>
                </c:pt>
                <c:pt idx="113">
                  <c:v>62.210799999999999</c:v>
                </c:pt>
                <c:pt idx="114">
                  <c:v>62.361200000000011</c:v>
                </c:pt>
                <c:pt idx="115">
                  <c:v>62.512600000000013</c:v>
                </c:pt>
                <c:pt idx="116">
                  <c:v>62.669000000000004</c:v>
                </c:pt>
                <c:pt idx="117">
                  <c:v>62.833400000000012</c:v>
                </c:pt>
                <c:pt idx="118">
                  <c:v>62.979200000000013</c:v>
                </c:pt>
                <c:pt idx="119">
                  <c:v>63.155400000000014</c:v>
                </c:pt>
                <c:pt idx="120">
                  <c:v>63.301000000000023</c:v>
                </c:pt>
                <c:pt idx="121">
                  <c:v>63.468200000000017</c:v>
                </c:pt>
                <c:pt idx="122">
                  <c:v>63.629000000000012</c:v>
                </c:pt>
                <c:pt idx="123">
                  <c:v>63.790200000000006</c:v>
                </c:pt>
                <c:pt idx="124">
                  <c:v>63.954600000000006</c:v>
                </c:pt>
                <c:pt idx="125">
                  <c:v>64.125400000000013</c:v>
                </c:pt>
                <c:pt idx="126">
                  <c:v>64.287400000000005</c:v>
                </c:pt>
                <c:pt idx="127">
                  <c:v>64.506400000000014</c:v>
                </c:pt>
                <c:pt idx="128">
                  <c:v>64.702600000000004</c:v>
                </c:pt>
                <c:pt idx="129">
                  <c:v>64.8964</c:v>
                </c:pt>
                <c:pt idx="130">
                  <c:v>65.101399999999998</c:v>
                </c:pt>
                <c:pt idx="131">
                  <c:v>65.292600000000007</c:v>
                </c:pt>
                <c:pt idx="132">
                  <c:v>65.490399999999994</c:v>
                </c:pt>
                <c:pt idx="133">
                  <c:v>65.705600000000004</c:v>
                </c:pt>
                <c:pt idx="134">
                  <c:v>65.911200000000008</c:v>
                </c:pt>
                <c:pt idx="135">
                  <c:v>66.135400000000004</c:v>
                </c:pt>
                <c:pt idx="136">
                  <c:v>66.354399999999998</c:v>
                </c:pt>
                <c:pt idx="137">
                  <c:v>66.557000000000002</c:v>
                </c:pt>
                <c:pt idx="138">
                  <c:v>66.758600000000001</c:v>
                </c:pt>
                <c:pt idx="139">
                  <c:v>66.962800000000016</c:v>
                </c:pt>
                <c:pt idx="140">
                  <c:v>67.165199999999999</c:v>
                </c:pt>
                <c:pt idx="141">
                  <c:v>67.357400000000013</c:v>
                </c:pt>
                <c:pt idx="142">
                  <c:v>67.555800000000005</c:v>
                </c:pt>
                <c:pt idx="143">
                  <c:v>67.75160000000001</c:v>
                </c:pt>
                <c:pt idx="144">
                  <c:v>67.855200000000011</c:v>
                </c:pt>
                <c:pt idx="145">
                  <c:v>67.935000000000002</c:v>
                </c:pt>
                <c:pt idx="146">
                  <c:v>68.047200000000004</c:v>
                </c:pt>
                <c:pt idx="147">
                  <c:v>68.113400000000013</c:v>
                </c:pt>
                <c:pt idx="148">
                  <c:v>68.160200000000017</c:v>
                </c:pt>
                <c:pt idx="149">
                  <c:v>68.21820000000001</c:v>
                </c:pt>
                <c:pt idx="150">
                  <c:v>68.248800000000017</c:v>
                </c:pt>
                <c:pt idx="151">
                  <c:v>68.301200000000009</c:v>
                </c:pt>
                <c:pt idx="152">
                  <c:v>68.361800000000002</c:v>
                </c:pt>
                <c:pt idx="153">
                  <c:v>68.437999999999988</c:v>
                </c:pt>
                <c:pt idx="154">
                  <c:v>68.485399999999998</c:v>
                </c:pt>
                <c:pt idx="155">
                  <c:v>68.54219999999998</c:v>
                </c:pt>
                <c:pt idx="156">
                  <c:v>68.673799999999986</c:v>
                </c:pt>
                <c:pt idx="157">
                  <c:v>68.800999999999974</c:v>
                </c:pt>
                <c:pt idx="158">
                  <c:v>68.932399999999973</c:v>
                </c:pt>
                <c:pt idx="159">
                  <c:v>69.105599999999967</c:v>
                </c:pt>
                <c:pt idx="160">
                  <c:v>69.271199999999965</c:v>
                </c:pt>
                <c:pt idx="161">
                  <c:v>69.448199999999957</c:v>
                </c:pt>
                <c:pt idx="162">
                  <c:v>69.635999999999953</c:v>
                </c:pt>
                <c:pt idx="163">
                  <c:v>69.822599999999966</c:v>
                </c:pt>
                <c:pt idx="164">
                  <c:v>70.004799999999975</c:v>
                </c:pt>
                <c:pt idx="165">
                  <c:v>70.177999999999969</c:v>
                </c:pt>
                <c:pt idx="166">
                  <c:v>70.354399999999984</c:v>
                </c:pt>
                <c:pt idx="167">
                  <c:v>70.538799999999966</c:v>
                </c:pt>
                <c:pt idx="168">
                  <c:v>70.723999999999975</c:v>
                </c:pt>
                <c:pt idx="169">
                  <c:v>70.890799999999956</c:v>
                </c:pt>
                <c:pt idx="170">
                  <c:v>71.08159999999998</c:v>
                </c:pt>
                <c:pt idx="171">
                  <c:v>71.248599999999968</c:v>
                </c:pt>
                <c:pt idx="172">
                  <c:v>71.437799999999982</c:v>
                </c:pt>
                <c:pt idx="173">
                  <c:v>71.65979999999999</c:v>
                </c:pt>
                <c:pt idx="174">
                  <c:v>71.886999999999986</c:v>
                </c:pt>
                <c:pt idx="175">
                  <c:v>72.118799999999979</c:v>
                </c:pt>
                <c:pt idx="176">
                  <c:v>72.366</c:v>
                </c:pt>
                <c:pt idx="177">
                  <c:v>72.576399999999992</c:v>
                </c:pt>
                <c:pt idx="178">
                  <c:v>72.754799999999989</c:v>
                </c:pt>
                <c:pt idx="179">
                  <c:v>72.937400000000011</c:v>
                </c:pt>
                <c:pt idx="180">
                  <c:v>73.09</c:v>
                </c:pt>
                <c:pt idx="181">
                  <c:v>73.275200000000012</c:v>
                </c:pt>
                <c:pt idx="182">
                  <c:v>73.497000000000014</c:v>
                </c:pt>
                <c:pt idx="183">
                  <c:v>73.71820000000001</c:v>
                </c:pt>
                <c:pt idx="184">
                  <c:v>73.946400000000011</c:v>
                </c:pt>
                <c:pt idx="185">
                  <c:v>74.124200000000002</c:v>
                </c:pt>
                <c:pt idx="186">
                  <c:v>74.303399999999996</c:v>
                </c:pt>
                <c:pt idx="187">
                  <c:v>74.503399999999999</c:v>
                </c:pt>
                <c:pt idx="188">
                  <c:v>74.721199999999996</c:v>
                </c:pt>
                <c:pt idx="189">
                  <c:v>74.916800000000009</c:v>
                </c:pt>
                <c:pt idx="190">
                  <c:v>75.113399999999999</c:v>
                </c:pt>
                <c:pt idx="191">
                  <c:v>75.331799999999987</c:v>
                </c:pt>
                <c:pt idx="192">
                  <c:v>75.518200000000007</c:v>
                </c:pt>
                <c:pt idx="193">
                  <c:v>75.72</c:v>
                </c:pt>
                <c:pt idx="194">
                  <c:v>75.944200000000009</c:v>
                </c:pt>
                <c:pt idx="195">
                  <c:v>76.163600000000002</c:v>
                </c:pt>
                <c:pt idx="196">
                  <c:v>76.369799999999998</c:v>
                </c:pt>
                <c:pt idx="197">
                  <c:v>76.606399999999994</c:v>
                </c:pt>
                <c:pt idx="198">
                  <c:v>76.887600000000006</c:v>
                </c:pt>
                <c:pt idx="199">
                  <c:v>77.157200000000003</c:v>
                </c:pt>
                <c:pt idx="200">
                  <c:v>77.436800000000005</c:v>
                </c:pt>
                <c:pt idx="201">
                  <c:v>77.709800000000001</c:v>
                </c:pt>
                <c:pt idx="202">
                  <c:v>77.966999999999985</c:v>
                </c:pt>
                <c:pt idx="203">
                  <c:v>78.233399999999989</c:v>
                </c:pt>
                <c:pt idx="204">
                  <c:v>78.536199999999994</c:v>
                </c:pt>
                <c:pt idx="205">
                  <c:v>78.823799999999977</c:v>
                </c:pt>
                <c:pt idx="206">
                  <c:v>79.01039999999999</c:v>
                </c:pt>
                <c:pt idx="207">
                  <c:v>79.196399999999983</c:v>
                </c:pt>
                <c:pt idx="208">
                  <c:v>79.35599999999998</c:v>
                </c:pt>
                <c:pt idx="209">
                  <c:v>79.492999999999981</c:v>
                </c:pt>
                <c:pt idx="210">
                  <c:v>79.627199999999974</c:v>
                </c:pt>
                <c:pt idx="211">
                  <c:v>79.759399999999971</c:v>
                </c:pt>
                <c:pt idx="212">
                  <c:v>79.894399999999976</c:v>
                </c:pt>
                <c:pt idx="213">
                  <c:v>80.047399999999982</c:v>
                </c:pt>
                <c:pt idx="214">
                  <c:v>80.193599999999989</c:v>
                </c:pt>
                <c:pt idx="215">
                  <c:v>80.34899999999999</c:v>
                </c:pt>
                <c:pt idx="216">
                  <c:v>80.517199999999988</c:v>
                </c:pt>
                <c:pt idx="217">
                  <c:v>80.65679999999999</c:v>
                </c:pt>
                <c:pt idx="218">
                  <c:v>80.813199999999981</c:v>
                </c:pt>
                <c:pt idx="219">
                  <c:v>80.978399999999979</c:v>
                </c:pt>
                <c:pt idx="220">
                  <c:v>81.128599999999977</c:v>
                </c:pt>
                <c:pt idx="221">
                  <c:v>81.280799999999971</c:v>
                </c:pt>
                <c:pt idx="222">
                  <c:v>81.415599999999955</c:v>
                </c:pt>
                <c:pt idx="223">
                  <c:v>81.571399999999969</c:v>
                </c:pt>
                <c:pt idx="224">
                  <c:v>81.738199999999964</c:v>
                </c:pt>
                <c:pt idx="225">
                  <c:v>81.912799999999976</c:v>
                </c:pt>
                <c:pt idx="226">
                  <c:v>82.109599999999972</c:v>
                </c:pt>
                <c:pt idx="227">
                  <c:v>82.288399999999967</c:v>
                </c:pt>
                <c:pt idx="228">
                  <c:v>82.542599999999965</c:v>
                </c:pt>
                <c:pt idx="229">
                  <c:v>82.79959999999997</c:v>
                </c:pt>
                <c:pt idx="230">
                  <c:v>83.088799999999978</c:v>
                </c:pt>
                <c:pt idx="231">
                  <c:v>83.36039999999997</c:v>
                </c:pt>
                <c:pt idx="232">
                  <c:v>83.623999999999967</c:v>
                </c:pt>
                <c:pt idx="233">
                  <c:v>83.899599999999978</c:v>
                </c:pt>
                <c:pt idx="234">
                  <c:v>84.177599999999984</c:v>
                </c:pt>
                <c:pt idx="235">
                  <c:v>84.493199999999973</c:v>
                </c:pt>
                <c:pt idx="236">
                  <c:v>84.774199999999979</c:v>
                </c:pt>
                <c:pt idx="237">
                  <c:v>85.05019999999999</c:v>
                </c:pt>
                <c:pt idx="238">
                  <c:v>85.323999999999984</c:v>
                </c:pt>
                <c:pt idx="239">
                  <c:v>85.597199999999987</c:v>
                </c:pt>
                <c:pt idx="240">
                  <c:v>85.873599999999982</c:v>
                </c:pt>
                <c:pt idx="241">
                  <c:v>86.152199999999979</c:v>
                </c:pt>
                <c:pt idx="242">
                  <c:v>86.478599999999986</c:v>
                </c:pt>
                <c:pt idx="243">
                  <c:v>86.755400000000009</c:v>
                </c:pt>
                <c:pt idx="244">
                  <c:v>87.015399999999985</c:v>
                </c:pt>
                <c:pt idx="245">
                  <c:v>87.267999999999986</c:v>
                </c:pt>
                <c:pt idx="246">
                  <c:v>87.472999999999999</c:v>
                </c:pt>
                <c:pt idx="247">
                  <c:v>87.720800000000011</c:v>
                </c:pt>
                <c:pt idx="248">
                  <c:v>87.943600000000018</c:v>
                </c:pt>
                <c:pt idx="249">
                  <c:v>88.152400000000014</c:v>
                </c:pt>
                <c:pt idx="250">
                  <c:v>88.346000000000004</c:v>
                </c:pt>
                <c:pt idx="251">
                  <c:v>88.526800000000009</c:v>
                </c:pt>
                <c:pt idx="252">
                  <c:v>88.710600000000014</c:v>
                </c:pt>
                <c:pt idx="253">
                  <c:v>88.885800000000003</c:v>
                </c:pt>
                <c:pt idx="254">
                  <c:v>89.049000000000021</c:v>
                </c:pt>
                <c:pt idx="255">
                  <c:v>89.204400000000007</c:v>
                </c:pt>
                <c:pt idx="256">
                  <c:v>89.390200000000021</c:v>
                </c:pt>
                <c:pt idx="257">
                  <c:v>89.59520000000002</c:v>
                </c:pt>
                <c:pt idx="258">
                  <c:v>89.791800000000023</c:v>
                </c:pt>
                <c:pt idx="259">
                  <c:v>89.979799999999997</c:v>
                </c:pt>
                <c:pt idx="260">
                  <c:v>90.167600000000007</c:v>
                </c:pt>
                <c:pt idx="261">
                  <c:v>90.349800000000016</c:v>
                </c:pt>
                <c:pt idx="262">
                  <c:v>90.539600000000007</c:v>
                </c:pt>
                <c:pt idx="263">
                  <c:v>90.727599999999995</c:v>
                </c:pt>
                <c:pt idx="264">
                  <c:v>90.923399999999987</c:v>
                </c:pt>
                <c:pt idx="265">
                  <c:v>91.122600000000006</c:v>
                </c:pt>
                <c:pt idx="266">
                  <c:v>91.32119999999999</c:v>
                </c:pt>
                <c:pt idx="267">
                  <c:v>91.584999999999994</c:v>
                </c:pt>
                <c:pt idx="268">
                  <c:v>91.831000000000003</c:v>
                </c:pt>
                <c:pt idx="269">
                  <c:v>92.070999999999998</c:v>
                </c:pt>
                <c:pt idx="270">
                  <c:v>92.354599999999991</c:v>
                </c:pt>
                <c:pt idx="271">
                  <c:v>92.632799999999975</c:v>
                </c:pt>
                <c:pt idx="272">
                  <c:v>92.941999999999993</c:v>
                </c:pt>
                <c:pt idx="273">
                  <c:v>93.225400000000008</c:v>
                </c:pt>
                <c:pt idx="274">
                  <c:v>93.53100000000002</c:v>
                </c:pt>
                <c:pt idx="275">
                  <c:v>93.820200000000028</c:v>
                </c:pt>
                <c:pt idx="276">
                  <c:v>94.034400000000019</c:v>
                </c:pt>
                <c:pt idx="277">
                  <c:v>94.302800000000019</c:v>
                </c:pt>
                <c:pt idx="278">
                  <c:v>94.526000000000039</c:v>
                </c:pt>
                <c:pt idx="279">
                  <c:v>94.760600000000025</c:v>
                </c:pt>
                <c:pt idx="280">
                  <c:v>95.011600000000016</c:v>
                </c:pt>
                <c:pt idx="281">
                  <c:v>95.23960000000001</c:v>
                </c:pt>
                <c:pt idx="282">
                  <c:v>95.445000000000022</c:v>
                </c:pt>
                <c:pt idx="283">
                  <c:v>95.63600000000001</c:v>
                </c:pt>
                <c:pt idx="284">
                  <c:v>95.674199999999999</c:v>
                </c:pt>
                <c:pt idx="285">
                  <c:v>95.655799999999999</c:v>
                </c:pt>
                <c:pt idx="286">
                  <c:v>95.652600000000007</c:v>
                </c:pt>
                <c:pt idx="287">
                  <c:v>95.715399999999988</c:v>
                </c:pt>
                <c:pt idx="288">
                  <c:v>95.740199999999987</c:v>
                </c:pt>
                <c:pt idx="289">
                  <c:v>95.794199999999989</c:v>
                </c:pt>
                <c:pt idx="290">
                  <c:v>95.881399999999999</c:v>
                </c:pt>
                <c:pt idx="291">
                  <c:v>95.935799999999986</c:v>
                </c:pt>
                <c:pt idx="292">
                  <c:v>95.9268</c:v>
                </c:pt>
                <c:pt idx="293">
                  <c:v>95.975399999999993</c:v>
                </c:pt>
                <c:pt idx="294">
                  <c:v>96.000199999999992</c:v>
                </c:pt>
                <c:pt idx="295">
                  <c:v>95.989800000000017</c:v>
                </c:pt>
                <c:pt idx="296">
                  <c:v>95.9392</c:v>
                </c:pt>
                <c:pt idx="297">
                  <c:v>95.834399999999988</c:v>
                </c:pt>
                <c:pt idx="298">
                  <c:v>95.682600000000008</c:v>
                </c:pt>
                <c:pt idx="299">
                  <c:v>95.539400000000001</c:v>
                </c:pt>
                <c:pt idx="300">
                  <c:v>95.435000000000016</c:v>
                </c:pt>
                <c:pt idx="301">
                  <c:v>95.377200000000016</c:v>
                </c:pt>
                <c:pt idx="302">
                  <c:v>95.289000000000001</c:v>
                </c:pt>
                <c:pt idx="303">
                  <c:v>95.200000000000017</c:v>
                </c:pt>
                <c:pt idx="304">
                  <c:v>95.087600000000023</c:v>
                </c:pt>
                <c:pt idx="305">
                  <c:v>94.991000000000028</c:v>
                </c:pt>
                <c:pt idx="306">
                  <c:v>94.904800000000009</c:v>
                </c:pt>
                <c:pt idx="307">
                  <c:v>94.740000000000023</c:v>
                </c:pt>
                <c:pt idx="308">
                  <c:v>94.613600000000005</c:v>
                </c:pt>
                <c:pt idx="309">
                  <c:v>94.510400000000004</c:v>
                </c:pt>
                <c:pt idx="310">
                  <c:v>94.386600000000001</c:v>
                </c:pt>
                <c:pt idx="311">
                  <c:v>94.316399999999987</c:v>
                </c:pt>
                <c:pt idx="312">
                  <c:v>94.254199999999983</c:v>
                </c:pt>
                <c:pt idx="313">
                  <c:v>94.187799999999982</c:v>
                </c:pt>
                <c:pt idx="314">
                  <c:v>94.068399999999997</c:v>
                </c:pt>
                <c:pt idx="315">
                  <c:v>93.85599999999998</c:v>
                </c:pt>
                <c:pt idx="316">
                  <c:v>93.637399999999985</c:v>
                </c:pt>
                <c:pt idx="317">
                  <c:v>93.325200000000009</c:v>
                </c:pt>
                <c:pt idx="318">
                  <c:v>93.171400000000006</c:v>
                </c:pt>
                <c:pt idx="319">
                  <c:v>93.033599999999993</c:v>
                </c:pt>
                <c:pt idx="320">
                  <c:v>92.916600000000003</c:v>
                </c:pt>
                <c:pt idx="321">
                  <c:v>92.847999999999999</c:v>
                </c:pt>
                <c:pt idx="322">
                  <c:v>92.736599999999996</c:v>
                </c:pt>
                <c:pt idx="323">
                  <c:v>92.545000000000002</c:v>
                </c:pt>
                <c:pt idx="324">
                  <c:v>92.360200000000006</c:v>
                </c:pt>
                <c:pt idx="325">
                  <c:v>92.151399999999995</c:v>
                </c:pt>
                <c:pt idx="326">
                  <c:v>92.025400000000005</c:v>
                </c:pt>
                <c:pt idx="327">
                  <c:v>91.866200000000021</c:v>
                </c:pt>
                <c:pt idx="328">
                  <c:v>91.733600000000024</c:v>
                </c:pt>
                <c:pt idx="329">
                  <c:v>91.563200000000009</c:v>
                </c:pt>
                <c:pt idx="330">
                  <c:v>91.36660000000002</c:v>
                </c:pt>
                <c:pt idx="331">
                  <c:v>91.206600000000023</c:v>
                </c:pt>
                <c:pt idx="332">
                  <c:v>91.076000000000008</c:v>
                </c:pt>
                <c:pt idx="333">
                  <c:v>90.944199999999995</c:v>
                </c:pt>
                <c:pt idx="334">
                  <c:v>90.974999999999994</c:v>
                </c:pt>
                <c:pt idx="335">
                  <c:v>91.066000000000003</c:v>
                </c:pt>
                <c:pt idx="336">
                  <c:v>91.163599999999988</c:v>
                </c:pt>
                <c:pt idx="337">
                  <c:v>91.186400000000006</c:v>
                </c:pt>
                <c:pt idx="338">
                  <c:v>91.210999999999999</c:v>
                </c:pt>
                <c:pt idx="339">
                  <c:v>91.209600000000009</c:v>
                </c:pt>
                <c:pt idx="340">
                  <c:v>91.172399999999996</c:v>
                </c:pt>
                <c:pt idx="341">
                  <c:v>91.138200000000012</c:v>
                </c:pt>
                <c:pt idx="342">
                  <c:v>91.17540000000001</c:v>
                </c:pt>
                <c:pt idx="343">
                  <c:v>91.1828</c:v>
                </c:pt>
                <c:pt idx="344">
                  <c:v>91.254799999999975</c:v>
                </c:pt>
                <c:pt idx="345">
                  <c:v>91.382799999999989</c:v>
                </c:pt>
                <c:pt idx="346">
                  <c:v>91.582399999999978</c:v>
                </c:pt>
                <c:pt idx="347">
                  <c:v>91.762199999999993</c:v>
                </c:pt>
                <c:pt idx="348">
                  <c:v>91.976799999999983</c:v>
                </c:pt>
                <c:pt idx="349">
                  <c:v>92.213599999999985</c:v>
                </c:pt>
                <c:pt idx="350">
                  <c:v>92.458199999999991</c:v>
                </c:pt>
                <c:pt idx="351">
                  <c:v>92.65379999999999</c:v>
                </c:pt>
                <c:pt idx="352">
                  <c:v>92.884</c:v>
                </c:pt>
                <c:pt idx="353">
                  <c:v>93.131799999999984</c:v>
                </c:pt>
                <c:pt idx="354">
                  <c:v>93.410999999999987</c:v>
                </c:pt>
                <c:pt idx="355">
                  <c:v>93.690999999999988</c:v>
                </c:pt>
                <c:pt idx="356">
                  <c:v>93.928200000000004</c:v>
                </c:pt>
                <c:pt idx="357">
                  <c:v>94.1922</c:v>
                </c:pt>
                <c:pt idx="358">
                  <c:v>94.437399999999997</c:v>
                </c:pt>
                <c:pt idx="359">
                  <c:v>94.673799999999986</c:v>
                </c:pt>
                <c:pt idx="360">
                  <c:v>94.91719999999998</c:v>
                </c:pt>
                <c:pt idx="361">
                  <c:v>95.077399999999983</c:v>
                </c:pt>
                <c:pt idx="362">
                  <c:v>95.197399999999973</c:v>
                </c:pt>
                <c:pt idx="363">
                  <c:v>95.290999999999954</c:v>
                </c:pt>
                <c:pt idx="364">
                  <c:v>95.43159999999996</c:v>
                </c:pt>
                <c:pt idx="365">
                  <c:v>95.652799999999957</c:v>
                </c:pt>
                <c:pt idx="366">
                  <c:v>95.877999999999957</c:v>
                </c:pt>
                <c:pt idx="367">
                  <c:v>96.16459999999995</c:v>
                </c:pt>
                <c:pt idx="368">
                  <c:v>96.32999999999997</c:v>
                </c:pt>
                <c:pt idx="369">
                  <c:v>96.477799999999974</c:v>
                </c:pt>
                <c:pt idx="370">
                  <c:v>96.566999999999965</c:v>
                </c:pt>
                <c:pt idx="371">
                  <c:v>96.592799999999983</c:v>
                </c:pt>
                <c:pt idx="372">
                  <c:v>96.658799999999985</c:v>
                </c:pt>
                <c:pt idx="373">
                  <c:v>96.790599999999998</c:v>
                </c:pt>
                <c:pt idx="374">
                  <c:v>96.891000000000005</c:v>
                </c:pt>
                <c:pt idx="375">
                  <c:v>96.995000000000005</c:v>
                </c:pt>
                <c:pt idx="376">
                  <c:v>97.06519999999999</c:v>
                </c:pt>
                <c:pt idx="377">
                  <c:v>97.152999999999992</c:v>
                </c:pt>
                <c:pt idx="378">
                  <c:v>97.177999999999997</c:v>
                </c:pt>
                <c:pt idx="379">
                  <c:v>97.212399999999974</c:v>
                </c:pt>
                <c:pt idx="380">
                  <c:v>97.205199999999991</c:v>
                </c:pt>
                <c:pt idx="381">
                  <c:v>97.172399999999996</c:v>
                </c:pt>
                <c:pt idx="382">
                  <c:v>97.142999999999986</c:v>
                </c:pt>
                <c:pt idx="383">
                  <c:v>97.102599999999995</c:v>
                </c:pt>
                <c:pt idx="384">
                  <c:v>97.030599999999993</c:v>
                </c:pt>
                <c:pt idx="385">
                  <c:v>96.945800000000006</c:v>
                </c:pt>
                <c:pt idx="386">
                  <c:v>96.875799999999998</c:v>
                </c:pt>
                <c:pt idx="387">
                  <c:v>96.812600000000003</c:v>
                </c:pt>
                <c:pt idx="388">
                  <c:v>96.78100000000002</c:v>
                </c:pt>
                <c:pt idx="389">
                  <c:v>96.76020000000004</c:v>
                </c:pt>
                <c:pt idx="390">
                  <c:v>96.757200000000026</c:v>
                </c:pt>
                <c:pt idx="391">
                  <c:v>96.78900000000003</c:v>
                </c:pt>
                <c:pt idx="392">
                  <c:v>96.80460000000005</c:v>
                </c:pt>
                <c:pt idx="393">
                  <c:v>96.844200000000043</c:v>
                </c:pt>
                <c:pt idx="394">
                  <c:v>96.831200000000024</c:v>
                </c:pt>
                <c:pt idx="395">
                  <c:v>96.828400000000016</c:v>
                </c:pt>
                <c:pt idx="396">
                  <c:v>96.842200000000005</c:v>
                </c:pt>
                <c:pt idx="397">
                  <c:v>96.905400000000014</c:v>
                </c:pt>
                <c:pt idx="398">
                  <c:v>96.973000000000013</c:v>
                </c:pt>
                <c:pt idx="399">
                  <c:v>97.113399999999999</c:v>
                </c:pt>
                <c:pt idx="400">
                  <c:v>97.224199999999996</c:v>
                </c:pt>
                <c:pt idx="401">
                  <c:v>97.353999999999985</c:v>
                </c:pt>
                <c:pt idx="402">
                  <c:v>97.490600000000001</c:v>
                </c:pt>
                <c:pt idx="403">
                  <c:v>97.5886</c:v>
                </c:pt>
                <c:pt idx="404">
                  <c:v>97.613</c:v>
                </c:pt>
                <c:pt idx="405">
                  <c:v>97.630399999999995</c:v>
                </c:pt>
                <c:pt idx="406">
                  <c:v>97.643399999999986</c:v>
                </c:pt>
                <c:pt idx="407">
                  <c:v>97.6982</c:v>
                </c:pt>
                <c:pt idx="408">
                  <c:v>97.774599999999992</c:v>
                </c:pt>
                <c:pt idx="409">
                  <c:v>97.876999999999995</c:v>
                </c:pt>
                <c:pt idx="410">
                  <c:v>97.88979999999998</c:v>
                </c:pt>
                <c:pt idx="411">
                  <c:v>97.910399999999996</c:v>
                </c:pt>
                <c:pt idx="412">
                  <c:v>97.93519999999998</c:v>
                </c:pt>
                <c:pt idx="413">
                  <c:v>97.967399999999955</c:v>
                </c:pt>
                <c:pt idx="414">
                  <c:v>98.003199999999964</c:v>
                </c:pt>
                <c:pt idx="415">
                  <c:v>98.040399999999948</c:v>
                </c:pt>
                <c:pt idx="416">
                  <c:v>98.078199999999967</c:v>
                </c:pt>
                <c:pt idx="417">
                  <c:v>98.112799999999964</c:v>
                </c:pt>
                <c:pt idx="418">
                  <c:v>98.144199999999969</c:v>
                </c:pt>
                <c:pt idx="419">
                  <c:v>98.202799999999982</c:v>
                </c:pt>
                <c:pt idx="420">
                  <c:v>98.267799999999994</c:v>
                </c:pt>
                <c:pt idx="421">
                  <c:v>98.392999999999972</c:v>
                </c:pt>
                <c:pt idx="422">
                  <c:v>98.49339999999998</c:v>
                </c:pt>
                <c:pt idx="423">
                  <c:v>98.545999999999964</c:v>
                </c:pt>
                <c:pt idx="424">
                  <c:v>98.634199999999979</c:v>
                </c:pt>
                <c:pt idx="425">
                  <c:v>98.75179999999996</c:v>
                </c:pt>
                <c:pt idx="426">
                  <c:v>98.858399999999961</c:v>
                </c:pt>
                <c:pt idx="427">
                  <c:v>98.939799999999963</c:v>
                </c:pt>
                <c:pt idx="428">
                  <c:v>99.083399999999969</c:v>
                </c:pt>
                <c:pt idx="429">
                  <c:v>99.219199999999987</c:v>
                </c:pt>
                <c:pt idx="430">
                  <c:v>99.368599999999986</c:v>
                </c:pt>
                <c:pt idx="431">
                  <c:v>99.536999999999992</c:v>
                </c:pt>
                <c:pt idx="432">
                  <c:v>99.671800000000005</c:v>
                </c:pt>
                <c:pt idx="433">
                  <c:v>99.818600000000004</c:v>
                </c:pt>
                <c:pt idx="434">
                  <c:v>99.976600000000019</c:v>
                </c:pt>
                <c:pt idx="435">
                  <c:v>100.13800000000001</c:v>
                </c:pt>
                <c:pt idx="436">
                  <c:v>100.29860000000002</c:v>
                </c:pt>
                <c:pt idx="437">
                  <c:v>100.44640000000001</c:v>
                </c:pt>
                <c:pt idx="438">
                  <c:v>100.56860000000002</c:v>
                </c:pt>
                <c:pt idx="439">
                  <c:v>100.68899999999999</c:v>
                </c:pt>
                <c:pt idx="440">
                  <c:v>100.7984</c:v>
                </c:pt>
                <c:pt idx="441">
                  <c:v>100.90299999999999</c:v>
                </c:pt>
                <c:pt idx="442">
                  <c:v>101.01559999999999</c:v>
                </c:pt>
                <c:pt idx="443">
                  <c:v>101.10699999999997</c:v>
                </c:pt>
                <c:pt idx="444">
                  <c:v>101.19059999999999</c:v>
                </c:pt>
                <c:pt idx="445">
                  <c:v>101.26779999999999</c:v>
                </c:pt>
                <c:pt idx="446">
                  <c:v>101.34039999999999</c:v>
                </c:pt>
                <c:pt idx="447">
                  <c:v>101.49279999999997</c:v>
                </c:pt>
                <c:pt idx="448">
                  <c:v>101.68719999999998</c:v>
                </c:pt>
                <c:pt idx="449">
                  <c:v>101.74939999999998</c:v>
                </c:pt>
                <c:pt idx="450">
                  <c:v>101.84159999999999</c:v>
                </c:pt>
                <c:pt idx="451">
                  <c:v>101.90799999999999</c:v>
                </c:pt>
                <c:pt idx="452">
                  <c:v>101.95379999999999</c:v>
                </c:pt>
                <c:pt idx="453">
                  <c:v>102.02420000000001</c:v>
                </c:pt>
                <c:pt idx="454">
                  <c:v>102.1416</c:v>
                </c:pt>
                <c:pt idx="455">
                  <c:v>102.248</c:v>
                </c:pt>
                <c:pt idx="456">
                  <c:v>102.3374</c:v>
                </c:pt>
                <c:pt idx="457">
                  <c:v>102.38680000000002</c:v>
                </c:pt>
                <c:pt idx="458">
                  <c:v>102.41020000000002</c:v>
                </c:pt>
                <c:pt idx="459">
                  <c:v>102.4034</c:v>
                </c:pt>
                <c:pt idx="460">
                  <c:v>102.46780000000001</c:v>
                </c:pt>
                <c:pt idx="461">
                  <c:v>102.56300000000002</c:v>
                </c:pt>
                <c:pt idx="462">
                  <c:v>102.68700000000001</c:v>
                </c:pt>
                <c:pt idx="463">
                  <c:v>102.79540000000001</c:v>
                </c:pt>
                <c:pt idx="464">
                  <c:v>102.90740000000001</c:v>
                </c:pt>
                <c:pt idx="465">
                  <c:v>103.03700000000002</c:v>
                </c:pt>
                <c:pt idx="466">
                  <c:v>103.14580000000002</c:v>
                </c:pt>
                <c:pt idx="467">
                  <c:v>103.2576</c:v>
                </c:pt>
                <c:pt idx="468">
                  <c:v>103.33759999999998</c:v>
                </c:pt>
                <c:pt idx="469">
                  <c:v>103.3698</c:v>
                </c:pt>
                <c:pt idx="470">
                  <c:v>103.4092</c:v>
                </c:pt>
                <c:pt idx="471">
                  <c:v>103.42259999999999</c:v>
                </c:pt>
                <c:pt idx="472">
                  <c:v>103.40459999999999</c:v>
                </c:pt>
                <c:pt idx="473">
                  <c:v>103.40859999999999</c:v>
                </c:pt>
                <c:pt idx="474">
                  <c:v>103.49779999999997</c:v>
                </c:pt>
                <c:pt idx="475">
                  <c:v>103.53439999999995</c:v>
                </c:pt>
                <c:pt idx="476">
                  <c:v>103.54179999999995</c:v>
                </c:pt>
                <c:pt idx="477">
                  <c:v>103.61339999999997</c:v>
                </c:pt>
                <c:pt idx="478">
                  <c:v>103.70999999999998</c:v>
                </c:pt>
                <c:pt idx="479">
                  <c:v>103.84819999999999</c:v>
                </c:pt>
                <c:pt idx="480">
                  <c:v>104.03219999999999</c:v>
                </c:pt>
                <c:pt idx="481">
                  <c:v>104.22399999999999</c:v>
                </c:pt>
                <c:pt idx="482">
                  <c:v>104.46179999999998</c:v>
                </c:pt>
                <c:pt idx="483">
                  <c:v>104.70399999999999</c:v>
                </c:pt>
                <c:pt idx="484">
                  <c:v>104.94519999999999</c:v>
                </c:pt>
                <c:pt idx="485">
                  <c:v>105.15320000000001</c:v>
                </c:pt>
                <c:pt idx="486">
                  <c:v>105.39280000000002</c:v>
                </c:pt>
                <c:pt idx="487">
                  <c:v>105.59520000000002</c:v>
                </c:pt>
                <c:pt idx="488">
                  <c:v>105.86640000000003</c:v>
                </c:pt>
                <c:pt idx="489">
                  <c:v>106.16640000000001</c:v>
                </c:pt>
                <c:pt idx="490">
                  <c:v>106.46080000000002</c:v>
                </c:pt>
                <c:pt idx="491">
                  <c:v>106.71520000000004</c:v>
                </c:pt>
                <c:pt idx="492">
                  <c:v>106.96360000000003</c:v>
                </c:pt>
                <c:pt idx="493">
                  <c:v>107.20220000000003</c:v>
                </c:pt>
                <c:pt idx="494">
                  <c:v>107.45400000000001</c:v>
                </c:pt>
                <c:pt idx="495">
                  <c:v>107.66920000000003</c:v>
                </c:pt>
                <c:pt idx="496">
                  <c:v>107.84480000000002</c:v>
                </c:pt>
                <c:pt idx="497">
                  <c:v>107.9328</c:v>
                </c:pt>
                <c:pt idx="498">
                  <c:v>107.98699999999999</c:v>
                </c:pt>
                <c:pt idx="499">
                  <c:v>108.10819999999998</c:v>
                </c:pt>
                <c:pt idx="500">
                  <c:v>108.19199999999996</c:v>
                </c:pt>
                <c:pt idx="501">
                  <c:v>108.27919999999999</c:v>
                </c:pt>
                <c:pt idx="502">
                  <c:v>108.40999999999998</c:v>
                </c:pt>
                <c:pt idx="503">
                  <c:v>108.5214</c:v>
                </c:pt>
                <c:pt idx="504">
                  <c:v>108.67099999999999</c:v>
                </c:pt>
                <c:pt idx="505">
                  <c:v>108.80199999999999</c:v>
                </c:pt>
                <c:pt idx="506">
                  <c:v>108.97399999999998</c:v>
                </c:pt>
                <c:pt idx="507">
                  <c:v>109.20119999999997</c:v>
                </c:pt>
                <c:pt idx="508">
                  <c:v>109.51139999999998</c:v>
                </c:pt>
                <c:pt idx="509">
                  <c:v>109.87399999999998</c:v>
                </c:pt>
                <c:pt idx="510">
                  <c:v>110.25119999999998</c:v>
                </c:pt>
                <c:pt idx="511">
                  <c:v>110.60339999999998</c:v>
                </c:pt>
                <c:pt idx="512">
                  <c:v>110.95199999999997</c:v>
                </c:pt>
                <c:pt idx="513">
                  <c:v>111.29679999999999</c:v>
                </c:pt>
                <c:pt idx="514">
                  <c:v>111.65039999999998</c:v>
                </c:pt>
                <c:pt idx="515">
                  <c:v>111.95519999999996</c:v>
                </c:pt>
                <c:pt idx="516">
                  <c:v>112.26139999999995</c:v>
                </c:pt>
                <c:pt idx="517">
                  <c:v>112.54539999999997</c:v>
                </c:pt>
                <c:pt idx="518">
                  <c:v>112.81539999999995</c:v>
                </c:pt>
                <c:pt idx="519">
                  <c:v>113.09599999999996</c:v>
                </c:pt>
                <c:pt idx="520">
                  <c:v>113.39459999999997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F-4C34-9841-124E51C2AC75}"/>
            </c:ext>
          </c:extLst>
        </c:ser>
        <c:ser>
          <c:idx val="2"/>
          <c:order val="2"/>
          <c:tx>
            <c:strRef>
              <c:f>WMT!$H$1</c:f>
              <c:strCache>
                <c:ptCount val="1"/>
                <c:pt idx="0">
                  <c:v>100d SMA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WMT!$B$2:$B$522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WMT!$H$2:$H$522</c:f>
              <c:numCache>
                <c:formatCode>General</c:formatCode>
                <c:ptCount val="521"/>
                <c:pt idx="99">
                  <c:v>58.541494999999983</c:v>
                </c:pt>
                <c:pt idx="100">
                  <c:v>58.609202970297019</c:v>
                </c:pt>
                <c:pt idx="101">
                  <c:v>58.727459405940571</c:v>
                </c:pt>
                <c:pt idx="102">
                  <c:v>58.844494059405932</c:v>
                </c:pt>
                <c:pt idx="103">
                  <c:v>58.966314851485144</c:v>
                </c:pt>
                <c:pt idx="104">
                  <c:v>59.100214851485134</c:v>
                </c:pt>
                <c:pt idx="105">
                  <c:v>59.22962574257425</c:v>
                </c:pt>
                <c:pt idx="106">
                  <c:v>59.363261386138603</c:v>
                </c:pt>
                <c:pt idx="107">
                  <c:v>59.495213861386127</c:v>
                </c:pt>
                <c:pt idx="108">
                  <c:v>59.628354455445532</c:v>
                </c:pt>
                <c:pt idx="109">
                  <c:v>59.748227722772256</c:v>
                </c:pt>
                <c:pt idx="110">
                  <c:v>59.877110891089089</c:v>
                </c:pt>
                <c:pt idx="111">
                  <c:v>60.006224752475234</c:v>
                </c:pt>
                <c:pt idx="112">
                  <c:v>60.124018811881179</c:v>
                </c:pt>
                <c:pt idx="113">
                  <c:v>60.248512871287112</c:v>
                </c:pt>
                <c:pt idx="114">
                  <c:v>60.376141584158404</c:v>
                </c:pt>
                <c:pt idx="115">
                  <c:v>60.506378217821762</c:v>
                </c:pt>
                <c:pt idx="116">
                  <c:v>60.645987128712854</c:v>
                </c:pt>
                <c:pt idx="117">
                  <c:v>60.781932673267328</c:v>
                </c:pt>
                <c:pt idx="118">
                  <c:v>60.912169306930686</c:v>
                </c:pt>
                <c:pt idx="119">
                  <c:v>61.049666336633649</c:v>
                </c:pt>
                <c:pt idx="120">
                  <c:v>61.170695049504943</c:v>
                </c:pt>
                <c:pt idx="121">
                  <c:v>61.301459405940584</c:v>
                </c:pt>
                <c:pt idx="122">
                  <c:v>61.418065346534647</c:v>
                </c:pt>
                <c:pt idx="123">
                  <c:v>61.528829702970306</c:v>
                </c:pt>
                <c:pt idx="124">
                  <c:v>61.640320792079201</c:v>
                </c:pt>
                <c:pt idx="125">
                  <c:v>61.753857425742567</c:v>
                </c:pt>
                <c:pt idx="126">
                  <c:v>61.870497029702967</c:v>
                </c:pt>
                <c:pt idx="127">
                  <c:v>62.004991089108913</c:v>
                </c:pt>
                <c:pt idx="128">
                  <c:v>62.136217821782182</c:v>
                </c:pt>
                <c:pt idx="129">
                  <c:v>62.266256435643569</c:v>
                </c:pt>
                <c:pt idx="130">
                  <c:v>62.405173267326738</c:v>
                </c:pt>
                <c:pt idx="131">
                  <c:v>62.539832673267327</c:v>
                </c:pt>
                <c:pt idx="132">
                  <c:v>62.666670297029704</c:v>
                </c:pt>
                <c:pt idx="133">
                  <c:v>62.793639603960393</c:v>
                </c:pt>
                <c:pt idx="134">
                  <c:v>62.906219801980193</c:v>
                </c:pt>
                <c:pt idx="135">
                  <c:v>63.036225742574253</c:v>
                </c:pt>
                <c:pt idx="136">
                  <c:v>63.158508910891079</c:v>
                </c:pt>
                <c:pt idx="137">
                  <c:v>63.279603960396031</c:v>
                </c:pt>
                <c:pt idx="138">
                  <c:v>63.386336633663362</c:v>
                </c:pt>
                <c:pt idx="139">
                  <c:v>63.495841584158399</c:v>
                </c:pt>
                <c:pt idx="140">
                  <c:v>63.60455445544553</c:v>
                </c:pt>
                <c:pt idx="141">
                  <c:v>63.717524752475242</c:v>
                </c:pt>
                <c:pt idx="142">
                  <c:v>63.826633663366323</c:v>
                </c:pt>
                <c:pt idx="143">
                  <c:v>63.928811881188103</c:v>
                </c:pt>
                <c:pt idx="144">
                  <c:v>64.019405940594041</c:v>
                </c:pt>
                <c:pt idx="145">
                  <c:v>64.099306930693061</c:v>
                </c:pt>
                <c:pt idx="146">
                  <c:v>64.192673267326725</c:v>
                </c:pt>
                <c:pt idx="147">
                  <c:v>64.275247524752473</c:v>
                </c:pt>
                <c:pt idx="148">
                  <c:v>64.343861386138613</c:v>
                </c:pt>
                <c:pt idx="149">
                  <c:v>64.406534653465329</c:v>
                </c:pt>
                <c:pt idx="150">
                  <c:v>64.462277227722765</c:v>
                </c:pt>
                <c:pt idx="151">
                  <c:v>64.528019801980179</c:v>
                </c:pt>
                <c:pt idx="152">
                  <c:v>64.59999999999998</c:v>
                </c:pt>
                <c:pt idx="153">
                  <c:v>64.677623762376214</c:v>
                </c:pt>
                <c:pt idx="154">
                  <c:v>64.749504950495023</c:v>
                </c:pt>
                <c:pt idx="155">
                  <c:v>64.822871287128677</c:v>
                </c:pt>
                <c:pt idx="156">
                  <c:v>64.939009900990087</c:v>
                </c:pt>
                <c:pt idx="157">
                  <c:v>65.06356435643562</c:v>
                </c:pt>
                <c:pt idx="158">
                  <c:v>65.193762376237601</c:v>
                </c:pt>
                <c:pt idx="159">
                  <c:v>65.332673267326712</c:v>
                </c:pt>
                <c:pt idx="160">
                  <c:v>65.476435643564344</c:v>
                </c:pt>
                <c:pt idx="161">
                  <c:v>65.629009900990084</c:v>
                </c:pt>
                <c:pt idx="162">
                  <c:v>65.784455445544538</c:v>
                </c:pt>
                <c:pt idx="163">
                  <c:v>65.951485148514834</c:v>
                </c:pt>
                <c:pt idx="164">
                  <c:v>66.116831683168286</c:v>
                </c:pt>
                <c:pt idx="165">
                  <c:v>66.280990099009884</c:v>
                </c:pt>
                <c:pt idx="166">
                  <c:v>66.445049504950489</c:v>
                </c:pt>
                <c:pt idx="167">
                  <c:v>66.617821782178197</c:v>
                </c:pt>
                <c:pt idx="168">
                  <c:v>66.789900990098985</c:v>
                </c:pt>
                <c:pt idx="169">
                  <c:v>66.954455445544539</c:v>
                </c:pt>
                <c:pt idx="170">
                  <c:v>67.121485148514836</c:v>
                </c:pt>
                <c:pt idx="171">
                  <c:v>67.284851485148508</c:v>
                </c:pt>
                <c:pt idx="172">
                  <c:v>67.457227722772274</c:v>
                </c:pt>
                <c:pt idx="173">
                  <c:v>67.645049504950492</c:v>
                </c:pt>
                <c:pt idx="174">
                  <c:v>67.83504950495049</c:v>
                </c:pt>
                <c:pt idx="175">
                  <c:v>68.037029702970301</c:v>
                </c:pt>
                <c:pt idx="176">
                  <c:v>68.245643564356428</c:v>
                </c:pt>
                <c:pt idx="177">
                  <c:v>68.447821782178224</c:v>
                </c:pt>
                <c:pt idx="178">
                  <c:v>68.640990099009912</c:v>
                </c:pt>
                <c:pt idx="179">
                  <c:v>68.830693069306932</c:v>
                </c:pt>
                <c:pt idx="180">
                  <c:v>69.007227722772285</c:v>
                </c:pt>
                <c:pt idx="181">
                  <c:v>69.19435643564357</c:v>
                </c:pt>
                <c:pt idx="182">
                  <c:v>69.393267326732683</c:v>
                </c:pt>
                <c:pt idx="183">
                  <c:v>69.604356435643567</c:v>
                </c:pt>
                <c:pt idx="184">
                  <c:v>69.827623762376248</c:v>
                </c:pt>
                <c:pt idx="185">
                  <c:v>70.027722772277244</c:v>
                </c:pt>
                <c:pt idx="186">
                  <c:v>70.225346534653468</c:v>
                </c:pt>
                <c:pt idx="187">
                  <c:v>70.432079207920793</c:v>
                </c:pt>
                <c:pt idx="188">
                  <c:v>70.636534653465361</c:v>
                </c:pt>
                <c:pt idx="189">
                  <c:v>70.83584158415843</c:v>
                </c:pt>
                <c:pt idx="190">
                  <c:v>71.033762376237647</c:v>
                </c:pt>
                <c:pt idx="191">
                  <c:v>71.23633663366337</c:v>
                </c:pt>
                <c:pt idx="192">
                  <c:v>71.421386138613869</c:v>
                </c:pt>
                <c:pt idx="193">
                  <c:v>71.617920792079218</c:v>
                </c:pt>
                <c:pt idx="194">
                  <c:v>71.821584158415845</c:v>
                </c:pt>
                <c:pt idx="195">
                  <c:v>71.976039603960402</c:v>
                </c:pt>
                <c:pt idx="196">
                  <c:v>72.129009900990098</c:v>
                </c:pt>
                <c:pt idx="197">
                  <c:v>72.288514851485147</c:v>
                </c:pt>
                <c:pt idx="198">
                  <c:v>72.451881188118818</c:v>
                </c:pt>
                <c:pt idx="199">
                  <c:v>72.61</c:v>
                </c:pt>
                <c:pt idx="200">
                  <c:v>72.768910891089121</c:v>
                </c:pt>
                <c:pt idx="201">
                  <c:v>72.926633663366346</c:v>
                </c:pt>
                <c:pt idx="202">
                  <c:v>73.082772277227733</c:v>
                </c:pt>
                <c:pt idx="203">
                  <c:v>73.252079207920815</c:v>
                </c:pt>
                <c:pt idx="204">
                  <c:v>73.434059405940616</c:v>
                </c:pt>
                <c:pt idx="205">
                  <c:v>73.605148514851507</c:v>
                </c:pt>
                <c:pt idx="206">
                  <c:v>73.77039603960398</c:v>
                </c:pt>
                <c:pt idx="207">
                  <c:v>73.930297029702999</c:v>
                </c:pt>
                <c:pt idx="208">
                  <c:v>74.074950495049521</c:v>
                </c:pt>
                <c:pt idx="209">
                  <c:v>74.215940594059433</c:v>
                </c:pt>
                <c:pt idx="210">
                  <c:v>74.37504950495051</c:v>
                </c:pt>
                <c:pt idx="211">
                  <c:v>74.525841584158442</c:v>
                </c:pt>
                <c:pt idx="212">
                  <c:v>74.681485148514867</c:v>
                </c:pt>
                <c:pt idx="213">
                  <c:v>74.853465346534676</c:v>
                </c:pt>
                <c:pt idx="214">
                  <c:v>75.019207920792098</c:v>
                </c:pt>
                <c:pt idx="215">
                  <c:v>75.185841584158425</c:v>
                </c:pt>
                <c:pt idx="216">
                  <c:v>75.358217821782191</c:v>
                </c:pt>
                <c:pt idx="217">
                  <c:v>75.522673267326752</c:v>
                </c:pt>
                <c:pt idx="218">
                  <c:v>75.690792079207938</c:v>
                </c:pt>
                <c:pt idx="219">
                  <c:v>75.864950495049513</c:v>
                </c:pt>
                <c:pt idx="220">
                  <c:v>76.019108910891092</c:v>
                </c:pt>
                <c:pt idx="221">
                  <c:v>76.185742574257432</c:v>
                </c:pt>
                <c:pt idx="222">
                  <c:v>76.34207920792079</c:v>
                </c:pt>
                <c:pt idx="223">
                  <c:v>76.527425742574266</c:v>
                </c:pt>
                <c:pt idx="224">
                  <c:v>76.720198019801998</c:v>
                </c:pt>
                <c:pt idx="225">
                  <c:v>76.927227722772287</c:v>
                </c:pt>
                <c:pt idx="226">
                  <c:v>77.148712871287145</c:v>
                </c:pt>
                <c:pt idx="227">
                  <c:v>77.359207920792102</c:v>
                </c:pt>
                <c:pt idx="228">
                  <c:v>77.569801980198037</c:v>
                </c:pt>
                <c:pt idx="229">
                  <c:v>77.789603960396065</c:v>
                </c:pt>
                <c:pt idx="230">
                  <c:v>78.013366336633695</c:v>
                </c:pt>
                <c:pt idx="231">
                  <c:v>78.233465346534686</c:v>
                </c:pt>
                <c:pt idx="232">
                  <c:v>78.468217821782218</c:v>
                </c:pt>
                <c:pt idx="233">
                  <c:v>78.717821782178262</c:v>
                </c:pt>
                <c:pt idx="234">
                  <c:v>78.972178217821821</c:v>
                </c:pt>
                <c:pt idx="235">
                  <c:v>79.226732673267364</c:v>
                </c:pt>
                <c:pt idx="236">
                  <c:v>79.452475247524774</c:v>
                </c:pt>
                <c:pt idx="237">
                  <c:v>79.687425742574291</c:v>
                </c:pt>
                <c:pt idx="238">
                  <c:v>79.927128712871323</c:v>
                </c:pt>
                <c:pt idx="239">
                  <c:v>80.161881188118826</c:v>
                </c:pt>
                <c:pt idx="240">
                  <c:v>80.395544554455483</c:v>
                </c:pt>
                <c:pt idx="241">
                  <c:v>80.635841584158456</c:v>
                </c:pt>
                <c:pt idx="242">
                  <c:v>80.887326732673301</c:v>
                </c:pt>
                <c:pt idx="243">
                  <c:v>81.122673267326761</c:v>
                </c:pt>
                <c:pt idx="244">
                  <c:v>81.358118811881226</c:v>
                </c:pt>
                <c:pt idx="245">
                  <c:v>81.586336633663407</c:v>
                </c:pt>
                <c:pt idx="246">
                  <c:v>81.801287128712914</c:v>
                </c:pt>
                <c:pt idx="247">
                  <c:v>82.027920792079243</c:v>
                </c:pt>
                <c:pt idx="248">
                  <c:v>82.268811881188157</c:v>
                </c:pt>
                <c:pt idx="249">
                  <c:v>82.507128712871321</c:v>
                </c:pt>
                <c:pt idx="250">
                  <c:v>82.733168316831708</c:v>
                </c:pt>
                <c:pt idx="251">
                  <c:v>82.965247524752513</c:v>
                </c:pt>
                <c:pt idx="252">
                  <c:v>83.18643564356438</c:v>
                </c:pt>
                <c:pt idx="253">
                  <c:v>83.412475247524767</c:v>
                </c:pt>
                <c:pt idx="254">
                  <c:v>83.637524752475258</c:v>
                </c:pt>
                <c:pt idx="255">
                  <c:v>83.8620792079208</c:v>
                </c:pt>
                <c:pt idx="256">
                  <c:v>84.091188118811871</c:v>
                </c:pt>
                <c:pt idx="257">
                  <c:v>84.287425742574243</c:v>
                </c:pt>
                <c:pt idx="258">
                  <c:v>84.466435643564367</c:v>
                </c:pt>
                <c:pt idx="259">
                  <c:v>84.635445544554472</c:v>
                </c:pt>
                <c:pt idx="260">
                  <c:v>84.801782178217849</c:v>
                </c:pt>
                <c:pt idx="261">
                  <c:v>84.960792079207948</c:v>
                </c:pt>
                <c:pt idx="262">
                  <c:v>85.122772277227739</c:v>
                </c:pt>
                <c:pt idx="263">
                  <c:v>85.294851485148527</c:v>
                </c:pt>
                <c:pt idx="264">
                  <c:v>85.465148514851478</c:v>
                </c:pt>
                <c:pt idx="265">
                  <c:v>85.640198019802</c:v>
                </c:pt>
                <c:pt idx="266">
                  <c:v>85.825148514851506</c:v>
                </c:pt>
                <c:pt idx="267">
                  <c:v>86.032871287128714</c:v>
                </c:pt>
                <c:pt idx="268">
                  <c:v>86.231485148514864</c:v>
                </c:pt>
                <c:pt idx="269">
                  <c:v>86.432772277227727</c:v>
                </c:pt>
                <c:pt idx="270">
                  <c:v>86.644752475247529</c:v>
                </c:pt>
                <c:pt idx="271">
                  <c:v>86.85465346534653</c:v>
                </c:pt>
                <c:pt idx="272">
                  <c:v>87.08138613861388</c:v>
                </c:pt>
                <c:pt idx="273">
                  <c:v>87.313366336633678</c:v>
                </c:pt>
                <c:pt idx="274">
                  <c:v>87.54752475247524</c:v>
                </c:pt>
                <c:pt idx="275">
                  <c:v>87.785247524752464</c:v>
                </c:pt>
                <c:pt idx="276">
                  <c:v>87.998019801980192</c:v>
                </c:pt>
                <c:pt idx="277">
                  <c:v>88.219009900990102</c:v>
                </c:pt>
                <c:pt idx="278">
                  <c:v>88.435940594059389</c:v>
                </c:pt>
                <c:pt idx="279">
                  <c:v>88.683564356435639</c:v>
                </c:pt>
                <c:pt idx="280">
                  <c:v>88.941188118811851</c:v>
                </c:pt>
                <c:pt idx="281">
                  <c:v>89.198613861386136</c:v>
                </c:pt>
                <c:pt idx="282">
                  <c:v>89.443366336633659</c:v>
                </c:pt>
                <c:pt idx="283">
                  <c:v>89.677722772277221</c:v>
                </c:pt>
                <c:pt idx="284">
                  <c:v>89.841485148514849</c:v>
                </c:pt>
                <c:pt idx="285">
                  <c:v>89.973960396039587</c:v>
                </c:pt>
                <c:pt idx="286">
                  <c:v>90.110099009900978</c:v>
                </c:pt>
                <c:pt idx="287">
                  <c:v>90.287425742574257</c:v>
                </c:pt>
                <c:pt idx="288">
                  <c:v>90.440396039603968</c:v>
                </c:pt>
                <c:pt idx="289">
                  <c:v>90.594059405940612</c:v>
                </c:pt>
                <c:pt idx="290">
                  <c:v>90.774059405940633</c:v>
                </c:pt>
                <c:pt idx="291">
                  <c:v>90.943960396039643</c:v>
                </c:pt>
                <c:pt idx="292">
                  <c:v>91.082871287128725</c:v>
                </c:pt>
                <c:pt idx="293">
                  <c:v>91.25</c:v>
                </c:pt>
                <c:pt idx="294">
                  <c:v>91.397821782178241</c:v>
                </c:pt>
                <c:pt idx="295">
                  <c:v>91.509900990099013</c:v>
                </c:pt>
                <c:pt idx="296">
                  <c:v>91.591188118811885</c:v>
                </c:pt>
                <c:pt idx="297">
                  <c:v>91.663861386138606</c:v>
                </c:pt>
                <c:pt idx="298">
                  <c:v>91.712475247524765</c:v>
                </c:pt>
                <c:pt idx="299">
                  <c:v>91.740693069306943</c:v>
                </c:pt>
                <c:pt idx="300">
                  <c:v>91.781584158415853</c:v>
                </c:pt>
                <c:pt idx="301">
                  <c:v>91.846633663366319</c:v>
                </c:pt>
                <c:pt idx="302">
                  <c:v>91.889009900990075</c:v>
                </c:pt>
                <c:pt idx="303">
                  <c:v>91.943663366336608</c:v>
                </c:pt>
                <c:pt idx="304">
                  <c:v>91.981188118811843</c:v>
                </c:pt>
                <c:pt idx="305">
                  <c:v>92.008019801980168</c:v>
                </c:pt>
                <c:pt idx="306">
                  <c:v>92.052079207920755</c:v>
                </c:pt>
                <c:pt idx="307">
                  <c:v>92.074356435643551</c:v>
                </c:pt>
                <c:pt idx="308">
                  <c:v>92.09871287128712</c:v>
                </c:pt>
                <c:pt idx="309">
                  <c:v>92.137623762376222</c:v>
                </c:pt>
                <c:pt idx="310">
                  <c:v>92.17485148514848</c:v>
                </c:pt>
                <c:pt idx="311">
                  <c:v>92.232673267326703</c:v>
                </c:pt>
                <c:pt idx="312">
                  <c:v>92.298415841584116</c:v>
                </c:pt>
                <c:pt idx="313">
                  <c:v>92.370792079207874</c:v>
                </c:pt>
                <c:pt idx="314">
                  <c:v>92.406237623762351</c:v>
                </c:pt>
                <c:pt idx="315">
                  <c:v>92.403762376237594</c:v>
                </c:pt>
                <c:pt idx="316">
                  <c:v>92.403564356435623</c:v>
                </c:pt>
                <c:pt idx="317">
                  <c:v>92.37346534653463</c:v>
                </c:pt>
                <c:pt idx="318">
                  <c:v>92.426831683168317</c:v>
                </c:pt>
                <c:pt idx="319">
                  <c:v>92.482475247524761</c:v>
                </c:pt>
                <c:pt idx="320">
                  <c:v>92.554752475247511</c:v>
                </c:pt>
                <c:pt idx="321">
                  <c:v>92.656336633663358</c:v>
                </c:pt>
                <c:pt idx="322">
                  <c:v>92.752574257425721</c:v>
                </c:pt>
                <c:pt idx="323">
                  <c:v>92.822970297029713</c:v>
                </c:pt>
                <c:pt idx="324">
                  <c:v>92.888514851485141</c:v>
                </c:pt>
                <c:pt idx="325">
                  <c:v>92.940297029702975</c:v>
                </c:pt>
                <c:pt idx="326">
                  <c:v>93.00425742574258</c:v>
                </c:pt>
                <c:pt idx="327">
                  <c:v>93.049009900990086</c:v>
                </c:pt>
                <c:pt idx="328">
                  <c:v>93.111782178217808</c:v>
                </c:pt>
                <c:pt idx="329">
                  <c:v>93.14920792079208</c:v>
                </c:pt>
                <c:pt idx="330">
                  <c:v>93.18227722772275</c:v>
                </c:pt>
                <c:pt idx="331">
                  <c:v>93.217326732673243</c:v>
                </c:pt>
                <c:pt idx="332">
                  <c:v>93.262970297029682</c:v>
                </c:pt>
                <c:pt idx="333">
                  <c:v>93.301584158415835</c:v>
                </c:pt>
                <c:pt idx="334">
                  <c:v>93.344158415841562</c:v>
                </c:pt>
                <c:pt idx="335">
                  <c:v>93.384059405940562</c:v>
                </c:pt>
                <c:pt idx="336">
                  <c:v>93.412277227722754</c:v>
                </c:pt>
                <c:pt idx="337">
                  <c:v>93.461782178217803</c:v>
                </c:pt>
                <c:pt idx="338">
                  <c:v>93.490297029702944</c:v>
                </c:pt>
                <c:pt idx="339">
                  <c:v>93.507722772277205</c:v>
                </c:pt>
                <c:pt idx="340">
                  <c:v>93.534059405940567</c:v>
                </c:pt>
                <c:pt idx="341">
                  <c:v>93.550198019801954</c:v>
                </c:pt>
                <c:pt idx="342">
                  <c:v>93.569603960396009</c:v>
                </c:pt>
                <c:pt idx="343">
                  <c:v>93.578811881188116</c:v>
                </c:pt>
                <c:pt idx="344">
                  <c:v>93.625247524752453</c:v>
                </c:pt>
                <c:pt idx="345">
                  <c:v>93.671980198019796</c:v>
                </c:pt>
                <c:pt idx="346">
                  <c:v>93.727029702970285</c:v>
                </c:pt>
                <c:pt idx="347">
                  <c:v>93.787227722772258</c:v>
                </c:pt>
                <c:pt idx="348">
                  <c:v>93.819405940594038</c:v>
                </c:pt>
                <c:pt idx="349">
                  <c:v>93.854554455445538</c:v>
                </c:pt>
                <c:pt idx="350">
                  <c:v>93.913168316831701</c:v>
                </c:pt>
                <c:pt idx="351">
                  <c:v>93.979207920792078</c:v>
                </c:pt>
                <c:pt idx="352">
                  <c:v>94.046039603960409</c:v>
                </c:pt>
                <c:pt idx="353">
                  <c:v>94.132376237623774</c:v>
                </c:pt>
                <c:pt idx="354">
                  <c:v>94.22138613861388</c:v>
                </c:pt>
                <c:pt idx="355">
                  <c:v>94.306039603960414</c:v>
                </c:pt>
                <c:pt idx="356">
                  <c:v>94.39059405940597</c:v>
                </c:pt>
                <c:pt idx="357">
                  <c:v>94.451584158415869</c:v>
                </c:pt>
                <c:pt idx="358">
                  <c:v>94.495841584158413</c:v>
                </c:pt>
                <c:pt idx="359">
                  <c:v>94.554455445544548</c:v>
                </c:pt>
                <c:pt idx="360">
                  <c:v>94.6191089108911</c:v>
                </c:pt>
                <c:pt idx="361">
                  <c:v>94.663267326732665</c:v>
                </c:pt>
                <c:pt idx="362">
                  <c:v>94.698217821782166</c:v>
                </c:pt>
                <c:pt idx="363">
                  <c:v>94.72297029702969</c:v>
                </c:pt>
                <c:pt idx="364">
                  <c:v>94.734950495049517</c:v>
                </c:pt>
                <c:pt idx="365">
                  <c:v>94.745049504950515</c:v>
                </c:pt>
                <c:pt idx="366">
                  <c:v>94.757722772277234</c:v>
                </c:pt>
                <c:pt idx="367">
                  <c:v>94.771188118811892</c:v>
                </c:pt>
                <c:pt idx="368">
                  <c:v>94.775841584158456</c:v>
                </c:pt>
                <c:pt idx="369">
                  <c:v>94.782871287128771</c:v>
                </c:pt>
                <c:pt idx="370">
                  <c:v>94.780495049504992</c:v>
                </c:pt>
                <c:pt idx="371">
                  <c:v>94.754455445544593</c:v>
                </c:pt>
                <c:pt idx="372">
                  <c:v>94.745643564356499</c:v>
                </c:pt>
                <c:pt idx="373">
                  <c:v>94.728217821782238</c:v>
                </c:pt>
                <c:pt idx="374">
                  <c:v>94.703168316831764</c:v>
                </c:pt>
                <c:pt idx="375">
                  <c:v>94.655148514851561</c:v>
                </c:pt>
                <c:pt idx="376">
                  <c:v>94.610693069307018</c:v>
                </c:pt>
                <c:pt idx="377">
                  <c:v>94.592871287128801</c:v>
                </c:pt>
                <c:pt idx="378">
                  <c:v>94.535148514851571</c:v>
                </c:pt>
                <c:pt idx="379">
                  <c:v>94.479108910891156</c:v>
                </c:pt>
                <c:pt idx="380">
                  <c:v>94.392475247524814</c:v>
                </c:pt>
                <c:pt idx="381">
                  <c:v>94.287029702970344</c:v>
                </c:pt>
                <c:pt idx="382">
                  <c:v>94.205247524752522</c:v>
                </c:pt>
                <c:pt idx="383">
                  <c:v>94.122178217821826</c:v>
                </c:pt>
                <c:pt idx="384">
                  <c:v>94.034554455445573</c:v>
                </c:pt>
                <c:pt idx="385">
                  <c:v>94.013564356435694</c:v>
                </c:pt>
                <c:pt idx="386">
                  <c:v>94.016237623762407</c:v>
                </c:pt>
                <c:pt idx="387">
                  <c:v>94.036039603960432</c:v>
                </c:pt>
                <c:pt idx="388">
                  <c:v>94.017821782178245</c:v>
                </c:pt>
                <c:pt idx="389">
                  <c:v>94.012673267326761</c:v>
                </c:pt>
                <c:pt idx="390">
                  <c:v>94.010792079207945</c:v>
                </c:pt>
                <c:pt idx="391">
                  <c:v>93.999504950495052</c:v>
                </c:pt>
                <c:pt idx="392">
                  <c:v>93.999702970297065</c:v>
                </c:pt>
                <c:pt idx="393">
                  <c:v>94.032970297029721</c:v>
                </c:pt>
                <c:pt idx="394">
                  <c:v>94.048910891089136</c:v>
                </c:pt>
                <c:pt idx="395">
                  <c:v>94.081980198019792</c:v>
                </c:pt>
                <c:pt idx="396">
                  <c:v>94.149009900990094</c:v>
                </c:pt>
                <c:pt idx="397">
                  <c:v>94.265544554455445</c:v>
                </c:pt>
                <c:pt idx="398">
                  <c:v>94.383069306930679</c:v>
                </c:pt>
                <c:pt idx="399">
                  <c:v>94.562871287128715</c:v>
                </c:pt>
                <c:pt idx="400">
                  <c:v>94.747227722772294</c:v>
                </c:pt>
                <c:pt idx="401">
                  <c:v>94.929207920792081</c:v>
                </c:pt>
                <c:pt idx="402">
                  <c:v>95.092277227722789</c:v>
                </c:pt>
                <c:pt idx="403">
                  <c:v>95.270792079207936</c:v>
                </c:pt>
                <c:pt idx="404">
                  <c:v>95.415940594059407</c:v>
                </c:pt>
                <c:pt idx="405">
                  <c:v>95.564851485148523</c:v>
                </c:pt>
                <c:pt idx="406">
                  <c:v>95.703663366336656</c:v>
                </c:pt>
                <c:pt idx="407">
                  <c:v>95.834455445544577</c:v>
                </c:pt>
                <c:pt idx="408">
                  <c:v>95.998118811881213</c:v>
                </c:pt>
                <c:pt idx="409">
                  <c:v>96.170000000000016</c:v>
                </c:pt>
                <c:pt idx="410">
                  <c:v>96.292079207920807</c:v>
                </c:pt>
                <c:pt idx="411">
                  <c:v>96.407722772277253</c:v>
                </c:pt>
                <c:pt idx="412">
                  <c:v>96.489702970297046</c:v>
                </c:pt>
                <c:pt idx="413">
                  <c:v>96.561188118811884</c:v>
                </c:pt>
                <c:pt idx="414">
                  <c:v>96.623762376237622</c:v>
                </c:pt>
                <c:pt idx="415">
                  <c:v>96.711386138613861</c:v>
                </c:pt>
                <c:pt idx="416">
                  <c:v>96.847920792079208</c:v>
                </c:pt>
                <c:pt idx="417">
                  <c:v>96.986732673267326</c:v>
                </c:pt>
                <c:pt idx="418">
                  <c:v>97.161485148514842</c:v>
                </c:pt>
                <c:pt idx="419">
                  <c:v>97.273663366336635</c:v>
                </c:pt>
                <c:pt idx="420">
                  <c:v>97.371683168316835</c:v>
                </c:pt>
                <c:pt idx="421">
                  <c:v>97.465544554455448</c:v>
                </c:pt>
                <c:pt idx="422">
                  <c:v>97.540396039603976</c:v>
                </c:pt>
                <c:pt idx="423">
                  <c:v>97.604158415841582</c:v>
                </c:pt>
                <c:pt idx="424">
                  <c:v>97.717623762376235</c:v>
                </c:pt>
                <c:pt idx="425">
                  <c:v>97.819306930693074</c:v>
                </c:pt>
                <c:pt idx="426">
                  <c:v>97.930990099009904</c:v>
                </c:pt>
                <c:pt idx="427">
                  <c:v>98.015841584158423</c:v>
                </c:pt>
                <c:pt idx="428">
                  <c:v>98.10801980198022</c:v>
                </c:pt>
                <c:pt idx="429">
                  <c:v>98.184851485148528</c:v>
                </c:pt>
                <c:pt idx="430">
                  <c:v>98.256534653465366</c:v>
                </c:pt>
                <c:pt idx="431">
                  <c:v>98.331782178217836</c:v>
                </c:pt>
                <c:pt idx="432">
                  <c:v>98.395940594059439</c:v>
                </c:pt>
                <c:pt idx="433">
                  <c:v>98.450198019802016</c:v>
                </c:pt>
                <c:pt idx="434">
                  <c:v>98.506039603960403</c:v>
                </c:pt>
                <c:pt idx="435">
                  <c:v>98.549702970297034</c:v>
                </c:pt>
                <c:pt idx="436">
                  <c:v>98.586831683168327</c:v>
                </c:pt>
                <c:pt idx="437">
                  <c:v>98.631485148514841</c:v>
                </c:pt>
                <c:pt idx="438">
                  <c:v>98.662475247524739</c:v>
                </c:pt>
                <c:pt idx="439">
                  <c:v>98.704752475247503</c:v>
                </c:pt>
                <c:pt idx="440">
                  <c:v>98.757722772277219</c:v>
                </c:pt>
                <c:pt idx="441">
                  <c:v>98.816633663366332</c:v>
                </c:pt>
                <c:pt idx="442">
                  <c:v>98.889504950495038</c:v>
                </c:pt>
                <c:pt idx="443">
                  <c:v>98.949603960396018</c:v>
                </c:pt>
                <c:pt idx="444">
                  <c:v>99.003267326732654</c:v>
                </c:pt>
                <c:pt idx="445">
                  <c:v>99.038910891089074</c:v>
                </c:pt>
                <c:pt idx="446">
                  <c:v>99.078514851485139</c:v>
                </c:pt>
                <c:pt idx="447">
                  <c:v>99.171683168316818</c:v>
                </c:pt>
                <c:pt idx="448">
                  <c:v>99.296435643564337</c:v>
                </c:pt>
                <c:pt idx="449">
                  <c:v>99.400792079207875</c:v>
                </c:pt>
                <c:pt idx="450">
                  <c:v>99.513564356435609</c:v>
                </c:pt>
                <c:pt idx="451">
                  <c:v>99.607326732673229</c:v>
                </c:pt>
                <c:pt idx="452">
                  <c:v>99.696237623762315</c:v>
                </c:pt>
                <c:pt idx="453">
                  <c:v>99.795643564356382</c:v>
                </c:pt>
                <c:pt idx="454">
                  <c:v>99.876237623762336</c:v>
                </c:pt>
                <c:pt idx="455">
                  <c:v>99.939603960395999</c:v>
                </c:pt>
                <c:pt idx="456">
                  <c:v>99.984059405940556</c:v>
                </c:pt>
                <c:pt idx="457">
                  <c:v>100.02188118811877</c:v>
                </c:pt>
                <c:pt idx="458">
                  <c:v>100.06643564356432</c:v>
                </c:pt>
                <c:pt idx="459">
                  <c:v>100.11356435643559</c:v>
                </c:pt>
                <c:pt idx="460">
                  <c:v>100.1504950495049</c:v>
                </c:pt>
                <c:pt idx="461">
                  <c:v>100.19277227722766</c:v>
                </c:pt>
                <c:pt idx="462">
                  <c:v>100.25683168316827</c:v>
                </c:pt>
                <c:pt idx="463">
                  <c:v>100.32257425742569</c:v>
                </c:pt>
                <c:pt idx="464">
                  <c:v>100.3942574257425</c:v>
                </c:pt>
                <c:pt idx="465">
                  <c:v>100.47643564356429</c:v>
                </c:pt>
                <c:pt idx="466">
                  <c:v>100.5573267326732</c:v>
                </c:pt>
                <c:pt idx="467">
                  <c:v>100.63999999999994</c:v>
                </c:pt>
                <c:pt idx="468">
                  <c:v>100.71247524752471</c:v>
                </c:pt>
                <c:pt idx="469">
                  <c:v>100.7587128712871</c:v>
                </c:pt>
                <c:pt idx="470">
                  <c:v>100.80306930693067</c:v>
                </c:pt>
                <c:pt idx="471">
                  <c:v>100.85940594059406</c:v>
                </c:pt>
                <c:pt idx="472">
                  <c:v>100.91257425742573</c:v>
                </c:pt>
                <c:pt idx="473">
                  <c:v>100.94564356435644</c:v>
                </c:pt>
                <c:pt idx="474">
                  <c:v>101.03801980198018</c:v>
                </c:pt>
                <c:pt idx="475">
                  <c:v>101.10811881188118</c:v>
                </c:pt>
                <c:pt idx="476">
                  <c:v>101.1719801980198</c:v>
                </c:pt>
                <c:pt idx="477">
                  <c:v>101.25752475247525</c:v>
                </c:pt>
                <c:pt idx="478">
                  <c:v>101.35405940594062</c:v>
                </c:pt>
                <c:pt idx="479">
                  <c:v>101.48693069306931</c:v>
                </c:pt>
                <c:pt idx="480">
                  <c:v>101.63267326732675</c:v>
                </c:pt>
                <c:pt idx="481">
                  <c:v>101.80643564356438</c:v>
                </c:pt>
                <c:pt idx="482">
                  <c:v>102.00455445544557</c:v>
                </c:pt>
                <c:pt idx="483">
                  <c:v>102.19326732673271</c:v>
                </c:pt>
                <c:pt idx="484">
                  <c:v>102.3885148514852</c:v>
                </c:pt>
                <c:pt idx="485">
                  <c:v>102.57079207920798</c:v>
                </c:pt>
                <c:pt idx="486">
                  <c:v>102.76851485148519</c:v>
                </c:pt>
                <c:pt idx="487">
                  <c:v>102.94801980198025</c:v>
                </c:pt>
                <c:pt idx="488">
                  <c:v>103.14455445544559</c:v>
                </c:pt>
                <c:pt idx="489">
                  <c:v>103.35099009900995</c:v>
                </c:pt>
                <c:pt idx="490">
                  <c:v>103.56000000000003</c:v>
                </c:pt>
                <c:pt idx="491">
                  <c:v>103.74633663366339</c:v>
                </c:pt>
                <c:pt idx="492">
                  <c:v>103.92643564356439</c:v>
                </c:pt>
                <c:pt idx="493">
                  <c:v>104.09693069306934</c:v>
                </c:pt>
                <c:pt idx="494">
                  <c:v>104.25564356435645</c:v>
                </c:pt>
                <c:pt idx="495">
                  <c:v>104.40425742574261</c:v>
                </c:pt>
                <c:pt idx="496">
                  <c:v>104.53217821782179</c:v>
                </c:pt>
                <c:pt idx="497">
                  <c:v>104.66207920792084</c:v>
                </c:pt>
                <c:pt idx="498">
                  <c:v>104.78237623762378</c:v>
                </c:pt>
                <c:pt idx="499">
                  <c:v>104.91326732673271</c:v>
                </c:pt>
                <c:pt idx="500">
                  <c:v>104.99801980198022</c:v>
                </c:pt>
                <c:pt idx="501">
                  <c:v>105.08009900990103</c:v>
                </c:pt>
                <c:pt idx="502">
                  <c:v>105.1695049504951</c:v>
                </c:pt>
                <c:pt idx="503">
                  <c:v>105.25643564356439</c:v>
                </c:pt>
                <c:pt idx="504">
                  <c:v>105.36257425742576</c:v>
                </c:pt>
                <c:pt idx="505">
                  <c:v>105.47871287128714</c:v>
                </c:pt>
                <c:pt idx="506">
                  <c:v>105.59970297029705</c:v>
                </c:pt>
                <c:pt idx="507">
                  <c:v>105.74356435643567</c:v>
                </c:pt>
                <c:pt idx="508">
                  <c:v>105.91455445544557</c:v>
                </c:pt>
                <c:pt idx="509">
                  <c:v>106.1033663366337</c:v>
                </c:pt>
                <c:pt idx="510">
                  <c:v>106.2763366336634</c:v>
                </c:pt>
                <c:pt idx="511">
                  <c:v>106.48663366336639</c:v>
                </c:pt>
                <c:pt idx="512">
                  <c:v>106.71306930693073</c:v>
                </c:pt>
                <c:pt idx="513">
                  <c:v>106.93722772277229</c:v>
                </c:pt>
                <c:pt idx="514">
                  <c:v>107.16801980198022</c:v>
                </c:pt>
                <c:pt idx="515">
                  <c:v>107.3833663366337</c:v>
                </c:pt>
                <c:pt idx="516">
                  <c:v>107.5974257425743</c:v>
                </c:pt>
                <c:pt idx="517">
                  <c:v>107.80198019801982</c:v>
                </c:pt>
                <c:pt idx="518">
                  <c:v>107.99099009900991</c:v>
                </c:pt>
                <c:pt idx="519">
                  <c:v>108.16059405940595</c:v>
                </c:pt>
                <c:pt idx="520">
                  <c:v>108.32376237623762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FF-4C34-9841-124E51C2A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792432"/>
        <c:axId val="1822795792"/>
      </c:lineChart>
      <c:dateAx>
        <c:axId val="1822792432"/>
        <c:scaling>
          <c:orientation val="minMax"/>
          <c:min val="4593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95792"/>
        <c:crosses val="autoZero"/>
        <c:auto val="1"/>
        <c:lblOffset val="100"/>
        <c:baseTimeUnit val="days"/>
      </c:dateAx>
      <c:valAx>
        <c:axId val="1822795792"/>
        <c:scaling>
          <c:orientation val="minMax"/>
          <c:max val="12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9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Dividend 2000-2025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m/d/yyyy</c:formatCode>
                <c:ptCount val="105"/>
                <c:pt idx="0">
                  <c:v>36600</c:v>
                </c:pt>
                <c:pt idx="1">
                  <c:v>36691</c:v>
                </c:pt>
                <c:pt idx="2">
                  <c:v>36782</c:v>
                </c:pt>
                <c:pt idx="3">
                  <c:v>36880</c:v>
                </c:pt>
                <c:pt idx="4">
                  <c:v>36971</c:v>
                </c:pt>
                <c:pt idx="5">
                  <c:v>37062</c:v>
                </c:pt>
                <c:pt idx="6">
                  <c:v>37153</c:v>
                </c:pt>
                <c:pt idx="7">
                  <c:v>37244</c:v>
                </c:pt>
                <c:pt idx="8">
                  <c:v>37335</c:v>
                </c:pt>
                <c:pt idx="9">
                  <c:v>37426</c:v>
                </c:pt>
                <c:pt idx="10">
                  <c:v>37517</c:v>
                </c:pt>
                <c:pt idx="11">
                  <c:v>37608</c:v>
                </c:pt>
                <c:pt idx="12">
                  <c:v>37699</c:v>
                </c:pt>
                <c:pt idx="13">
                  <c:v>37790</c:v>
                </c:pt>
                <c:pt idx="14">
                  <c:v>37896</c:v>
                </c:pt>
                <c:pt idx="15">
                  <c:v>37972</c:v>
                </c:pt>
                <c:pt idx="16">
                  <c:v>38063</c:v>
                </c:pt>
                <c:pt idx="17">
                  <c:v>38126</c:v>
                </c:pt>
                <c:pt idx="18">
                  <c:v>38217</c:v>
                </c:pt>
                <c:pt idx="19">
                  <c:v>38336</c:v>
                </c:pt>
                <c:pt idx="20">
                  <c:v>38427</c:v>
                </c:pt>
                <c:pt idx="21">
                  <c:v>38490</c:v>
                </c:pt>
                <c:pt idx="22">
                  <c:v>38581</c:v>
                </c:pt>
                <c:pt idx="23">
                  <c:v>38700</c:v>
                </c:pt>
                <c:pt idx="24">
                  <c:v>38791</c:v>
                </c:pt>
                <c:pt idx="25">
                  <c:v>38854</c:v>
                </c:pt>
                <c:pt idx="26">
                  <c:v>38945</c:v>
                </c:pt>
                <c:pt idx="27">
                  <c:v>39064</c:v>
                </c:pt>
                <c:pt idx="28">
                  <c:v>39155</c:v>
                </c:pt>
                <c:pt idx="29">
                  <c:v>39218</c:v>
                </c:pt>
                <c:pt idx="30">
                  <c:v>39309</c:v>
                </c:pt>
                <c:pt idx="31">
                  <c:v>39428</c:v>
                </c:pt>
                <c:pt idx="32">
                  <c:v>39519</c:v>
                </c:pt>
                <c:pt idx="33">
                  <c:v>39582</c:v>
                </c:pt>
                <c:pt idx="34">
                  <c:v>39673</c:v>
                </c:pt>
                <c:pt idx="35">
                  <c:v>39793</c:v>
                </c:pt>
                <c:pt idx="36">
                  <c:v>39883</c:v>
                </c:pt>
                <c:pt idx="37">
                  <c:v>39946</c:v>
                </c:pt>
                <c:pt idx="38">
                  <c:v>40037</c:v>
                </c:pt>
                <c:pt idx="39">
                  <c:v>40156</c:v>
                </c:pt>
                <c:pt idx="40">
                  <c:v>40247</c:v>
                </c:pt>
                <c:pt idx="41">
                  <c:v>40310</c:v>
                </c:pt>
                <c:pt idx="42">
                  <c:v>40401</c:v>
                </c:pt>
                <c:pt idx="43">
                  <c:v>40520</c:v>
                </c:pt>
                <c:pt idx="44">
                  <c:v>40611</c:v>
                </c:pt>
                <c:pt idx="45">
                  <c:v>40674</c:v>
                </c:pt>
                <c:pt idx="46">
                  <c:v>40765</c:v>
                </c:pt>
                <c:pt idx="47">
                  <c:v>40884</c:v>
                </c:pt>
                <c:pt idx="48">
                  <c:v>40976</c:v>
                </c:pt>
                <c:pt idx="49">
                  <c:v>41038</c:v>
                </c:pt>
                <c:pt idx="50">
                  <c:v>41129</c:v>
                </c:pt>
                <c:pt idx="51">
                  <c:v>41248</c:v>
                </c:pt>
                <c:pt idx="52">
                  <c:v>41341</c:v>
                </c:pt>
                <c:pt idx="53">
                  <c:v>41402</c:v>
                </c:pt>
                <c:pt idx="54">
                  <c:v>41493</c:v>
                </c:pt>
                <c:pt idx="55">
                  <c:v>41612</c:v>
                </c:pt>
                <c:pt idx="56">
                  <c:v>41705</c:v>
                </c:pt>
                <c:pt idx="57">
                  <c:v>41766</c:v>
                </c:pt>
                <c:pt idx="58">
                  <c:v>41857</c:v>
                </c:pt>
                <c:pt idx="59">
                  <c:v>41976</c:v>
                </c:pt>
                <c:pt idx="60">
                  <c:v>42074</c:v>
                </c:pt>
                <c:pt idx="61">
                  <c:v>42130</c:v>
                </c:pt>
                <c:pt idx="62">
                  <c:v>42221</c:v>
                </c:pt>
                <c:pt idx="63">
                  <c:v>42340</c:v>
                </c:pt>
                <c:pt idx="64">
                  <c:v>42438</c:v>
                </c:pt>
                <c:pt idx="65">
                  <c:v>42501</c:v>
                </c:pt>
                <c:pt idx="66">
                  <c:v>42592</c:v>
                </c:pt>
                <c:pt idx="67">
                  <c:v>42711</c:v>
                </c:pt>
                <c:pt idx="68">
                  <c:v>42802</c:v>
                </c:pt>
                <c:pt idx="69">
                  <c:v>42865</c:v>
                </c:pt>
                <c:pt idx="70">
                  <c:v>42956</c:v>
                </c:pt>
                <c:pt idx="71">
                  <c:v>43076</c:v>
                </c:pt>
                <c:pt idx="72">
                  <c:v>43167</c:v>
                </c:pt>
                <c:pt idx="73">
                  <c:v>43230</c:v>
                </c:pt>
                <c:pt idx="74">
                  <c:v>43321</c:v>
                </c:pt>
                <c:pt idx="75">
                  <c:v>43440</c:v>
                </c:pt>
                <c:pt idx="76">
                  <c:v>43538</c:v>
                </c:pt>
                <c:pt idx="77">
                  <c:v>43594</c:v>
                </c:pt>
                <c:pt idx="78">
                  <c:v>43685</c:v>
                </c:pt>
                <c:pt idx="79">
                  <c:v>43804</c:v>
                </c:pt>
                <c:pt idx="80">
                  <c:v>43909</c:v>
                </c:pt>
                <c:pt idx="81">
                  <c:v>43958</c:v>
                </c:pt>
                <c:pt idx="82">
                  <c:v>44056</c:v>
                </c:pt>
                <c:pt idx="83">
                  <c:v>44175</c:v>
                </c:pt>
                <c:pt idx="84">
                  <c:v>44273</c:v>
                </c:pt>
                <c:pt idx="85">
                  <c:v>44322</c:v>
                </c:pt>
                <c:pt idx="86">
                  <c:v>44420</c:v>
                </c:pt>
                <c:pt idx="87">
                  <c:v>44539</c:v>
                </c:pt>
                <c:pt idx="88">
                  <c:v>44637</c:v>
                </c:pt>
                <c:pt idx="89">
                  <c:v>44686</c:v>
                </c:pt>
                <c:pt idx="90">
                  <c:v>44784</c:v>
                </c:pt>
                <c:pt idx="91">
                  <c:v>44903</c:v>
                </c:pt>
                <c:pt idx="92">
                  <c:v>45001</c:v>
                </c:pt>
                <c:pt idx="93">
                  <c:v>45050</c:v>
                </c:pt>
                <c:pt idx="94">
                  <c:v>45148</c:v>
                </c:pt>
                <c:pt idx="95">
                  <c:v>45267</c:v>
                </c:pt>
                <c:pt idx="96">
                  <c:v>45365</c:v>
                </c:pt>
                <c:pt idx="97">
                  <c:v>45421</c:v>
                </c:pt>
                <c:pt idx="98">
                  <c:v>45520</c:v>
                </c:pt>
                <c:pt idx="99">
                  <c:v>45639</c:v>
                </c:pt>
                <c:pt idx="100">
                  <c:v>45737</c:v>
                </c:pt>
                <c:pt idx="101">
                  <c:v>45786</c:v>
                </c:pt>
                <c:pt idx="102">
                  <c:v>45884</c:v>
                </c:pt>
                <c:pt idx="103">
                  <c:v>46003</c:v>
                </c:pt>
              </c:numCache>
            </c:numRef>
          </c:cat>
          <c:val>
            <c:numRef>
              <c:f>Dividends!$B$2:$B$106</c:f>
              <c:numCache>
                <c:formatCode>"$"#,##0.00_);[Red]\("$"#,##0.00\)</c:formatCode>
                <c:ptCount val="105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0.12</c:v>
                </c:pt>
                <c:pt idx="45">
                  <c:v>0.12</c:v>
                </c:pt>
                <c:pt idx="46">
                  <c:v>0.12</c:v>
                </c:pt>
                <c:pt idx="47">
                  <c:v>0.12</c:v>
                </c:pt>
                <c:pt idx="48">
                  <c:v>0.13</c:v>
                </c:pt>
                <c:pt idx="49">
                  <c:v>0.13</c:v>
                </c:pt>
                <c:pt idx="50">
                  <c:v>0.13</c:v>
                </c:pt>
                <c:pt idx="51">
                  <c:v>0.13</c:v>
                </c:pt>
                <c:pt idx="52">
                  <c:v>0.16</c:v>
                </c:pt>
                <c:pt idx="53">
                  <c:v>0.16</c:v>
                </c:pt>
                <c:pt idx="54">
                  <c:v>0.16</c:v>
                </c:pt>
                <c:pt idx="55">
                  <c:v>0.16</c:v>
                </c:pt>
                <c:pt idx="56">
                  <c:v>0.16</c:v>
                </c:pt>
                <c:pt idx="57">
                  <c:v>0.16</c:v>
                </c:pt>
                <c:pt idx="58">
                  <c:v>0.16</c:v>
                </c:pt>
                <c:pt idx="59">
                  <c:v>0.16</c:v>
                </c:pt>
                <c:pt idx="60">
                  <c:v>0.16</c:v>
                </c:pt>
                <c:pt idx="61">
                  <c:v>0.16</c:v>
                </c:pt>
                <c:pt idx="62">
                  <c:v>0.16</c:v>
                </c:pt>
                <c:pt idx="63">
                  <c:v>0.16</c:v>
                </c:pt>
                <c:pt idx="64">
                  <c:v>0.17</c:v>
                </c:pt>
                <c:pt idx="65">
                  <c:v>0.17</c:v>
                </c:pt>
                <c:pt idx="66">
                  <c:v>0.17</c:v>
                </c:pt>
                <c:pt idx="67">
                  <c:v>0.17</c:v>
                </c:pt>
                <c:pt idx="68">
                  <c:v>0.17</c:v>
                </c:pt>
                <c:pt idx="69">
                  <c:v>0.17</c:v>
                </c:pt>
                <c:pt idx="70">
                  <c:v>0.17</c:v>
                </c:pt>
                <c:pt idx="71">
                  <c:v>0.17</c:v>
                </c:pt>
                <c:pt idx="72">
                  <c:v>0.17</c:v>
                </c:pt>
                <c:pt idx="73">
                  <c:v>0.17</c:v>
                </c:pt>
                <c:pt idx="74">
                  <c:v>0.17</c:v>
                </c:pt>
                <c:pt idx="75">
                  <c:v>0.17</c:v>
                </c:pt>
                <c:pt idx="76">
                  <c:v>0.18</c:v>
                </c:pt>
                <c:pt idx="77">
                  <c:v>0.18</c:v>
                </c:pt>
                <c:pt idx="78">
                  <c:v>0.18</c:v>
                </c:pt>
                <c:pt idx="79">
                  <c:v>0.18</c:v>
                </c:pt>
                <c:pt idx="80">
                  <c:v>0.18</c:v>
                </c:pt>
                <c:pt idx="81">
                  <c:v>0.18</c:v>
                </c:pt>
                <c:pt idx="82">
                  <c:v>0.18</c:v>
                </c:pt>
                <c:pt idx="83">
                  <c:v>0.18</c:v>
                </c:pt>
                <c:pt idx="84">
                  <c:v>0.18</c:v>
                </c:pt>
                <c:pt idx="85">
                  <c:v>0.18</c:v>
                </c:pt>
                <c:pt idx="86">
                  <c:v>0.18</c:v>
                </c:pt>
                <c:pt idx="87">
                  <c:v>0.18</c:v>
                </c:pt>
                <c:pt idx="88">
                  <c:v>0.19</c:v>
                </c:pt>
                <c:pt idx="89">
                  <c:v>0.19</c:v>
                </c:pt>
                <c:pt idx="90">
                  <c:v>0.19</c:v>
                </c:pt>
                <c:pt idx="91">
                  <c:v>0.19</c:v>
                </c:pt>
                <c:pt idx="92">
                  <c:v>0.19</c:v>
                </c:pt>
                <c:pt idx="93">
                  <c:v>0.19</c:v>
                </c:pt>
                <c:pt idx="94">
                  <c:v>0.19</c:v>
                </c:pt>
                <c:pt idx="95">
                  <c:v>0.19</c:v>
                </c:pt>
                <c:pt idx="96">
                  <c:v>0.21</c:v>
                </c:pt>
                <c:pt idx="97">
                  <c:v>0.21</c:v>
                </c:pt>
                <c:pt idx="98">
                  <c:v>0.21</c:v>
                </c:pt>
                <c:pt idx="99">
                  <c:v>0.21</c:v>
                </c:pt>
                <c:pt idx="100">
                  <c:v>0.24</c:v>
                </c:pt>
                <c:pt idx="101">
                  <c:v>0.24</c:v>
                </c:pt>
                <c:pt idx="102">
                  <c:v>0.24</c:v>
                </c:pt>
                <c:pt idx="103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3-44EB-AE23-5B3B6CA20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2803952"/>
        <c:axId val="1822787632"/>
      </c:barChart>
      <c:dateAx>
        <c:axId val="18228039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87632"/>
        <c:crosses val="autoZero"/>
        <c:auto val="0"/>
        <c:lblOffset val="100"/>
        <c:baseTimeUnit val="months"/>
      </c:dateAx>
      <c:valAx>
        <c:axId val="182278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80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WMT!$C$1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WMT!$B$2:$B$522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WMT!$C$2:$C$522</c:f>
              <c:numCache>
                <c:formatCode>_([$$-409]* #,##0.00_);_([$$-409]* \(#,##0.00\);_([$$-409]* "-"??_);_(@_)</c:formatCode>
                <c:ptCount val="521"/>
                <c:pt idx="0">
                  <c:v>53.0961</c:v>
                </c:pt>
                <c:pt idx="1">
                  <c:v>53.099499999999999</c:v>
                </c:pt>
                <c:pt idx="2">
                  <c:v>52.586100000000002</c:v>
                </c:pt>
                <c:pt idx="3">
                  <c:v>52.2361</c:v>
                </c:pt>
                <c:pt idx="4">
                  <c:v>52.749499999999998</c:v>
                </c:pt>
                <c:pt idx="5">
                  <c:v>53.102800000000002</c:v>
                </c:pt>
                <c:pt idx="6">
                  <c:v>53.762799999999999</c:v>
                </c:pt>
                <c:pt idx="7">
                  <c:v>53.702800000000003</c:v>
                </c:pt>
                <c:pt idx="8">
                  <c:v>53.772799999999997</c:v>
                </c:pt>
                <c:pt idx="9">
                  <c:v>53.942799999999998</c:v>
                </c:pt>
                <c:pt idx="10">
                  <c:v>53.689500000000002</c:v>
                </c:pt>
                <c:pt idx="11">
                  <c:v>54.412799999999997</c:v>
                </c:pt>
                <c:pt idx="12">
                  <c:v>54.126100000000001</c:v>
                </c:pt>
                <c:pt idx="13">
                  <c:v>54.1295</c:v>
                </c:pt>
                <c:pt idx="14">
                  <c:v>54.266100000000002</c:v>
                </c:pt>
                <c:pt idx="15">
                  <c:v>53.499499999999998</c:v>
                </c:pt>
                <c:pt idx="16">
                  <c:v>54.279499999999999</c:v>
                </c:pt>
                <c:pt idx="17">
                  <c:v>54.756100000000004</c:v>
                </c:pt>
                <c:pt idx="18">
                  <c:v>55.012799999999999</c:v>
                </c:pt>
                <c:pt idx="19">
                  <c:v>55.196100000000001</c:v>
                </c:pt>
                <c:pt idx="20">
                  <c:v>55.082799999999999</c:v>
                </c:pt>
                <c:pt idx="21">
                  <c:v>56.102800000000002</c:v>
                </c:pt>
                <c:pt idx="22">
                  <c:v>56.522799999999997</c:v>
                </c:pt>
                <c:pt idx="23">
                  <c:v>56.2194</c:v>
                </c:pt>
                <c:pt idx="24">
                  <c:v>56.602800000000002</c:v>
                </c:pt>
                <c:pt idx="25">
                  <c:v>56.459400000000002</c:v>
                </c:pt>
                <c:pt idx="26">
                  <c:v>56.456099999999999</c:v>
                </c:pt>
                <c:pt idx="27">
                  <c:v>56.426099999999998</c:v>
                </c:pt>
                <c:pt idx="28">
                  <c:v>56.766100000000002</c:v>
                </c:pt>
                <c:pt idx="29">
                  <c:v>56.379399999999997</c:v>
                </c:pt>
                <c:pt idx="30">
                  <c:v>56.199399999999997</c:v>
                </c:pt>
                <c:pt idx="31">
                  <c:v>56.429400000000001</c:v>
                </c:pt>
                <c:pt idx="32">
                  <c:v>56.786099999999998</c:v>
                </c:pt>
                <c:pt idx="33">
                  <c:v>58.619399999999999</c:v>
                </c:pt>
                <c:pt idx="34">
                  <c:v>57.8994</c:v>
                </c:pt>
                <c:pt idx="35">
                  <c:v>58.4694</c:v>
                </c:pt>
                <c:pt idx="36">
                  <c:v>58.519399999999997</c:v>
                </c:pt>
                <c:pt idx="37">
                  <c:v>59.6</c:v>
                </c:pt>
                <c:pt idx="38">
                  <c:v>59.59</c:v>
                </c:pt>
                <c:pt idx="39">
                  <c:v>59.62</c:v>
                </c:pt>
                <c:pt idx="40">
                  <c:v>58.61</c:v>
                </c:pt>
                <c:pt idx="41">
                  <c:v>58.76</c:v>
                </c:pt>
                <c:pt idx="42">
                  <c:v>59.3</c:v>
                </c:pt>
                <c:pt idx="43">
                  <c:v>60.04</c:v>
                </c:pt>
                <c:pt idx="44">
                  <c:v>60.57</c:v>
                </c:pt>
                <c:pt idx="45">
                  <c:v>60.36</c:v>
                </c:pt>
                <c:pt idx="46">
                  <c:v>60.12</c:v>
                </c:pt>
                <c:pt idx="47">
                  <c:v>60.66</c:v>
                </c:pt>
                <c:pt idx="48">
                  <c:v>61.41</c:v>
                </c:pt>
                <c:pt idx="49">
                  <c:v>61.28</c:v>
                </c:pt>
                <c:pt idx="50">
                  <c:v>61.02</c:v>
                </c:pt>
                <c:pt idx="51">
                  <c:v>60.68</c:v>
                </c:pt>
                <c:pt idx="52">
                  <c:v>60.86</c:v>
                </c:pt>
                <c:pt idx="53">
                  <c:v>60.87</c:v>
                </c:pt>
                <c:pt idx="54">
                  <c:v>61.25</c:v>
                </c:pt>
                <c:pt idx="55">
                  <c:v>61.45</c:v>
                </c:pt>
                <c:pt idx="56">
                  <c:v>60.87</c:v>
                </c:pt>
                <c:pt idx="57">
                  <c:v>60.57</c:v>
                </c:pt>
                <c:pt idx="58">
                  <c:v>60.51</c:v>
                </c:pt>
                <c:pt idx="59">
                  <c:v>60.72</c:v>
                </c:pt>
                <c:pt idx="60">
                  <c:v>60.17</c:v>
                </c:pt>
                <c:pt idx="61">
                  <c:v>60</c:v>
                </c:pt>
                <c:pt idx="62">
                  <c:v>59.16</c:v>
                </c:pt>
                <c:pt idx="63">
                  <c:v>59.43</c:v>
                </c:pt>
                <c:pt idx="64">
                  <c:v>59.5</c:v>
                </c:pt>
                <c:pt idx="65">
                  <c:v>59.85</c:v>
                </c:pt>
                <c:pt idx="66">
                  <c:v>59.78</c:v>
                </c:pt>
                <c:pt idx="67">
                  <c:v>59.79</c:v>
                </c:pt>
                <c:pt idx="68">
                  <c:v>60.62</c:v>
                </c:pt>
                <c:pt idx="69">
                  <c:v>60.09</c:v>
                </c:pt>
                <c:pt idx="70">
                  <c:v>60.14</c:v>
                </c:pt>
                <c:pt idx="71">
                  <c:v>59.93</c:v>
                </c:pt>
                <c:pt idx="72">
                  <c:v>59.84</c:v>
                </c:pt>
                <c:pt idx="73">
                  <c:v>59.65</c:v>
                </c:pt>
                <c:pt idx="74">
                  <c:v>59.26</c:v>
                </c:pt>
                <c:pt idx="75">
                  <c:v>59.53</c:v>
                </c:pt>
                <c:pt idx="76">
                  <c:v>60.14</c:v>
                </c:pt>
                <c:pt idx="77">
                  <c:v>59.09</c:v>
                </c:pt>
                <c:pt idx="78">
                  <c:v>59.87</c:v>
                </c:pt>
                <c:pt idx="79">
                  <c:v>60.21</c:v>
                </c:pt>
                <c:pt idx="80">
                  <c:v>60.16</c:v>
                </c:pt>
                <c:pt idx="81">
                  <c:v>60.24</c:v>
                </c:pt>
                <c:pt idx="82">
                  <c:v>59.35</c:v>
                </c:pt>
                <c:pt idx="83">
                  <c:v>58.85</c:v>
                </c:pt>
                <c:pt idx="84">
                  <c:v>59.71</c:v>
                </c:pt>
                <c:pt idx="85">
                  <c:v>59.82</c:v>
                </c:pt>
                <c:pt idx="86">
                  <c:v>59.87</c:v>
                </c:pt>
                <c:pt idx="87">
                  <c:v>60.62</c:v>
                </c:pt>
                <c:pt idx="88">
                  <c:v>60.3</c:v>
                </c:pt>
                <c:pt idx="89">
                  <c:v>60.44</c:v>
                </c:pt>
                <c:pt idx="90">
                  <c:v>60.48</c:v>
                </c:pt>
                <c:pt idx="91">
                  <c:v>60.41</c:v>
                </c:pt>
                <c:pt idx="92">
                  <c:v>59.86</c:v>
                </c:pt>
                <c:pt idx="93">
                  <c:v>59.83</c:v>
                </c:pt>
                <c:pt idx="94">
                  <c:v>64.010000000000005</c:v>
                </c:pt>
                <c:pt idx="95">
                  <c:v>64.650000000000006</c:v>
                </c:pt>
                <c:pt idx="96">
                  <c:v>64.180000000000007</c:v>
                </c:pt>
                <c:pt idx="97">
                  <c:v>65.150000000000006</c:v>
                </c:pt>
                <c:pt idx="98">
                  <c:v>65.25</c:v>
                </c:pt>
                <c:pt idx="99">
                  <c:v>64.84</c:v>
                </c:pt>
                <c:pt idx="100">
                  <c:v>65.38</c:v>
                </c:pt>
                <c:pt idx="101">
                  <c:v>65.040000000000006</c:v>
                </c:pt>
                <c:pt idx="102">
                  <c:v>64.92</c:v>
                </c:pt>
                <c:pt idx="103">
                  <c:v>64.89</c:v>
                </c:pt>
                <c:pt idx="104">
                  <c:v>65.760000000000005</c:v>
                </c:pt>
                <c:pt idx="105">
                  <c:v>65.819999999999993</c:v>
                </c:pt>
                <c:pt idx="106">
                  <c:v>66.599999999999994</c:v>
                </c:pt>
                <c:pt idx="107">
                  <c:v>67.09</c:v>
                </c:pt>
                <c:pt idx="108">
                  <c:v>67.150000000000006</c:v>
                </c:pt>
                <c:pt idx="109">
                  <c:v>65.88</c:v>
                </c:pt>
                <c:pt idx="110">
                  <c:v>66.959999999999994</c:v>
                </c:pt>
                <c:pt idx="111">
                  <c:v>66.73</c:v>
                </c:pt>
                <c:pt idx="112">
                  <c:v>66.31</c:v>
                </c:pt>
                <c:pt idx="113">
                  <c:v>66.7</c:v>
                </c:pt>
                <c:pt idx="114">
                  <c:v>67.02</c:v>
                </c:pt>
                <c:pt idx="115">
                  <c:v>67.42</c:v>
                </c:pt>
                <c:pt idx="116">
                  <c:v>67.599999999999994</c:v>
                </c:pt>
                <c:pt idx="117">
                  <c:v>68.010000000000005</c:v>
                </c:pt>
                <c:pt idx="118">
                  <c:v>67.91</c:v>
                </c:pt>
                <c:pt idx="119">
                  <c:v>68.900000000000006</c:v>
                </c:pt>
                <c:pt idx="120">
                  <c:v>67.42</c:v>
                </c:pt>
                <c:pt idx="121">
                  <c:v>68.290000000000006</c:v>
                </c:pt>
                <c:pt idx="122">
                  <c:v>67.88</c:v>
                </c:pt>
                <c:pt idx="123">
                  <c:v>67.709999999999994</c:v>
                </c:pt>
                <c:pt idx="124">
                  <c:v>67.48</c:v>
                </c:pt>
                <c:pt idx="125">
                  <c:v>68.069999999999993</c:v>
                </c:pt>
                <c:pt idx="126">
                  <c:v>68.239999999999995</c:v>
                </c:pt>
                <c:pt idx="127">
                  <c:v>70.040000000000006</c:v>
                </c:pt>
                <c:pt idx="128">
                  <c:v>69.680000000000007</c:v>
                </c:pt>
                <c:pt idx="129">
                  <c:v>69.900000000000006</c:v>
                </c:pt>
                <c:pt idx="130">
                  <c:v>70.41</c:v>
                </c:pt>
                <c:pt idx="131">
                  <c:v>69.8</c:v>
                </c:pt>
                <c:pt idx="132">
                  <c:v>69.239999999999995</c:v>
                </c:pt>
                <c:pt idx="133">
                  <c:v>69.61</c:v>
                </c:pt>
                <c:pt idx="134">
                  <c:v>69.989999999999995</c:v>
                </c:pt>
                <c:pt idx="135">
                  <c:v>71.03</c:v>
                </c:pt>
                <c:pt idx="136">
                  <c:v>70.819999999999993</c:v>
                </c:pt>
                <c:pt idx="137">
                  <c:v>70.75</c:v>
                </c:pt>
                <c:pt idx="138">
                  <c:v>70.38</c:v>
                </c:pt>
                <c:pt idx="139">
                  <c:v>70.650000000000006</c:v>
                </c:pt>
                <c:pt idx="140">
                  <c:v>70.599999999999994</c:v>
                </c:pt>
                <c:pt idx="141">
                  <c:v>70.02</c:v>
                </c:pt>
                <c:pt idx="142">
                  <c:v>69.78</c:v>
                </c:pt>
                <c:pt idx="143">
                  <c:v>69.62</c:v>
                </c:pt>
                <c:pt idx="144">
                  <c:v>69.19</c:v>
                </c:pt>
                <c:pt idx="145">
                  <c:v>68.64</c:v>
                </c:pt>
                <c:pt idx="146">
                  <c:v>69.790000000000006</c:v>
                </c:pt>
                <c:pt idx="147">
                  <c:v>68.459999999999994</c:v>
                </c:pt>
                <c:pt idx="148">
                  <c:v>67.59</c:v>
                </c:pt>
                <c:pt idx="149">
                  <c:v>67.739999999999995</c:v>
                </c:pt>
                <c:pt idx="150">
                  <c:v>66.91</c:v>
                </c:pt>
                <c:pt idx="151">
                  <c:v>67.66</c:v>
                </c:pt>
                <c:pt idx="152">
                  <c:v>67.95</c:v>
                </c:pt>
                <c:pt idx="153">
                  <c:v>68.7</c:v>
                </c:pt>
                <c:pt idx="154">
                  <c:v>68.13</c:v>
                </c:pt>
                <c:pt idx="155">
                  <c:v>68.66</c:v>
                </c:pt>
                <c:pt idx="156">
                  <c:v>73.180000000000007</c:v>
                </c:pt>
                <c:pt idx="157">
                  <c:v>73.45</c:v>
                </c:pt>
                <c:pt idx="158">
                  <c:v>73.72</c:v>
                </c:pt>
                <c:pt idx="159">
                  <c:v>74.540000000000006</c:v>
                </c:pt>
                <c:pt idx="160">
                  <c:v>75.239999999999995</c:v>
                </c:pt>
                <c:pt idx="161">
                  <c:v>75.58</c:v>
                </c:pt>
                <c:pt idx="162">
                  <c:v>75.7</c:v>
                </c:pt>
                <c:pt idx="163">
                  <c:v>76.03</c:v>
                </c:pt>
                <c:pt idx="164">
                  <c:v>76.13</c:v>
                </c:pt>
                <c:pt idx="165">
                  <c:v>76.08</c:v>
                </c:pt>
                <c:pt idx="166">
                  <c:v>76.42</c:v>
                </c:pt>
                <c:pt idx="167">
                  <c:v>77.23</c:v>
                </c:pt>
                <c:pt idx="168">
                  <c:v>77.17</c:v>
                </c:pt>
                <c:pt idx="169">
                  <c:v>77.239999999999995</c:v>
                </c:pt>
                <c:pt idx="170">
                  <c:v>76.959999999999994</c:v>
                </c:pt>
                <c:pt idx="171">
                  <c:v>76.64</c:v>
                </c:pt>
                <c:pt idx="172">
                  <c:v>77.34</c:v>
                </c:pt>
                <c:pt idx="173">
                  <c:v>78.81</c:v>
                </c:pt>
                <c:pt idx="174">
                  <c:v>78.84</c:v>
                </c:pt>
                <c:pt idx="175">
                  <c:v>79.66</c:v>
                </c:pt>
                <c:pt idx="176">
                  <c:v>80.599999999999994</c:v>
                </c:pt>
                <c:pt idx="177">
                  <c:v>80.56</c:v>
                </c:pt>
                <c:pt idx="178">
                  <c:v>78.599999999999994</c:v>
                </c:pt>
                <c:pt idx="179">
                  <c:v>79.03</c:v>
                </c:pt>
                <c:pt idx="180">
                  <c:v>78.040000000000006</c:v>
                </c:pt>
                <c:pt idx="181">
                  <c:v>79.06</c:v>
                </c:pt>
                <c:pt idx="182">
                  <c:v>80.33</c:v>
                </c:pt>
                <c:pt idx="183">
                  <c:v>80.67</c:v>
                </c:pt>
                <c:pt idx="184">
                  <c:v>81.400000000000006</c:v>
                </c:pt>
                <c:pt idx="185">
                  <c:v>79.92</c:v>
                </c:pt>
                <c:pt idx="186">
                  <c:v>79.78</c:v>
                </c:pt>
                <c:pt idx="187">
                  <c:v>80.75</c:v>
                </c:pt>
                <c:pt idx="188">
                  <c:v>81.27</c:v>
                </c:pt>
                <c:pt idx="189">
                  <c:v>80.430000000000007</c:v>
                </c:pt>
                <c:pt idx="190">
                  <c:v>80.430000000000007</c:v>
                </c:pt>
                <c:pt idx="191">
                  <c:v>80.94</c:v>
                </c:pt>
                <c:pt idx="192">
                  <c:v>79.099999999999994</c:v>
                </c:pt>
                <c:pt idx="193">
                  <c:v>79.709999999999994</c:v>
                </c:pt>
                <c:pt idx="194">
                  <c:v>80.400000000000006</c:v>
                </c:pt>
                <c:pt idx="195">
                  <c:v>79.61</c:v>
                </c:pt>
                <c:pt idx="196">
                  <c:v>80.099999999999994</c:v>
                </c:pt>
                <c:pt idx="197">
                  <c:v>80.290000000000006</c:v>
                </c:pt>
                <c:pt idx="198">
                  <c:v>81.650000000000006</c:v>
                </c:pt>
                <c:pt idx="199">
                  <c:v>81.22</c:v>
                </c:pt>
                <c:pt idx="200">
                  <c:v>80.89</c:v>
                </c:pt>
                <c:pt idx="201">
                  <c:v>81.31</c:v>
                </c:pt>
                <c:pt idx="202">
                  <c:v>80.81</c:v>
                </c:pt>
                <c:pt idx="203">
                  <c:v>82.02</c:v>
                </c:pt>
                <c:pt idx="204">
                  <c:v>83.27</c:v>
                </c:pt>
                <c:pt idx="205">
                  <c:v>83.04</c:v>
                </c:pt>
                <c:pt idx="206">
                  <c:v>82.51</c:v>
                </c:pt>
                <c:pt idx="207">
                  <c:v>82.75</c:v>
                </c:pt>
                <c:pt idx="208">
                  <c:v>81.7</c:v>
                </c:pt>
                <c:pt idx="209">
                  <c:v>81.39</c:v>
                </c:pt>
                <c:pt idx="210">
                  <c:v>81.95</c:v>
                </c:pt>
                <c:pt idx="211">
                  <c:v>82.19</c:v>
                </c:pt>
                <c:pt idx="212">
                  <c:v>82.45</c:v>
                </c:pt>
                <c:pt idx="213">
                  <c:v>83.68</c:v>
                </c:pt>
                <c:pt idx="214">
                  <c:v>83.44</c:v>
                </c:pt>
                <c:pt idx="215">
                  <c:v>83.85</c:v>
                </c:pt>
                <c:pt idx="216">
                  <c:v>84.83</c:v>
                </c:pt>
                <c:pt idx="217">
                  <c:v>84.21</c:v>
                </c:pt>
                <c:pt idx="218">
                  <c:v>84.99</c:v>
                </c:pt>
                <c:pt idx="219">
                  <c:v>85.5</c:v>
                </c:pt>
                <c:pt idx="220">
                  <c:v>84.47</c:v>
                </c:pt>
                <c:pt idx="221">
                  <c:v>84.25</c:v>
                </c:pt>
                <c:pt idx="222">
                  <c:v>84.08</c:v>
                </c:pt>
                <c:pt idx="223">
                  <c:v>86.6</c:v>
                </c:pt>
                <c:pt idx="224">
                  <c:v>87.18</c:v>
                </c:pt>
                <c:pt idx="225">
                  <c:v>88.39</c:v>
                </c:pt>
                <c:pt idx="226">
                  <c:v>90.44</c:v>
                </c:pt>
                <c:pt idx="227">
                  <c:v>89.5</c:v>
                </c:pt>
                <c:pt idx="228">
                  <c:v>91.31</c:v>
                </c:pt>
                <c:pt idx="229">
                  <c:v>91.88</c:v>
                </c:pt>
                <c:pt idx="230">
                  <c:v>92.5</c:v>
                </c:pt>
                <c:pt idx="231">
                  <c:v>92.64</c:v>
                </c:pt>
                <c:pt idx="232">
                  <c:v>93.51</c:v>
                </c:pt>
                <c:pt idx="233">
                  <c:v>94.45</c:v>
                </c:pt>
                <c:pt idx="234">
                  <c:v>95.3</c:v>
                </c:pt>
                <c:pt idx="235">
                  <c:v>95.7</c:v>
                </c:pt>
                <c:pt idx="236">
                  <c:v>93.83</c:v>
                </c:pt>
                <c:pt idx="237">
                  <c:v>94.55</c:v>
                </c:pt>
                <c:pt idx="238">
                  <c:v>94.96</c:v>
                </c:pt>
                <c:pt idx="239">
                  <c:v>94.09</c:v>
                </c:pt>
                <c:pt idx="240">
                  <c:v>94.25</c:v>
                </c:pt>
                <c:pt idx="241">
                  <c:v>94.87</c:v>
                </c:pt>
                <c:pt idx="242">
                  <c:v>95.42</c:v>
                </c:pt>
                <c:pt idx="243">
                  <c:v>93.55</c:v>
                </c:pt>
                <c:pt idx="244">
                  <c:v>93.4</c:v>
                </c:pt>
                <c:pt idx="245">
                  <c:v>92.24</c:v>
                </c:pt>
                <c:pt idx="246">
                  <c:v>90.35</c:v>
                </c:pt>
                <c:pt idx="247">
                  <c:v>92.68</c:v>
                </c:pt>
                <c:pt idx="248">
                  <c:v>92.79</c:v>
                </c:pt>
                <c:pt idx="249">
                  <c:v>91.66</c:v>
                </c:pt>
                <c:pt idx="250">
                  <c:v>90.57</c:v>
                </c:pt>
                <c:pt idx="251">
                  <c:v>90.35</c:v>
                </c:pt>
                <c:pt idx="252">
                  <c:v>90</c:v>
                </c:pt>
                <c:pt idx="253">
                  <c:v>90.78</c:v>
                </c:pt>
                <c:pt idx="254">
                  <c:v>91.43</c:v>
                </c:pt>
                <c:pt idx="255">
                  <c:v>90.81</c:v>
                </c:pt>
                <c:pt idx="256">
                  <c:v>91.8</c:v>
                </c:pt>
                <c:pt idx="257">
                  <c:v>93</c:v>
                </c:pt>
                <c:pt idx="258">
                  <c:v>91.53</c:v>
                </c:pt>
                <c:pt idx="259">
                  <c:v>90.79</c:v>
                </c:pt>
                <c:pt idx="260">
                  <c:v>91.34</c:v>
                </c:pt>
                <c:pt idx="261">
                  <c:v>91.3</c:v>
                </c:pt>
                <c:pt idx="262">
                  <c:v>91.94</c:v>
                </c:pt>
                <c:pt idx="263">
                  <c:v>93.08</c:v>
                </c:pt>
                <c:pt idx="264">
                  <c:v>93.23</c:v>
                </c:pt>
                <c:pt idx="265">
                  <c:v>93.81</c:v>
                </c:pt>
                <c:pt idx="266">
                  <c:v>94.76</c:v>
                </c:pt>
                <c:pt idx="267">
                  <c:v>97.4</c:v>
                </c:pt>
                <c:pt idx="268">
                  <c:v>97.29</c:v>
                </c:pt>
                <c:pt idx="269">
                  <c:v>97.5</c:v>
                </c:pt>
                <c:pt idx="270">
                  <c:v>98.65</c:v>
                </c:pt>
                <c:pt idx="271">
                  <c:v>98.16</c:v>
                </c:pt>
                <c:pt idx="272">
                  <c:v>99.54</c:v>
                </c:pt>
                <c:pt idx="273">
                  <c:v>100.77</c:v>
                </c:pt>
                <c:pt idx="274">
                  <c:v>102.46</c:v>
                </c:pt>
                <c:pt idx="275">
                  <c:v>102.85</c:v>
                </c:pt>
                <c:pt idx="276">
                  <c:v>101.15</c:v>
                </c:pt>
                <c:pt idx="277">
                  <c:v>102.92</c:v>
                </c:pt>
                <c:pt idx="278">
                  <c:v>102.47</c:v>
                </c:pt>
                <c:pt idx="279">
                  <c:v>103.61</c:v>
                </c:pt>
                <c:pt idx="280">
                  <c:v>105.05</c:v>
                </c:pt>
                <c:pt idx="281">
                  <c:v>104.04</c:v>
                </c:pt>
                <c:pt idx="282">
                  <c:v>103.78</c:v>
                </c:pt>
                <c:pt idx="283">
                  <c:v>104</c:v>
                </c:pt>
                <c:pt idx="284">
                  <c:v>97.21</c:v>
                </c:pt>
                <c:pt idx="285">
                  <c:v>94.78</c:v>
                </c:pt>
                <c:pt idx="286">
                  <c:v>93.67</c:v>
                </c:pt>
                <c:pt idx="287">
                  <c:v>97.69</c:v>
                </c:pt>
                <c:pt idx="288">
                  <c:v>96.2</c:v>
                </c:pt>
                <c:pt idx="289">
                  <c:v>96.79</c:v>
                </c:pt>
                <c:pt idx="290">
                  <c:v>98.61</c:v>
                </c:pt>
                <c:pt idx="291">
                  <c:v>97.59</c:v>
                </c:pt>
                <c:pt idx="292">
                  <c:v>94.97</c:v>
                </c:pt>
                <c:pt idx="293">
                  <c:v>95.98</c:v>
                </c:pt>
                <c:pt idx="294">
                  <c:v>94.64</c:v>
                </c:pt>
                <c:pt idx="295">
                  <c:v>91.72</c:v>
                </c:pt>
                <c:pt idx="296">
                  <c:v>87.82</c:v>
                </c:pt>
                <c:pt idx="297">
                  <c:v>87.44</c:v>
                </c:pt>
                <c:pt idx="298">
                  <c:v>85.2</c:v>
                </c:pt>
                <c:pt idx="299">
                  <c:v>84.5</c:v>
                </c:pt>
                <c:pt idx="300">
                  <c:v>85.35</c:v>
                </c:pt>
                <c:pt idx="301">
                  <c:v>87.46</c:v>
                </c:pt>
                <c:pt idx="302">
                  <c:v>85.59</c:v>
                </c:pt>
                <c:pt idx="303">
                  <c:v>86.33</c:v>
                </c:pt>
                <c:pt idx="304">
                  <c:v>85.81</c:v>
                </c:pt>
                <c:pt idx="305">
                  <c:v>85.98</c:v>
                </c:pt>
                <c:pt idx="306">
                  <c:v>87.49</c:v>
                </c:pt>
                <c:pt idx="307">
                  <c:v>84.76</c:v>
                </c:pt>
                <c:pt idx="308">
                  <c:v>85.21</c:v>
                </c:pt>
                <c:pt idx="309">
                  <c:v>85.63</c:v>
                </c:pt>
                <c:pt idx="310">
                  <c:v>85.15</c:v>
                </c:pt>
                <c:pt idx="311">
                  <c:v>87.79</c:v>
                </c:pt>
                <c:pt idx="312">
                  <c:v>88.83</c:v>
                </c:pt>
                <c:pt idx="313">
                  <c:v>89.76</c:v>
                </c:pt>
                <c:pt idx="314">
                  <c:v>87.26</c:v>
                </c:pt>
                <c:pt idx="315">
                  <c:v>83.19</c:v>
                </c:pt>
                <c:pt idx="316">
                  <c:v>83.83</c:v>
                </c:pt>
                <c:pt idx="317">
                  <c:v>81.790000000000006</c:v>
                </c:pt>
                <c:pt idx="318">
                  <c:v>89.6</c:v>
                </c:pt>
                <c:pt idx="319">
                  <c:v>90.61</c:v>
                </c:pt>
                <c:pt idx="320">
                  <c:v>92.8</c:v>
                </c:pt>
                <c:pt idx="321">
                  <c:v>94.73</c:v>
                </c:pt>
                <c:pt idx="322">
                  <c:v>93.97</c:v>
                </c:pt>
                <c:pt idx="323">
                  <c:v>91.19</c:v>
                </c:pt>
                <c:pt idx="324">
                  <c:v>93.22</c:v>
                </c:pt>
                <c:pt idx="325">
                  <c:v>92.41</c:v>
                </c:pt>
                <c:pt idx="326">
                  <c:v>94.85</c:v>
                </c:pt>
                <c:pt idx="327">
                  <c:v>94.96</c:v>
                </c:pt>
                <c:pt idx="328">
                  <c:v>95.84</c:v>
                </c:pt>
                <c:pt idx="329">
                  <c:v>95.09</c:v>
                </c:pt>
                <c:pt idx="330">
                  <c:v>95.22</c:v>
                </c:pt>
                <c:pt idx="331">
                  <c:v>96.04</c:v>
                </c:pt>
                <c:pt idx="332">
                  <c:v>97.25</c:v>
                </c:pt>
                <c:pt idx="333">
                  <c:v>97.41</c:v>
                </c:pt>
                <c:pt idx="334">
                  <c:v>98.75</c:v>
                </c:pt>
                <c:pt idx="335">
                  <c:v>99.33</c:v>
                </c:pt>
                <c:pt idx="336">
                  <c:v>98.55</c:v>
                </c:pt>
                <c:pt idx="337">
                  <c:v>98.83</c:v>
                </c:pt>
                <c:pt idx="338">
                  <c:v>97.43</c:v>
                </c:pt>
                <c:pt idx="339">
                  <c:v>96.72</c:v>
                </c:pt>
                <c:pt idx="340">
                  <c:v>96.75</c:v>
                </c:pt>
                <c:pt idx="341">
                  <c:v>95.88</c:v>
                </c:pt>
                <c:pt idx="342">
                  <c:v>96.83</c:v>
                </c:pt>
                <c:pt idx="343">
                  <c:v>96.35</c:v>
                </c:pt>
                <c:pt idx="344">
                  <c:v>98.24</c:v>
                </c:pt>
                <c:pt idx="345">
                  <c:v>98.12</c:v>
                </c:pt>
                <c:pt idx="346">
                  <c:v>97.8</c:v>
                </c:pt>
                <c:pt idx="347">
                  <c:v>96.43</c:v>
                </c:pt>
                <c:pt idx="348">
                  <c:v>95.93</c:v>
                </c:pt>
                <c:pt idx="349">
                  <c:v>96.34</c:v>
                </c:pt>
                <c:pt idx="350">
                  <c:v>97.58</c:v>
                </c:pt>
                <c:pt idx="351">
                  <c:v>97.24</c:v>
                </c:pt>
                <c:pt idx="352">
                  <c:v>97.1</c:v>
                </c:pt>
                <c:pt idx="353">
                  <c:v>98.72</c:v>
                </c:pt>
                <c:pt idx="354">
                  <c:v>99.77</c:v>
                </c:pt>
                <c:pt idx="355">
                  <c:v>99.98</c:v>
                </c:pt>
                <c:pt idx="356">
                  <c:v>99.35</c:v>
                </c:pt>
                <c:pt idx="357">
                  <c:v>97.96</c:v>
                </c:pt>
                <c:pt idx="358">
                  <c:v>97.47</c:v>
                </c:pt>
                <c:pt idx="359">
                  <c:v>97.45</c:v>
                </c:pt>
                <c:pt idx="360">
                  <c:v>97.32</c:v>
                </c:pt>
                <c:pt idx="361">
                  <c:v>95.8</c:v>
                </c:pt>
                <c:pt idx="362">
                  <c:v>94.83</c:v>
                </c:pt>
                <c:pt idx="363">
                  <c:v>94.44</c:v>
                </c:pt>
                <c:pt idx="364">
                  <c:v>94.29</c:v>
                </c:pt>
                <c:pt idx="365">
                  <c:v>94.25</c:v>
                </c:pt>
                <c:pt idx="366">
                  <c:v>95.09</c:v>
                </c:pt>
                <c:pt idx="367">
                  <c:v>96.12</c:v>
                </c:pt>
                <c:pt idx="368">
                  <c:v>97.87</c:v>
                </c:pt>
                <c:pt idx="369">
                  <c:v>98</c:v>
                </c:pt>
                <c:pt idx="370">
                  <c:v>97.26</c:v>
                </c:pt>
                <c:pt idx="371">
                  <c:v>96.02</c:v>
                </c:pt>
                <c:pt idx="372">
                  <c:v>97.27</c:v>
                </c:pt>
                <c:pt idx="373">
                  <c:v>97.78</c:v>
                </c:pt>
                <c:pt idx="374">
                  <c:v>98.24</c:v>
                </c:pt>
                <c:pt idx="375">
                  <c:v>97.61</c:v>
                </c:pt>
                <c:pt idx="376">
                  <c:v>98.36</c:v>
                </c:pt>
                <c:pt idx="377">
                  <c:v>99.35</c:v>
                </c:pt>
                <c:pt idx="378">
                  <c:v>97.09</c:v>
                </c:pt>
                <c:pt idx="379">
                  <c:v>96.81</c:v>
                </c:pt>
                <c:pt idx="380">
                  <c:v>94.86</c:v>
                </c:pt>
                <c:pt idx="381">
                  <c:v>94.4</c:v>
                </c:pt>
                <c:pt idx="382">
                  <c:v>95.78</c:v>
                </c:pt>
                <c:pt idx="383">
                  <c:v>95.39</c:v>
                </c:pt>
                <c:pt idx="384">
                  <c:v>95.15</c:v>
                </c:pt>
                <c:pt idx="385">
                  <c:v>95.09</c:v>
                </c:pt>
                <c:pt idx="386">
                  <c:v>95.05</c:v>
                </c:pt>
                <c:pt idx="387">
                  <c:v>95.67</c:v>
                </c:pt>
                <c:pt idx="388">
                  <c:v>95.85</c:v>
                </c:pt>
                <c:pt idx="389">
                  <c:v>95.68</c:v>
                </c:pt>
                <c:pt idx="390">
                  <c:v>96.6</c:v>
                </c:pt>
                <c:pt idx="391">
                  <c:v>97.47</c:v>
                </c:pt>
                <c:pt idx="392">
                  <c:v>97.61</c:v>
                </c:pt>
                <c:pt idx="393">
                  <c:v>98.33</c:v>
                </c:pt>
                <c:pt idx="394">
                  <c:v>97.59</c:v>
                </c:pt>
                <c:pt idx="395">
                  <c:v>97.98</c:v>
                </c:pt>
                <c:pt idx="396">
                  <c:v>98.49</c:v>
                </c:pt>
                <c:pt idx="397">
                  <c:v>99.59</c:v>
                </c:pt>
                <c:pt idx="398">
                  <c:v>99.31</c:v>
                </c:pt>
                <c:pt idx="399">
                  <c:v>103.36</c:v>
                </c:pt>
                <c:pt idx="400">
                  <c:v>103.12</c:v>
                </c:pt>
                <c:pt idx="401">
                  <c:v>103.73</c:v>
                </c:pt>
                <c:pt idx="402">
                  <c:v>103.93</c:v>
                </c:pt>
                <c:pt idx="403">
                  <c:v>103.62</c:v>
                </c:pt>
                <c:pt idx="404">
                  <c:v>100.99</c:v>
                </c:pt>
                <c:pt idx="405">
                  <c:v>100.85</c:v>
                </c:pt>
                <c:pt idx="406">
                  <c:v>100</c:v>
                </c:pt>
                <c:pt idx="407">
                  <c:v>100.7</c:v>
                </c:pt>
                <c:pt idx="408">
                  <c:v>101.29</c:v>
                </c:pt>
                <c:pt idx="409">
                  <c:v>102.57</c:v>
                </c:pt>
                <c:pt idx="410">
                  <c:v>97.96</c:v>
                </c:pt>
                <c:pt idx="411">
                  <c:v>96.83</c:v>
                </c:pt>
                <c:pt idx="412">
                  <c:v>96.07</c:v>
                </c:pt>
                <c:pt idx="413">
                  <c:v>96.05</c:v>
                </c:pt>
                <c:pt idx="414">
                  <c:v>96.08</c:v>
                </c:pt>
                <c:pt idx="415">
                  <c:v>96.11</c:v>
                </c:pt>
                <c:pt idx="416">
                  <c:v>96.98</c:v>
                </c:pt>
                <c:pt idx="417">
                  <c:v>97.85</c:v>
                </c:pt>
                <c:pt idx="418">
                  <c:v>99.44</c:v>
                </c:pt>
                <c:pt idx="419">
                  <c:v>100.93</c:v>
                </c:pt>
                <c:pt idx="420">
                  <c:v>100.51</c:v>
                </c:pt>
                <c:pt idx="421">
                  <c:v>102.28</c:v>
                </c:pt>
                <c:pt idx="422">
                  <c:v>102.29</c:v>
                </c:pt>
                <c:pt idx="423">
                  <c:v>100.41</c:v>
                </c:pt>
                <c:pt idx="424">
                  <c:v>102.65</c:v>
                </c:pt>
                <c:pt idx="425">
                  <c:v>103.49</c:v>
                </c:pt>
                <c:pt idx="426">
                  <c:v>103.69</c:v>
                </c:pt>
                <c:pt idx="427">
                  <c:v>103.42</c:v>
                </c:pt>
                <c:pt idx="428">
                  <c:v>104.27</c:v>
                </c:pt>
                <c:pt idx="429">
                  <c:v>103.6</c:v>
                </c:pt>
                <c:pt idx="430">
                  <c:v>102.33</c:v>
                </c:pt>
                <c:pt idx="431">
                  <c:v>102.82</c:v>
                </c:pt>
                <c:pt idx="432">
                  <c:v>102.52</c:v>
                </c:pt>
                <c:pt idx="433">
                  <c:v>102.73</c:v>
                </c:pt>
                <c:pt idx="434">
                  <c:v>103.05</c:v>
                </c:pt>
                <c:pt idx="435">
                  <c:v>103.16</c:v>
                </c:pt>
                <c:pt idx="436">
                  <c:v>103.08</c:v>
                </c:pt>
                <c:pt idx="437">
                  <c:v>103.06</c:v>
                </c:pt>
                <c:pt idx="438">
                  <c:v>101.96</c:v>
                </c:pt>
                <c:pt idx="439">
                  <c:v>101.7</c:v>
                </c:pt>
                <c:pt idx="440">
                  <c:v>102.07</c:v>
                </c:pt>
                <c:pt idx="441">
                  <c:v>102.7</c:v>
                </c:pt>
                <c:pt idx="442">
                  <c:v>103.24</c:v>
                </c:pt>
                <c:pt idx="443">
                  <c:v>102.9</c:v>
                </c:pt>
                <c:pt idx="444">
                  <c:v>101.77</c:v>
                </c:pt>
                <c:pt idx="445">
                  <c:v>101.84</c:v>
                </c:pt>
                <c:pt idx="446">
                  <c:v>102.12</c:v>
                </c:pt>
                <c:pt idx="447">
                  <c:v>107.21</c:v>
                </c:pt>
                <c:pt idx="448">
                  <c:v>109.03</c:v>
                </c:pt>
                <c:pt idx="449">
                  <c:v>106.47</c:v>
                </c:pt>
                <c:pt idx="450">
                  <c:v>107.73</c:v>
                </c:pt>
                <c:pt idx="451">
                  <c:v>107.05</c:v>
                </c:pt>
                <c:pt idx="452">
                  <c:v>106.22</c:v>
                </c:pt>
                <c:pt idx="453">
                  <c:v>107.14</c:v>
                </c:pt>
                <c:pt idx="454">
                  <c:v>106.86</c:v>
                </c:pt>
                <c:pt idx="455">
                  <c:v>106.17</c:v>
                </c:pt>
                <c:pt idx="456">
                  <c:v>104.47</c:v>
                </c:pt>
                <c:pt idx="457">
                  <c:v>103.17</c:v>
                </c:pt>
                <c:pt idx="458">
                  <c:v>102.46</c:v>
                </c:pt>
                <c:pt idx="459">
                  <c:v>102.23</c:v>
                </c:pt>
                <c:pt idx="460">
                  <c:v>101.18</c:v>
                </c:pt>
                <c:pt idx="461">
                  <c:v>101.59</c:v>
                </c:pt>
                <c:pt idx="462">
                  <c:v>102.27</c:v>
                </c:pt>
                <c:pt idx="463">
                  <c:v>101.47</c:v>
                </c:pt>
                <c:pt idx="464">
                  <c:v>101.68</c:v>
                </c:pt>
                <c:pt idx="465">
                  <c:v>102.59</c:v>
                </c:pt>
                <c:pt idx="466">
                  <c:v>102.42</c:v>
                </c:pt>
                <c:pt idx="467">
                  <c:v>103.44</c:v>
                </c:pt>
                <c:pt idx="468">
                  <c:v>103.44</c:v>
                </c:pt>
                <c:pt idx="469">
                  <c:v>102.54</c:v>
                </c:pt>
                <c:pt idx="470">
                  <c:v>102.48</c:v>
                </c:pt>
                <c:pt idx="471">
                  <c:v>102.95</c:v>
                </c:pt>
                <c:pt idx="472">
                  <c:v>101.39</c:v>
                </c:pt>
                <c:pt idx="473">
                  <c:v>100.61</c:v>
                </c:pt>
                <c:pt idx="474">
                  <c:v>107.11</c:v>
                </c:pt>
                <c:pt idx="475">
                  <c:v>105.32</c:v>
                </c:pt>
                <c:pt idx="476">
                  <c:v>104.06</c:v>
                </c:pt>
                <c:pt idx="477">
                  <c:v>107</c:v>
                </c:pt>
                <c:pt idx="478">
                  <c:v>109.1</c:v>
                </c:pt>
                <c:pt idx="479">
                  <c:v>110.51</c:v>
                </c:pt>
                <c:pt idx="480">
                  <c:v>111.53</c:v>
                </c:pt>
                <c:pt idx="481">
                  <c:v>112.41</c:v>
                </c:pt>
                <c:pt idx="482">
                  <c:v>114.41</c:v>
                </c:pt>
                <c:pt idx="483">
                  <c:v>114.84</c:v>
                </c:pt>
                <c:pt idx="484">
                  <c:v>115.11</c:v>
                </c:pt>
                <c:pt idx="485">
                  <c:v>113.56</c:v>
                </c:pt>
                <c:pt idx="486">
                  <c:v>115.06</c:v>
                </c:pt>
                <c:pt idx="487">
                  <c:v>113.18</c:v>
                </c:pt>
                <c:pt idx="488">
                  <c:v>115.52</c:v>
                </c:pt>
                <c:pt idx="489">
                  <c:v>116.7</c:v>
                </c:pt>
                <c:pt idx="490">
                  <c:v>116.79</c:v>
                </c:pt>
                <c:pt idx="491">
                  <c:v>115.42</c:v>
                </c:pt>
                <c:pt idx="492">
                  <c:v>115.66</c:v>
                </c:pt>
                <c:pt idx="493">
                  <c:v>114.83</c:v>
                </c:pt>
                <c:pt idx="494">
                  <c:v>114.36</c:v>
                </c:pt>
                <c:pt idx="495">
                  <c:v>112.6</c:v>
                </c:pt>
                <c:pt idx="496">
                  <c:v>110.9</c:v>
                </c:pt>
                <c:pt idx="497">
                  <c:v>111.61</c:v>
                </c:pt>
                <c:pt idx="498">
                  <c:v>111.74</c:v>
                </c:pt>
                <c:pt idx="499">
                  <c:v>112.53</c:v>
                </c:pt>
                <c:pt idx="500">
                  <c:v>111.92</c:v>
                </c:pt>
                <c:pt idx="501">
                  <c:v>111.41</c:v>
                </c:pt>
                <c:pt idx="502">
                  <c:v>112.76</c:v>
                </c:pt>
                <c:pt idx="503">
                  <c:v>112.71</c:v>
                </c:pt>
                <c:pt idx="504">
                  <c:v>114.34</c:v>
                </c:pt>
                <c:pt idx="505">
                  <c:v>112.72</c:v>
                </c:pt>
                <c:pt idx="506">
                  <c:v>113.07</c:v>
                </c:pt>
                <c:pt idx="507">
                  <c:v>114.53</c:v>
                </c:pt>
                <c:pt idx="508">
                  <c:v>117.97</c:v>
                </c:pt>
                <c:pt idx="509">
                  <c:v>120.36</c:v>
                </c:pt>
                <c:pt idx="510">
                  <c:v>120.04</c:v>
                </c:pt>
                <c:pt idx="511">
                  <c:v>119.2</c:v>
                </c:pt>
                <c:pt idx="512">
                  <c:v>119.7</c:v>
                </c:pt>
                <c:pt idx="513">
                  <c:v>118.71</c:v>
                </c:pt>
                <c:pt idx="514">
                  <c:v>119.36</c:v>
                </c:pt>
                <c:pt idx="515">
                  <c:v>117.83</c:v>
                </c:pt>
                <c:pt idx="516">
                  <c:v>117.73</c:v>
                </c:pt>
                <c:pt idx="517">
                  <c:v>117.64</c:v>
                </c:pt>
                <c:pt idx="518">
                  <c:v>116.94</c:v>
                </c:pt>
                <c:pt idx="519">
                  <c:v>116.57</c:v>
                </c:pt>
                <c:pt idx="520">
                  <c:v>117.41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3-4907-A16F-9D06FD9DF8D4}"/>
            </c:ext>
          </c:extLst>
        </c:ser>
        <c:ser>
          <c:idx val="1"/>
          <c:order val="1"/>
          <c:tx>
            <c:strRef>
              <c:f>WMT!$F$1</c:f>
              <c:strCache>
                <c:ptCount val="1"/>
                <c:pt idx="0">
                  <c:v>20d SMA</c:v>
                </c:pt>
              </c:strCache>
            </c:strRef>
          </c:tx>
          <c:spPr>
            <a:ln w="2222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WMT!$B$2:$B$522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WMT!$F$2:$F$522</c:f>
              <c:numCache>
                <c:formatCode>General</c:formatCode>
                <c:ptCount val="521"/>
                <c:pt idx="19">
                  <c:v>53.770965000000004</c:v>
                </c:pt>
                <c:pt idx="20">
                  <c:v>53.8703</c:v>
                </c:pt>
                <c:pt idx="21">
                  <c:v>54.020465000000016</c:v>
                </c:pt>
                <c:pt idx="22">
                  <c:v>54.217300000000009</c:v>
                </c:pt>
                <c:pt idx="23">
                  <c:v>54.416465000000002</c:v>
                </c:pt>
                <c:pt idx="24">
                  <c:v>54.609130000000007</c:v>
                </c:pt>
                <c:pt idx="25">
                  <c:v>54.776959999999995</c:v>
                </c:pt>
                <c:pt idx="26">
                  <c:v>54.911625000000001</c:v>
                </c:pt>
                <c:pt idx="27">
                  <c:v>55.047789999999999</c:v>
                </c:pt>
                <c:pt idx="28">
                  <c:v>55.197454999999991</c:v>
                </c:pt>
                <c:pt idx="29">
                  <c:v>55.319285000000001</c:v>
                </c:pt>
                <c:pt idx="30">
                  <c:v>55.444779999999994</c:v>
                </c:pt>
                <c:pt idx="31">
                  <c:v>55.545609999999996</c:v>
                </c:pt>
                <c:pt idx="32">
                  <c:v>55.678610000000006</c:v>
                </c:pt>
                <c:pt idx="33">
                  <c:v>55.903105000000004</c:v>
                </c:pt>
                <c:pt idx="34">
                  <c:v>56.084770000000006</c:v>
                </c:pt>
                <c:pt idx="35">
                  <c:v>56.333265000000004</c:v>
                </c:pt>
                <c:pt idx="36">
                  <c:v>56.545260000000006</c:v>
                </c:pt>
                <c:pt idx="37">
                  <c:v>56.787455000000001</c:v>
                </c:pt>
                <c:pt idx="38">
                  <c:v>57.016314999999999</c:v>
                </c:pt>
                <c:pt idx="39">
                  <c:v>57.237509999999986</c:v>
                </c:pt>
                <c:pt idx="40">
                  <c:v>57.413869999999989</c:v>
                </c:pt>
                <c:pt idx="41">
                  <c:v>57.54672999999999</c:v>
                </c:pt>
                <c:pt idx="42">
                  <c:v>57.685590000000005</c:v>
                </c:pt>
                <c:pt idx="43">
                  <c:v>57.876620000000003</c:v>
                </c:pt>
                <c:pt idx="44">
                  <c:v>58.074979999999996</c:v>
                </c:pt>
                <c:pt idx="45">
                  <c:v>58.270009999999992</c:v>
                </c:pt>
                <c:pt idx="46">
                  <c:v>58.45320499999999</c:v>
                </c:pt>
                <c:pt idx="47">
                  <c:v>58.664900000000003</c:v>
                </c:pt>
                <c:pt idx="48">
                  <c:v>58.897095000000014</c:v>
                </c:pt>
                <c:pt idx="49">
                  <c:v>59.142125000000007</c:v>
                </c:pt>
                <c:pt idx="50">
                  <c:v>59.383155000000002</c:v>
                </c:pt>
                <c:pt idx="51">
                  <c:v>59.595685000000003</c:v>
                </c:pt>
                <c:pt idx="52">
                  <c:v>59.799379999999999</c:v>
                </c:pt>
                <c:pt idx="53">
                  <c:v>59.911909999999992</c:v>
                </c:pt>
                <c:pt idx="54">
                  <c:v>60.079439999999991</c:v>
                </c:pt>
                <c:pt idx="55">
                  <c:v>60.228469999999994</c:v>
                </c:pt>
                <c:pt idx="56">
                  <c:v>60.345999999999989</c:v>
                </c:pt>
                <c:pt idx="57">
                  <c:v>60.394499999999994</c:v>
                </c:pt>
                <c:pt idx="58">
                  <c:v>60.440499999999986</c:v>
                </c:pt>
                <c:pt idx="59">
                  <c:v>60.495499999999993</c:v>
                </c:pt>
                <c:pt idx="60">
                  <c:v>60.573500000000003</c:v>
                </c:pt>
                <c:pt idx="61">
                  <c:v>60.6355</c:v>
                </c:pt>
                <c:pt idx="62">
                  <c:v>60.62850000000001</c:v>
                </c:pt>
                <c:pt idx="63">
                  <c:v>60.598000000000013</c:v>
                </c:pt>
                <c:pt idx="64">
                  <c:v>60.544500000000014</c:v>
                </c:pt>
                <c:pt idx="65">
                  <c:v>60.519000000000005</c:v>
                </c:pt>
                <c:pt idx="66">
                  <c:v>60.501999999999995</c:v>
                </c:pt>
                <c:pt idx="67">
                  <c:v>60.458499999999994</c:v>
                </c:pt>
                <c:pt idx="68">
                  <c:v>60.418999999999983</c:v>
                </c:pt>
                <c:pt idx="69">
                  <c:v>60.35949999999999</c:v>
                </c:pt>
                <c:pt idx="70">
                  <c:v>60.315499999999986</c:v>
                </c:pt>
                <c:pt idx="71">
                  <c:v>60.277999999999999</c:v>
                </c:pt>
                <c:pt idx="72">
                  <c:v>60.226999999999997</c:v>
                </c:pt>
                <c:pt idx="73">
                  <c:v>60.165999999999997</c:v>
                </c:pt>
                <c:pt idx="74">
                  <c:v>60.066499999999998</c:v>
                </c:pt>
                <c:pt idx="75">
                  <c:v>59.970500000000001</c:v>
                </c:pt>
                <c:pt idx="76">
                  <c:v>59.934000000000005</c:v>
                </c:pt>
                <c:pt idx="77">
                  <c:v>59.86</c:v>
                </c:pt>
                <c:pt idx="78">
                  <c:v>59.827999999999989</c:v>
                </c:pt>
                <c:pt idx="79">
                  <c:v>59.802499999999988</c:v>
                </c:pt>
                <c:pt idx="80">
                  <c:v>59.802</c:v>
                </c:pt>
                <c:pt idx="81">
                  <c:v>59.814</c:v>
                </c:pt>
                <c:pt idx="82">
                  <c:v>59.823500000000003</c:v>
                </c:pt>
                <c:pt idx="83">
                  <c:v>59.794499999999985</c:v>
                </c:pt>
                <c:pt idx="84">
                  <c:v>59.804999999999993</c:v>
                </c:pt>
                <c:pt idx="85">
                  <c:v>59.8035</c:v>
                </c:pt>
                <c:pt idx="86">
                  <c:v>59.807999999999993</c:v>
                </c:pt>
                <c:pt idx="87">
                  <c:v>59.849499999999992</c:v>
                </c:pt>
                <c:pt idx="88">
                  <c:v>59.833499999999994</c:v>
                </c:pt>
                <c:pt idx="89">
                  <c:v>59.851000000000013</c:v>
                </c:pt>
                <c:pt idx="90">
                  <c:v>59.868000000000016</c:v>
                </c:pt>
                <c:pt idx="91">
                  <c:v>59.89200000000001</c:v>
                </c:pt>
                <c:pt idx="92">
                  <c:v>59.893000000000008</c:v>
                </c:pt>
                <c:pt idx="93">
                  <c:v>59.902000000000001</c:v>
                </c:pt>
                <c:pt idx="94">
                  <c:v>60.139499999999998</c:v>
                </c:pt>
                <c:pt idx="95">
                  <c:v>60.395500000000006</c:v>
                </c:pt>
                <c:pt idx="96">
                  <c:v>60.597500000000011</c:v>
                </c:pt>
                <c:pt idx="97">
                  <c:v>60.900500000000022</c:v>
                </c:pt>
                <c:pt idx="98">
                  <c:v>61.169500000000006</c:v>
                </c:pt>
                <c:pt idx="99">
                  <c:v>61.400999999999996</c:v>
                </c:pt>
                <c:pt idx="100">
                  <c:v>61.662000000000013</c:v>
                </c:pt>
                <c:pt idx="101">
                  <c:v>61.901999999999973</c:v>
                </c:pt>
                <c:pt idx="102">
                  <c:v>62.180500000000009</c:v>
                </c:pt>
                <c:pt idx="103">
                  <c:v>62.482500000000016</c:v>
                </c:pt>
                <c:pt idx="104">
                  <c:v>62.785000000000011</c:v>
                </c:pt>
                <c:pt idx="105">
                  <c:v>63.085000000000001</c:v>
                </c:pt>
                <c:pt idx="106">
                  <c:v>63.421499999999995</c:v>
                </c:pt>
                <c:pt idx="107">
                  <c:v>63.74499999999999</c:v>
                </c:pt>
                <c:pt idx="108">
                  <c:v>64.087499999999991</c:v>
                </c:pt>
                <c:pt idx="109">
                  <c:v>64.359499999999997</c:v>
                </c:pt>
                <c:pt idx="110">
                  <c:v>64.683500000000009</c:v>
                </c:pt>
                <c:pt idx="111">
                  <c:v>64.999500000000012</c:v>
                </c:pt>
                <c:pt idx="112">
                  <c:v>65.322000000000003</c:v>
                </c:pt>
                <c:pt idx="113">
                  <c:v>65.665499999999994</c:v>
                </c:pt>
                <c:pt idx="114">
                  <c:v>65.816000000000003</c:v>
                </c:pt>
                <c:pt idx="115">
                  <c:v>65.95450000000001</c:v>
                </c:pt>
                <c:pt idx="116">
                  <c:v>66.125500000000002</c:v>
                </c:pt>
                <c:pt idx="117">
                  <c:v>66.268500000000003</c:v>
                </c:pt>
                <c:pt idx="118">
                  <c:v>66.401500000000013</c:v>
                </c:pt>
                <c:pt idx="119">
                  <c:v>66.604500000000002</c:v>
                </c:pt>
                <c:pt idx="120">
                  <c:v>66.70650000000002</c:v>
                </c:pt>
                <c:pt idx="121">
                  <c:v>66.869000000000014</c:v>
                </c:pt>
                <c:pt idx="122">
                  <c:v>67.01700000000001</c:v>
                </c:pt>
                <c:pt idx="123">
                  <c:v>67.157999999999987</c:v>
                </c:pt>
                <c:pt idx="124">
                  <c:v>67.244</c:v>
                </c:pt>
                <c:pt idx="125">
                  <c:v>67.356499999999997</c:v>
                </c:pt>
                <c:pt idx="126">
                  <c:v>67.438500000000005</c:v>
                </c:pt>
                <c:pt idx="127">
                  <c:v>67.585999999999984</c:v>
                </c:pt>
                <c:pt idx="128">
                  <c:v>67.712499999999991</c:v>
                </c:pt>
                <c:pt idx="129">
                  <c:v>67.913499999999999</c:v>
                </c:pt>
                <c:pt idx="130">
                  <c:v>68.085999999999999</c:v>
                </c:pt>
                <c:pt idx="131">
                  <c:v>68.239499999999992</c:v>
                </c:pt>
                <c:pt idx="132">
                  <c:v>68.385999999999996</c:v>
                </c:pt>
                <c:pt idx="133">
                  <c:v>68.531500000000008</c:v>
                </c:pt>
                <c:pt idx="134">
                  <c:v>68.680000000000007</c:v>
                </c:pt>
                <c:pt idx="135">
                  <c:v>68.860499999999988</c:v>
                </c:pt>
                <c:pt idx="136">
                  <c:v>69.021499999999989</c:v>
                </c:pt>
                <c:pt idx="137">
                  <c:v>69.158499999999989</c:v>
                </c:pt>
                <c:pt idx="138">
                  <c:v>69.281999999999996</c:v>
                </c:pt>
                <c:pt idx="139">
                  <c:v>69.369499999999988</c:v>
                </c:pt>
                <c:pt idx="140">
                  <c:v>69.528500000000008</c:v>
                </c:pt>
                <c:pt idx="141">
                  <c:v>69.614999999999981</c:v>
                </c:pt>
                <c:pt idx="142">
                  <c:v>69.710000000000008</c:v>
                </c:pt>
                <c:pt idx="143">
                  <c:v>69.805500000000009</c:v>
                </c:pt>
                <c:pt idx="144">
                  <c:v>69.890999999999991</c:v>
                </c:pt>
                <c:pt idx="145">
                  <c:v>69.919499999999999</c:v>
                </c:pt>
                <c:pt idx="146">
                  <c:v>69.997000000000014</c:v>
                </c:pt>
                <c:pt idx="147">
                  <c:v>69.918000000000021</c:v>
                </c:pt>
                <c:pt idx="148">
                  <c:v>69.813500000000005</c:v>
                </c:pt>
                <c:pt idx="149">
                  <c:v>69.705500000000001</c:v>
                </c:pt>
                <c:pt idx="150">
                  <c:v>69.530499999999989</c:v>
                </c:pt>
                <c:pt idx="151">
                  <c:v>69.423500000000018</c:v>
                </c:pt>
                <c:pt idx="152">
                  <c:v>69.359000000000009</c:v>
                </c:pt>
                <c:pt idx="153">
                  <c:v>69.313500000000005</c:v>
                </c:pt>
                <c:pt idx="154">
                  <c:v>69.220500000000015</c:v>
                </c:pt>
                <c:pt idx="155">
                  <c:v>69.102000000000004</c:v>
                </c:pt>
                <c:pt idx="156">
                  <c:v>69.22</c:v>
                </c:pt>
                <c:pt idx="157">
                  <c:v>69.355000000000004</c:v>
                </c:pt>
                <c:pt idx="158">
                  <c:v>69.522000000000006</c:v>
                </c:pt>
                <c:pt idx="159">
                  <c:v>69.716500000000025</c:v>
                </c:pt>
                <c:pt idx="160">
                  <c:v>69.94850000000001</c:v>
                </c:pt>
                <c:pt idx="161">
                  <c:v>70.226500000000001</c:v>
                </c:pt>
                <c:pt idx="162">
                  <c:v>70.522500000000008</c:v>
                </c:pt>
                <c:pt idx="163">
                  <c:v>70.842999999999989</c:v>
                </c:pt>
                <c:pt idx="164">
                  <c:v>71.190000000000012</c:v>
                </c:pt>
                <c:pt idx="165">
                  <c:v>71.561999999999983</c:v>
                </c:pt>
                <c:pt idx="166">
                  <c:v>71.893499999999989</c:v>
                </c:pt>
                <c:pt idx="167">
                  <c:v>72.331999999999994</c:v>
                </c:pt>
                <c:pt idx="168">
                  <c:v>72.811000000000007</c:v>
                </c:pt>
                <c:pt idx="169">
                  <c:v>73.286000000000001</c:v>
                </c:pt>
                <c:pt idx="170">
                  <c:v>73.788500000000013</c:v>
                </c:pt>
                <c:pt idx="171">
                  <c:v>74.237500000000011</c:v>
                </c:pt>
                <c:pt idx="172">
                  <c:v>74.707000000000008</c:v>
                </c:pt>
                <c:pt idx="173">
                  <c:v>75.212500000000006</c:v>
                </c:pt>
                <c:pt idx="174">
                  <c:v>75.748000000000005</c:v>
                </c:pt>
                <c:pt idx="175">
                  <c:v>76.297999999999988</c:v>
                </c:pt>
                <c:pt idx="176">
                  <c:v>76.668999999999997</c:v>
                </c:pt>
                <c:pt idx="177">
                  <c:v>77.024499999999989</c:v>
                </c:pt>
                <c:pt idx="178">
                  <c:v>77.268499999999989</c:v>
                </c:pt>
                <c:pt idx="179">
                  <c:v>77.492999999999981</c:v>
                </c:pt>
                <c:pt idx="180">
                  <c:v>77.632999999999981</c:v>
                </c:pt>
                <c:pt idx="181">
                  <c:v>77.806999999999988</c:v>
                </c:pt>
                <c:pt idx="182">
                  <c:v>78.038499999999985</c:v>
                </c:pt>
                <c:pt idx="183">
                  <c:v>78.270499999999998</c:v>
                </c:pt>
                <c:pt idx="184">
                  <c:v>78.534000000000006</c:v>
                </c:pt>
                <c:pt idx="185">
                  <c:v>78.726000000000013</c:v>
                </c:pt>
                <c:pt idx="186">
                  <c:v>78.894000000000005</c:v>
                </c:pt>
                <c:pt idx="187">
                  <c:v>79.070000000000007</c:v>
                </c:pt>
                <c:pt idx="188">
                  <c:v>79.275000000000006</c:v>
                </c:pt>
                <c:pt idx="189">
                  <c:v>79.434500000000014</c:v>
                </c:pt>
                <c:pt idx="190">
                  <c:v>79.608000000000018</c:v>
                </c:pt>
                <c:pt idx="191">
                  <c:v>79.823000000000008</c:v>
                </c:pt>
                <c:pt idx="192">
                  <c:v>79.910999999999987</c:v>
                </c:pt>
                <c:pt idx="193">
                  <c:v>79.955999999999989</c:v>
                </c:pt>
                <c:pt idx="194">
                  <c:v>80.034000000000006</c:v>
                </c:pt>
                <c:pt idx="195">
                  <c:v>80.031500000000008</c:v>
                </c:pt>
                <c:pt idx="196">
                  <c:v>80.006499999999988</c:v>
                </c:pt>
                <c:pt idx="197">
                  <c:v>79.992999999999995</c:v>
                </c:pt>
                <c:pt idx="198">
                  <c:v>80.145499999999998</c:v>
                </c:pt>
                <c:pt idx="199">
                  <c:v>80.25500000000001</c:v>
                </c:pt>
                <c:pt idx="200">
                  <c:v>80.397500000000008</c:v>
                </c:pt>
                <c:pt idx="201">
                  <c:v>80.510000000000005</c:v>
                </c:pt>
                <c:pt idx="202">
                  <c:v>80.534000000000006</c:v>
                </c:pt>
                <c:pt idx="203">
                  <c:v>80.601500000000016</c:v>
                </c:pt>
                <c:pt idx="204">
                  <c:v>80.695000000000007</c:v>
                </c:pt>
                <c:pt idx="205">
                  <c:v>80.850999999999999</c:v>
                </c:pt>
                <c:pt idx="206">
                  <c:v>80.987499999999983</c:v>
                </c:pt>
                <c:pt idx="207">
                  <c:v>81.087499999999991</c:v>
                </c:pt>
                <c:pt idx="208">
                  <c:v>81.108999999999995</c:v>
                </c:pt>
                <c:pt idx="209">
                  <c:v>81.157000000000011</c:v>
                </c:pt>
                <c:pt idx="210">
                  <c:v>81.233000000000004</c:v>
                </c:pt>
                <c:pt idx="211">
                  <c:v>81.295500000000004</c:v>
                </c:pt>
                <c:pt idx="212">
                  <c:v>81.463000000000008</c:v>
                </c:pt>
                <c:pt idx="213">
                  <c:v>81.661500000000018</c:v>
                </c:pt>
                <c:pt idx="214">
                  <c:v>81.813500000000005</c:v>
                </c:pt>
                <c:pt idx="215">
                  <c:v>82.025500000000008</c:v>
                </c:pt>
                <c:pt idx="216">
                  <c:v>82.262000000000015</c:v>
                </c:pt>
                <c:pt idx="217">
                  <c:v>82.457999999999998</c:v>
                </c:pt>
                <c:pt idx="218">
                  <c:v>82.625</c:v>
                </c:pt>
                <c:pt idx="219">
                  <c:v>82.839000000000013</c:v>
                </c:pt>
                <c:pt idx="220">
                  <c:v>83.018000000000001</c:v>
                </c:pt>
                <c:pt idx="221">
                  <c:v>83.165000000000006</c:v>
                </c:pt>
                <c:pt idx="222">
                  <c:v>83.328499999999991</c:v>
                </c:pt>
                <c:pt idx="223">
                  <c:v>83.557500000000005</c:v>
                </c:pt>
                <c:pt idx="224">
                  <c:v>83.753000000000014</c:v>
                </c:pt>
                <c:pt idx="225">
                  <c:v>84.020499999999998</c:v>
                </c:pt>
                <c:pt idx="226">
                  <c:v>84.417000000000002</c:v>
                </c:pt>
                <c:pt idx="227">
                  <c:v>84.754500000000007</c:v>
                </c:pt>
                <c:pt idx="228">
                  <c:v>85.235000000000014</c:v>
                </c:pt>
                <c:pt idx="229">
                  <c:v>85.759500000000003</c:v>
                </c:pt>
                <c:pt idx="230">
                  <c:v>86.287000000000006</c:v>
                </c:pt>
                <c:pt idx="231">
                  <c:v>86.809500000000014</c:v>
                </c:pt>
                <c:pt idx="232">
                  <c:v>87.362500000000026</c:v>
                </c:pt>
                <c:pt idx="233">
                  <c:v>87.90100000000001</c:v>
                </c:pt>
                <c:pt idx="234">
                  <c:v>88.494</c:v>
                </c:pt>
                <c:pt idx="235">
                  <c:v>89.086500000000015</c:v>
                </c:pt>
                <c:pt idx="236">
                  <c:v>89.53649999999999</c:v>
                </c:pt>
                <c:pt idx="237">
                  <c:v>90.053499999999985</c:v>
                </c:pt>
                <c:pt idx="238">
                  <c:v>90.551999999999992</c:v>
                </c:pt>
                <c:pt idx="239">
                  <c:v>90.981499999999997</c:v>
                </c:pt>
                <c:pt idx="240">
                  <c:v>91.470499999999987</c:v>
                </c:pt>
                <c:pt idx="241">
                  <c:v>92.001499999999993</c:v>
                </c:pt>
                <c:pt idx="242">
                  <c:v>92.5685</c:v>
                </c:pt>
                <c:pt idx="243">
                  <c:v>92.915999999999997</c:v>
                </c:pt>
                <c:pt idx="244">
                  <c:v>93.227000000000004</c:v>
                </c:pt>
                <c:pt idx="245">
                  <c:v>93.419500000000014</c:v>
                </c:pt>
                <c:pt idx="246">
                  <c:v>93.415000000000006</c:v>
                </c:pt>
                <c:pt idx="247">
                  <c:v>93.573999999999984</c:v>
                </c:pt>
                <c:pt idx="248">
                  <c:v>93.64800000000001</c:v>
                </c:pt>
                <c:pt idx="249">
                  <c:v>93.637000000000015</c:v>
                </c:pt>
                <c:pt idx="250">
                  <c:v>93.540500000000009</c:v>
                </c:pt>
                <c:pt idx="251">
                  <c:v>93.426000000000002</c:v>
                </c:pt>
                <c:pt idx="252">
                  <c:v>93.250500000000002</c:v>
                </c:pt>
                <c:pt idx="253">
                  <c:v>93.066999999999979</c:v>
                </c:pt>
                <c:pt idx="254">
                  <c:v>92.873499999999993</c:v>
                </c:pt>
                <c:pt idx="255">
                  <c:v>92.628999999999991</c:v>
                </c:pt>
                <c:pt idx="256">
                  <c:v>92.527499999999989</c:v>
                </c:pt>
                <c:pt idx="257">
                  <c:v>92.449999999999989</c:v>
                </c:pt>
                <c:pt idx="258">
                  <c:v>92.278499999999994</c:v>
                </c:pt>
                <c:pt idx="259">
                  <c:v>92.113499999999988</c:v>
                </c:pt>
                <c:pt idx="260">
                  <c:v>91.967999999999989</c:v>
                </c:pt>
                <c:pt idx="261">
                  <c:v>91.789500000000004</c:v>
                </c:pt>
                <c:pt idx="262">
                  <c:v>91.615499999999983</c:v>
                </c:pt>
                <c:pt idx="263">
                  <c:v>91.591999999999985</c:v>
                </c:pt>
                <c:pt idx="264">
                  <c:v>91.583499999999987</c:v>
                </c:pt>
                <c:pt idx="265">
                  <c:v>91.661999999999978</c:v>
                </c:pt>
                <c:pt idx="266">
                  <c:v>91.882499999999979</c:v>
                </c:pt>
                <c:pt idx="267">
                  <c:v>92.118499999999983</c:v>
                </c:pt>
                <c:pt idx="268">
                  <c:v>92.343499999999977</c:v>
                </c:pt>
                <c:pt idx="269">
                  <c:v>92.635499999999993</c:v>
                </c:pt>
                <c:pt idx="270">
                  <c:v>93.039500000000004</c:v>
                </c:pt>
                <c:pt idx="271">
                  <c:v>93.43</c:v>
                </c:pt>
                <c:pt idx="272">
                  <c:v>93.907000000000011</c:v>
                </c:pt>
                <c:pt idx="273">
                  <c:v>94.406500000000023</c:v>
                </c:pt>
                <c:pt idx="274">
                  <c:v>94.958000000000013</c:v>
                </c:pt>
                <c:pt idx="275">
                  <c:v>95.560000000000016</c:v>
                </c:pt>
                <c:pt idx="276">
                  <c:v>96.027500000000003</c:v>
                </c:pt>
                <c:pt idx="277">
                  <c:v>96.523500000000013</c:v>
                </c:pt>
                <c:pt idx="278">
                  <c:v>97.07050000000001</c:v>
                </c:pt>
                <c:pt idx="279">
                  <c:v>97.711500000000001</c:v>
                </c:pt>
                <c:pt idx="280">
                  <c:v>98.396999999999991</c:v>
                </c:pt>
                <c:pt idx="281">
                  <c:v>99.033999999999992</c:v>
                </c:pt>
                <c:pt idx="282">
                  <c:v>99.625999999999991</c:v>
                </c:pt>
                <c:pt idx="283">
                  <c:v>100.172</c:v>
                </c:pt>
                <c:pt idx="284">
                  <c:v>100.37100000000001</c:v>
                </c:pt>
                <c:pt idx="285">
                  <c:v>100.4195</c:v>
                </c:pt>
                <c:pt idx="286">
                  <c:v>100.36499999999999</c:v>
                </c:pt>
                <c:pt idx="287">
                  <c:v>100.37949999999999</c:v>
                </c:pt>
                <c:pt idx="288">
                  <c:v>100.325</c:v>
                </c:pt>
                <c:pt idx="289">
                  <c:v>100.2895</c:v>
                </c:pt>
                <c:pt idx="290">
                  <c:v>100.28749999999999</c:v>
                </c:pt>
                <c:pt idx="291">
                  <c:v>100.25899999999999</c:v>
                </c:pt>
                <c:pt idx="292">
                  <c:v>100.03049999999999</c:v>
                </c:pt>
                <c:pt idx="293">
                  <c:v>99.790999999999997</c:v>
                </c:pt>
                <c:pt idx="294">
                  <c:v>99.4</c:v>
                </c:pt>
                <c:pt idx="295">
                  <c:v>98.843499999999992</c:v>
                </c:pt>
                <c:pt idx="296">
                  <c:v>98.176999999999992</c:v>
                </c:pt>
                <c:pt idx="297">
                  <c:v>97.402999999999992</c:v>
                </c:pt>
                <c:pt idx="298">
                  <c:v>96.539500000000004</c:v>
                </c:pt>
                <c:pt idx="299">
                  <c:v>95.584000000000003</c:v>
                </c:pt>
                <c:pt idx="300">
                  <c:v>94.599000000000004</c:v>
                </c:pt>
                <c:pt idx="301">
                  <c:v>93.77000000000001</c:v>
                </c:pt>
                <c:pt idx="302">
                  <c:v>92.860500000000002</c:v>
                </c:pt>
                <c:pt idx="303">
                  <c:v>91.977000000000004</c:v>
                </c:pt>
                <c:pt idx="304">
                  <c:v>91.406999999999996</c:v>
                </c:pt>
                <c:pt idx="305">
                  <c:v>90.966999999999999</c:v>
                </c:pt>
                <c:pt idx="306">
                  <c:v>90.657999999999987</c:v>
                </c:pt>
                <c:pt idx="307">
                  <c:v>90.011499999999998</c:v>
                </c:pt>
                <c:pt idx="308">
                  <c:v>89.462000000000003</c:v>
                </c:pt>
                <c:pt idx="309">
                  <c:v>88.903999999999996</c:v>
                </c:pt>
                <c:pt idx="310">
                  <c:v>88.231000000000023</c:v>
                </c:pt>
                <c:pt idx="311">
                  <c:v>87.741000000000014</c:v>
                </c:pt>
                <c:pt idx="312">
                  <c:v>87.434000000000012</c:v>
                </c:pt>
                <c:pt idx="313">
                  <c:v>87.123000000000019</c:v>
                </c:pt>
                <c:pt idx="314">
                  <c:v>86.753999999999991</c:v>
                </c:pt>
                <c:pt idx="315">
                  <c:v>86.327500000000015</c:v>
                </c:pt>
                <c:pt idx="316">
                  <c:v>86.128</c:v>
                </c:pt>
                <c:pt idx="317">
                  <c:v>85.845499999999987</c:v>
                </c:pt>
                <c:pt idx="318">
                  <c:v>86.065499999999986</c:v>
                </c:pt>
                <c:pt idx="319">
                  <c:v>86.370999999999981</c:v>
                </c:pt>
                <c:pt idx="320">
                  <c:v>86.743499999999983</c:v>
                </c:pt>
                <c:pt idx="321">
                  <c:v>87.106999999999999</c:v>
                </c:pt>
                <c:pt idx="322">
                  <c:v>87.525999999999982</c:v>
                </c:pt>
                <c:pt idx="323">
                  <c:v>87.768999999999977</c:v>
                </c:pt>
                <c:pt idx="324">
                  <c:v>88.139499999999984</c:v>
                </c:pt>
                <c:pt idx="325">
                  <c:v>88.460999999999999</c:v>
                </c:pt>
                <c:pt idx="326">
                  <c:v>88.828999999999994</c:v>
                </c:pt>
                <c:pt idx="327">
                  <c:v>89.338999999999999</c:v>
                </c:pt>
                <c:pt idx="328">
                  <c:v>89.870500000000007</c:v>
                </c:pt>
                <c:pt idx="329">
                  <c:v>90.343499999999992</c:v>
                </c:pt>
                <c:pt idx="330">
                  <c:v>90.846999999999994</c:v>
                </c:pt>
                <c:pt idx="331">
                  <c:v>91.259499999999989</c:v>
                </c:pt>
                <c:pt idx="332">
                  <c:v>91.680499999999995</c:v>
                </c:pt>
                <c:pt idx="333">
                  <c:v>92.063000000000002</c:v>
                </c:pt>
                <c:pt idx="334">
                  <c:v>92.637500000000003</c:v>
                </c:pt>
                <c:pt idx="335">
                  <c:v>93.444499999999991</c:v>
                </c:pt>
                <c:pt idx="336">
                  <c:v>94.180499999999995</c:v>
                </c:pt>
                <c:pt idx="337">
                  <c:v>95.032499999999999</c:v>
                </c:pt>
                <c:pt idx="338">
                  <c:v>95.424000000000007</c:v>
                </c:pt>
                <c:pt idx="339">
                  <c:v>95.729500000000002</c:v>
                </c:pt>
                <c:pt idx="340">
                  <c:v>95.927000000000007</c:v>
                </c:pt>
                <c:pt idx="341">
                  <c:v>95.984499999999997</c:v>
                </c:pt>
                <c:pt idx="342">
                  <c:v>96.127499999999984</c:v>
                </c:pt>
                <c:pt idx="343">
                  <c:v>96.385499999999979</c:v>
                </c:pt>
                <c:pt idx="344">
                  <c:v>96.636499999999984</c:v>
                </c:pt>
                <c:pt idx="345">
                  <c:v>96.921999999999997</c:v>
                </c:pt>
                <c:pt idx="346">
                  <c:v>97.069500000000005</c:v>
                </c:pt>
                <c:pt idx="347">
                  <c:v>97.143000000000001</c:v>
                </c:pt>
                <c:pt idx="348">
                  <c:v>97.147500000000008</c:v>
                </c:pt>
                <c:pt idx="349">
                  <c:v>97.21</c:v>
                </c:pt>
                <c:pt idx="350">
                  <c:v>97.328000000000003</c:v>
                </c:pt>
                <c:pt idx="351">
                  <c:v>97.388000000000005</c:v>
                </c:pt>
                <c:pt idx="352">
                  <c:v>97.380499999999998</c:v>
                </c:pt>
                <c:pt idx="353">
                  <c:v>97.445999999999998</c:v>
                </c:pt>
                <c:pt idx="354">
                  <c:v>97.497</c:v>
                </c:pt>
                <c:pt idx="355">
                  <c:v>97.529499999999999</c:v>
                </c:pt>
                <c:pt idx="356">
                  <c:v>97.569499999999991</c:v>
                </c:pt>
                <c:pt idx="357">
                  <c:v>97.525999999999982</c:v>
                </c:pt>
                <c:pt idx="358">
                  <c:v>97.527999999999992</c:v>
                </c:pt>
                <c:pt idx="359">
                  <c:v>97.564499999999995</c:v>
                </c:pt>
                <c:pt idx="360">
                  <c:v>97.592999999999989</c:v>
                </c:pt>
                <c:pt idx="361">
                  <c:v>97.588999999999999</c:v>
                </c:pt>
                <c:pt idx="362">
                  <c:v>97.489000000000004</c:v>
                </c:pt>
                <c:pt idx="363">
                  <c:v>97.393500000000003</c:v>
                </c:pt>
                <c:pt idx="364">
                  <c:v>97.195999999999998</c:v>
                </c:pt>
                <c:pt idx="365">
                  <c:v>97.002499999999998</c:v>
                </c:pt>
                <c:pt idx="366">
                  <c:v>96.86699999999999</c:v>
                </c:pt>
                <c:pt idx="367">
                  <c:v>96.851499999999987</c:v>
                </c:pt>
                <c:pt idx="368">
                  <c:v>96.948499999999996</c:v>
                </c:pt>
                <c:pt idx="369">
                  <c:v>97.03149999999998</c:v>
                </c:pt>
                <c:pt idx="370">
                  <c:v>97.015499999999989</c:v>
                </c:pt>
                <c:pt idx="371">
                  <c:v>96.954499999999996</c:v>
                </c:pt>
                <c:pt idx="372">
                  <c:v>96.96299999999998</c:v>
                </c:pt>
                <c:pt idx="373">
                  <c:v>96.915999999999983</c:v>
                </c:pt>
                <c:pt idx="374">
                  <c:v>96.839499999999987</c:v>
                </c:pt>
                <c:pt idx="375">
                  <c:v>96.720999999999975</c:v>
                </c:pt>
                <c:pt idx="376">
                  <c:v>96.67149999999998</c:v>
                </c:pt>
                <c:pt idx="377">
                  <c:v>96.740999999999971</c:v>
                </c:pt>
                <c:pt idx="378">
                  <c:v>96.72199999999998</c:v>
                </c:pt>
                <c:pt idx="379">
                  <c:v>96.689999999999984</c:v>
                </c:pt>
                <c:pt idx="380">
                  <c:v>96.566999999999979</c:v>
                </c:pt>
                <c:pt idx="381">
                  <c:v>96.496999999999986</c:v>
                </c:pt>
                <c:pt idx="382">
                  <c:v>96.544499999999985</c:v>
                </c:pt>
                <c:pt idx="383">
                  <c:v>96.59199999999997</c:v>
                </c:pt>
                <c:pt idx="384">
                  <c:v>96.634999999999991</c:v>
                </c:pt>
                <c:pt idx="385">
                  <c:v>96.676999999999992</c:v>
                </c:pt>
                <c:pt idx="386">
                  <c:v>96.674999999999983</c:v>
                </c:pt>
                <c:pt idx="387">
                  <c:v>96.652500000000003</c:v>
                </c:pt>
                <c:pt idx="388">
                  <c:v>96.551500000000004</c:v>
                </c:pt>
                <c:pt idx="389">
                  <c:v>96.435500000000019</c:v>
                </c:pt>
                <c:pt idx="390">
                  <c:v>96.402500000000003</c:v>
                </c:pt>
                <c:pt idx="391">
                  <c:v>96.474999999999994</c:v>
                </c:pt>
                <c:pt idx="392">
                  <c:v>96.49199999999999</c:v>
                </c:pt>
                <c:pt idx="393">
                  <c:v>96.519499999999979</c:v>
                </c:pt>
                <c:pt idx="394">
                  <c:v>96.486999999999981</c:v>
                </c:pt>
                <c:pt idx="395">
                  <c:v>96.505499999999984</c:v>
                </c:pt>
                <c:pt idx="396">
                  <c:v>96.511999999999972</c:v>
                </c:pt>
                <c:pt idx="397">
                  <c:v>96.523999999999972</c:v>
                </c:pt>
                <c:pt idx="398">
                  <c:v>96.634999999999977</c:v>
                </c:pt>
                <c:pt idx="399">
                  <c:v>96.962499999999963</c:v>
                </c:pt>
                <c:pt idx="400">
                  <c:v>97.37549999999996</c:v>
                </c:pt>
                <c:pt idx="401">
                  <c:v>97.841999999999985</c:v>
                </c:pt>
                <c:pt idx="402">
                  <c:v>98.249499999999998</c:v>
                </c:pt>
                <c:pt idx="403">
                  <c:v>98.661000000000016</c:v>
                </c:pt>
                <c:pt idx="404">
                  <c:v>98.953000000000003</c:v>
                </c:pt>
                <c:pt idx="405">
                  <c:v>99.241</c:v>
                </c:pt>
                <c:pt idx="406">
                  <c:v>99.488500000000016</c:v>
                </c:pt>
                <c:pt idx="407">
                  <c:v>99.740000000000009</c:v>
                </c:pt>
                <c:pt idx="408">
                  <c:v>100.01200000000001</c:v>
                </c:pt>
                <c:pt idx="409">
                  <c:v>100.3565</c:v>
                </c:pt>
                <c:pt idx="410">
                  <c:v>100.42449999999999</c:v>
                </c:pt>
                <c:pt idx="411">
                  <c:v>100.39250000000001</c:v>
                </c:pt>
                <c:pt idx="412">
                  <c:v>100.3155</c:v>
                </c:pt>
                <c:pt idx="413">
                  <c:v>100.20149999999998</c:v>
                </c:pt>
                <c:pt idx="414">
                  <c:v>100.12599999999999</c:v>
                </c:pt>
                <c:pt idx="415">
                  <c:v>100.03249999999998</c:v>
                </c:pt>
                <c:pt idx="416">
                  <c:v>99.956999999999979</c:v>
                </c:pt>
                <c:pt idx="417">
                  <c:v>99.869999999999976</c:v>
                </c:pt>
                <c:pt idx="418">
                  <c:v>99.876499999999993</c:v>
                </c:pt>
                <c:pt idx="419">
                  <c:v>99.754999999999981</c:v>
                </c:pt>
                <c:pt idx="420">
                  <c:v>99.624499999999983</c:v>
                </c:pt>
                <c:pt idx="421">
                  <c:v>99.551999999999992</c:v>
                </c:pt>
                <c:pt idx="422">
                  <c:v>99.47</c:v>
                </c:pt>
                <c:pt idx="423">
                  <c:v>99.309499999999986</c:v>
                </c:pt>
                <c:pt idx="424">
                  <c:v>99.392500000000013</c:v>
                </c:pt>
                <c:pt idx="425">
                  <c:v>99.524500000000018</c:v>
                </c:pt>
                <c:pt idx="426">
                  <c:v>99.709000000000017</c:v>
                </c:pt>
                <c:pt idx="427">
                  <c:v>99.845000000000013</c:v>
                </c:pt>
                <c:pt idx="428">
                  <c:v>99.994000000000014</c:v>
                </c:pt>
                <c:pt idx="429">
                  <c:v>100.04550000000002</c:v>
                </c:pt>
                <c:pt idx="430">
                  <c:v>100.26400000000001</c:v>
                </c:pt>
                <c:pt idx="431">
                  <c:v>100.5635</c:v>
                </c:pt>
                <c:pt idx="432">
                  <c:v>100.886</c:v>
                </c:pt>
                <c:pt idx="433">
                  <c:v>101.22</c:v>
                </c:pt>
                <c:pt idx="434">
                  <c:v>101.56849999999999</c:v>
                </c:pt>
                <c:pt idx="435">
                  <c:v>101.92099999999999</c:v>
                </c:pt>
                <c:pt idx="436">
                  <c:v>102.22599999999998</c:v>
                </c:pt>
                <c:pt idx="437">
                  <c:v>102.48650000000001</c:v>
                </c:pt>
                <c:pt idx="438">
                  <c:v>102.61249999999998</c:v>
                </c:pt>
                <c:pt idx="439">
                  <c:v>102.65099999999998</c:v>
                </c:pt>
                <c:pt idx="440">
                  <c:v>102.729</c:v>
                </c:pt>
                <c:pt idx="441">
                  <c:v>102.75</c:v>
                </c:pt>
                <c:pt idx="442">
                  <c:v>102.79749999999999</c:v>
                </c:pt>
                <c:pt idx="443">
                  <c:v>102.922</c:v>
                </c:pt>
                <c:pt idx="444">
                  <c:v>102.87800000000001</c:v>
                </c:pt>
                <c:pt idx="445">
                  <c:v>102.79550000000002</c:v>
                </c:pt>
                <c:pt idx="446">
                  <c:v>102.71699999999998</c:v>
                </c:pt>
                <c:pt idx="447">
                  <c:v>102.90650000000001</c:v>
                </c:pt>
                <c:pt idx="448">
                  <c:v>103.14450000000002</c:v>
                </c:pt>
                <c:pt idx="449">
                  <c:v>103.28800000000001</c:v>
                </c:pt>
                <c:pt idx="450">
                  <c:v>103.55800000000002</c:v>
                </c:pt>
                <c:pt idx="451">
                  <c:v>103.76950000000002</c:v>
                </c:pt>
                <c:pt idx="452">
                  <c:v>103.95450000000001</c:v>
                </c:pt>
                <c:pt idx="453">
                  <c:v>104.175</c:v>
                </c:pt>
                <c:pt idx="454">
                  <c:v>104.3655</c:v>
                </c:pt>
                <c:pt idx="455">
                  <c:v>104.51600000000001</c:v>
                </c:pt>
                <c:pt idx="456">
                  <c:v>104.5855</c:v>
                </c:pt>
                <c:pt idx="457">
                  <c:v>104.59100000000001</c:v>
                </c:pt>
                <c:pt idx="458">
                  <c:v>104.61600000000001</c:v>
                </c:pt>
                <c:pt idx="459">
                  <c:v>104.6425</c:v>
                </c:pt>
                <c:pt idx="460">
                  <c:v>104.598</c:v>
                </c:pt>
                <c:pt idx="461">
                  <c:v>104.54250000000002</c:v>
                </c:pt>
                <c:pt idx="462">
                  <c:v>104.494</c:v>
                </c:pt>
                <c:pt idx="463">
                  <c:v>104.42250000000001</c:v>
                </c:pt>
                <c:pt idx="464">
                  <c:v>104.41800000000001</c:v>
                </c:pt>
                <c:pt idx="465">
                  <c:v>104.4555</c:v>
                </c:pt>
                <c:pt idx="466">
                  <c:v>104.47049999999999</c:v>
                </c:pt>
                <c:pt idx="467">
                  <c:v>104.282</c:v>
                </c:pt>
                <c:pt idx="468">
                  <c:v>104.00250000000001</c:v>
                </c:pt>
                <c:pt idx="469">
                  <c:v>103.80600000000001</c:v>
                </c:pt>
                <c:pt idx="470">
                  <c:v>103.54349999999999</c:v>
                </c:pt>
                <c:pt idx="471">
                  <c:v>103.3385</c:v>
                </c:pt>
                <c:pt idx="472">
                  <c:v>103.09700000000002</c:v>
                </c:pt>
                <c:pt idx="473">
                  <c:v>102.77050000000001</c:v>
                </c:pt>
                <c:pt idx="474">
                  <c:v>102.78300000000002</c:v>
                </c:pt>
                <c:pt idx="475">
                  <c:v>102.7405</c:v>
                </c:pt>
                <c:pt idx="476">
                  <c:v>102.72</c:v>
                </c:pt>
                <c:pt idx="477">
                  <c:v>102.9115</c:v>
                </c:pt>
                <c:pt idx="478">
                  <c:v>103.2435</c:v>
                </c:pt>
                <c:pt idx="479">
                  <c:v>103.65749999999998</c:v>
                </c:pt>
                <c:pt idx="480">
                  <c:v>104.175</c:v>
                </c:pt>
                <c:pt idx="481">
                  <c:v>104.71599999999998</c:v>
                </c:pt>
                <c:pt idx="482">
                  <c:v>105.32299999999998</c:v>
                </c:pt>
                <c:pt idx="483">
                  <c:v>105.9915</c:v>
                </c:pt>
                <c:pt idx="484">
                  <c:v>106.66299999999998</c:v>
                </c:pt>
                <c:pt idx="485">
                  <c:v>107.2115</c:v>
                </c:pt>
                <c:pt idx="486">
                  <c:v>107.84349999999999</c:v>
                </c:pt>
                <c:pt idx="487">
                  <c:v>108.33049999999999</c:v>
                </c:pt>
                <c:pt idx="488">
                  <c:v>108.93449999999999</c:v>
                </c:pt>
                <c:pt idx="489">
                  <c:v>109.6425</c:v>
                </c:pt>
                <c:pt idx="490">
                  <c:v>110.35799999999999</c:v>
                </c:pt>
                <c:pt idx="491">
                  <c:v>110.98150000000001</c:v>
                </c:pt>
                <c:pt idx="492">
                  <c:v>111.69499999999998</c:v>
                </c:pt>
                <c:pt idx="493">
                  <c:v>112.40599999999999</c:v>
                </c:pt>
                <c:pt idx="494">
                  <c:v>112.76850000000002</c:v>
                </c:pt>
                <c:pt idx="495">
                  <c:v>113.13250000000001</c:v>
                </c:pt>
                <c:pt idx="496">
                  <c:v>113.47450000000001</c:v>
                </c:pt>
                <c:pt idx="497">
                  <c:v>113.70500000000001</c:v>
                </c:pt>
                <c:pt idx="498">
                  <c:v>113.83699999999999</c:v>
                </c:pt>
                <c:pt idx="499">
                  <c:v>113.93800000000002</c:v>
                </c:pt>
                <c:pt idx="500">
                  <c:v>113.95750000000001</c:v>
                </c:pt>
                <c:pt idx="501">
                  <c:v>113.9075</c:v>
                </c:pt>
                <c:pt idx="502">
                  <c:v>113.825</c:v>
                </c:pt>
                <c:pt idx="503">
                  <c:v>113.71849999999999</c:v>
                </c:pt>
                <c:pt idx="504">
                  <c:v>113.67999999999999</c:v>
                </c:pt>
                <c:pt idx="505">
                  <c:v>113.63799999999999</c:v>
                </c:pt>
                <c:pt idx="506">
                  <c:v>113.5385</c:v>
                </c:pt>
                <c:pt idx="507">
                  <c:v>113.60600000000002</c:v>
                </c:pt>
                <c:pt idx="508">
                  <c:v>113.72850000000001</c:v>
                </c:pt>
                <c:pt idx="509">
                  <c:v>113.9115</c:v>
                </c:pt>
                <c:pt idx="510">
                  <c:v>114.074</c:v>
                </c:pt>
                <c:pt idx="511">
                  <c:v>114.26299999999999</c:v>
                </c:pt>
                <c:pt idx="512">
                  <c:v>114.46499999999996</c:v>
                </c:pt>
                <c:pt idx="513">
                  <c:v>114.65899999999996</c:v>
                </c:pt>
                <c:pt idx="514">
                  <c:v>114.90899999999999</c:v>
                </c:pt>
                <c:pt idx="515">
                  <c:v>115.17049999999999</c:v>
                </c:pt>
                <c:pt idx="516">
                  <c:v>115.51200000000001</c:v>
                </c:pt>
                <c:pt idx="517">
                  <c:v>115.8135</c:v>
                </c:pt>
                <c:pt idx="518">
                  <c:v>116.0735</c:v>
                </c:pt>
                <c:pt idx="519">
                  <c:v>116.27550000000001</c:v>
                </c:pt>
                <c:pt idx="520">
                  <c:v>116.55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63-4907-A16F-9D06FD9DF8D4}"/>
            </c:ext>
          </c:extLst>
        </c:ser>
        <c:ser>
          <c:idx val="2"/>
          <c:order val="2"/>
          <c:tx>
            <c:strRef>
              <c:f>WMT!$J$1</c:f>
              <c:strCache>
                <c:ptCount val="1"/>
                <c:pt idx="0">
                  <c:v>Lower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WMT!$B$2:$B$522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WMT!$J$2:$J$522</c:f>
              <c:numCache>
                <c:formatCode>General</c:formatCode>
                <c:ptCount val="521"/>
                <c:pt idx="19">
                  <c:v>52.182554723853308</c:v>
                </c:pt>
                <c:pt idx="20">
                  <c:v>52.212616538374299</c:v>
                </c:pt>
                <c:pt idx="21">
                  <c:v>52.129125917400486</c:v>
                </c:pt>
                <c:pt idx="22">
                  <c:v>52.143862787619511</c:v>
                </c:pt>
                <c:pt idx="23">
                  <c:v>52.379395850177666</c:v>
                </c:pt>
                <c:pt idx="24">
                  <c:v>52.508015844329762</c:v>
                </c:pt>
                <c:pt idx="25">
                  <c:v>52.64643675673198</c:v>
                </c:pt>
                <c:pt idx="26">
                  <c:v>52.711665119145714</c:v>
                </c:pt>
                <c:pt idx="27">
                  <c:v>52.825855327692999</c:v>
                </c:pt>
                <c:pt idx="28">
                  <c:v>52.934261284101105</c:v>
                </c:pt>
                <c:pt idx="29">
                  <c:v>53.078246642663693</c:v>
                </c:pt>
                <c:pt idx="30">
                  <c:v>53.309407495481722</c:v>
                </c:pt>
                <c:pt idx="31">
                  <c:v>53.425019973963302</c:v>
                </c:pt>
                <c:pt idx="32">
                  <c:v>53.599626869109734</c:v>
                </c:pt>
                <c:pt idx="33">
                  <c:v>53.573846906709804</c:v>
                </c:pt>
                <c:pt idx="34">
                  <c:v>53.726527102729598</c:v>
                </c:pt>
                <c:pt idx="35">
                  <c:v>54.076855911227597</c:v>
                </c:pt>
                <c:pt idx="36">
                  <c:v>54.304655647880509</c:v>
                </c:pt>
                <c:pt idx="37">
                  <c:v>54.324951483593217</c:v>
                </c:pt>
                <c:pt idx="38">
                  <c:v>54.402144826120725</c:v>
                </c:pt>
                <c:pt idx="39">
                  <c:v>54.525027919030798</c:v>
                </c:pt>
                <c:pt idx="40">
                  <c:v>54.835935205920372</c:v>
                </c:pt>
                <c:pt idx="41">
                  <c:v>54.979428410187715</c:v>
                </c:pt>
                <c:pt idx="42">
                  <c:v>55.051909007528579</c:v>
                </c:pt>
                <c:pt idx="43">
                  <c:v>55.138545645083276</c:v>
                </c:pt>
                <c:pt idx="44">
                  <c:v>55.15659047612683</c:v>
                </c:pt>
                <c:pt idx="45">
                  <c:v>55.28562180181369</c:v>
                </c:pt>
                <c:pt idx="46">
                  <c:v>55.487889477265789</c:v>
                </c:pt>
                <c:pt idx="47">
                  <c:v>55.704398593676729</c:v>
                </c:pt>
                <c:pt idx="48">
                  <c:v>55.83687337233625</c:v>
                </c:pt>
                <c:pt idx="49">
                  <c:v>56.14661267030273</c:v>
                </c:pt>
                <c:pt idx="50">
                  <c:v>56.617688562536543</c:v>
                </c:pt>
                <c:pt idx="51">
                  <c:v>57.151321762908978</c:v>
                </c:pt>
                <c:pt idx="52">
                  <c:v>57.683986705623106</c:v>
                </c:pt>
                <c:pt idx="53">
                  <c:v>57.821514111128572</c:v>
                </c:pt>
                <c:pt idx="54">
                  <c:v>58.136284755341933</c:v>
                </c:pt>
                <c:pt idx="55">
                  <c:v>58.34909129291843</c:v>
                </c:pt>
                <c:pt idx="56">
                  <c:v>58.629720057186091</c:v>
                </c:pt>
                <c:pt idx="57">
                  <c:v>58.712502753616363</c:v>
                </c:pt>
                <c:pt idx="58">
                  <c:v>58.801367045628908</c:v>
                </c:pt>
                <c:pt idx="59">
                  <c:v>58.899023946476582</c:v>
                </c:pt>
                <c:pt idx="60">
                  <c:v>59.232985173524739</c:v>
                </c:pt>
                <c:pt idx="61">
                  <c:v>59.559552926365264</c:v>
                </c:pt>
                <c:pt idx="62">
                  <c:v>59.51480959607732</c:v>
                </c:pt>
                <c:pt idx="63">
                  <c:v>59.387265555649456</c:v>
                </c:pt>
                <c:pt idx="64">
                  <c:v>59.237797037740059</c:v>
                </c:pt>
                <c:pt idx="65">
                  <c:v>59.177690349342349</c:v>
                </c:pt>
                <c:pt idx="66">
                  <c:v>59.13110555514023</c:v>
                </c:pt>
                <c:pt idx="67">
                  <c:v>59.053916900211831</c:v>
                </c:pt>
                <c:pt idx="68">
                  <c:v>59.084393414956246</c:v>
                </c:pt>
                <c:pt idx="69">
                  <c:v>59.081615646448135</c:v>
                </c:pt>
                <c:pt idx="70">
                  <c:v>59.073269832328279</c:v>
                </c:pt>
                <c:pt idx="71">
                  <c:v>59.036818898663135</c:v>
                </c:pt>
                <c:pt idx="72">
                  <c:v>59.002803593329375</c:v>
                </c:pt>
                <c:pt idx="73">
                  <c:v>58.955199481856383</c:v>
                </c:pt>
                <c:pt idx="74">
                  <c:v>58.904699672921375</c:v>
                </c:pt>
                <c:pt idx="75">
                  <c:v>58.986320405777377</c:v>
                </c:pt>
                <c:pt idx="76">
                  <c:v>59.040293348493279</c:v>
                </c:pt>
                <c:pt idx="77">
                  <c:v>58.943232222482301</c:v>
                </c:pt>
                <c:pt idx="78">
                  <c:v>58.963578075730425</c:v>
                </c:pt>
                <c:pt idx="79">
                  <c:v>59.02294884709211</c:v>
                </c:pt>
                <c:pt idx="80">
                  <c:v>59.02342910947111</c:v>
                </c:pt>
                <c:pt idx="81">
                  <c:v>59.015438134749985</c:v>
                </c:pt>
                <c:pt idx="82">
                  <c:v>59.053694146143606</c:v>
                </c:pt>
                <c:pt idx="83">
                  <c:v>58.925030107055534</c:v>
                </c:pt>
                <c:pt idx="84">
                  <c:v>58.945489735525598</c:v>
                </c:pt>
                <c:pt idx="85">
                  <c:v>58.94421572009945</c:v>
                </c:pt>
                <c:pt idx="86">
                  <c:v>58.948291359024218</c:v>
                </c:pt>
                <c:pt idx="87">
                  <c:v>58.916446721214356</c:v>
                </c:pt>
                <c:pt idx="88">
                  <c:v>58.946226826613959</c:v>
                </c:pt>
                <c:pt idx="89">
                  <c:v>58.929287634774006</c:v>
                </c:pt>
                <c:pt idx="90">
                  <c:v>58.911942305198352</c:v>
                </c:pt>
                <c:pt idx="91">
                  <c:v>58.905766334936168</c:v>
                </c:pt>
                <c:pt idx="92">
                  <c:v>58.906947796834061</c:v>
                </c:pt>
                <c:pt idx="93">
                  <c:v>58.922019334240133</c:v>
                </c:pt>
                <c:pt idx="94">
                  <c:v>58.092829018805617</c:v>
                </c:pt>
                <c:pt idx="95">
                  <c:v>57.546326712701976</c:v>
                </c:pt>
                <c:pt idx="96">
                  <c:v>57.288800939389596</c:v>
                </c:pt>
                <c:pt idx="97">
                  <c:v>57.099749520091301</c:v>
                </c:pt>
                <c:pt idx="98">
                  <c:v>56.938633596257645</c:v>
                </c:pt>
                <c:pt idx="99">
                  <c:v>56.893551661270443</c:v>
                </c:pt>
                <c:pt idx="100">
                  <c:v>56.862085088473478</c:v>
                </c:pt>
                <c:pt idx="101">
                  <c:v>56.924727020165584</c:v>
                </c:pt>
                <c:pt idx="102">
                  <c:v>57.181188573729173</c:v>
                </c:pt>
                <c:pt idx="103">
                  <c:v>57.601982878995202</c:v>
                </c:pt>
                <c:pt idx="104">
                  <c:v>57.878130486649091</c:v>
                </c:pt>
                <c:pt idx="105">
                  <c:v>58.207824372112157</c:v>
                </c:pt>
                <c:pt idx="106">
                  <c:v>58.549628966359933</c:v>
                </c:pt>
                <c:pt idx="107">
                  <c:v>58.797734939489544</c:v>
                </c:pt>
                <c:pt idx="108">
                  <c:v>59.196301137165904</c:v>
                </c:pt>
                <c:pt idx="109">
                  <c:v>59.724000935287826</c:v>
                </c:pt>
                <c:pt idx="110">
                  <c:v>60.290207145515666</c:v>
                </c:pt>
                <c:pt idx="111">
                  <c:v>61.009826619357113</c:v>
                </c:pt>
                <c:pt idx="112">
                  <c:v>62.115725887543221</c:v>
                </c:pt>
                <c:pt idx="113">
                  <c:v>63.707633545761716</c:v>
                </c:pt>
                <c:pt idx="114">
                  <c:v>63.932616706143193</c:v>
                </c:pt>
                <c:pt idx="115">
                  <c:v>64.025306276950758</c:v>
                </c:pt>
                <c:pt idx="116">
                  <c:v>64.253124925114463</c:v>
                </c:pt>
                <c:pt idx="117">
                  <c:v>64.276766821928305</c:v>
                </c:pt>
                <c:pt idx="118">
                  <c:v>64.342033794248735</c:v>
                </c:pt>
                <c:pt idx="119">
                  <c:v>64.397969262680249</c:v>
                </c:pt>
                <c:pt idx="120">
                  <c:v>64.550272543977513</c:v>
                </c:pt>
                <c:pt idx="121">
                  <c:v>64.752081683698052</c:v>
                </c:pt>
                <c:pt idx="122">
                  <c:v>65.066463231771706</c:v>
                </c:pt>
                <c:pt idx="123">
                  <c:v>65.464028024838768</c:v>
                </c:pt>
                <c:pt idx="124">
                  <c:v>65.679143860656154</c:v>
                </c:pt>
                <c:pt idx="125">
                  <c:v>65.903151416465008</c:v>
                </c:pt>
                <c:pt idx="126">
                  <c:v>65.979816022104714</c:v>
                </c:pt>
                <c:pt idx="127">
                  <c:v>65.732520768080207</c:v>
                </c:pt>
                <c:pt idx="128">
                  <c:v>65.650677862589532</c:v>
                </c:pt>
                <c:pt idx="129">
                  <c:v>65.820310290992538</c:v>
                </c:pt>
                <c:pt idx="130">
                  <c:v>65.767194499883956</c:v>
                </c:pt>
                <c:pt idx="131">
                  <c:v>65.892367595060762</c:v>
                </c:pt>
                <c:pt idx="132">
                  <c:v>66.184723815123306</c:v>
                </c:pt>
                <c:pt idx="133">
                  <c:v>66.41644842665842</c:v>
                </c:pt>
                <c:pt idx="134">
                  <c:v>66.594945412805956</c:v>
                </c:pt>
                <c:pt idx="135">
                  <c:v>66.615801215846759</c:v>
                </c:pt>
                <c:pt idx="136">
                  <c:v>66.696982845836573</c:v>
                </c:pt>
                <c:pt idx="137">
                  <c:v>66.763098484376229</c:v>
                </c:pt>
                <c:pt idx="138">
                  <c:v>66.902990033427216</c:v>
                </c:pt>
                <c:pt idx="139">
                  <c:v>66.921906337473033</c:v>
                </c:pt>
                <c:pt idx="140">
                  <c:v>67.204082472509455</c:v>
                </c:pt>
                <c:pt idx="141">
                  <c:v>67.356826541555947</c:v>
                </c:pt>
                <c:pt idx="142">
                  <c:v>67.604448440806777</c:v>
                </c:pt>
                <c:pt idx="143">
                  <c:v>67.920149550935037</c:v>
                </c:pt>
                <c:pt idx="144">
                  <c:v>68.320966141833395</c:v>
                </c:pt>
                <c:pt idx="145">
                  <c:v>68.472798124771558</c:v>
                </c:pt>
                <c:pt idx="146">
                  <c:v>68.781536475682088</c:v>
                </c:pt>
                <c:pt idx="147">
                  <c:v>68.522283243935988</c:v>
                </c:pt>
                <c:pt idx="148">
                  <c:v>68.072498775658715</c:v>
                </c:pt>
                <c:pt idx="149">
                  <c:v>67.734323754842379</c:v>
                </c:pt>
                <c:pt idx="150">
                  <c:v>67.228908102386967</c:v>
                </c:pt>
                <c:pt idx="151">
                  <c:v>66.980057432852718</c:v>
                </c:pt>
                <c:pt idx="152">
                  <c:v>66.828604565955843</c:v>
                </c:pt>
                <c:pt idx="153">
                  <c:v>66.769418943694475</c:v>
                </c:pt>
                <c:pt idx="154">
                  <c:v>66.644755038777504</c:v>
                </c:pt>
                <c:pt idx="155">
                  <c:v>66.662296825647161</c:v>
                </c:pt>
                <c:pt idx="156">
                  <c:v>66.258037634838757</c:v>
                </c:pt>
                <c:pt idx="157">
                  <c:v>65.89514603289615</c:v>
                </c:pt>
                <c:pt idx="158">
                  <c:v>65.566853585782852</c:v>
                </c:pt>
                <c:pt idx="159">
                  <c:v>65.186914100488607</c:v>
                </c:pt>
                <c:pt idx="160">
                  <c:v>64.795913424205992</c:v>
                </c:pt>
                <c:pt idx="161">
                  <c:v>64.490712897586718</c:v>
                </c:pt>
                <c:pt idx="162">
                  <c:v>64.293890710262005</c:v>
                </c:pt>
                <c:pt idx="163">
                  <c:v>64.166369586070331</c:v>
                </c:pt>
                <c:pt idx="164">
                  <c:v>64.162918551474561</c:v>
                </c:pt>
                <c:pt idx="165">
                  <c:v>64.318907900772288</c:v>
                </c:pt>
                <c:pt idx="166">
                  <c:v>64.389695280848656</c:v>
                </c:pt>
                <c:pt idx="167">
                  <c:v>64.650137287295337</c:v>
                </c:pt>
                <c:pt idx="168">
                  <c:v>65.179580459015099</c:v>
                </c:pt>
                <c:pt idx="169">
                  <c:v>65.802380273522289</c:v>
                </c:pt>
                <c:pt idx="170">
                  <c:v>66.772481410935043</c:v>
                </c:pt>
                <c:pt idx="171">
                  <c:v>67.742854837292995</c:v>
                </c:pt>
                <c:pt idx="172">
                  <c:v>68.794636148223844</c:v>
                </c:pt>
                <c:pt idx="173">
                  <c:v>69.751033549542427</c:v>
                </c:pt>
                <c:pt idx="174">
                  <c:v>71.184000830296682</c:v>
                </c:pt>
                <c:pt idx="175">
                  <c:v>72.804941620570119</c:v>
                </c:pt>
                <c:pt idx="176">
                  <c:v>72.998652820092815</c:v>
                </c:pt>
                <c:pt idx="177">
                  <c:v>73.290172892291238</c:v>
                </c:pt>
                <c:pt idx="178">
                  <c:v>73.816225235061438</c:v>
                </c:pt>
                <c:pt idx="179">
                  <c:v>74.207894217837094</c:v>
                </c:pt>
                <c:pt idx="180">
                  <c:v>74.517915478041175</c:v>
                </c:pt>
                <c:pt idx="181">
                  <c:v>74.78745594239966</c:v>
                </c:pt>
                <c:pt idx="182">
                  <c:v>74.989322198828347</c:v>
                </c:pt>
                <c:pt idx="183">
                  <c:v>75.159321682012461</c:v>
                </c:pt>
                <c:pt idx="184">
                  <c:v>75.296044829802227</c:v>
                </c:pt>
                <c:pt idx="185">
                  <c:v>75.649355210965254</c:v>
                </c:pt>
                <c:pt idx="186">
                  <c:v>75.985172057339938</c:v>
                </c:pt>
                <c:pt idx="187">
                  <c:v>76.159134691864764</c:v>
                </c:pt>
                <c:pt idx="188">
                  <c:v>76.3500834469843</c:v>
                </c:pt>
                <c:pt idx="189">
                  <c:v>76.631460484346377</c:v>
                </c:pt>
                <c:pt idx="190">
                  <c:v>77.029272447606459</c:v>
                </c:pt>
                <c:pt idx="191">
                  <c:v>77.592709955138019</c:v>
                </c:pt>
                <c:pt idx="192">
                  <c:v>77.973558387976539</c:v>
                </c:pt>
                <c:pt idx="193">
                  <c:v>78.085583215599144</c:v>
                </c:pt>
                <c:pt idx="194">
                  <c:v>78.230630055175951</c:v>
                </c:pt>
                <c:pt idx="195">
                  <c:v>78.22580987096201</c:v>
                </c:pt>
                <c:pt idx="196">
                  <c:v>78.220209813166122</c:v>
                </c:pt>
                <c:pt idx="197">
                  <c:v>78.220293475768571</c:v>
                </c:pt>
                <c:pt idx="198">
                  <c:v>78.352713577166881</c:v>
                </c:pt>
                <c:pt idx="199">
                  <c:v>78.481671283477851</c:v>
                </c:pt>
                <c:pt idx="200">
                  <c:v>78.94450490818376</c:v>
                </c:pt>
                <c:pt idx="201">
                  <c:v>79.147432763609729</c:v>
                </c:pt>
                <c:pt idx="202">
                  <c:v>79.167877558080619</c:v>
                </c:pt>
                <c:pt idx="203">
                  <c:v>79.08225815306659</c:v>
                </c:pt>
                <c:pt idx="204">
                  <c:v>78.788120487895426</c:v>
                </c:pt>
                <c:pt idx="205">
                  <c:v>78.714422313482061</c:v>
                </c:pt>
                <c:pt idx="206">
                  <c:v>78.791035136921849</c:v>
                </c:pt>
                <c:pt idx="207">
                  <c:v>78.758453436546006</c:v>
                </c:pt>
                <c:pt idx="208">
                  <c:v>78.764969283477697</c:v>
                </c:pt>
                <c:pt idx="209">
                  <c:v>78.83227613411151</c:v>
                </c:pt>
                <c:pt idx="210">
                  <c:v>78.908964489808398</c:v>
                </c:pt>
                <c:pt idx="211">
                  <c:v>78.937655533900553</c:v>
                </c:pt>
                <c:pt idx="212">
                  <c:v>79.293410177015019</c:v>
                </c:pt>
                <c:pt idx="213">
                  <c:v>79.441359890623318</c:v>
                </c:pt>
                <c:pt idx="214">
                  <c:v>79.541359576244645</c:v>
                </c:pt>
                <c:pt idx="215">
                  <c:v>79.82906772541422</c:v>
                </c:pt>
                <c:pt idx="216">
                  <c:v>79.92445653009743</c:v>
                </c:pt>
                <c:pt idx="217">
                  <c:v>80.159619792343449</c:v>
                </c:pt>
                <c:pt idx="218">
                  <c:v>80.099654791706172</c:v>
                </c:pt>
                <c:pt idx="219">
                  <c:v>80.098728019645549</c:v>
                </c:pt>
                <c:pt idx="220">
                  <c:v>80.346949743324885</c:v>
                </c:pt>
                <c:pt idx="221">
                  <c:v>80.567134479393161</c:v>
                </c:pt>
                <c:pt idx="222">
                  <c:v>80.952574473965313</c:v>
                </c:pt>
                <c:pt idx="223">
                  <c:v>80.852511431097227</c:v>
                </c:pt>
                <c:pt idx="224">
                  <c:v>80.60637206387203</c:v>
                </c:pt>
                <c:pt idx="225">
                  <c:v>80.276218887071707</c:v>
                </c:pt>
                <c:pt idx="226">
                  <c:v>79.774463941698286</c:v>
                </c:pt>
                <c:pt idx="227">
                  <c:v>79.662560135965151</c:v>
                </c:pt>
                <c:pt idx="228">
                  <c:v>79.574717321546572</c:v>
                </c:pt>
                <c:pt idx="229">
                  <c:v>79.671473874459551</c:v>
                </c:pt>
                <c:pt idx="230">
                  <c:v>79.775290385370127</c:v>
                </c:pt>
                <c:pt idx="231">
                  <c:v>80.01126036717865</c:v>
                </c:pt>
                <c:pt idx="232">
                  <c:v>80.264663784126313</c:v>
                </c:pt>
                <c:pt idx="233">
                  <c:v>80.359203759957737</c:v>
                </c:pt>
                <c:pt idx="234">
                  <c:v>80.573533772361756</c:v>
                </c:pt>
                <c:pt idx="235">
                  <c:v>80.861710065072543</c:v>
                </c:pt>
                <c:pt idx="236">
                  <c:v>81.307449341701542</c:v>
                </c:pt>
                <c:pt idx="237">
                  <c:v>81.934972067580603</c:v>
                </c:pt>
                <c:pt idx="238">
                  <c:v>82.518654757233833</c:v>
                </c:pt>
                <c:pt idx="239">
                  <c:v>83.169972014152151</c:v>
                </c:pt>
                <c:pt idx="240">
                  <c:v>84.167351508100282</c:v>
                </c:pt>
                <c:pt idx="241">
                  <c:v>85.398029540819977</c:v>
                </c:pt>
                <c:pt idx="242">
                  <c:v>86.955847845222692</c:v>
                </c:pt>
                <c:pt idx="243">
                  <c:v>88.048079661595452</c:v>
                </c:pt>
                <c:pt idx="244">
                  <c:v>89.175821613926459</c:v>
                </c:pt>
                <c:pt idx="245">
                  <c:v>90.023102682717763</c:v>
                </c:pt>
                <c:pt idx="246">
                  <c:v>90.001784198843694</c:v>
                </c:pt>
                <c:pt idx="247">
                  <c:v>90.670460236556963</c:v>
                </c:pt>
                <c:pt idx="248">
                  <c:v>90.91710386791982</c:v>
                </c:pt>
                <c:pt idx="249">
                  <c:v>90.874528947520105</c:v>
                </c:pt>
                <c:pt idx="250">
                  <c:v>90.490878970912519</c:v>
                </c:pt>
                <c:pt idx="251">
                  <c:v>90.076779195096265</c:v>
                </c:pt>
                <c:pt idx="252">
                  <c:v>89.568495540183946</c:v>
                </c:pt>
                <c:pt idx="253">
                  <c:v>89.272610235596417</c:v>
                </c:pt>
                <c:pt idx="254">
                  <c:v>89.164840006502558</c:v>
                </c:pt>
                <c:pt idx="255">
                  <c:v>89.062914721921757</c:v>
                </c:pt>
                <c:pt idx="256">
                  <c:v>88.989901200933318</c:v>
                </c:pt>
                <c:pt idx="257">
                  <c:v>89.033106982251724</c:v>
                </c:pt>
                <c:pt idx="258">
                  <c:v>89.053105532080721</c:v>
                </c:pt>
                <c:pt idx="259">
                  <c:v>88.941097457015118</c:v>
                </c:pt>
                <c:pt idx="260">
                  <c:v>88.944759493871715</c:v>
                </c:pt>
                <c:pt idx="261">
                  <c:v>89.082693958302812</c:v>
                </c:pt>
                <c:pt idx="262">
                  <c:v>89.510923783126003</c:v>
                </c:pt>
                <c:pt idx="263">
                  <c:v>89.569478384735874</c:v>
                </c:pt>
                <c:pt idx="264">
                  <c:v>89.591777391962296</c:v>
                </c:pt>
                <c:pt idx="265">
                  <c:v>89.449779396172232</c:v>
                </c:pt>
                <c:pt idx="266">
                  <c:v>89.363102620090501</c:v>
                </c:pt>
                <c:pt idx="267">
                  <c:v>88.598845262147961</c:v>
                </c:pt>
                <c:pt idx="268">
                  <c:v>88.135141024917417</c:v>
                </c:pt>
                <c:pt idx="269">
                  <c:v>87.855257878847326</c:v>
                </c:pt>
                <c:pt idx="270">
                  <c:v>87.66540041813613</c:v>
                </c:pt>
                <c:pt idx="271">
                  <c:v>87.752328127239409</c:v>
                </c:pt>
                <c:pt idx="272">
                  <c:v>87.852207726628095</c:v>
                </c:pt>
                <c:pt idx="273">
                  <c:v>87.813520400456284</c:v>
                </c:pt>
                <c:pt idx="274">
                  <c:v>87.611159361438354</c:v>
                </c:pt>
                <c:pt idx="275">
                  <c:v>87.689789677123272</c:v>
                </c:pt>
                <c:pt idx="276">
                  <c:v>87.988707540275328</c:v>
                </c:pt>
                <c:pt idx="277">
                  <c:v>88.058390742769959</c:v>
                </c:pt>
                <c:pt idx="278">
                  <c:v>88.550338215027537</c:v>
                </c:pt>
                <c:pt idx="279">
                  <c:v>89.252058000236161</c:v>
                </c:pt>
                <c:pt idx="280">
                  <c:v>89.889670404756529</c:v>
                </c:pt>
                <c:pt idx="281">
                  <c:v>90.862930624646353</c:v>
                </c:pt>
                <c:pt idx="282">
                  <c:v>91.916393142660453</c:v>
                </c:pt>
                <c:pt idx="283">
                  <c:v>92.878886882313665</c:v>
                </c:pt>
                <c:pt idx="284">
                  <c:v>93.683380960233123</c:v>
                </c:pt>
                <c:pt idx="285">
                  <c:v>93.920824912358142</c:v>
                </c:pt>
                <c:pt idx="286">
                  <c:v>93.65174367193417</c:v>
                </c:pt>
                <c:pt idx="287">
                  <c:v>93.692005071325084</c:v>
                </c:pt>
                <c:pt idx="288">
                  <c:v>93.514851226603824</c:v>
                </c:pt>
                <c:pt idx="289">
                  <c:v>93.410294185984924</c:v>
                </c:pt>
                <c:pt idx="290">
                  <c:v>93.40626426336388</c:v>
                </c:pt>
                <c:pt idx="291">
                  <c:v>93.33606815986478</c:v>
                </c:pt>
                <c:pt idx="292">
                  <c:v>92.71698698424764</c:v>
                </c:pt>
                <c:pt idx="293">
                  <c:v>92.268710594856316</c:v>
                </c:pt>
                <c:pt idx="294">
                  <c:v>91.652272319542575</c:v>
                </c:pt>
                <c:pt idx="295">
                  <c:v>90.558883247437322</c:v>
                </c:pt>
                <c:pt idx="296">
                  <c:v>88.625711081743987</c:v>
                </c:pt>
                <c:pt idx="297">
                  <c:v>86.999211014098847</c:v>
                </c:pt>
                <c:pt idx="298">
                  <c:v>85.092041123164407</c:v>
                </c:pt>
                <c:pt idx="299">
                  <c:v>83.45175952482937</c:v>
                </c:pt>
                <c:pt idx="300">
                  <c:v>82.503906780020259</c:v>
                </c:pt>
                <c:pt idx="301">
                  <c:v>82.135463391038599</c:v>
                </c:pt>
                <c:pt idx="302">
                  <c:v>81.68590385752718</c:v>
                </c:pt>
                <c:pt idx="303">
                  <c:v>81.757435481520346</c:v>
                </c:pt>
                <c:pt idx="304">
                  <c:v>81.144782941909256</c:v>
                </c:pt>
                <c:pt idx="305">
                  <c:v>80.560115436606907</c:v>
                </c:pt>
                <c:pt idx="306">
                  <c:v>80.222089125070397</c:v>
                </c:pt>
                <c:pt idx="307">
                  <c:v>79.81044479142372</c:v>
                </c:pt>
                <c:pt idx="308">
                  <c:v>79.482968088299501</c:v>
                </c:pt>
                <c:pt idx="309">
                  <c:v>79.414199602786823</c:v>
                </c:pt>
                <c:pt idx="310">
                  <c:v>79.788064865568955</c:v>
                </c:pt>
                <c:pt idx="311">
                  <c:v>80.538711182511065</c:v>
                </c:pt>
                <c:pt idx="312">
                  <c:v>81.05246281511225</c:v>
                </c:pt>
                <c:pt idx="313">
                  <c:v>82.016124964170487</c:v>
                </c:pt>
                <c:pt idx="314">
                  <c:v>83.064153904222238</c:v>
                </c:pt>
                <c:pt idx="315">
                  <c:v>83.113256207458022</c:v>
                </c:pt>
                <c:pt idx="316">
                  <c:v>82.810171921588648</c:v>
                </c:pt>
                <c:pt idx="317">
                  <c:v>82.067762024633467</c:v>
                </c:pt>
                <c:pt idx="318">
                  <c:v>81.948774295472688</c:v>
                </c:pt>
                <c:pt idx="319">
                  <c:v>81.855870346327379</c:v>
                </c:pt>
                <c:pt idx="320">
                  <c:v>81.425212681699108</c:v>
                </c:pt>
                <c:pt idx="321">
                  <c:v>80.70012836007102</c:v>
                </c:pt>
                <c:pt idx="322">
                  <c:v>80.473321822620534</c:v>
                </c:pt>
                <c:pt idx="323">
                  <c:v>80.55673296463074</c:v>
                </c:pt>
                <c:pt idx="324">
                  <c:v>80.597196917421456</c:v>
                </c:pt>
                <c:pt idx="325">
                  <c:v>80.759782324579405</c:v>
                </c:pt>
                <c:pt idx="326">
                  <c:v>80.635490630415205</c:v>
                </c:pt>
                <c:pt idx="327">
                  <c:v>80.94457854411948</c:v>
                </c:pt>
                <c:pt idx="328">
                  <c:v>81.234230154626644</c:v>
                </c:pt>
                <c:pt idx="329">
                  <c:v>81.649082492801853</c:v>
                </c:pt>
                <c:pt idx="330">
                  <c:v>82.253197826952629</c:v>
                </c:pt>
                <c:pt idx="331">
                  <c:v>82.493264596025554</c:v>
                </c:pt>
                <c:pt idx="332">
                  <c:v>82.602342350135714</c:v>
                </c:pt>
                <c:pt idx="333">
                  <c:v>82.685824799714894</c:v>
                </c:pt>
                <c:pt idx="334">
                  <c:v>83.092919007845893</c:v>
                </c:pt>
                <c:pt idx="335">
                  <c:v>84.556546058672552</c:v>
                </c:pt>
                <c:pt idx="336">
                  <c:v>86.259531226182645</c:v>
                </c:pt>
                <c:pt idx="337">
                  <c:v>89.383120434624331</c:v>
                </c:pt>
                <c:pt idx="338">
                  <c:v>90.298848808391881</c:v>
                </c:pt>
                <c:pt idx="339">
                  <c:v>91.109008000678983</c:v>
                </c:pt>
                <c:pt idx="340">
                  <c:v>91.500124661439202</c:v>
                </c:pt>
                <c:pt idx="341">
                  <c:v>91.593358318938243</c:v>
                </c:pt>
                <c:pt idx="342">
                  <c:v>91.827248477368457</c:v>
                </c:pt>
                <c:pt idx="343">
                  <c:v>92.767501280149162</c:v>
                </c:pt>
                <c:pt idx="344">
                  <c:v>93.254322096869956</c:v>
                </c:pt>
                <c:pt idx="345">
                  <c:v>94.12941131225034</c:v>
                </c:pt>
                <c:pt idx="346">
                  <c:v>94.430293779621579</c:v>
                </c:pt>
                <c:pt idx="347">
                  <c:v>94.674818483174306</c:v>
                </c:pt>
                <c:pt idx="348">
                  <c:v>94.689012017947888</c:v>
                </c:pt>
                <c:pt idx="349">
                  <c:v>94.913531315028948</c:v>
                </c:pt>
                <c:pt idx="350">
                  <c:v>95.227938848008179</c:v>
                </c:pt>
                <c:pt idx="351">
                  <c:v>95.376165539927101</c:v>
                </c:pt>
                <c:pt idx="352">
                  <c:v>95.365383704544442</c:v>
                </c:pt>
                <c:pt idx="353">
                  <c:v>95.343576335949891</c:v>
                </c:pt>
                <c:pt idx="354">
                  <c:v>95.219216220233264</c:v>
                </c:pt>
                <c:pt idx="355">
                  <c:v>95.126488950241139</c:v>
                </c:pt>
                <c:pt idx="356">
                  <c:v>95.070258220242735</c:v>
                </c:pt>
                <c:pt idx="357">
                  <c:v>95.089640334217322</c:v>
                </c:pt>
                <c:pt idx="358">
                  <c:v>95.091906492158515</c:v>
                </c:pt>
                <c:pt idx="359">
                  <c:v>95.157680959287376</c:v>
                </c:pt>
                <c:pt idx="360">
                  <c:v>95.213445862196679</c:v>
                </c:pt>
                <c:pt idx="361">
                  <c:v>95.197084669690753</c:v>
                </c:pt>
                <c:pt idx="362">
                  <c:v>94.8131044784773</c:v>
                </c:pt>
                <c:pt idx="363">
                  <c:v>94.426003979517589</c:v>
                </c:pt>
                <c:pt idx="364">
                  <c:v>93.952750167858753</c:v>
                </c:pt>
                <c:pt idx="365">
                  <c:v>93.537183883182706</c:v>
                </c:pt>
                <c:pt idx="366">
                  <c:v>93.321968784934398</c:v>
                </c:pt>
                <c:pt idx="367">
                  <c:v>93.295729153082334</c:v>
                </c:pt>
                <c:pt idx="368">
                  <c:v>93.392729153082342</c:v>
                </c:pt>
                <c:pt idx="369">
                  <c:v>93.458081910536436</c:v>
                </c:pt>
                <c:pt idx="370">
                  <c:v>93.449564823330263</c:v>
                </c:pt>
                <c:pt idx="371">
                  <c:v>93.363086409372016</c:v>
                </c:pt>
                <c:pt idx="372">
                  <c:v>93.369332470053806</c:v>
                </c:pt>
                <c:pt idx="373">
                  <c:v>93.395238120729204</c:v>
                </c:pt>
                <c:pt idx="374">
                  <c:v>93.519053137238728</c:v>
                </c:pt>
                <c:pt idx="375">
                  <c:v>93.718524530097113</c:v>
                </c:pt>
                <c:pt idx="376">
                  <c:v>93.82281590859364</c:v>
                </c:pt>
                <c:pt idx="377">
                  <c:v>93.698709311788377</c:v>
                </c:pt>
                <c:pt idx="378">
                  <c:v>93.694167007317105</c:v>
                </c:pt>
                <c:pt idx="379">
                  <c:v>93.681093921460203</c:v>
                </c:pt>
                <c:pt idx="380">
                  <c:v>93.466792197117627</c:v>
                </c:pt>
                <c:pt idx="381">
                  <c:v>93.263516624931839</c:v>
                </c:pt>
                <c:pt idx="382">
                  <c:v>93.387109505170102</c:v>
                </c:pt>
                <c:pt idx="383">
                  <c:v>93.541128856073684</c:v>
                </c:pt>
                <c:pt idx="384">
                  <c:v>93.69864708846967</c:v>
                </c:pt>
                <c:pt idx="385">
                  <c:v>93.862794680740691</c:v>
                </c:pt>
                <c:pt idx="386">
                  <c:v>93.855993082661897</c:v>
                </c:pt>
                <c:pt idx="387">
                  <c:v>93.807775427262456</c:v>
                </c:pt>
                <c:pt idx="388">
                  <c:v>93.745609391786076</c:v>
                </c:pt>
                <c:pt idx="389">
                  <c:v>93.690587193408618</c:v>
                </c:pt>
                <c:pt idx="390">
                  <c:v>93.683577032120411</c:v>
                </c:pt>
                <c:pt idx="391">
                  <c:v>93.721907958408636</c:v>
                </c:pt>
                <c:pt idx="392">
                  <c:v>93.714150775187846</c:v>
                </c:pt>
                <c:pt idx="393">
                  <c:v>93.677806842743209</c:v>
                </c:pt>
                <c:pt idx="394">
                  <c:v>93.714123097613324</c:v>
                </c:pt>
                <c:pt idx="395">
                  <c:v>93.696375955971874</c:v>
                </c:pt>
                <c:pt idx="396">
                  <c:v>93.684268158325267</c:v>
                </c:pt>
                <c:pt idx="397">
                  <c:v>93.644004385968231</c:v>
                </c:pt>
                <c:pt idx="398">
                  <c:v>93.503049203854914</c:v>
                </c:pt>
                <c:pt idx="399">
                  <c:v>92.61828000460136</c:v>
                </c:pt>
                <c:pt idx="400">
                  <c:v>92.354992686569318</c:v>
                </c:pt>
                <c:pt idx="401">
                  <c:v>92.280861911253652</c:v>
                </c:pt>
                <c:pt idx="402">
                  <c:v>92.155663683472326</c:v>
                </c:pt>
                <c:pt idx="403">
                  <c:v>92.275665157360081</c:v>
                </c:pt>
                <c:pt idx="404">
                  <c:v>92.711184811923275</c:v>
                </c:pt>
                <c:pt idx="405">
                  <c:v>93.222114283926146</c:v>
                </c:pt>
                <c:pt idx="406">
                  <c:v>93.797053879077112</c:v>
                </c:pt>
                <c:pt idx="407">
                  <c:v>94.321000286516266</c:v>
                </c:pt>
                <c:pt idx="408">
                  <c:v>94.876425005287558</c:v>
                </c:pt>
                <c:pt idx="409">
                  <c:v>95.529369327818458</c:v>
                </c:pt>
                <c:pt idx="410">
                  <c:v>95.785532442450148</c:v>
                </c:pt>
                <c:pt idx="411">
                  <c:v>95.659836901912428</c:v>
                </c:pt>
                <c:pt idx="412">
                  <c:v>95.347940077971131</c:v>
                </c:pt>
                <c:pt idx="413">
                  <c:v>94.945797232629346</c:v>
                </c:pt>
                <c:pt idx="414">
                  <c:v>94.672671127698806</c:v>
                </c:pt>
                <c:pt idx="415">
                  <c:v>94.364354940013186</c:v>
                </c:pt>
                <c:pt idx="416">
                  <c:v>94.163504191404741</c:v>
                </c:pt>
                <c:pt idx="417">
                  <c:v>94.001525796794837</c:v>
                </c:pt>
                <c:pt idx="418">
                  <c:v>94.01034991309416</c:v>
                </c:pt>
                <c:pt idx="419">
                  <c:v>94.095624918262644</c:v>
                </c:pt>
                <c:pt idx="420">
                  <c:v>94.175372691792489</c:v>
                </c:pt>
                <c:pt idx="421">
                  <c:v>94.297766218412136</c:v>
                </c:pt>
                <c:pt idx="422">
                  <c:v>94.457837949442109</c:v>
                </c:pt>
                <c:pt idx="423">
                  <c:v>94.664767952887502</c:v>
                </c:pt>
                <c:pt idx="424">
                  <c:v>94.565571697020431</c:v>
                </c:pt>
                <c:pt idx="425">
                  <c:v>94.394852530836587</c:v>
                </c:pt>
                <c:pt idx="426">
                  <c:v>94.252327020976992</c:v>
                </c:pt>
                <c:pt idx="427">
                  <c:v>94.153786088234469</c:v>
                </c:pt>
                <c:pt idx="428">
                  <c:v>93.995742709226647</c:v>
                </c:pt>
                <c:pt idx="429">
                  <c:v>93.937436390914769</c:v>
                </c:pt>
                <c:pt idx="430">
                  <c:v>94.157405118019412</c:v>
                </c:pt>
                <c:pt idx="431">
                  <c:v>94.579720961720994</c:v>
                </c:pt>
                <c:pt idx="432">
                  <c:v>95.235981276230376</c:v>
                </c:pt>
                <c:pt idx="433">
                  <c:v>96.000296439149253</c:v>
                </c:pt>
                <c:pt idx="434">
                  <c:v>96.891221101458996</c:v>
                </c:pt>
                <c:pt idx="435">
                  <c:v>97.969505146283566</c:v>
                </c:pt>
                <c:pt idx="436">
                  <c:v>99.006412579553896</c:v>
                </c:pt>
                <c:pt idx="437">
                  <c:v>99.997524095610501</c:v>
                </c:pt>
                <c:pt idx="438">
                  <c:v>100.55517547272522</c:v>
                </c:pt>
                <c:pt idx="439">
                  <c:v>100.70018478578824</c:v>
                </c:pt>
                <c:pt idx="440">
                  <c:v>101.03014713626177</c:v>
                </c:pt>
                <c:pt idx="441">
                  <c:v>101.06418300300169</c:v>
                </c:pt>
                <c:pt idx="442">
                  <c:v>101.11272139514757</c:v>
                </c:pt>
                <c:pt idx="443">
                  <c:v>101.66685312245517</c:v>
                </c:pt>
                <c:pt idx="444">
                  <c:v>101.52483451045143</c:v>
                </c:pt>
                <c:pt idx="445">
                  <c:v>101.39894069415696</c:v>
                </c:pt>
                <c:pt idx="446">
                  <c:v>101.35610091638303</c:v>
                </c:pt>
                <c:pt idx="447">
                  <c:v>100.48850365678742</c:v>
                </c:pt>
                <c:pt idx="448">
                  <c:v>99.523593018535152</c:v>
                </c:pt>
                <c:pt idx="449">
                  <c:v>99.375355988861926</c:v>
                </c:pt>
                <c:pt idx="450">
                  <c:v>99.203393969116107</c:v>
                </c:pt>
                <c:pt idx="451">
                  <c:v>99.162249535557564</c:v>
                </c:pt>
                <c:pt idx="452">
                  <c:v>99.262147991846632</c:v>
                </c:pt>
                <c:pt idx="453">
                  <c:v>99.313510083263949</c:v>
                </c:pt>
                <c:pt idx="454">
                  <c:v>99.392315168483975</c:v>
                </c:pt>
                <c:pt idx="455">
                  <c:v>99.514322807613226</c:v>
                </c:pt>
                <c:pt idx="456">
                  <c:v>99.629417187727256</c:v>
                </c:pt>
                <c:pt idx="457">
                  <c:v>99.641805913558954</c:v>
                </c:pt>
                <c:pt idx="458">
                  <c:v>99.717977198050122</c:v>
                </c:pt>
                <c:pt idx="459">
                  <c:v>99.805550656935878</c:v>
                </c:pt>
                <c:pt idx="460">
                  <c:v>99.646383145508509</c:v>
                </c:pt>
                <c:pt idx="461">
                  <c:v>99.477720168966684</c:v>
                </c:pt>
                <c:pt idx="462">
                  <c:v>99.358618499284134</c:v>
                </c:pt>
                <c:pt idx="463">
                  <c:v>99.155538926727459</c:v>
                </c:pt>
                <c:pt idx="464">
                  <c:v>99.141351941161702</c:v>
                </c:pt>
                <c:pt idx="465">
                  <c:v>99.245758214298505</c:v>
                </c:pt>
                <c:pt idx="466">
                  <c:v>99.287412218824713</c:v>
                </c:pt>
                <c:pt idx="467">
                  <c:v>99.246289210260898</c:v>
                </c:pt>
                <c:pt idx="468">
                  <c:v>99.482244418031684</c:v>
                </c:pt>
                <c:pt idx="469">
                  <c:v>99.397074125320216</c:v>
                </c:pt>
                <c:pt idx="470">
                  <c:v>99.509020838415054</c:v>
                </c:pt>
                <c:pt idx="471">
                  <c:v>99.652622114139746</c:v>
                </c:pt>
                <c:pt idx="472">
                  <c:v>99.576855864195053</c:v>
                </c:pt>
                <c:pt idx="473">
                  <c:v>99.639450234892635</c:v>
                </c:pt>
                <c:pt idx="474">
                  <c:v>99.58199292162773</c:v>
                </c:pt>
                <c:pt idx="475">
                  <c:v>99.710853677059774</c:v>
                </c:pt>
                <c:pt idx="476">
                  <c:v>99.734399469735479</c:v>
                </c:pt>
                <c:pt idx="477">
                  <c:v>99.365618623410811</c:v>
                </c:pt>
                <c:pt idx="478">
                  <c:v>98.756976202060926</c:v>
                </c:pt>
                <c:pt idx="479">
                  <c:v>98.152302933877635</c:v>
                </c:pt>
                <c:pt idx="480">
                  <c:v>97.776952600494752</c:v>
                </c:pt>
                <c:pt idx="481">
                  <c:v>97.465291432084555</c:v>
                </c:pt>
                <c:pt idx="482">
                  <c:v>96.983589191580791</c:v>
                </c:pt>
                <c:pt idx="483">
                  <c:v>96.847825108233792</c:v>
                </c:pt>
                <c:pt idx="484">
                  <c:v>96.900860243185448</c:v>
                </c:pt>
                <c:pt idx="485">
                  <c:v>97.183809338636337</c:v>
                </c:pt>
                <c:pt idx="486">
                  <c:v>97.499050636617767</c:v>
                </c:pt>
                <c:pt idx="487">
                  <c:v>97.941940553742725</c:v>
                </c:pt>
                <c:pt idx="488">
                  <c:v>98.340500755144433</c:v>
                </c:pt>
                <c:pt idx="489">
                  <c:v>98.955626842020777</c:v>
                </c:pt>
                <c:pt idx="490">
                  <c:v>99.774591733930123</c:v>
                </c:pt>
                <c:pt idx="491">
                  <c:v>100.77303235892148</c:v>
                </c:pt>
                <c:pt idx="492">
                  <c:v>102.35103825710786</c:v>
                </c:pt>
                <c:pt idx="493">
                  <c:v>104.57137670942225</c:v>
                </c:pt>
                <c:pt idx="494">
                  <c:v>105.30344238045294</c:v>
                </c:pt>
                <c:pt idx="495">
                  <c:v>106.53741450915314</c:v>
                </c:pt>
                <c:pt idx="496">
                  <c:v>108.30502491721076</c:v>
                </c:pt>
                <c:pt idx="497">
                  <c:v>109.41471476840748</c:v>
                </c:pt>
                <c:pt idx="498">
                  <c:v>110.00533635142781</c:v>
                </c:pt>
                <c:pt idx="499">
                  <c:v>110.37878305477767</c:v>
                </c:pt>
                <c:pt idx="500">
                  <c:v>110.44993299197444</c:v>
                </c:pt>
                <c:pt idx="501">
                  <c:v>110.28057220044872</c:v>
                </c:pt>
                <c:pt idx="502">
                  <c:v>110.17123481871099</c:v>
                </c:pt>
                <c:pt idx="503">
                  <c:v>110.0651337080498</c:v>
                </c:pt>
                <c:pt idx="504">
                  <c:v>110.07243484940471</c:v>
                </c:pt>
                <c:pt idx="505">
                  <c:v>110.0050826570024</c:v>
                </c:pt>
                <c:pt idx="506">
                  <c:v>109.96098380782655</c:v>
                </c:pt>
                <c:pt idx="507">
                  <c:v>110.00609122922614</c:v>
                </c:pt>
                <c:pt idx="508">
                  <c:v>109.71174941486805</c:v>
                </c:pt>
                <c:pt idx="509">
                  <c:v>109.07490583076327</c:v>
                </c:pt>
                <c:pt idx="510">
                  <c:v>108.64775422986622</c:v>
                </c:pt>
                <c:pt idx="511">
                  <c:v>108.39409137734683</c:v>
                </c:pt>
                <c:pt idx="512">
                  <c:v>108.13374586299294</c:v>
                </c:pt>
                <c:pt idx="513">
                  <c:v>108.0490110677694</c:v>
                </c:pt>
                <c:pt idx="514">
                  <c:v>107.976289130506</c:v>
                </c:pt>
                <c:pt idx="515">
                  <c:v>108.21001158700996</c:v>
                </c:pt>
                <c:pt idx="516">
                  <c:v>108.76684470156543</c:v>
                </c:pt>
                <c:pt idx="517">
                  <c:v>109.26656733130537</c:v>
                </c:pt>
                <c:pt idx="518">
                  <c:v>109.80042210188734</c:v>
                </c:pt>
                <c:pt idx="519">
                  <c:v>110.22668637121383</c:v>
                </c:pt>
                <c:pt idx="520">
                  <c:v>110.84490716898257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63-4907-A16F-9D06FD9DF8D4}"/>
            </c:ext>
          </c:extLst>
        </c:ser>
        <c:ser>
          <c:idx val="3"/>
          <c:order val="3"/>
          <c:tx>
            <c:strRef>
              <c:f>WMT!$K$1</c:f>
              <c:strCache>
                <c:ptCount val="1"/>
                <c:pt idx="0">
                  <c:v>Upper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WMT!$B$2:$B$522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WMT!$K$2:$K$522</c:f>
              <c:numCache>
                <c:formatCode>General</c:formatCode>
                <c:ptCount val="521"/>
                <c:pt idx="19">
                  <c:v>55.3593752761467</c:v>
                </c:pt>
                <c:pt idx="20">
                  <c:v>55.527983461625702</c:v>
                </c:pt>
                <c:pt idx="21">
                  <c:v>55.911804082599545</c:v>
                </c:pt>
                <c:pt idx="22">
                  <c:v>56.290737212380506</c:v>
                </c:pt>
                <c:pt idx="23">
                  <c:v>56.453534149822339</c:v>
                </c:pt>
                <c:pt idx="24">
                  <c:v>56.710244155670253</c:v>
                </c:pt>
                <c:pt idx="25">
                  <c:v>56.907483243268011</c:v>
                </c:pt>
                <c:pt idx="26">
                  <c:v>57.111584880854288</c:v>
                </c:pt>
                <c:pt idx="27">
                  <c:v>57.269724672306999</c:v>
                </c:pt>
                <c:pt idx="28">
                  <c:v>57.460648715898877</c:v>
                </c:pt>
                <c:pt idx="29">
                  <c:v>57.560323357336308</c:v>
                </c:pt>
                <c:pt idx="30">
                  <c:v>57.580152504518267</c:v>
                </c:pt>
                <c:pt idx="31">
                  <c:v>57.666200026036691</c:v>
                </c:pt>
                <c:pt idx="32">
                  <c:v>57.757593130890278</c:v>
                </c:pt>
                <c:pt idx="33">
                  <c:v>58.232363093290203</c:v>
                </c:pt>
                <c:pt idx="34">
                  <c:v>58.443012897270414</c:v>
                </c:pt>
                <c:pt idx="35">
                  <c:v>58.589674088772412</c:v>
                </c:pt>
                <c:pt idx="36">
                  <c:v>58.785864352119503</c:v>
                </c:pt>
                <c:pt idx="37">
                  <c:v>59.249958516406785</c:v>
                </c:pt>
                <c:pt idx="38">
                  <c:v>59.630485173879272</c:v>
                </c:pt>
                <c:pt idx="39">
                  <c:v>59.949992080969174</c:v>
                </c:pt>
                <c:pt idx="40">
                  <c:v>59.991804794079606</c:v>
                </c:pt>
                <c:pt idx="41">
                  <c:v>60.114031589812264</c:v>
                </c:pt>
                <c:pt idx="42">
                  <c:v>60.319270992471431</c:v>
                </c:pt>
                <c:pt idx="43">
                  <c:v>60.614694354916729</c:v>
                </c:pt>
                <c:pt idx="44">
                  <c:v>60.993369523873163</c:v>
                </c:pt>
                <c:pt idx="45">
                  <c:v>61.254398198186294</c:v>
                </c:pt>
                <c:pt idx="46">
                  <c:v>61.418520522734191</c:v>
                </c:pt>
                <c:pt idx="47">
                  <c:v>61.625401406323277</c:v>
                </c:pt>
                <c:pt idx="48">
                  <c:v>61.957316627663779</c:v>
                </c:pt>
                <c:pt idx="49">
                  <c:v>62.137637329697284</c:v>
                </c:pt>
                <c:pt idx="50">
                  <c:v>62.148621437463461</c:v>
                </c:pt>
                <c:pt idx="51">
                  <c:v>62.040048237091028</c:v>
                </c:pt>
                <c:pt idx="52">
                  <c:v>61.914773294376893</c:v>
                </c:pt>
                <c:pt idx="53">
                  <c:v>62.002305888871412</c:v>
                </c:pt>
                <c:pt idx="54">
                  <c:v>62.022595244658049</c:v>
                </c:pt>
                <c:pt idx="55">
                  <c:v>62.107848707081558</c:v>
                </c:pt>
                <c:pt idx="56">
                  <c:v>62.062279942813888</c:v>
                </c:pt>
                <c:pt idx="57">
                  <c:v>62.076497246383624</c:v>
                </c:pt>
                <c:pt idx="58">
                  <c:v>62.079632954371064</c:v>
                </c:pt>
                <c:pt idx="59">
                  <c:v>62.091976053523403</c:v>
                </c:pt>
                <c:pt idx="60">
                  <c:v>61.914014826475267</c:v>
                </c:pt>
                <c:pt idx="61">
                  <c:v>61.711447073634737</c:v>
                </c:pt>
                <c:pt idx="62">
                  <c:v>61.742190403922699</c:v>
                </c:pt>
                <c:pt idx="63">
                  <c:v>61.80873444435057</c:v>
                </c:pt>
                <c:pt idx="64">
                  <c:v>61.851202962259968</c:v>
                </c:pt>
                <c:pt idx="65">
                  <c:v>61.860309650657662</c:v>
                </c:pt>
                <c:pt idx="66">
                  <c:v>61.87289444485976</c:v>
                </c:pt>
                <c:pt idx="67">
                  <c:v>61.863083099788156</c:v>
                </c:pt>
                <c:pt idx="68">
                  <c:v>61.75360658504372</c:v>
                </c:pt>
                <c:pt idx="69">
                  <c:v>61.637384353551845</c:v>
                </c:pt>
                <c:pt idx="70">
                  <c:v>61.557730167671693</c:v>
                </c:pt>
                <c:pt idx="71">
                  <c:v>61.519181101336862</c:v>
                </c:pt>
                <c:pt idx="72">
                  <c:v>61.451196406670618</c:v>
                </c:pt>
                <c:pt idx="73">
                  <c:v>61.376800518143611</c:v>
                </c:pt>
                <c:pt idx="74">
                  <c:v>61.228300327078621</c:v>
                </c:pt>
                <c:pt idx="75">
                  <c:v>60.954679594222625</c:v>
                </c:pt>
                <c:pt idx="76">
                  <c:v>60.82770665150673</c:v>
                </c:pt>
                <c:pt idx="77">
                  <c:v>60.776767777517698</c:v>
                </c:pt>
                <c:pt idx="78">
                  <c:v>60.692421924269553</c:v>
                </c:pt>
                <c:pt idx="79">
                  <c:v>60.582051152907866</c:v>
                </c:pt>
                <c:pt idx="80">
                  <c:v>60.58057089052889</c:v>
                </c:pt>
                <c:pt idx="81">
                  <c:v>60.612561865250015</c:v>
                </c:pt>
                <c:pt idx="82">
                  <c:v>60.5933058538564</c:v>
                </c:pt>
                <c:pt idx="83">
                  <c:v>60.663969892944436</c:v>
                </c:pt>
                <c:pt idx="84">
                  <c:v>60.664510264474387</c:v>
                </c:pt>
                <c:pt idx="85">
                  <c:v>60.662784279900549</c:v>
                </c:pt>
                <c:pt idx="86">
                  <c:v>60.667708640975768</c:v>
                </c:pt>
                <c:pt idx="87">
                  <c:v>60.782553278785628</c:v>
                </c:pt>
                <c:pt idx="88">
                  <c:v>60.720773173386029</c:v>
                </c:pt>
                <c:pt idx="89">
                  <c:v>60.77271236522602</c:v>
                </c:pt>
                <c:pt idx="90">
                  <c:v>60.824057694801681</c:v>
                </c:pt>
                <c:pt idx="91">
                  <c:v>60.878233665063853</c:v>
                </c:pt>
                <c:pt idx="92">
                  <c:v>60.879052203165955</c:v>
                </c:pt>
                <c:pt idx="93">
                  <c:v>60.881980665759869</c:v>
                </c:pt>
                <c:pt idx="94">
                  <c:v>62.18617098119438</c:v>
                </c:pt>
                <c:pt idx="95">
                  <c:v>63.244673287298035</c:v>
                </c:pt>
                <c:pt idx="96">
                  <c:v>63.906199060610426</c:v>
                </c:pt>
                <c:pt idx="97">
                  <c:v>64.701250479908737</c:v>
                </c:pt>
                <c:pt idx="98">
                  <c:v>65.400366403742368</c:v>
                </c:pt>
                <c:pt idx="99">
                  <c:v>65.908448338729556</c:v>
                </c:pt>
                <c:pt idx="100">
                  <c:v>66.461914911526549</c:v>
                </c:pt>
                <c:pt idx="101">
                  <c:v>66.879272979834369</c:v>
                </c:pt>
                <c:pt idx="102">
                  <c:v>67.179811426270845</c:v>
                </c:pt>
                <c:pt idx="103">
                  <c:v>67.36301712100483</c:v>
                </c:pt>
                <c:pt idx="104">
                  <c:v>67.691869513350923</c:v>
                </c:pt>
                <c:pt idx="105">
                  <c:v>67.962175627887845</c:v>
                </c:pt>
                <c:pt idx="106">
                  <c:v>68.293371033640057</c:v>
                </c:pt>
                <c:pt idx="107">
                  <c:v>68.692265060510437</c:v>
                </c:pt>
                <c:pt idx="108">
                  <c:v>68.978698862834079</c:v>
                </c:pt>
                <c:pt idx="109">
                  <c:v>68.994999064712161</c:v>
                </c:pt>
                <c:pt idx="110">
                  <c:v>69.076792854484353</c:v>
                </c:pt>
                <c:pt idx="111">
                  <c:v>68.98917338064291</c:v>
                </c:pt>
                <c:pt idx="112">
                  <c:v>68.528274112456785</c:v>
                </c:pt>
                <c:pt idx="113">
                  <c:v>67.623366454238266</c:v>
                </c:pt>
                <c:pt idx="114">
                  <c:v>67.699383293856812</c:v>
                </c:pt>
                <c:pt idx="115">
                  <c:v>67.883693723049262</c:v>
                </c:pt>
                <c:pt idx="116">
                  <c:v>67.997875074885542</c:v>
                </c:pt>
                <c:pt idx="117">
                  <c:v>68.260233178071701</c:v>
                </c:pt>
                <c:pt idx="118">
                  <c:v>68.460966205751291</c:v>
                </c:pt>
                <c:pt idx="119">
                  <c:v>68.811030737319754</c:v>
                </c:pt>
                <c:pt idx="120">
                  <c:v>68.862727456022526</c:v>
                </c:pt>
                <c:pt idx="121">
                  <c:v>68.985918316301976</c:v>
                </c:pt>
                <c:pt idx="122">
                  <c:v>68.967536768228314</c:v>
                </c:pt>
                <c:pt idx="123">
                  <c:v>68.851971975161206</c:v>
                </c:pt>
                <c:pt idx="124">
                  <c:v>68.808856139343845</c:v>
                </c:pt>
                <c:pt idx="125">
                  <c:v>68.809848583534986</c:v>
                </c:pt>
                <c:pt idx="126">
                  <c:v>68.897183977895295</c:v>
                </c:pt>
                <c:pt idx="127">
                  <c:v>69.439479231919762</c:v>
                </c:pt>
                <c:pt idx="128">
                  <c:v>69.774322137410451</c:v>
                </c:pt>
                <c:pt idx="129">
                  <c:v>70.00668970900746</c:v>
                </c:pt>
                <c:pt idx="130">
                  <c:v>70.404805500116041</c:v>
                </c:pt>
                <c:pt idx="131">
                  <c:v>70.586632404939223</c:v>
                </c:pt>
                <c:pt idx="132">
                  <c:v>70.587276184876686</c:v>
                </c:pt>
                <c:pt idx="133">
                  <c:v>70.646551573341597</c:v>
                </c:pt>
                <c:pt idx="134">
                  <c:v>70.765054587194058</c:v>
                </c:pt>
                <c:pt idx="135">
                  <c:v>71.105198784153217</c:v>
                </c:pt>
                <c:pt idx="136">
                  <c:v>71.346017154163405</c:v>
                </c:pt>
                <c:pt idx="137">
                  <c:v>71.55390151562375</c:v>
                </c:pt>
                <c:pt idx="138">
                  <c:v>71.661009966572777</c:v>
                </c:pt>
                <c:pt idx="139">
                  <c:v>71.817093662526943</c:v>
                </c:pt>
                <c:pt idx="140">
                  <c:v>71.852917527490561</c:v>
                </c:pt>
                <c:pt idx="141">
                  <c:v>71.873173458444015</c:v>
                </c:pt>
                <c:pt idx="142">
                  <c:v>71.815551559193239</c:v>
                </c:pt>
                <c:pt idx="143">
                  <c:v>71.690850449064982</c:v>
                </c:pt>
                <c:pt idx="144">
                  <c:v>71.461033858166587</c:v>
                </c:pt>
                <c:pt idx="145">
                  <c:v>71.366201875228441</c:v>
                </c:pt>
                <c:pt idx="146">
                  <c:v>71.21246352431794</c:v>
                </c:pt>
                <c:pt idx="147">
                  <c:v>71.313716756064053</c:v>
                </c:pt>
                <c:pt idx="148">
                  <c:v>71.554501224341294</c:v>
                </c:pt>
                <c:pt idx="149">
                  <c:v>71.676676245157623</c:v>
                </c:pt>
                <c:pt idx="150">
                  <c:v>71.832091897613012</c:v>
                </c:pt>
                <c:pt idx="151">
                  <c:v>71.866942567147319</c:v>
                </c:pt>
                <c:pt idx="152">
                  <c:v>71.889395434044175</c:v>
                </c:pt>
                <c:pt idx="153">
                  <c:v>71.857581056305534</c:v>
                </c:pt>
                <c:pt idx="154">
                  <c:v>71.796244961222527</c:v>
                </c:pt>
                <c:pt idx="155">
                  <c:v>71.541703174352847</c:v>
                </c:pt>
                <c:pt idx="156">
                  <c:v>72.18196236516124</c:v>
                </c:pt>
                <c:pt idx="157">
                  <c:v>72.814853967103858</c:v>
                </c:pt>
                <c:pt idx="158">
                  <c:v>73.47714641421716</c:v>
                </c:pt>
                <c:pt idx="159">
                  <c:v>74.246085899511442</c:v>
                </c:pt>
                <c:pt idx="160">
                  <c:v>75.101086575794028</c:v>
                </c:pt>
                <c:pt idx="161">
                  <c:v>75.962287102413285</c:v>
                </c:pt>
                <c:pt idx="162">
                  <c:v>76.751109289738011</c:v>
                </c:pt>
                <c:pt idx="163">
                  <c:v>77.519630413929647</c:v>
                </c:pt>
                <c:pt idx="164">
                  <c:v>78.217081448525462</c:v>
                </c:pt>
                <c:pt idx="165">
                  <c:v>78.805092099227679</c:v>
                </c:pt>
                <c:pt idx="166">
                  <c:v>79.397304719151322</c:v>
                </c:pt>
                <c:pt idx="167">
                  <c:v>80.01386271270465</c:v>
                </c:pt>
                <c:pt idx="168">
                  <c:v>80.442419540984915</c:v>
                </c:pt>
                <c:pt idx="169">
                  <c:v>80.769619726477714</c:v>
                </c:pt>
                <c:pt idx="170">
                  <c:v>80.804518589064983</c:v>
                </c:pt>
                <c:pt idx="171">
                  <c:v>80.732145162707027</c:v>
                </c:pt>
                <c:pt idx="172">
                  <c:v>80.619363851776171</c:v>
                </c:pt>
                <c:pt idx="173">
                  <c:v>80.673966450457584</c:v>
                </c:pt>
                <c:pt idx="174">
                  <c:v>80.311999169703327</c:v>
                </c:pt>
                <c:pt idx="175">
                  <c:v>79.791058379429856</c:v>
                </c:pt>
                <c:pt idx="176">
                  <c:v>80.339347179907179</c:v>
                </c:pt>
                <c:pt idx="177">
                  <c:v>80.75882710770874</c:v>
                </c:pt>
                <c:pt idx="178">
                  <c:v>80.72077476493854</c:v>
                </c:pt>
                <c:pt idx="179">
                  <c:v>80.778105782162868</c:v>
                </c:pt>
                <c:pt idx="180">
                  <c:v>80.748084521958788</c:v>
                </c:pt>
                <c:pt idx="181">
                  <c:v>80.826544057600316</c:v>
                </c:pt>
                <c:pt idx="182">
                  <c:v>81.087677801171623</c:v>
                </c:pt>
                <c:pt idx="183">
                  <c:v>81.381678317987536</c:v>
                </c:pt>
                <c:pt idx="184">
                  <c:v>81.771955170197785</c:v>
                </c:pt>
                <c:pt idx="185">
                  <c:v>81.802644789034773</c:v>
                </c:pt>
                <c:pt idx="186">
                  <c:v>81.802827942660073</c:v>
                </c:pt>
                <c:pt idx="187">
                  <c:v>81.98086530813525</c:v>
                </c:pt>
                <c:pt idx="188">
                  <c:v>82.199916553015711</c:v>
                </c:pt>
                <c:pt idx="189">
                  <c:v>82.237539515653651</c:v>
                </c:pt>
                <c:pt idx="190">
                  <c:v>82.186727552393577</c:v>
                </c:pt>
                <c:pt idx="191">
                  <c:v>82.053290044861996</c:v>
                </c:pt>
                <c:pt idx="192">
                  <c:v>81.848441612023436</c:v>
                </c:pt>
                <c:pt idx="193">
                  <c:v>81.826416784400834</c:v>
                </c:pt>
                <c:pt idx="194">
                  <c:v>81.837369944824061</c:v>
                </c:pt>
                <c:pt idx="195">
                  <c:v>81.837190129038007</c:v>
                </c:pt>
                <c:pt idx="196">
                  <c:v>81.792790186833855</c:v>
                </c:pt>
                <c:pt idx="197">
                  <c:v>81.765706524231419</c:v>
                </c:pt>
                <c:pt idx="198">
                  <c:v>81.938286422833116</c:v>
                </c:pt>
                <c:pt idx="199">
                  <c:v>82.028328716522168</c:v>
                </c:pt>
                <c:pt idx="200">
                  <c:v>81.850495091816256</c:v>
                </c:pt>
                <c:pt idx="201">
                  <c:v>81.872567236390282</c:v>
                </c:pt>
                <c:pt idx="202">
                  <c:v>81.900122441919393</c:v>
                </c:pt>
                <c:pt idx="203">
                  <c:v>82.120741846933441</c:v>
                </c:pt>
                <c:pt idx="204">
                  <c:v>82.601879512104588</c:v>
                </c:pt>
                <c:pt idx="205">
                  <c:v>82.987577686517938</c:v>
                </c:pt>
                <c:pt idx="206">
                  <c:v>83.183964863078117</c:v>
                </c:pt>
                <c:pt idx="207">
                  <c:v>83.416546563453977</c:v>
                </c:pt>
                <c:pt idx="208">
                  <c:v>83.453030716522292</c:v>
                </c:pt>
                <c:pt idx="209">
                  <c:v>83.481723865888512</c:v>
                </c:pt>
                <c:pt idx="210">
                  <c:v>83.557035510191611</c:v>
                </c:pt>
                <c:pt idx="211">
                  <c:v>83.653344466099455</c:v>
                </c:pt>
                <c:pt idx="212">
                  <c:v>83.632589822984997</c:v>
                </c:pt>
                <c:pt idx="213">
                  <c:v>83.881640109376718</c:v>
                </c:pt>
                <c:pt idx="214">
                  <c:v>84.085640423755365</c:v>
                </c:pt>
                <c:pt idx="215">
                  <c:v>84.221932274585797</c:v>
                </c:pt>
                <c:pt idx="216">
                  <c:v>84.599543469902599</c:v>
                </c:pt>
                <c:pt idx="217">
                  <c:v>84.756380207656548</c:v>
                </c:pt>
                <c:pt idx="218">
                  <c:v>85.150345208293828</c:v>
                </c:pt>
                <c:pt idx="219">
                  <c:v>85.579271980354477</c:v>
                </c:pt>
                <c:pt idx="220">
                  <c:v>85.689050256675117</c:v>
                </c:pt>
                <c:pt idx="221">
                  <c:v>85.762865520606852</c:v>
                </c:pt>
                <c:pt idx="222">
                  <c:v>85.704425526034669</c:v>
                </c:pt>
                <c:pt idx="223">
                  <c:v>86.262488568902782</c:v>
                </c:pt>
                <c:pt idx="224">
                  <c:v>86.899627936127999</c:v>
                </c:pt>
                <c:pt idx="225">
                  <c:v>87.76478111292829</c:v>
                </c:pt>
                <c:pt idx="226">
                  <c:v>89.059536058301717</c:v>
                </c:pt>
                <c:pt idx="227">
                  <c:v>89.846439864034863</c:v>
                </c:pt>
                <c:pt idx="228">
                  <c:v>90.895282678453455</c:v>
                </c:pt>
                <c:pt idx="229">
                  <c:v>91.847526125540455</c:v>
                </c:pt>
                <c:pt idx="230">
                  <c:v>92.798709614629885</c:v>
                </c:pt>
                <c:pt idx="231">
                  <c:v>93.607739632821378</c:v>
                </c:pt>
                <c:pt idx="232">
                  <c:v>94.460336215873738</c:v>
                </c:pt>
                <c:pt idx="233">
                  <c:v>95.442796240042284</c:v>
                </c:pt>
                <c:pt idx="234">
                  <c:v>96.414466227638243</c:v>
                </c:pt>
                <c:pt idx="235">
                  <c:v>97.311289934927487</c:v>
                </c:pt>
                <c:pt idx="236">
                  <c:v>97.765550658298437</c:v>
                </c:pt>
                <c:pt idx="237">
                  <c:v>98.172027932419368</c:v>
                </c:pt>
                <c:pt idx="238">
                  <c:v>98.585345242766152</c:v>
                </c:pt>
                <c:pt idx="239">
                  <c:v>98.793027985847843</c:v>
                </c:pt>
                <c:pt idx="240">
                  <c:v>98.773648491899692</c:v>
                </c:pt>
                <c:pt idx="241">
                  <c:v>98.604970459180009</c:v>
                </c:pt>
                <c:pt idx="242">
                  <c:v>98.181152154777308</c:v>
                </c:pt>
                <c:pt idx="243">
                  <c:v>97.783920338404542</c:v>
                </c:pt>
                <c:pt idx="244">
                  <c:v>97.278178386073549</c:v>
                </c:pt>
                <c:pt idx="245">
                  <c:v>96.815897317282264</c:v>
                </c:pt>
                <c:pt idx="246">
                  <c:v>96.828215801156318</c:v>
                </c:pt>
                <c:pt idx="247">
                  <c:v>96.477539763443005</c:v>
                </c:pt>
                <c:pt idx="248">
                  <c:v>96.3788961320802</c:v>
                </c:pt>
                <c:pt idx="249">
                  <c:v>96.399471052479925</c:v>
                </c:pt>
                <c:pt idx="250">
                  <c:v>96.590121029087499</c:v>
                </c:pt>
                <c:pt idx="251">
                  <c:v>96.775220804903739</c:v>
                </c:pt>
                <c:pt idx="252">
                  <c:v>96.932504459816059</c:v>
                </c:pt>
                <c:pt idx="253">
                  <c:v>96.86138976440354</c:v>
                </c:pt>
                <c:pt idx="254">
                  <c:v>96.582159993497427</c:v>
                </c:pt>
                <c:pt idx="255">
                  <c:v>96.195085278078224</c:v>
                </c:pt>
                <c:pt idx="256">
                  <c:v>96.065098799066661</c:v>
                </c:pt>
                <c:pt idx="257">
                  <c:v>95.866893017748254</c:v>
                </c:pt>
                <c:pt idx="258">
                  <c:v>95.503894467919267</c:v>
                </c:pt>
                <c:pt idx="259">
                  <c:v>95.285902542984857</c:v>
                </c:pt>
                <c:pt idx="260">
                  <c:v>94.991240506128264</c:v>
                </c:pt>
                <c:pt idx="261">
                  <c:v>94.496306041697196</c:v>
                </c:pt>
                <c:pt idx="262">
                  <c:v>93.720076216873963</c:v>
                </c:pt>
                <c:pt idx="263">
                  <c:v>93.614521615264096</c:v>
                </c:pt>
                <c:pt idx="264">
                  <c:v>93.575222608037677</c:v>
                </c:pt>
                <c:pt idx="265">
                  <c:v>93.874220603827723</c:v>
                </c:pt>
                <c:pt idx="266">
                  <c:v>94.401897379909457</c:v>
                </c:pt>
                <c:pt idx="267">
                  <c:v>95.638154737852005</c:v>
                </c:pt>
                <c:pt idx="268">
                  <c:v>96.551858975082538</c:v>
                </c:pt>
                <c:pt idx="269">
                  <c:v>97.415742121152661</c:v>
                </c:pt>
                <c:pt idx="270">
                  <c:v>98.413599581863878</c:v>
                </c:pt>
                <c:pt idx="271">
                  <c:v>99.107671872760605</c:v>
                </c:pt>
                <c:pt idx="272">
                  <c:v>99.961792273371927</c:v>
                </c:pt>
                <c:pt idx="273">
                  <c:v>100.99947959954376</c:v>
                </c:pt>
                <c:pt idx="274">
                  <c:v>102.30484063856167</c:v>
                </c:pt>
                <c:pt idx="275">
                  <c:v>103.43021032287676</c:v>
                </c:pt>
                <c:pt idx="276">
                  <c:v>104.06629245972468</c:v>
                </c:pt>
                <c:pt idx="277">
                  <c:v>104.98860925723007</c:v>
                </c:pt>
                <c:pt idx="278">
                  <c:v>105.59066178497248</c:v>
                </c:pt>
                <c:pt idx="279">
                  <c:v>106.17094199976384</c:v>
                </c:pt>
                <c:pt idx="280">
                  <c:v>106.90432959524345</c:v>
                </c:pt>
                <c:pt idx="281">
                  <c:v>107.20506937535363</c:v>
                </c:pt>
                <c:pt idx="282">
                  <c:v>107.33560685733953</c:v>
                </c:pt>
                <c:pt idx="283">
                  <c:v>107.46511311768633</c:v>
                </c:pt>
                <c:pt idx="284">
                  <c:v>107.0586190397669</c:v>
                </c:pt>
                <c:pt idx="285">
                  <c:v>106.91817508764186</c:v>
                </c:pt>
                <c:pt idx="286">
                  <c:v>107.07825632806582</c:v>
                </c:pt>
                <c:pt idx="287">
                  <c:v>107.0669949286749</c:v>
                </c:pt>
                <c:pt idx="288">
                  <c:v>107.13514877339618</c:v>
                </c:pt>
                <c:pt idx="289">
                  <c:v>107.16870581401508</c:v>
                </c:pt>
                <c:pt idx="290">
                  <c:v>107.16873573663611</c:v>
                </c:pt>
                <c:pt idx="291">
                  <c:v>107.18193184013519</c:v>
                </c:pt>
                <c:pt idx="292">
                  <c:v>107.34401301575234</c:v>
                </c:pt>
                <c:pt idx="293">
                  <c:v>107.31328940514368</c:v>
                </c:pt>
                <c:pt idx="294">
                  <c:v>107.14772768045744</c:v>
                </c:pt>
                <c:pt idx="295">
                  <c:v>107.12811675256266</c:v>
                </c:pt>
                <c:pt idx="296">
                  <c:v>107.728288918256</c:v>
                </c:pt>
                <c:pt idx="297">
                  <c:v>107.80678898590114</c:v>
                </c:pt>
                <c:pt idx="298">
                  <c:v>107.9869588768356</c:v>
                </c:pt>
                <c:pt idx="299">
                  <c:v>107.71624047517064</c:v>
                </c:pt>
                <c:pt idx="300">
                  <c:v>106.69409321997975</c:v>
                </c:pt>
                <c:pt idx="301">
                  <c:v>105.40453660896142</c:v>
                </c:pt>
                <c:pt idx="302">
                  <c:v>104.03509614247282</c:v>
                </c:pt>
                <c:pt idx="303">
                  <c:v>102.19656451847966</c:v>
                </c:pt>
                <c:pt idx="304">
                  <c:v>101.66921705809074</c:v>
                </c:pt>
                <c:pt idx="305">
                  <c:v>101.37388456339309</c:v>
                </c:pt>
                <c:pt idx="306">
                  <c:v>101.09391087492958</c:v>
                </c:pt>
                <c:pt idx="307">
                  <c:v>100.21255520857628</c:v>
                </c:pt>
                <c:pt idx="308">
                  <c:v>99.441031911700506</c:v>
                </c:pt>
                <c:pt idx="309">
                  <c:v>98.39380039721317</c:v>
                </c:pt>
                <c:pt idx="310">
                  <c:v>96.67393513443109</c:v>
                </c:pt>
                <c:pt idx="311">
                  <c:v>94.943288817488963</c:v>
                </c:pt>
                <c:pt idx="312">
                  <c:v>93.815537184887773</c:v>
                </c:pt>
                <c:pt idx="313">
                  <c:v>92.229875035829551</c:v>
                </c:pt>
                <c:pt idx="314">
                  <c:v>90.443846095777744</c:v>
                </c:pt>
                <c:pt idx="315">
                  <c:v>89.541743792542007</c:v>
                </c:pt>
                <c:pt idx="316">
                  <c:v>89.445828078411353</c:v>
                </c:pt>
                <c:pt idx="317">
                  <c:v>89.623237975366507</c:v>
                </c:pt>
                <c:pt idx="318">
                  <c:v>90.182225704527283</c:v>
                </c:pt>
                <c:pt idx="319">
                  <c:v>90.886129653672583</c:v>
                </c:pt>
                <c:pt idx="320">
                  <c:v>92.061787318300858</c:v>
                </c:pt>
                <c:pt idx="321">
                  <c:v>93.513871639928979</c:v>
                </c:pt>
                <c:pt idx="322">
                  <c:v>94.57867817737943</c:v>
                </c:pt>
                <c:pt idx="323">
                  <c:v>94.981267035369214</c:v>
                </c:pt>
                <c:pt idx="324">
                  <c:v>95.681803082578512</c:v>
                </c:pt>
                <c:pt idx="325">
                  <c:v>96.162217675420592</c:v>
                </c:pt>
                <c:pt idx="326">
                  <c:v>97.022509369584782</c:v>
                </c:pt>
                <c:pt idx="327">
                  <c:v>97.733421455880517</c:v>
                </c:pt>
                <c:pt idx="328">
                  <c:v>98.50676984537337</c:v>
                </c:pt>
                <c:pt idx="329">
                  <c:v>99.037917507198131</c:v>
                </c:pt>
                <c:pt idx="330">
                  <c:v>99.440802173047359</c:v>
                </c:pt>
                <c:pt idx="331">
                  <c:v>100.02573540397442</c:v>
                </c:pt>
                <c:pt idx="332">
                  <c:v>100.75865764986428</c:v>
                </c:pt>
                <c:pt idx="333">
                  <c:v>101.44017520028511</c:v>
                </c:pt>
                <c:pt idx="334">
                  <c:v>102.18208099215411</c:v>
                </c:pt>
                <c:pt idx="335">
                  <c:v>102.33245394132743</c:v>
                </c:pt>
                <c:pt idx="336">
                  <c:v>102.10146877381734</c:v>
                </c:pt>
                <c:pt idx="337">
                  <c:v>100.68187956537567</c:v>
                </c:pt>
                <c:pt idx="338">
                  <c:v>100.54915119160813</c:v>
                </c:pt>
                <c:pt idx="339">
                  <c:v>100.34999199932102</c:v>
                </c:pt>
                <c:pt idx="340">
                  <c:v>100.35387533856081</c:v>
                </c:pt>
                <c:pt idx="341">
                  <c:v>100.37564168106175</c:v>
                </c:pt>
                <c:pt idx="342">
                  <c:v>100.42775152263151</c:v>
                </c:pt>
                <c:pt idx="343">
                  <c:v>100.0034987198508</c:v>
                </c:pt>
                <c:pt idx="344">
                  <c:v>100.01867790313001</c:v>
                </c:pt>
                <c:pt idx="345">
                  <c:v>99.714588687749654</c:v>
                </c:pt>
                <c:pt idx="346">
                  <c:v>99.708706220378431</c:v>
                </c:pt>
                <c:pt idx="347">
                  <c:v>99.611181516825695</c:v>
                </c:pt>
                <c:pt idx="348">
                  <c:v>99.605987982052127</c:v>
                </c:pt>
                <c:pt idx="349">
                  <c:v>99.50646868497104</c:v>
                </c:pt>
                <c:pt idx="350">
                  <c:v>99.428061151991827</c:v>
                </c:pt>
                <c:pt idx="351">
                  <c:v>99.39983446007291</c:v>
                </c:pt>
                <c:pt idx="352">
                  <c:v>99.395616295455554</c:v>
                </c:pt>
                <c:pt idx="353">
                  <c:v>99.548423664050105</c:v>
                </c:pt>
                <c:pt idx="354">
                  <c:v>99.774783779766736</c:v>
                </c:pt>
                <c:pt idx="355">
                  <c:v>99.932511049758858</c:v>
                </c:pt>
                <c:pt idx="356">
                  <c:v>100.06874177975725</c:v>
                </c:pt>
                <c:pt idx="357">
                  <c:v>99.962359665782643</c:v>
                </c:pt>
                <c:pt idx="358">
                  <c:v>99.964093507841469</c:v>
                </c:pt>
                <c:pt idx="359">
                  <c:v>99.971319040712615</c:v>
                </c:pt>
                <c:pt idx="360">
                  <c:v>99.9725541378033</c:v>
                </c:pt>
                <c:pt idx="361">
                  <c:v>99.980915330309244</c:v>
                </c:pt>
                <c:pt idx="362">
                  <c:v>100.16489552152271</c:v>
                </c:pt>
                <c:pt idx="363">
                  <c:v>100.36099602048242</c:v>
                </c:pt>
                <c:pt idx="364">
                  <c:v>100.43924983214124</c:v>
                </c:pt>
                <c:pt idx="365">
                  <c:v>100.46781611681729</c:v>
                </c:pt>
                <c:pt idx="366">
                  <c:v>100.41203121506558</c:v>
                </c:pt>
                <c:pt idx="367">
                  <c:v>100.40727084691764</c:v>
                </c:pt>
                <c:pt idx="368">
                  <c:v>100.50427084691765</c:v>
                </c:pt>
                <c:pt idx="369">
                  <c:v>100.60491808946352</c:v>
                </c:pt>
                <c:pt idx="370">
                  <c:v>100.58143517666971</c:v>
                </c:pt>
                <c:pt idx="371">
                  <c:v>100.54591359062798</c:v>
                </c:pt>
                <c:pt idx="372">
                  <c:v>100.55666752994615</c:v>
                </c:pt>
                <c:pt idx="373">
                  <c:v>100.43676187927076</c:v>
                </c:pt>
                <c:pt idx="374">
                  <c:v>100.15994686276125</c:v>
                </c:pt>
                <c:pt idx="375">
                  <c:v>99.723475469902837</c:v>
                </c:pt>
                <c:pt idx="376">
                  <c:v>99.520184091406321</c:v>
                </c:pt>
                <c:pt idx="377">
                  <c:v>99.783290688211565</c:v>
                </c:pt>
                <c:pt idx="378">
                  <c:v>99.749832992682855</c:v>
                </c:pt>
                <c:pt idx="379">
                  <c:v>99.698906078539764</c:v>
                </c:pt>
                <c:pt idx="380">
                  <c:v>99.667207802882331</c:v>
                </c:pt>
                <c:pt idx="381">
                  <c:v>99.730483375068133</c:v>
                </c:pt>
                <c:pt idx="382">
                  <c:v>99.701890494829868</c:v>
                </c:pt>
                <c:pt idx="383">
                  <c:v>99.642871143926257</c:v>
                </c:pt>
                <c:pt idx="384">
                  <c:v>99.571352911530312</c:v>
                </c:pt>
                <c:pt idx="385">
                  <c:v>99.491205319259294</c:v>
                </c:pt>
                <c:pt idx="386">
                  <c:v>99.494006917338069</c:v>
                </c:pt>
                <c:pt idx="387">
                  <c:v>99.497224572737551</c:v>
                </c:pt>
                <c:pt idx="388">
                  <c:v>99.357390608213933</c:v>
                </c:pt>
                <c:pt idx="389">
                  <c:v>99.18041280659142</c:v>
                </c:pt>
                <c:pt idx="390">
                  <c:v>99.121422967879596</c:v>
                </c:pt>
                <c:pt idx="391">
                  <c:v>99.228092041591353</c:v>
                </c:pt>
                <c:pt idx="392">
                  <c:v>99.269849224812134</c:v>
                </c:pt>
                <c:pt idx="393">
                  <c:v>99.36119315725675</c:v>
                </c:pt>
                <c:pt idx="394">
                  <c:v>99.259876902386637</c:v>
                </c:pt>
                <c:pt idx="395">
                  <c:v>99.314624044028093</c:v>
                </c:pt>
                <c:pt idx="396">
                  <c:v>99.339731841674677</c:v>
                </c:pt>
                <c:pt idx="397">
                  <c:v>99.403995614031714</c:v>
                </c:pt>
                <c:pt idx="398">
                  <c:v>99.766950796145039</c:v>
                </c:pt>
                <c:pt idx="399">
                  <c:v>101.30671999539857</c:v>
                </c:pt>
                <c:pt idx="400">
                  <c:v>102.3960073134306</c:v>
                </c:pt>
                <c:pt idx="401">
                  <c:v>103.40313808874632</c:v>
                </c:pt>
                <c:pt idx="402">
                  <c:v>104.34333631652767</c:v>
                </c:pt>
                <c:pt idx="403">
                  <c:v>105.04633484263995</c:v>
                </c:pt>
                <c:pt idx="404">
                  <c:v>105.19481518807673</c:v>
                </c:pt>
                <c:pt idx="405">
                  <c:v>105.25988571607385</c:v>
                </c:pt>
                <c:pt idx="406">
                  <c:v>105.17994612092292</c:v>
                </c:pt>
                <c:pt idx="407">
                  <c:v>105.15899971348375</c:v>
                </c:pt>
                <c:pt idx="408">
                  <c:v>105.14757499471247</c:v>
                </c:pt>
                <c:pt idx="409">
                  <c:v>105.18363067218154</c:v>
                </c:pt>
                <c:pt idx="410">
                  <c:v>105.06346755754984</c:v>
                </c:pt>
                <c:pt idx="411">
                  <c:v>105.1251630980876</c:v>
                </c:pt>
                <c:pt idx="412">
                  <c:v>105.28305992202887</c:v>
                </c:pt>
                <c:pt idx="413">
                  <c:v>105.45720276737062</c:v>
                </c:pt>
                <c:pt idx="414">
                  <c:v>105.57932887230118</c:v>
                </c:pt>
                <c:pt idx="415">
                  <c:v>105.70064505998678</c:v>
                </c:pt>
                <c:pt idx="416">
                  <c:v>105.75049580859522</c:v>
                </c:pt>
                <c:pt idx="417">
                  <c:v>105.73847420320512</c:v>
                </c:pt>
                <c:pt idx="418">
                  <c:v>105.74265008690583</c:v>
                </c:pt>
                <c:pt idx="419">
                  <c:v>105.41437508173732</c:v>
                </c:pt>
                <c:pt idx="420">
                  <c:v>105.07362730820748</c:v>
                </c:pt>
                <c:pt idx="421">
                  <c:v>104.80623378158785</c:v>
                </c:pt>
                <c:pt idx="422">
                  <c:v>104.48216205055789</c:v>
                </c:pt>
                <c:pt idx="423">
                  <c:v>103.95423204711247</c:v>
                </c:pt>
                <c:pt idx="424">
                  <c:v>104.21942830297959</c:v>
                </c:pt>
                <c:pt idx="425">
                  <c:v>104.65414746916345</c:v>
                </c:pt>
                <c:pt idx="426">
                  <c:v>105.16567297902304</c:v>
                </c:pt>
                <c:pt idx="427">
                  <c:v>105.53621391176556</c:v>
                </c:pt>
                <c:pt idx="428">
                  <c:v>105.99225729077338</c:v>
                </c:pt>
                <c:pt idx="429">
                  <c:v>106.15356360908527</c:v>
                </c:pt>
                <c:pt idx="430">
                  <c:v>106.37059488198061</c:v>
                </c:pt>
                <c:pt idx="431">
                  <c:v>106.54727903827902</c:v>
                </c:pt>
                <c:pt idx="432">
                  <c:v>106.53601872376962</c:v>
                </c:pt>
                <c:pt idx="433">
                  <c:v>106.43970356085075</c:v>
                </c:pt>
                <c:pt idx="434">
                  <c:v>106.24577889854098</c:v>
                </c:pt>
                <c:pt idx="435">
                  <c:v>105.87249485371642</c:v>
                </c:pt>
                <c:pt idx="436">
                  <c:v>105.44558742044607</c:v>
                </c:pt>
                <c:pt idx="437">
                  <c:v>104.97547590438951</c:v>
                </c:pt>
                <c:pt idx="438">
                  <c:v>104.66982452727474</c:v>
                </c:pt>
                <c:pt idx="439">
                  <c:v>104.60181521421173</c:v>
                </c:pt>
                <c:pt idx="440">
                  <c:v>104.42785286373822</c:v>
                </c:pt>
                <c:pt idx="441">
                  <c:v>104.43581699699831</c:v>
                </c:pt>
                <c:pt idx="442">
                  <c:v>104.4822786048524</c:v>
                </c:pt>
                <c:pt idx="443">
                  <c:v>104.17714687754483</c:v>
                </c:pt>
                <c:pt idx="444">
                  <c:v>104.2311654895486</c:v>
                </c:pt>
                <c:pt idx="445">
                  <c:v>104.19205930584307</c:v>
                </c:pt>
                <c:pt idx="446">
                  <c:v>104.07789908361694</c:v>
                </c:pt>
                <c:pt idx="447">
                  <c:v>105.3244963432126</c:v>
                </c:pt>
                <c:pt idx="448">
                  <c:v>106.76540698146489</c:v>
                </c:pt>
                <c:pt idx="449">
                  <c:v>107.2006440111381</c:v>
                </c:pt>
                <c:pt idx="450">
                  <c:v>107.91260603088394</c:v>
                </c:pt>
                <c:pt idx="451">
                  <c:v>108.37675046444248</c:v>
                </c:pt>
                <c:pt idx="452">
                  <c:v>108.64685200815339</c:v>
                </c:pt>
                <c:pt idx="453">
                  <c:v>109.03648991673604</c:v>
                </c:pt>
                <c:pt idx="454">
                  <c:v>109.33868483151602</c:v>
                </c:pt>
                <c:pt idx="455">
                  <c:v>109.51767719238678</c:v>
                </c:pt>
                <c:pt idx="456">
                  <c:v>109.54158281227274</c:v>
                </c:pt>
                <c:pt idx="457">
                  <c:v>109.54019408644106</c:v>
                </c:pt>
                <c:pt idx="458">
                  <c:v>109.51402280194991</c:v>
                </c:pt>
                <c:pt idx="459">
                  <c:v>109.47944934306412</c:v>
                </c:pt>
                <c:pt idx="460">
                  <c:v>109.54961685449149</c:v>
                </c:pt>
                <c:pt idx="461">
                  <c:v>109.60727983103335</c:v>
                </c:pt>
                <c:pt idx="462">
                  <c:v>109.62938150071587</c:v>
                </c:pt>
                <c:pt idx="463">
                  <c:v>109.68946107327257</c:v>
                </c:pt>
                <c:pt idx="464">
                  <c:v>109.69464805883831</c:v>
                </c:pt>
                <c:pt idx="465">
                  <c:v>109.6652417857015</c:v>
                </c:pt>
                <c:pt idx="466">
                  <c:v>109.65358778117526</c:v>
                </c:pt>
                <c:pt idx="467">
                  <c:v>109.3177107897391</c:v>
                </c:pt>
                <c:pt idx="468">
                  <c:v>108.52275558196834</c:v>
                </c:pt>
                <c:pt idx="469">
                  <c:v>108.21492587467981</c:v>
                </c:pt>
                <c:pt idx="470">
                  <c:v>107.57797916158493</c:v>
                </c:pt>
                <c:pt idx="471">
                  <c:v>107.02437788586025</c:v>
                </c:pt>
                <c:pt idx="472">
                  <c:v>106.61714413580499</c:v>
                </c:pt>
                <c:pt idx="473">
                  <c:v>105.90154976510739</c:v>
                </c:pt>
                <c:pt idx="474">
                  <c:v>105.9840070783723</c:v>
                </c:pt>
                <c:pt idx="475">
                  <c:v>105.77014632294022</c:v>
                </c:pt>
                <c:pt idx="476">
                  <c:v>105.70560053026452</c:v>
                </c:pt>
                <c:pt idx="477">
                  <c:v>106.4573813765892</c:v>
                </c:pt>
                <c:pt idx="478">
                  <c:v>107.73002379793907</c:v>
                </c:pt>
                <c:pt idx="479">
                  <c:v>109.16269706612233</c:v>
                </c:pt>
                <c:pt idx="480">
                  <c:v>110.57304739950524</c:v>
                </c:pt>
                <c:pt idx="481">
                  <c:v>111.9667085679154</c:v>
                </c:pt>
                <c:pt idx="482">
                  <c:v>113.66241080841917</c:v>
                </c:pt>
                <c:pt idx="483">
                  <c:v>115.13517489176621</c:v>
                </c:pt>
                <c:pt idx="484">
                  <c:v>116.42513975681452</c:v>
                </c:pt>
                <c:pt idx="485">
                  <c:v>117.23919066136366</c:v>
                </c:pt>
                <c:pt idx="486">
                  <c:v>118.18794936338222</c:v>
                </c:pt>
                <c:pt idx="487">
                  <c:v>118.71905944625725</c:v>
                </c:pt>
                <c:pt idx="488">
                  <c:v>119.52849924485554</c:v>
                </c:pt>
                <c:pt idx="489">
                  <c:v>120.32937315797922</c:v>
                </c:pt>
                <c:pt idx="490">
                  <c:v>120.94140826606986</c:v>
                </c:pt>
                <c:pt idx="491">
                  <c:v>121.18996764107854</c:v>
                </c:pt>
                <c:pt idx="492">
                  <c:v>121.0389617428921</c:v>
                </c:pt>
                <c:pt idx="493">
                  <c:v>120.24062329057773</c:v>
                </c:pt>
                <c:pt idx="494">
                  <c:v>120.2335576195471</c:v>
                </c:pt>
                <c:pt idx="495">
                  <c:v>119.72758549084688</c:v>
                </c:pt>
                <c:pt idx="496">
                  <c:v>118.64397508278925</c:v>
                </c:pt>
                <c:pt idx="497">
                  <c:v>117.99528523159255</c:v>
                </c:pt>
                <c:pt idx="498">
                  <c:v>117.66866364857216</c:v>
                </c:pt>
                <c:pt idx="499">
                  <c:v>117.49721694522236</c:v>
                </c:pt>
                <c:pt idx="500">
                  <c:v>117.46506700802558</c:v>
                </c:pt>
                <c:pt idx="501">
                  <c:v>117.53442779955128</c:v>
                </c:pt>
                <c:pt idx="502">
                  <c:v>117.47876518128902</c:v>
                </c:pt>
                <c:pt idx="503">
                  <c:v>117.37186629195018</c:v>
                </c:pt>
                <c:pt idx="504">
                  <c:v>117.28756515059527</c:v>
                </c:pt>
                <c:pt idx="505">
                  <c:v>117.27091734299758</c:v>
                </c:pt>
                <c:pt idx="506">
                  <c:v>117.11601619217345</c:v>
                </c:pt>
                <c:pt idx="507">
                  <c:v>117.2059087707739</c:v>
                </c:pt>
                <c:pt idx="508">
                  <c:v>117.74525058513197</c:v>
                </c:pt>
                <c:pt idx="509">
                  <c:v>118.74809416923674</c:v>
                </c:pt>
                <c:pt idx="510">
                  <c:v>119.50024577013377</c:v>
                </c:pt>
                <c:pt idx="511">
                  <c:v>120.13190862265316</c:v>
                </c:pt>
                <c:pt idx="512">
                  <c:v>120.79625413700698</c:v>
                </c:pt>
                <c:pt idx="513">
                  <c:v>121.26898893223053</c:v>
                </c:pt>
                <c:pt idx="514">
                  <c:v>121.84171086949398</c:v>
                </c:pt>
                <c:pt idx="515">
                  <c:v>122.13098841299002</c:v>
                </c:pt>
                <c:pt idx="516">
                  <c:v>122.2571552984346</c:v>
                </c:pt>
                <c:pt idx="517">
                  <c:v>122.36043266869464</c:v>
                </c:pt>
                <c:pt idx="518">
                  <c:v>122.34657789811266</c:v>
                </c:pt>
                <c:pt idx="519">
                  <c:v>122.32431362878619</c:v>
                </c:pt>
                <c:pt idx="520">
                  <c:v>122.25509283101742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63-4907-A16F-9D06FD9DF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339664"/>
        <c:axId val="590339184"/>
      </c:lineChart>
      <c:dateAx>
        <c:axId val="590339664"/>
        <c:scaling>
          <c:orientation val="minMax"/>
          <c:min val="4593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39184"/>
        <c:crosses val="autoZero"/>
        <c:auto val="0"/>
        <c:lblOffset val="100"/>
        <c:baseTimeUnit val="days"/>
      </c:dateAx>
      <c:valAx>
        <c:axId val="590339184"/>
        <c:scaling>
          <c:orientation val="minMax"/>
          <c:max val="13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3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</a:t>
            </a:r>
            <a:r>
              <a:rPr lang="en-US" baseline="0"/>
              <a:t> For 1st Qtr 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MondayStart!$B$1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MondayStart!$A$2:$A$120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MondayStart!$B$2:$B$120</c:f>
              <c:numCache>
                <c:formatCode>General</c:formatCode>
                <c:ptCount val="119"/>
                <c:pt idx="0">
                  <c:v>52.754449999999999</c:v>
                </c:pt>
                <c:pt idx="1">
                  <c:v>53.418140000000001</c:v>
                </c:pt>
                <c:pt idx="2">
                  <c:v>54.0428</c:v>
                </c:pt>
                <c:pt idx="3">
                  <c:v>54.186140000000002</c:v>
                </c:pt>
                <c:pt idx="4">
                  <c:v>55.583460000000002</c:v>
                </c:pt>
                <c:pt idx="5">
                  <c:v>56.432760000000002</c:v>
                </c:pt>
                <c:pt idx="6">
                  <c:v>56.512079999999997</c:v>
                </c:pt>
                <c:pt idx="7">
                  <c:v>58.376899999999999</c:v>
                </c:pt>
                <c:pt idx="8">
                  <c:v>59.235999999999997</c:v>
                </c:pt>
                <c:pt idx="9">
                  <c:v>60.077999999999996</c:v>
                </c:pt>
                <c:pt idx="10">
                  <c:v>61.01</c:v>
                </c:pt>
                <c:pt idx="11">
                  <c:v>61.06</c:v>
                </c:pt>
                <c:pt idx="12">
                  <c:v>60.4925</c:v>
                </c:pt>
                <c:pt idx="13">
                  <c:v>59.588000000000001</c:v>
                </c:pt>
                <c:pt idx="14">
                  <c:v>60.084000000000003</c:v>
                </c:pt>
                <c:pt idx="15">
                  <c:v>59.642000000000003</c:v>
                </c:pt>
                <c:pt idx="16">
                  <c:v>59.893999999999998</c:v>
                </c:pt>
                <c:pt idx="17">
                  <c:v>59.594000000000001</c:v>
                </c:pt>
                <c:pt idx="18">
                  <c:v>60.341999999999999</c:v>
                </c:pt>
                <c:pt idx="19">
                  <c:v>61.752000000000002</c:v>
                </c:pt>
                <c:pt idx="20">
                  <c:v>64.960000000000008</c:v>
                </c:pt>
                <c:pt idx="21">
                  <c:v>65.152500000000003</c:v>
                </c:pt>
                <c:pt idx="22">
                  <c:v>66.507999999999996</c:v>
                </c:pt>
                <c:pt idx="23">
                  <c:v>66.744</c:v>
                </c:pt>
                <c:pt idx="24">
                  <c:v>67.734999999999999</c:v>
                </c:pt>
                <c:pt idx="25">
                  <c:v>68.040000000000006</c:v>
                </c:pt>
                <c:pt idx="26">
                  <c:v>68.457499999999996</c:v>
                </c:pt>
                <c:pt idx="27">
                  <c:v>69.805999999999997</c:v>
                </c:pt>
                <c:pt idx="28">
                  <c:v>70.44</c:v>
                </c:pt>
                <c:pt idx="29">
                  <c:v>70.286000000000001</c:v>
                </c:pt>
                <c:pt idx="30">
                  <c:v>69.14</c:v>
                </c:pt>
                <c:pt idx="31">
                  <c:v>67.569999999999993</c:v>
                </c:pt>
                <c:pt idx="32">
                  <c:v>70.424000000000007</c:v>
                </c:pt>
                <c:pt idx="33">
                  <c:v>74.956000000000003</c:v>
                </c:pt>
                <c:pt idx="34">
                  <c:v>76.378</c:v>
                </c:pt>
                <c:pt idx="35">
                  <c:v>77.002499999999998</c:v>
                </c:pt>
                <c:pt idx="36">
                  <c:v>79.05</c:v>
                </c:pt>
                <c:pt idx="37">
                  <c:v>79.058000000000007</c:v>
                </c:pt>
                <c:pt idx="38">
                  <c:v>80.42</c:v>
                </c:pt>
                <c:pt idx="39">
                  <c:v>80.763999999999996</c:v>
                </c:pt>
                <c:pt idx="40">
                  <c:v>79.783999999999992</c:v>
                </c:pt>
                <c:pt idx="41">
                  <c:v>81.072000000000003</c:v>
                </c:pt>
                <c:pt idx="42">
                  <c:v>82.33</c:v>
                </c:pt>
                <c:pt idx="43">
                  <c:v>81.995999999999995</c:v>
                </c:pt>
                <c:pt idx="44">
                  <c:v>83.65</c:v>
                </c:pt>
                <c:pt idx="45">
                  <c:v>84.683999999999997</c:v>
                </c:pt>
                <c:pt idx="46">
                  <c:v>87.337999999999994</c:v>
                </c:pt>
                <c:pt idx="47">
                  <c:v>91.297499999999999</c:v>
                </c:pt>
                <c:pt idx="48">
                  <c:v>94.320000000000007</c:v>
                </c:pt>
                <c:pt idx="49">
                  <c:v>94.335999999999999</c:v>
                </c:pt>
                <c:pt idx="50">
                  <c:v>93.896000000000001</c:v>
                </c:pt>
                <c:pt idx="51">
                  <c:v>91.87</c:v>
                </c:pt>
                <c:pt idx="52">
                  <c:v>90.424999999999997</c:v>
                </c:pt>
                <c:pt idx="53">
                  <c:v>91.76</c:v>
                </c:pt>
                <c:pt idx="54">
                  <c:v>91.38</c:v>
                </c:pt>
                <c:pt idx="55">
                  <c:v>93.72</c:v>
                </c:pt>
                <c:pt idx="56">
                  <c:v>97.8</c:v>
                </c:pt>
                <c:pt idx="57">
                  <c:v>101.354</c:v>
                </c:pt>
                <c:pt idx="58">
                  <c:v>103.61799999999999</c:v>
                </c:pt>
                <c:pt idx="59">
                  <c:v>99.942499999999995</c:v>
                </c:pt>
                <c:pt idx="60">
                  <c:v>96.591999999999999</c:v>
                </c:pt>
                <c:pt idx="61">
                  <c:v>94.98</c:v>
                </c:pt>
                <c:pt idx="62">
                  <c:v>86.061999999999998</c:v>
                </c:pt>
                <c:pt idx="63">
                  <c:v>86.233999999999995</c:v>
                </c:pt>
                <c:pt idx="64">
                  <c:v>85.647999999999996</c:v>
                </c:pt>
                <c:pt idx="65">
                  <c:v>87.366</c:v>
                </c:pt>
                <c:pt idx="66">
                  <c:v>87.725999999999999</c:v>
                </c:pt>
                <c:pt idx="67">
                  <c:v>93.277500000000003</c:v>
                </c:pt>
                <c:pt idx="68">
                  <c:v>94.63</c:v>
                </c:pt>
                <c:pt idx="69">
                  <c:v>96.933999999999997</c:v>
                </c:pt>
                <c:pt idx="70">
                  <c:v>98.171999999999997</c:v>
                </c:pt>
                <c:pt idx="71">
                  <c:v>96.81</c:v>
                </c:pt>
                <c:pt idx="72">
                  <c:v>96.924000000000007</c:v>
                </c:pt>
                <c:pt idx="73">
                  <c:v>97.66</c:v>
                </c:pt>
                <c:pt idx="74">
                  <c:v>98.905999999999992</c:v>
                </c:pt>
                <c:pt idx="75">
                  <c:v>95.968000000000004</c:v>
                </c:pt>
                <c:pt idx="76">
                  <c:v>94.9375</c:v>
                </c:pt>
                <c:pt idx="77">
                  <c:v>97.284000000000006</c:v>
                </c:pt>
                <c:pt idx="78">
                  <c:v>97.997500000000002</c:v>
                </c:pt>
                <c:pt idx="79">
                  <c:v>96.501999999999995</c:v>
                </c:pt>
                <c:pt idx="80">
                  <c:v>95.292000000000002</c:v>
                </c:pt>
                <c:pt idx="81">
                  <c:v>96.254000000000005</c:v>
                </c:pt>
                <c:pt idx="82">
                  <c:v>98</c:v>
                </c:pt>
                <c:pt idx="83">
                  <c:v>101.822</c:v>
                </c:pt>
                <c:pt idx="84">
                  <c:v>101.878</c:v>
                </c:pt>
                <c:pt idx="85">
                  <c:v>99.87</c:v>
                </c:pt>
                <c:pt idx="86">
                  <c:v>96.257999999999996</c:v>
                </c:pt>
                <c:pt idx="87">
                  <c:v>99.682500000000005</c:v>
                </c:pt>
                <c:pt idx="88">
                  <c:v>102.224</c:v>
                </c:pt>
                <c:pt idx="89">
                  <c:v>103.462</c:v>
                </c:pt>
                <c:pt idx="90">
                  <c:v>102.85599999999999</c:v>
                </c:pt>
                <c:pt idx="91">
                  <c:v>102.374</c:v>
                </c:pt>
                <c:pt idx="92">
                  <c:v>102.49</c:v>
                </c:pt>
                <c:pt idx="93">
                  <c:v>106.512</c:v>
                </c:pt>
                <c:pt idx="94">
                  <c:v>106.688</c:v>
                </c:pt>
                <c:pt idx="95">
                  <c:v>102.702</c:v>
                </c:pt>
                <c:pt idx="96">
                  <c:v>101.92</c:v>
                </c:pt>
                <c:pt idx="97">
                  <c:v>102.864</c:v>
                </c:pt>
                <c:pt idx="98">
                  <c:v>103.476</c:v>
                </c:pt>
                <c:pt idx="99">
                  <c:v>107.6675</c:v>
                </c:pt>
                <c:pt idx="100">
                  <c:v>113.66</c:v>
                </c:pt>
                <c:pt idx="101">
                  <c:v>114.804</c:v>
                </c:pt>
                <c:pt idx="102">
                  <c:v>115.41200000000001</c:v>
                </c:pt>
                <c:pt idx="103">
                  <c:v>111.71250000000001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F6-47A8-9040-252A0154D91E}"/>
            </c:ext>
          </c:extLst>
        </c:ser>
        <c:ser>
          <c:idx val="1"/>
          <c:order val="1"/>
          <c:tx>
            <c:strRef>
              <c:f>MondayStart!$C$1</c:f>
              <c:strCache>
                <c:ptCount val="1"/>
                <c:pt idx="0">
                  <c:v>Frozen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MondayStart!$A$2:$A$120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MondayStart!$C$2:$C$120</c:f>
              <c:numCache>
                <c:formatCode>General</c:formatCode>
                <c:ptCount val="119"/>
                <c:pt idx="104">
                  <c:v>112.155</c:v>
                </c:pt>
                <c:pt idx="105">
                  <c:v>113.474</c:v>
                </c:pt>
                <c:pt idx="106">
                  <c:v>119.45400000000001</c:v>
                </c:pt>
                <c:pt idx="107">
                  <c:v>118.4075</c:v>
                </c:pt>
                <c:pt idx="108">
                  <c:v>117.53999999999999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F6-47A8-9040-252A0154D91E}"/>
            </c:ext>
          </c:extLst>
        </c:ser>
        <c:ser>
          <c:idx val="2"/>
          <c:order val="2"/>
          <c:tx>
            <c:strRef>
              <c:f>MondayStart!$D$1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MondayStart!$A$2:$A$120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MondayStart!$D$2:$D$120</c:f>
              <c:numCache>
                <c:formatCode>General</c:formatCode>
                <c:ptCount val="119"/>
                <c:pt idx="104">
                  <c:v>112.93713185259743</c:v>
                </c:pt>
                <c:pt idx="105">
                  <c:v>113.13473761150379</c:v>
                </c:pt>
                <c:pt idx="106">
                  <c:v>113.36758660713444</c:v>
                </c:pt>
                <c:pt idx="107">
                  <c:v>114.26202566219585</c:v>
                </c:pt>
                <c:pt idx="108">
                  <c:v>115.9561471383491</c:v>
                </c:pt>
                <c:pt idx="109">
                  <c:v>116.43985181567326</c:v>
                </c:pt>
                <c:pt idx="110">
                  <c:v>115.96424727692512</c:v>
                </c:pt>
                <c:pt idx="111">
                  <c:v>116.48449767458024</c:v>
                </c:pt>
                <c:pt idx="112">
                  <c:v>117.0132721383017</c:v>
                </c:pt>
                <c:pt idx="113">
                  <c:v>117.5400179297917</c:v>
                </c:pt>
                <c:pt idx="114">
                  <c:v>118.063918264394</c:v>
                </c:pt>
                <c:pt idx="115">
                  <c:v>118.59765795109075</c:v>
                </c:pt>
                <c:pt idx="116">
                  <c:v>119.13369791710195</c:v>
                </c:pt>
                <c:pt idx="117">
                  <c:v>119.66255383117998</c:v>
                </c:pt>
                <c:pt idx="118">
                  <c:v>120.15177943346544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F6-47A8-9040-252A0154D91E}"/>
            </c:ext>
          </c:extLst>
        </c:ser>
        <c:ser>
          <c:idx val="3"/>
          <c:order val="3"/>
          <c:tx>
            <c:strRef>
              <c:f>MondayStart!$F$1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MondayStart!$A$2:$A$120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MondayStart!$F$2:$F$120</c:f>
              <c:numCache>
                <c:formatCode>General</c:formatCode>
                <c:ptCount val="119"/>
                <c:pt idx="104">
                  <c:v>108.60143286338868</c:v>
                </c:pt>
                <c:pt idx="105">
                  <c:v>106.94337986846234</c:v>
                </c:pt>
                <c:pt idx="106">
                  <c:v>105.8043216875613</c:v>
                </c:pt>
                <c:pt idx="107">
                  <c:v>105.64341055524673</c:v>
                </c:pt>
                <c:pt idx="108">
                  <c:v>107.67216615046517</c:v>
                </c:pt>
                <c:pt idx="109">
                  <c:v>107.2317278316128</c:v>
                </c:pt>
                <c:pt idx="110">
                  <c:v>105.32783660034752</c:v>
                </c:pt>
                <c:pt idx="111">
                  <c:v>105.09362194444358</c:v>
                </c:pt>
                <c:pt idx="112">
                  <c:v>104.88265629285625</c:v>
                </c:pt>
                <c:pt idx="113">
                  <c:v>104.69675888082043</c:v>
                </c:pt>
                <c:pt idx="114">
                  <c:v>104.53040523304541</c:v>
                </c:pt>
                <c:pt idx="115">
                  <c:v>104.3963730210388</c:v>
                </c:pt>
                <c:pt idx="116">
                  <c:v>104.29893000053669</c:v>
                </c:pt>
                <c:pt idx="117">
                  <c:v>104.21865215125898</c:v>
                </c:pt>
                <c:pt idx="118">
                  <c:v>104.0767190407588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F6-47A8-9040-252A0154D91E}"/>
            </c:ext>
          </c:extLst>
        </c:ser>
        <c:ser>
          <c:idx val="4"/>
          <c:order val="4"/>
          <c:tx>
            <c:strRef>
              <c:f>MondayStart!$G$1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MondayStart!$A$2:$A$120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MondayStart!$G$2:$G$120</c:f>
              <c:numCache>
                <c:formatCode>General</c:formatCode>
                <c:ptCount val="119"/>
                <c:pt idx="104">
                  <c:v>117.27283084180618</c:v>
                </c:pt>
                <c:pt idx="105">
                  <c:v>119.32609535454525</c:v>
                </c:pt>
                <c:pt idx="106">
                  <c:v>120.93085152670758</c:v>
                </c:pt>
                <c:pt idx="107">
                  <c:v>122.88064076914497</c:v>
                </c:pt>
                <c:pt idx="108">
                  <c:v>124.24012812623302</c:v>
                </c:pt>
                <c:pt idx="109">
                  <c:v>125.64797579973373</c:v>
                </c:pt>
                <c:pt idx="110">
                  <c:v>126.60065795350272</c:v>
                </c:pt>
                <c:pt idx="111">
                  <c:v>127.8753734047169</c:v>
                </c:pt>
                <c:pt idx="112">
                  <c:v>129.14388798374716</c:v>
                </c:pt>
                <c:pt idx="113">
                  <c:v>130.38327697876298</c:v>
                </c:pt>
                <c:pt idx="114">
                  <c:v>131.59743129574258</c:v>
                </c:pt>
                <c:pt idx="115">
                  <c:v>132.79894288114269</c:v>
                </c:pt>
                <c:pt idx="116">
                  <c:v>133.96846583366724</c:v>
                </c:pt>
                <c:pt idx="117">
                  <c:v>135.10645551110099</c:v>
                </c:pt>
                <c:pt idx="118">
                  <c:v>136.22683982617207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F6-47A8-9040-252A0154D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92320"/>
        <c:axId val="153792800"/>
      </c:lineChart>
      <c:dateAx>
        <c:axId val="153792320"/>
        <c:scaling>
          <c:orientation val="minMax"/>
          <c:min val="4580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 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92800"/>
        <c:crosses val="autoZero"/>
        <c:auto val="1"/>
        <c:lblOffset val="100"/>
        <c:baseTimeUnit val="days"/>
      </c:dateAx>
      <c:valAx>
        <c:axId val="153792800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</a:t>
                </a:r>
              </a:p>
              <a:p>
                <a:pPr>
                  <a:defRPr/>
                </a:pPr>
                <a:r>
                  <a:rPr lang="en-US"/>
                  <a:t> Weekly Close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9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2</xdr:row>
      <xdr:rowOff>42862</xdr:rowOff>
    </xdr:from>
    <xdr:to>
      <xdr:col>13</xdr:col>
      <xdr:colOff>342900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6000D8-F392-ADF8-B7B7-2D045486F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6</xdr:row>
      <xdr:rowOff>66675</xdr:rowOff>
    </xdr:from>
    <xdr:to>
      <xdr:col>11</xdr:col>
      <xdr:colOff>352425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A511D-3F83-4549-951C-FDFADDCCC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561975</xdr:colOff>
      <xdr:row>20</xdr:row>
      <xdr:rowOff>123825</xdr:rowOff>
    </xdr:from>
    <xdr:to>
      <xdr:col>11</xdr:col>
      <xdr:colOff>390525</xdr:colOff>
      <xdr:row>35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F53F65-6DC2-4876-86F5-7A0E4B8D7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571499</xdr:colOff>
      <xdr:row>56</xdr:row>
      <xdr:rowOff>76200</xdr:rowOff>
    </xdr:from>
    <xdr:to>
      <xdr:col>11</xdr:col>
      <xdr:colOff>409575</xdr:colOff>
      <xdr:row>70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0478E2-7B62-4EBC-BE24-8C8ABA0A9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590550</xdr:colOff>
      <xdr:row>37</xdr:row>
      <xdr:rowOff>0</xdr:rowOff>
    </xdr:from>
    <xdr:to>
      <xdr:col>11</xdr:col>
      <xdr:colOff>409576</xdr:colOff>
      <xdr:row>55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B11C1-E4D4-4B63-8B5C-EDA04CA7A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561975</xdr:colOff>
      <xdr:row>72</xdr:row>
      <xdr:rowOff>85725</xdr:rowOff>
    </xdr:from>
    <xdr:to>
      <xdr:col>11</xdr:col>
      <xdr:colOff>457200</xdr:colOff>
      <xdr:row>86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E1C3BF-F741-44FB-9ABC-07028AB47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EFF65A-C8F8-4043-AEF0-41DE565AC39B}" autoFormatId="16" applyNumberFormats="0" applyBorderFormats="0" applyFontFormats="0" applyPatternFormats="0" applyAlignmentFormats="0" applyWidthHeightFormats="0">
  <queryTableRefresh nextId="8" unboundColumnsRight="5">
    <queryTableFields count="7">
      <queryTableField id="1" name="Week " tableColumnId="1"/>
      <queryTableField id="2" name="Average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D3F014C-C2C1-45F2-A6E9-6E48594C42A1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Date" tableColumnId="1"/>
      <queryTableField id="2" name="Average" tableColumnId="2"/>
      <queryTableField id="3" dataBound="0" tableColumnId="3"/>
      <queryTableField id="4" dataBound="0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2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</a>
  <a r="1" c="522">
    <v>53.0961</v>
    <v>53.099499999999999</v>
    <v>52.586100000000002</v>
    <v>52.2361</v>
    <v>52.749499999999998</v>
    <v>53.102800000000002</v>
    <v>53.762799999999999</v>
    <v>53.702800000000003</v>
    <v>53.772799999999997</v>
    <v>53.942799999999998</v>
    <v>53.689500000000002</v>
    <v>54.412799999999997</v>
    <v>54.126100000000001</v>
    <v>54.1295</v>
    <v>54.266100000000002</v>
    <v>53.499499999999998</v>
    <v>54.279499999999999</v>
    <v>54.756100000000004</v>
    <v>55.012799999999999</v>
    <v>55.196100000000001</v>
    <v>55.082799999999999</v>
    <v>56.102800000000002</v>
    <v>56.522799999999997</v>
    <v>56.2194</v>
    <v>56.602800000000002</v>
    <v>56.459400000000002</v>
    <v>56.456099999999999</v>
    <v>56.426099999999998</v>
    <v>56.766100000000002</v>
    <v>56.379399999999997</v>
    <v>56.199399999999997</v>
    <v>56.429400000000001</v>
    <v>56.786099999999998</v>
    <v>58.619399999999999</v>
    <v>57.8994</v>
    <v>58.4694</v>
    <v>58.519399999999997</v>
    <v>59.6</v>
    <v>59.59</v>
    <v>59.62</v>
    <v>58.61</v>
    <v>58.76</v>
    <v>59.3</v>
    <v>60.04</v>
    <v>60.57</v>
    <v>60.36</v>
    <v>60.12</v>
    <v>60.66</v>
    <v>61.41</v>
    <v>61.28</v>
    <v>61.02</v>
    <v>60.68</v>
    <v>60.86</v>
    <v>60.87</v>
    <v>61.25</v>
    <v>61.45</v>
    <v>60.87</v>
    <v>60.57</v>
    <v>60.51</v>
    <v>60.72</v>
    <v>60.17</v>
    <v>60</v>
    <v>59.16</v>
    <v>59.43</v>
    <v>59.5</v>
    <v>59.85</v>
    <v>59.78</v>
    <v>59.79</v>
    <v>60.62</v>
    <v>60.09</v>
    <v>60.14</v>
    <v>59.93</v>
    <v>59.84</v>
    <v>59.65</v>
    <v>59.26</v>
    <v>59.53</v>
    <v>60.14</v>
    <v>59.09</v>
    <v>59.87</v>
    <v>60.21</v>
    <v>60.16</v>
    <v>60.24</v>
    <v>59.35</v>
    <v>58.85</v>
    <v>59.71</v>
    <v>59.82</v>
    <v>59.87</v>
    <v>60.62</v>
    <v>60.3</v>
    <v>60.44</v>
    <v>60.48</v>
    <v>60.41</v>
    <v>59.86</v>
    <v>59.83</v>
    <v>64.010000000000005</v>
    <v>64.650000000000006</v>
    <v>64.180000000000007</v>
    <v>65.150000000000006</v>
    <v>65.25</v>
    <v>64.84</v>
    <v>65.38</v>
    <v>65.040000000000006</v>
    <v>64.92</v>
    <v>64.89</v>
    <v>65.760000000000005</v>
    <v>65.819999999999993</v>
    <v>66.599999999999994</v>
    <v>67.09</v>
    <v>67.150000000000006</v>
    <v>65.88</v>
    <v>66.959999999999994</v>
    <v>66.73</v>
    <v>66.31</v>
    <v>66.7</v>
    <v>67.02</v>
    <v>67.42</v>
    <v>67.599999999999994</v>
    <v>68.010000000000005</v>
    <v>67.91</v>
    <v>68.900000000000006</v>
    <v>67.42</v>
    <v>68.290000000000006</v>
    <v>67.88</v>
    <v>67.709999999999994</v>
    <v>67.48</v>
    <v>68.069999999999993</v>
    <v>68.239999999999995</v>
    <v>70.040000000000006</v>
    <v>69.680000000000007</v>
    <v>69.900000000000006</v>
    <v>70.41</v>
    <v>69.8</v>
    <v>69.239999999999995</v>
    <v>69.61</v>
    <v>69.989999999999995</v>
    <v>71.03</v>
    <v>70.819999999999993</v>
    <v>70.75</v>
    <v>70.38</v>
    <v>70.650000000000006</v>
    <v>70.599999999999994</v>
    <v>70.02</v>
    <v>69.78</v>
    <v>69.62</v>
    <v>69.19</v>
    <v>68.64</v>
    <v>69.790000000000006</v>
    <v>68.459999999999994</v>
    <v>67.59</v>
    <v>67.739999999999995</v>
    <v>66.91</v>
    <v>67.66</v>
    <v>67.95</v>
    <v>68.7</v>
    <v>68.13</v>
    <v>68.66</v>
    <v>73.180000000000007</v>
    <v>73.45</v>
    <v>73.72</v>
    <v>74.540000000000006</v>
    <v>75.239999999999995</v>
    <v>75.58</v>
    <v>75.7</v>
    <v>76.03</v>
    <v>76.13</v>
    <v>76.08</v>
    <v>76.42</v>
    <v>77.23</v>
    <v>77.17</v>
    <v>77.239999999999995</v>
    <v>76.959999999999994</v>
    <v>76.64</v>
    <v>77.34</v>
    <v>78.81</v>
    <v>78.84</v>
    <v>79.66</v>
    <v>80.599999999999994</v>
    <v>80.56</v>
    <v>78.599999999999994</v>
    <v>79.03</v>
    <v>78.040000000000006</v>
    <v>79.06</v>
    <v>80.33</v>
    <v>80.67</v>
    <v>81.400000000000006</v>
    <v>79.92</v>
    <v>79.78</v>
    <v>80.75</v>
    <v>81.27</v>
    <v>80.430000000000007</v>
    <v>80.430000000000007</v>
    <v>80.94</v>
    <v>79.099999999999994</v>
    <v>79.709999999999994</v>
    <v>80.400000000000006</v>
    <v>79.61</v>
    <v>80.099999999999994</v>
    <v>80.290000000000006</v>
    <v>81.650000000000006</v>
    <v>81.22</v>
    <v>80.89</v>
    <v>81.31</v>
    <v>80.81</v>
    <v>82.02</v>
    <v>83.27</v>
    <v>83.04</v>
    <v>82.51</v>
    <v>82.75</v>
    <v>81.7</v>
    <v>81.39</v>
    <v>81.95</v>
    <v>82.19</v>
    <v>82.45</v>
    <v>83.68</v>
    <v>83.44</v>
    <v>83.85</v>
    <v>84.83</v>
    <v>84.21</v>
    <v>84.99</v>
    <v>85.5</v>
    <v>84.47</v>
    <v>84.25</v>
    <v>84.08</v>
    <v>86.6</v>
    <v>87.18</v>
    <v>88.39</v>
    <v>90.44</v>
    <v>89.5</v>
    <v>91.31</v>
    <v>91.88</v>
    <v>92.5</v>
    <v>92.64</v>
    <v>93.51</v>
    <v>94.45</v>
    <v>95.3</v>
    <v>95.7</v>
    <v>93.83</v>
    <v>94.55</v>
    <v>94.96</v>
    <v>94.09</v>
    <v>94.25</v>
    <v>94.87</v>
    <v>95.42</v>
    <v>93.55</v>
    <v>93.4</v>
    <v>92.24</v>
    <v>90.35</v>
    <v>92.68</v>
    <v>92.79</v>
    <v>91.66</v>
    <v>90.57</v>
    <v>90.35</v>
    <v>90</v>
    <v>90.78</v>
    <v>91.43</v>
    <v>90.81</v>
    <v>91.8</v>
    <v>93</v>
    <v>91.53</v>
    <v>90.79</v>
    <v>91.34</v>
    <v>91.3</v>
    <v>91.94</v>
    <v>93.08</v>
    <v>93.23</v>
    <v>93.81</v>
    <v>94.76</v>
    <v>97.4</v>
    <v>97.29</v>
    <v>97.5</v>
    <v>98.65</v>
    <v>98.16</v>
    <v>99.54</v>
    <v>100.77</v>
    <v>102.46</v>
    <v>102.85</v>
    <v>101.15</v>
    <v>102.92</v>
    <v>102.47</v>
    <v>103.61</v>
    <v>105.05</v>
    <v>104.04</v>
    <v>103.78</v>
    <v>104</v>
    <v>97.21</v>
    <v>94.78</v>
    <v>93.67</v>
    <v>97.69</v>
    <v>96.2</v>
    <v>96.79</v>
    <v>98.61</v>
    <v>97.59</v>
    <v>94.97</v>
    <v>95.98</v>
    <v>94.64</v>
    <v>91.72</v>
    <v>87.82</v>
    <v>87.44</v>
    <v>85.2</v>
    <v>84.5</v>
    <v>85.35</v>
    <v>87.46</v>
    <v>85.59</v>
    <v>86.33</v>
    <v>85.81</v>
    <v>85.98</v>
    <v>87.49</v>
    <v>84.76</v>
    <v>85.21</v>
    <v>85.63</v>
    <v>85.15</v>
    <v>87.79</v>
    <v>88.83</v>
    <v>89.76</v>
    <v>87.26</v>
    <v>83.19</v>
    <v>83.83</v>
    <v>81.790000000000006</v>
    <v>89.6</v>
    <v>90.61</v>
    <v>92.8</v>
    <v>94.73</v>
    <v>93.97</v>
    <v>91.19</v>
    <v>93.22</v>
    <v>92.41</v>
    <v>94.85</v>
    <v>94.96</v>
    <v>95.84</v>
    <v>95.09</v>
    <v>95.22</v>
    <v>96.04</v>
    <v>97.25</v>
    <v>97.41</v>
    <v>98.75</v>
    <v>99.33</v>
    <v>98.55</v>
    <v>98.83</v>
    <v>97.43</v>
    <v>96.72</v>
    <v>96.75</v>
    <v>95.88</v>
    <v>96.83</v>
    <v>96.35</v>
    <v>98.24</v>
    <v>98.12</v>
    <v>97.8</v>
    <v>96.43</v>
    <v>95.93</v>
    <v>96.34</v>
    <v>97.58</v>
    <v>97.24</v>
    <v>97.1</v>
    <v>98.72</v>
    <v>99.77</v>
    <v>99.98</v>
    <v>99.35</v>
    <v>97.96</v>
    <v>97.47</v>
    <v>97.45</v>
    <v>97.32</v>
    <v>95.8</v>
    <v>94.83</v>
    <v>94.44</v>
    <v>94.29</v>
    <v>94.25</v>
    <v>95.09</v>
    <v>96.12</v>
    <v>97.87</v>
    <v>98</v>
    <v>97.26</v>
    <v>96.02</v>
    <v>97.27</v>
    <v>97.78</v>
    <v>98.24</v>
    <v>97.61</v>
    <v>98.36</v>
    <v>99.35</v>
    <v>97.09</v>
    <v>96.81</v>
    <v>94.86</v>
    <v>94.4</v>
    <v>95.78</v>
    <v>95.39</v>
    <v>95.15</v>
    <v>95.09</v>
    <v>95.05</v>
    <v>95.67</v>
    <v>95.85</v>
    <v>95.68</v>
    <v>96.6</v>
    <v>97.47</v>
    <v>97.61</v>
    <v>98.33</v>
    <v>97.59</v>
    <v>97.98</v>
    <v>98.49</v>
    <v>99.59</v>
    <v>99.31</v>
    <v>103.36</v>
    <v>103.12</v>
    <v>103.73</v>
    <v>103.93</v>
    <v>103.62</v>
    <v>100.99</v>
    <v>100.85</v>
    <v>100</v>
    <v>100.7</v>
    <v>101.29</v>
    <v>102.57</v>
    <v>97.96</v>
    <v>96.83</v>
    <v>96.07</v>
    <v>96.05</v>
    <v>96.08</v>
    <v>96.11</v>
    <v>96.98</v>
    <v>97.85</v>
    <v>99.44</v>
    <v>100.93</v>
    <v>100.51</v>
    <v>102.28</v>
    <v>102.29</v>
    <v>100.41</v>
    <v>102.65</v>
    <v>103.49</v>
    <v>103.69</v>
    <v>103.42</v>
    <v>104.27</v>
    <v>103.6</v>
    <v>102.33</v>
    <v>102.82</v>
    <v>102.52</v>
    <v>102.73</v>
    <v>103.05</v>
    <v>103.16</v>
    <v>103.08</v>
    <v>103.06</v>
    <v>101.96</v>
    <v>101.7</v>
    <v>102.07</v>
    <v>102.7</v>
    <v>103.24</v>
    <v>102.9</v>
    <v>101.77</v>
    <v>101.84</v>
    <v>102.12</v>
    <v>107.21</v>
    <v>109.03</v>
    <v>106.47</v>
    <v>107.73</v>
    <v>107.05</v>
    <v>106.22</v>
    <v>107.14</v>
    <v>106.86</v>
    <v>106.17</v>
    <v>104.47</v>
    <v>103.17</v>
    <v>102.46</v>
    <v>102.23</v>
    <v>101.18</v>
    <v>101.59</v>
    <v>102.27</v>
    <v>101.47</v>
    <v>101.68</v>
    <v>102.59</v>
    <v>102.42</v>
    <v>103.44</v>
    <v>103.44</v>
    <v>102.54</v>
    <v>102.48</v>
    <v>102.95</v>
    <v>101.39</v>
    <v>100.61</v>
    <v>107.11</v>
    <v>105.32</v>
    <v>104.06</v>
    <v>107</v>
    <v>109.1</v>
    <v>110.51</v>
    <v>111.53</v>
    <v>112.41</v>
    <v>114.41</v>
    <v>114.84</v>
    <v>115.11</v>
    <v>113.56</v>
    <v>115.06</v>
    <v>113.18</v>
    <v>115.52</v>
    <v>116.7</v>
    <v>116.79</v>
    <v>115.42</v>
    <v>115.66</v>
    <v>114.83</v>
    <v>114.36</v>
    <v>112.6</v>
    <v>110.9</v>
    <v>111.61</v>
    <v>111.74</v>
    <v>112.53</v>
    <v>111.92</v>
    <v>111.41</v>
    <v>112.76</v>
    <v>112.71</v>
    <v>114.34</v>
    <v>112.72</v>
    <v>113.07</v>
    <v>114.53</v>
    <v>117.97</v>
    <v>120.36</v>
    <v>120.04</v>
    <v>119.2</v>
    <v>119.7</v>
    <v>118.71</v>
    <v>119.36</v>
    <v>117.83</v>
    <v>117.73</v>
    <v>117.64</v>
    <v>116.94</v>
    <v>116.57</v>
    <v>117.41</v>
    <v>119.14</v>
  </a>
  <a r="1" c="522">
    <v>23539912</v>
    <v>18756247</v>
    <v>19282662</v>
    <v>21709720</v>
    <v>20681084</v>
    <v>23322611</v>
    <v>20122239</v>
    <v>14355350</v>
    <v>13629103</v>
    <v>17032760</v>
    <v>14827810</v>
    <v>18190792</v>
    <v>19175486</v>
    <v>13938520</v>
    <v>12066636</v>
    <v>22933090</v>
    <v>16369765</v>
    <v>15746467</v>
    <v>18240494</v>
    <v>15270164</v>
    <v>26135136</v>
    <v>20792760</v>
    <v>21670902</v>
    <v>19145261</v>
    <v>14189925</v>
    <v>17082635</v>
    <v>14428071</v>
    <v>14330009</v>
    <v>14795187</v>
    <v>18574400</v>
    <v>18484786</v>
    <v>16949026</v>
    <v>22373764</v>
    <v>71789331</v>
    <v>40551936</v>
    <v>29513230</v>
    <v>74366510</v>
    <v>32154765</v>
    <v>18012749</v>
    <v>14803289</v>
    <v>29245142</v>
    <v>19030919</v>
    <v>16033298</v>
    <v>19676884</v>
    <v>12698714</v>
    <v>16195303</v>
    <v>12143645</v>
    <v>14153969</v>
    <v>16613062</v>
    <v>15935187</v>
    <v>16584660</v>
    <v>50946329</v>
    <v>16801658</v>
    <v>12353624</v>
    <v>12007593</v>
    <v>14265872</v>
    <v>14029440</v>
    <v>14186627</v>
    <v>13738342</v>
    <v>14363410</v>
    <v>17535100</v>
    <v>13837599</v>
    <v>19510121</v>
    <v>14615103</v>
    <v>14436126</v>
    <v>10335909</v>
    <v>11070120</v>
    <v>10015922</v>
    <v>15097558</v>
    <v>10987600</v>
    <v>12280569</v>
    <v>10557182</v>
    <v>14726259</v>
    <v>15329693</v>
    <v>12061538</v>
    <v>14165797</v>
    <v>14909983</v>
    <v>17963945</v>
    <v>18529138</v>
    <v>19262954</v>
    <v>11045224</v>
    <v>9788575</v>
    <v>14209155</v>
    <v>15470975</v>
    <v>17574115</v>
    <v>14207397</v>
    <v>11119402</v>
    <v>14520240</v>
    <v>11015695</v>
    <v>14550463</v>
    <v>12356612</v>
    <v>19260522</v>
    <v>18780139</v>
    <v>22240558</v>
    <v>60545613</v>
    <v>29330381</v>
    <v>15001391</v>
    <v>17131691</v>
    <v>14879434</v>
    <v>16222946</v>
    <v>11795024</v>
    <v>13349619</v>
    <v>11538552</v>
    <v>13053481</v>
    <v>27632223</v>
    <v>11578709</v>
    <v>14780755</v>
    <v>14982667</v>
    <v>13256005</v>
    <v>20213211</v>
    <v>21667416</v>
    <v>13367514</v>
    <v>11704704</v>
    <v>11196603</v>
    <v>12590146</v>
    <v>12103044</v>
    <v>12093549</v>
    <v>13860763</v>
    <v>25891526</v>
    <v>12470448</v>
    <v>20904039</v>
    <v>14177522</v>
    <v>12899186</v>
    <v>18816720</v>
    <v>8666021</v>
    <v>9436487</v>
    <v>6287545</v>
    <v>21586100</v>
    <v>12077679</v>
    <v>9781831</v>
    <v>10803405</v>
    <v>15624796</v>
    <v>12145317</v>
    <v>10171137</v>
    <v>9836824</v>
    <v>13533791</v>
    <v>10682742</v>
    <v>11665526</v>
    <v>12666130</v>
    <v>9263561</v>
    <v>22490783</v>
    <v>18821199</v>
    <v>16789306</v>
    <v>10315305</v>
    <v>12522469</v>
    <v>22908760</v>
    <v>17275532</v>
    <v>23578664</v>
    <v>20770455</v>
    <v>14815072</v>
    <v>18499200</v>
    <v>12489819</v>
    <v>13805576</v>
    <v>17385278</v>
    <v>26557901</v>
    <v>22928551</v>
    <v>49567500</v>
    <v>19872144</v>
    <v>13709265</v>
    <v>14433985</v>
    <v>14831992</v>
    <v>16511139</v>
    <v>12299093</v>
    <v>9508215</v>
    <v>11557762</v>
    <v>9814264</v>
    <v>11856787</v>
    <v>23229975</v>
    <v>22666144</v>
    <v>18442775</v>
    <v>13082893</v>
    <v>14548588</v>
    <v>22260226</v>
    <v>17686284</v>
    <v>19518761</v>
    <v>14884852</v>
    <v>12994100</v>
    <v>15346367</v>
    <v>21065938</v>
    <v>15684878</v>
    <v>21525685</v>
    <v>39534251</v>
    <v>12147264</v>
    <v>14651133</v>
    <v>14163785</v>
    <v>17061133</v>
    <v>11899050</v>
    <v>19008187</v>
    <v>16054249</v>
    <v>16618272</v>
    <v>11640421</v>
    <v>11591388</v>
    <v>16791646</v>
    <v>15269963</v>
    <v>12413030</v>
    <v>10812700</v>
    <v>9570734</v>
    <v>9914477</v>
    <v>13276221</v>
    <v>11123254</v>
    <v>9424705</v>
    <v>12324148</v>
    <v>9750376</v>
    <v>12240149</v>
    <v>13058244</v>
    <v>11645856</v>
    <v>8959412</v>
    <v>7990186</v>
    <v>9682403</v>
    <v>9268824</v>
    <v>15538968</v>
    <v>12181833</v>
    <v>11731043</v>
    <v>10612489</v>
    <v>19974038</v>
    <v>12665777</v>
    <v>14396543</v>
    <v>10433166</v>
    <v>12860194</v>
    <v>12802622</v>
    <v>15740732</v>
    <v>17370602</v>
    <v>25278121</v>
    <v>36340856</v>
    <v>18183193</v>
    <v>18729222</v>
    <v>23990645</v>
    <v>25078633</v>
    <v>16657022</v>
    <v>14358861</v>
    <v>11041178</v>
    <v>17172953</v>
    <v>17775226</v>
    <v>17312575</v>
    <v>21932325</v>
    <v>18803499</v>
    <v>20931082</v>
    <v>13164487</v>
    <v>19682085</v>
    <v>14298626</v>
    <v>11495854</v>
    <v>16741989</v>
    <v>23560821</v>
    <v>24665600</v>
    <v>16606501</v>
    <v>49350586</v>
    <v>26205379</v>
    <v>8992427</v>
    <v>10997611</v>
    <v>11384359</v>
    <v>9790196</v>
    <v>11267652</v>
    <v>14820438</v>
    <v>10834630</v>
    <v>14519858</v>
    <v>11238044</v>
    <v>13453627</v>
    <v>18140864</v>
    <v>18617077</v>
    <v>13549159</v>
    <v>17348174</v>
    <v>13267723</v>
    <v>15868213</v>
    <v>23247451</v>
    <v>15567057</v>
    <v>14198438</v>
    <v>14973773</v>
    <v>18880614</v>
    <v>14641621</v>
    <v>11261444</v>
    <v>11012220</v>
    <v>16413893</v>
    <v>20484152</v>
    <v>15201194</v>
    <v>15926717</v>
    <v>13088467</v>
    <v>12451072</v>
    <v>15274644</v>
    <v>11953632</v>
    <v>15162125</v>
    <v>12604413</v>
    <v>14109460</v>
    <v>18247314</v>
    <v>18507981</v>
    <v>55450924</v>
    <v>35014806</v>
    <v>29755875</v>
    <v>29331188</v>
    <v>19069721</v>
    <v>16431469</v>
    <v>25451260</v>
    <v>18372193</v>
    <v>25227673</v>
    <v>17638956</v>
    <v>19957804</v>
    <v>35913156</v>
    <v>35148837</v>
    <v>28687586</v>
    <v>33301609</v>
    <v>31507753</v>
    <v>35500647</v>
    <v>26297768</v>
    <v>17850930</v>
    <v>24555857</v>
    <v>18185506</v>
    <v>26797178</v>
    <v>17900732</v>
    <v>27908573</v>
    <v>27241495</v>
    <v>16782807</v>
    <v>14790567</v>
    <v>30269313</v>
    <v>22080252</v>
    <v>19384137</v>
    <v>33012927</v>
    <v>36209015</v>
    <v>36884944</v>
    <v>34351744</v>
    <v>46632755</v>
    <v>34735323</v>
    <v>25508136</v>
    <v>27742915</v>
    <v>21871213</v>
    <v>22229105</v>
    <v>21393917</v>
    <v>18361208</v>
    <v>15407774</v>
    <v>18046886</v>
    <v>13444528</v>
    <v>15317220</v>
    <v>12950000</v>
    <v>12679025</v>
    <v>21639860</v>
    <v>13171784</v>
    <v>16031373</v>
    <v>12439132</v>
    <v>10625999</v>
    <v>11310191</v>
    <v>14461119</v>
    <v>13697822</v>
    <v>26783925</v>
    <v>19746658</v>
    <v>25620110</v>
    <v>44026125</v>
    <v>33746187</v>
    <v>20041573</v>
    <v>15609610</v>
    <v>15742336</v>
    <v>13712163</v>
    <v>13668621</v>
    <v>17180937</v>
    <v>11220098</v>
    <v>14343738</v>
    <v>29980069</v>
    <v>16999205</v>
    <v>15598643</v>
    <v>11115649</v>
    <v>15825276</v>
    <v>15599294</v>
    <v>13655700</v>
    <v>17162468</v>
    <v>16389620</v>
    <v>17845704</v>
    <v>18694739</v>
    <v>14881663</v>
    <v>14935630</v>
    <v>11333690</v>
    <v>20604918</v>
    <v>20432351</v>
    <v>22403655</v>
    <v>11154676</v>
    <v>19361417</v>
    <v>31431912</v>
    <v>17803030</v>
    <v>15635847</v>
    <v>12501965</v>
    <v>7686204</v>
    <v>12930913</v>
    <v>16874954</v>
    <v>13702615</v>
    <v>18894787</v>
    <v>14595047</v>
    <v>13779084</v>
    <v>10450759</v>
    <v>11181552</v>
    <v>11165126</v>
    <v>14636294</v>
    <v>13450359</v>
    <v>9049130</v>
    <v>9729672</v>
    <v>14991517</v>
    <v>12868466</v>
    <v>12293060</v>
    <v>14034265</v>
    <v>13864096</v>
    <v>15651348</v>
    <v>16750407</v>
    <v>19050206</v>
    <v>17977008</v>
    <v>23738420</v>
    <v>12509479</v>
    <v>12394722</v>
    <v>12856706</v>
    <v>17919327</v>
    <v>19398499</v>
    <v>10858447</v>
    <v>13604944</v>
    <v>11656135</v>
    <v>16999004</v>
    <v>18655026</v>
    <v>51825050</v>
    <v>32695177</v>
    <v>18956143</v>
    <v>22270353</v>
    <v>12925656</v>
    <v>19241634</v>
    <v>15600269</v>
    <v>15351293</v>
    <v>18995914</v>
    <v>15640895</v>
    <v>13748454</v>
    <v>13685735</v>
    <v>11819663</v>
    <v>17934871</v>
    <v>15900790</v>
    <v>11641926</v>
    <v>10756876</v>
    <v>14481863</v>
    <v>25382015</v>
    <v>14869387</v>
    <v>34791573</v>
    <v>12861946</v>
    <v>13158658</v>
    <v>11391834</v>
    <v>13366747</v>
    <v>11859265</v>
    <v>15477159</v>
    <v>13873389</v>
    <v>16142766</v>
    <v>15605363</v>
    <v>11867483</v>
    <v>13303560</v>
    <v>15538855</v>
    <v>13584084</v>
    <v>19508017</v>
    <v>18519435</v>
    <v>10871182</v>
    <v>30859504</v>
    <v>21416294</v>
    <v>16366166</v>
    <v>13735594</v>
    <v>10581220</v>
    <v>10899733</v>
    <v>12296490</v>
    <v>11408241</v>
    <v>10317959</v>
    <v>16375860</v>
    <v>13322994</v>
    <v>11986407</v>
    <v>14065077</v>
    <v>20237018</v>
    <v>14811687</v>
    <v>12636350</v>
    <v>13356821</v>
    <v>14866025</v>
    <v>17248716</v>
    <v>14507603</v>
    <v>13182144</v>
    <v>12084407</v>
    <v>18088506</v>
    <v>23424211</v>
    <v>15289373</v>
    <v>17604460</v>
    <v>22157029</v>
    <v>50375920</v>
    <v>41420780</v>
    <v>42519159</v>
    <v>20212882</v>
    <v>17783281</v>
    <v>9846525</v>
    <v>17236750</v>
    <v>18711768</v>
    <v>24478281</v>
    <v>25905147</v>
    <v>23956427</v>
    <v>22700747</v>
    <v>24326690</v>
    <v>22859578</v>
    <v>21586640</v>
    <v>19092414</v>
    <v>18713743</v>
    <v>19642346</v>
    <v>16177750</v>
    <v>21476675</v>
    <v>50043755</v>
    <v>21473912</v>
    <v>20319917</v>
    <v>9009629</v>
    <v>9003791</v>
    <v>12979573</v>
    <v>11730590</v>
    <v>11487434</v>
    <v>14306560</v>
    <v>19557620</v>
    <v>20120817</v>
    <v>23306003</v>
    <v>24058262</v>
    <v>21902859</v>
    <v>49182081</v>
    <v>31222058</v>
    <v>32764044</v>
    <v>34559430</v>
    <v>415144621</v>
    <v>45333984</v>
    <v>34811697</v>
    <v>24547334</v>
    <v>20806906</v>
    <v>19552228</v>
    <v>22968630</v>
    <v>16341996</v>
    <v>16381111</v>
    <v>22215386</v>
  </a>
</arrayData>
</file>

<file path=xl/richData/rdrichvalue.xml><?xml version="1.0" encoding="utf-8"?>
<rvData xmlns="http://schemas.microsoft.com/office/spreadsheetml/2017/richdata" count="1546">
  <rv s="0">
    <fb>45293</fb>
    <v>0</v>
  </rv>
  <rv s="0">
    <fb>53.0961</fb>
    <v>1</v>
  </rv>
  <rv s="0">
    <fb>23539912</fb>
    <v>2</v>
  </rv>
  <rv s="0">
    <fb>45294</fb>
    <v>0</v>
  </rv>
  <rv s="0">
    <fb>53.099499999999999</fb>
    <v>1</v>
  </rv>
  <rv s="0">
    <fb>18756247</fb>
    <v>2</v>
  </rv>
  <rv s="0">
    <fb>45295</fb>
    <v>0</v>
  </rv>
  <rv s="0">
    <fb>52.586100000000002</fb>
    <v>1</v>
  </rv>
  <rv s="0">
    <fb>19282662</fb>
    <v>2</v>
  </rv>
  <rv s="0">
    <fb>45296</fb>
    <v>0</v>
  </rv>
  <rv s="0">
    <fb>52.2361</fb>
    <v>1</v>
  </rv>
  <rv s="0">
    <fb>21709720</fb>
    <v>2</v>
  </rv>
  <rv s="0">
    <fb>45299</fb>
    <v>0</v>
  </rv>
  <rv s="0">
    <fb>52.749499999999998</fb>
    <v>1</v>
  </rv>
  <rv s="0">
    <fb>20681084</fb>
    <v>2</v>
  </rv>
  <rv s="0">
    <fb>45300</fb>
    <v>0</v>
  </rv>
  <rv s="0">
    <fb>53.102800000000002</fb>
    <v>1</v>
  </rv>
  <rv s="0">
    <fb>23322611</fb>
    <v>2</v>
  </rv>
  <rv s="0">
    <fb>45301</fb>
    <v>0</v>
  </rv>
  <rv s="0">
    <fb>53.762799999999999</fb>
    <v>1</v>
  </rv>
  <rv s="0">
    <fb>20122239</fb>
    <v>2</v>
  </rv>
  <rv s="0">
    <fb>45302</fb>
    <v>0</v>
  </rv>
  <rv s="0">
    <fb>53.702800000000003</fb>
    <v>1</v>
  </rv>
  <rv s="0">
    <fb>14355350</fb>
    <v>2</v>
  </rv>
  <rv s="0">
    <fb>45303</fb>
    <v>0</v>
  </rv>
  <rv s="0">
    <fb>53.772799999999997</fb>
    <v>1</v>
  </rv>
  <rv s="0">
    <fb>13629103</fb>
    <v>2</v>
  </rv>
  <rv s="0">
    <fb>45307</fb>
    <v>0</v>
  </rv>
  <rv s="0">
    <fb>53.942799999999998</fb>
    <v>1</v>
  </rv>
  <rv s="0">
    <fb>17032760</fb>
    <v>2</v>
  </rv>
  <rv s="0">
    <fb>45308</fb>
    <v>0</v>
  </rv>
  <rv s="0">
    <fb>53.689500000000002</fb>
    <v>1</v>
  </rv>
  <rv s="0">
    <fb>14827810</fb>
    <v>2</v>
  </rv>
  <rv s="0">
    <fb>45309</fb>
    <v>0</v>
  </rv>
  <rv s="0">
    <fb>54.412799999999997</fb>
    <v>1</v>
  </rv>
  <rv s="0">
    <fb>18190792</fb>
    <v>2</v>
  </rv>
  <rv s="0">
    <fb>45310</fb>
    <v>0</v>
  </rv>
  <rv s="0">
    <fb>54.126100000000001</fb>
    <v>1</v>
  </rv>
  <rv s="0">
    <fb>19175486</fb>
    <v>2</v>
  </rv>
  <rv s="0">
    <fb>45313</fb>
    <v>0</v>
  </rv>
  <rv s="0">
    <fb>54.1295</fb>
    <v>1</v>
  </rv>
  <rv s="0">
    <fb>13938520</fb>
    <v>2</v>
  </rv>
  <rv s="0">
    <fb>45314</fb>
    <v>0</v>
  </rv>
  <rv s="0">
    <fb>54.266100000000002</fb>
    <v>1</v>
  </rv>
  <rv s="0">
    <fb>12066636</fb>
    <v>2</v>
  </rv>
  <rv s="0">
    <fb>45315</fb>
    <v>0</v>
  </rv>
  <rv s="0">
    <fb>53.499499999999998</fb>
    <v>1</v>
  </rv>
  <rv s="0">
    <fb>22933090</fb>
    <v>2</v>
  </rv>
  <rv s="0">
    <fb>45316</fb>
    <v>0</v>
  </rv>
  <rv s="0">
    <fb>54.279499999999999</fb>
    <v>1</v>
  </rv>
  <rv s="0">
    <fb>16369765</fb>
    <v>2</v>
  </rv>
  <rv s="0">
    <fb>45317</fb>
    <v>0</v>
  </rv>
  <rv s="0">
    <fb>54.756100000000004</fb>
    <v>1</v>
  </rv>
  <rv s="0">
    <fb>15746467</fb>
    <v>2</v>
  </rv>
  <rv s="0">
    <fb>45320</fb>
    <v>0</v>
  </rv>
  <rv s="0">
    <fb>55.012799999999999</fb>
    <v>1</v>
  </rv>
  <rv s="0">
    <fb>18240494</fb>
    <v>2</v>
  </rv>
  <rv s="0">
    <fb>45321</fb>
    <v>0</v>
  </rv>
  <rv s="0">
    <fb>55.196100000000001</fb>
    <v>1</v>
  </rv>
  <rv s="0">
    <fb>15270164</fb>
    <v>2</v>
  </rv>
  <rv s="0">
    <fb>45322</fb>
    <v>0</v>
  </rv>
  <rv s="0">
    <fb>55.082799999999999</fb>
    <v>1</v>
  </rv>
  <rv s="0">
    <fb>26135136</fb>
    <v>2</v>
  </rv>
  <rv s="0">
    <fb>45323</fb>
    <v>0</v>
  </rv>
  <rv s="0">
    <fb>56.102800000000002</fb>
    <v>1</v>
  </rv>
  <rv s="0">
    <fb>20792760</fb>
    <v>2</v>
  </rv>
  <rv s="0">
    <fb>45324</fb>
    <v>0</v>
  </rv>
  <rv s="0">
    <fb>56.522799999999997</fb>
    <v>1</v>
  </rv>
  <rv s="0">
    <fb>21670902</fb>
    <v>2</v>
  </rv>
  <rv s="0">
    <fb>45327</fb>
    <v>0</v>
  </rv>
  <rv s="0">
    <fb>56.2194</fb>
    <v>1</v>
  </rv>
  <rv s="0">
    <fb>19145261</fb>
    <v>2</v>
  </rv>
  <rv s="0">
    <fb>45328</fb>
    <v>0</v>
  </rv>
  <rv s="0">
    <fb>56.602800000000002</fb>
    <v>1</v>
  </rv>
  <rv s="0">
    <fb>14189925</fb>
    <v>2</v>
  </rv>
  <rv s="0">
    <fb>45329</fb>
    <v>0</v>
  </rv>
  <rv s="0">
    <fb>56.459400000000002</fb>
    <v>1</v>
  </rv>
  <rv s="0">
    <fb>17082635</fb>
    <v>2</v>
  </rv>
  <rv s="0">
    <fb>45330</fb>
    <v>0</v>
  </rv>
  <rv s="0">
    <fb>56.456099999999999</fb>
    <v>1</v>
  </rv>
  <rv s="0">
    <fb>14428071</fb>
    <v>2</v>
  </rv>
  <rv s="0">
    <fb>45331</fb>
    <v>0</v>
  </rv>
  <rv s="0">
    <fb>56.426099999999998</fb>
    <v>1</v>
  </rv>
  <rv s="0">
    <fb>14330009</fb>
    <v>2</v>
  </rv>
  <rv s="0">
    <fb>45334</fb>
    <v>0</v>
  </rv>
  <rv s="0">
    <fb>56.766100000000002</fb>
    <v>1</v>
  </rv>
  <rv s="0">
    <fb>14795187</fb>
    <v>2</v>
  </rv>
  <rv s="0">
    <fb>45335</fb>
    <v>0</v>
  </rv>
  <rv s="0">
    <fb>56.379399999999997</fb>
    <v>1</v>
  </rv>
  <rv s="0">
    <fb>18574400</fb>
    <v>2</v>
  </rv>
  <rv s="0">
    <fb>45336</fb>
    <v>0</v>
  </rv>
  <rv s="0">
    <fb>56.199399999999997</fb>
    <v>1</v>
  </rv>
  <rv s="0">
    <fb>18484786</fb>
    <v>2</v>
  </rv>
  <rv s="0">
    <fb>45337</fb>
    <v>0</v>
  </rv>
  <rv s="0">
    <fb>56.429400000000001</fb>
    <v>1</v>
  </rv>
  <rv s="0">
    <fb>16949026</fb>
    <v>2</v>
  </rv>
  <rv s="0">
    <fb>45338</fb>
    <v>0</v>
  </rv>
  <rv s="0">
    <fb>56.786099999999998</fb>
    <v>1</v>
  </rv>
  <rv s="0">
    <fb>22373764</fb>
    <v>2</v>
  </rv>
  <rv s="0">
    <fb>45342</fb>
    <v>0</v>
  </rv>
  <rv s="0">
    <fb>58.619399999999999</fb>
    <v>1</v>
  </rv>
  <rv s="0">
    <fb>71789331</fb>
    <v>2</v>
  </rv>
  <rv s="0">
    <fb>45343</fb>
    <v>0</v>
  </rv>
  <rv s="0">
    <fb>57.8994</fb>
    <v>1</v>
  </rv>
  <rv s="0">
    <fb>40551936</fb>
    <v>2</v>
  </rv>
  <rv s="0">
    <fb>45344</fb>
    <v>0</v>
  </rv>
  <rv s="0">
    <fb>58.4694</fb>
    <v>1</v>
  </rv>
  <rv s="0">
    <fb>29513230</fb>
    <v>2</v>
  </rv>
  <rv s="0">
    <fb>45345</fb>
    <v>0</v>
  </rv>
  <rv s="0">
    <fb>58.519399999999997</fb>
    <v>1</v>
  </rv>
  <rv s="0">
    <fb>74366510</fb>
    <v>2</v>
  </rv>
  <rv s="0">
    <fb>45348</fb>
    <v>0</v>
  </rv>
  <rv s="0">
    <fb>59.6</fb>
    <v>1</v>
  </rv>
  <rv s="0">
    <fb>32154765</fb>
    <v>2</v>
  </rv>
  <rv s="0">
    <fb>45349</fb>
    <v>0</v>
  </rv>
  <rv s="0">
    <fb>59.59</fb>
    <v>1</v>
  </rv>
  <rv s="0">
    <fb>18012749</fb>
    <v>2</v>
  </rv>
  <rv s="0">
    <fb>45350</fb>
    <v>0</v>
  </rv>
  <rv s="0">
    <fb>59.62</fb>
    <v>1</v>
  </rv>
  <rv s="0">
    <fb>14803289</fb>
    <v>2</v>
  </rv>
  <rv s="0">
    <fb>45351</fb>
    <v>0</v>
  </rv>
  <rv s="0">
    <fb>58.61</fb>
    <v>1</v>
  </rv>
  <rv s="0">
    <fb>29245142</fb>
    <v>2</v>
  </rv>
  <rv s="0">
    <fb>45352</fb>
    <v>0</v>
  </rv>
  <rv s="0">
    <fb>58.76</fb>
    <v>1</v>
  </rv>
  <rv s="0">
    <fb>19030919</fb>
    <v>2</v>
  </rv>
  <rv s="0">
    <fb>45355</fb>
    <v>0</v>
  </rv>
  <rv s="0">
    <fb>59.3</fb>
    <v>1</v>
  </rv>
  <rv s="0">
    <fb>16033298</fb>
    <v>2</v>
  </rv>
  <rv s="0">
    <fb>45356</fb>
    <v>0</v>
  </rv>
  <rv s="0">
    <fb>60.04</fb>
    <v>1</v>
  </rv>
  <rv s="0">
    <fb>19676884</fb>
    <v>2</v>
  </rv>
  <rv s="0">
    <fb>45357</fb>
    <v>0</v>
  </rv>
  <rv s="0">
    <fb>60.57</fb>
    <v>1</v>
  </rv>
  <rv s="0">
    <fb>12698714</fb>
    <v>2</v>
  </rv>
  <rv s="0">
    <fb>45358</fb>
    <v>0</v>
  </rv>
  <rv s="0">
    <fb>60.36</fb>
    <v>1</v>
  </rv>
  <rv s="0">
    <fb>16195303</fb>
    <v>2</v>
  </rv>
  <rv s="0">
    <fb>45359</fb>
    <v>0</v>
  </rv>
  <rv s="0">
    <fb>60.12</fb>
    <v>1</v>
  </rv>
  <rv s="0">
    <fb>12143645</fb>
    <v>2</v>
  </rv>
  <rv s="0">
    <fb>45362</fb>
    <v>0</v>
  </rv>
  <rv s="0">
    <fb>60.66</fb>
    <v>1</v>
  </rv>
  <rv s="0">
    <fb>14153969</fb>
    <v>2</v>
  </rv>
  <rv s="0">
    <fb>45363</fb>
    <v>0</v>
  </rv>
  <rv s="0">
    <fb>61.41</fb>
    <v>1</v>
  </rv>
  <rv s="0">
    <fb>16613062</fb>
    <v>2</v>
  </rv>
  <rv s="0">
    <fb>45364</fb>
    <v>0</v>
  </rv>
  <rv s="0">
    <fb>61.28</fb>
    <v>1</v>
  </rv>
  <rv s="0">
    <fb>15935187</fb>
    <v>2</v>
  </rv>
  <rv s="0">
    <fb>45365</fb>
    <v>0</v>
  </rv>
  <rv s="0">
    <fb>61.02</fb>
    <v>1</v>
  </rv>
  <rv s="0">
    <fb>16584660</fb>
    <v>2</v>
  </rv>
  <rv s="0">
    <fb>45366</fb>
    <v>0</v>
  </rv>
  <rv s="0">
    <fb>60.68</fb>
    <v>1</v>
  </rv>
  <rv s="0">
    <fb>50946329</fb>
    <v>2</v>
  </rv>
  <rv s="0">
    <fb>45369</fb>
    <v>0</v>
  </rv>
  <rv s="0">
    <fb>60.86</fb>
    <v>1</v>
  </rv>
  <rv s="0">
    <fb>16801658</fb>
    <v>2</v>
  </rv>
  <rv s="0">
    <fb>45370</fb>
    <v>0</v>
  </rv>
  <rv s="0">
    <fb>60.87</fb>
    <v>1</v>
  </rv>
  <rv s="0">
    <fb>12353624</fb>
    <v>2</v>
  </rv>
  <rv s="0">
    <fb>45371</fb>
    <v>0</v>
  </rv>
  <rv s="0">
    <fb>61.25</fb>
    <v>1</v>
  </rv>
  <rv s="0">
    <fb>12007593</fb>
    <v>2</v>
  </rv>
  <rv s="0">
    <fb>45372</fb>
    <v>0</v>
  </rv>
  <rv s="0">
    <fb>61.45</fb>
    <v>1</v>
  </rv>
  <rv s="0">
    <fb>14265872</fb>
    <v>2</v>
  </rv>
  <rv s="0">
    <fb>45373</fb>
    <v>0</v>
  </rv>
  <rv s="0">
    <fb>14029440</fb>
    <v>2</v>
  </rv>
  <rv s="0">
    <fb>45376</fb>
    <v>0</v>
  </rv>
  <rv s="0">
    <fb>14186627</fb>
    <v>2</v>
  </rv>
  <rv s="0">
    <fb>45377</fb>
    <v>0</v>
  </rv>
  <rv s="0">
    <fb>60.51</fb>
    <v>1</v>
  </rv>
  <rv s="0">
    <fb>13738342</fb>
    <v>2</v>
  </rv>
  <rv s="0">
    <fb>45378</fb>
    <v>0</v>
  </rv>
  <rv s="0">
    <fb>60.72</fb>
    <v>1</v>
  </rv>
  <rv s="0">
    <fb>14363410</fb>
    <v>2</v>
  </rv>
  <rv s="0">
    <fb>45379</fb>
    <v>0</v>
  </rv>
  <rv s="0">
    <fb>60.17</fb>
    <v>1</v>
  </rv>
  <rv s="0">
    <fb>17535100</fb>
    <v>2</v>
  </rv>
  <rv s="0">
    <fb>45383</fb>
    <v>0</v>
  </rv>
  <rv s="0">
    <fb>60</fb>
    <v>1</v>
  </rv>
  <rv s="0">
    <fb>13837599</fb>
    <v>2</v>
  </rv>
  <rv s="0">
    <fb>45384</fb>
    <v>0</v>
  </rv>
  <rv s="0">
    <fb>59.16</fb>
    <v>1</v>
  </rv>
  <rv s="0">
    <fb>19510121</fb>
    <v>2</v>
  </rv>
  <rv s="0">
    <fb>45385</fb>
    <v>0</v>
  </rv>
  <rv s="0">
    <fb>59.43</fb>
    <v>1</v>
  </rv>
  <rv s="0">
    <fb>14615103</fb>
    <v>2</v>
  </rv>
  <rv s="0">
    <fb>45386</fb>
    <v>0</v>
  </rv>
  <rv s="0">
    <fb>59.5</fb>
    <v>1</v>
  </rv>
  <rv s="0">
    <fb>14436126</fb>
    <v>2</v>
  </rv>
  <rv s="0">
    <fb>45387</fb>
    <v>0</v>
  </rv>
  <rv s="0">
    <fb>59.85</fb>
    <v>1</v>
  </rv>
  <rv s="0">
    <fb>10335909</fb>
    <v>2</v>
  </rv>
  <rv s="0">
    <fb>45390</fb>
    <v>0</v>
  </rv>
  <rv s="0">
    <fb>59.78</fb>
    <v>1</v>
  </rv>
  <rv s="0">
    <fb>11070120</fb>
    <v>2</v>
  </rv>
  <rv s="0">
    <fb>45391</fb>
    <v>0</v>
  </rv>
  <rv s="0">
    <fb>59.79</fb>
    <v>1</v>
  </rv>
  <rv s="0">
    <fb>10015922</fb>
    <v>2</v>
  </rv>
  <rv s="0">
    <fb>45392</fb>
    <v>0</v>
  </rv>
  <rv s="0">
    <fb>60.62</fb>
    <v>1</v>
  </rv>
  <rv s="0">
    <fb>15097558</fb>
    <v>2</v>
  </rv>
  <rv s="0">
    <fb>45393</fb>
    <v>0</v>
  </rv>
  <rv s="0">
    <fb>60.09</fb>
    <v>1</v>
  </rv>
  <rv s="0">
    <fb>10987600</fb>
    <v>2</v>
  </rv>
  <rv s="0">
    <fb>45394</fb>
    <v>0</v>
  </rv>
  <rv s="0">
    <fb>60.14</fb>
    <v>1</v>
  </rv>
  <rv s="0">
    <fb>12280569</fb>
    <v>2</v>
  </rv>
  <rv s="0">
    <fb>45397</fb>
    <v>0</v>
  </rv>
  <rv s="0">
    <fb>59.93</fb>
    <v>1</v>
  </rv>
  <rv s="0">
    <fb>10557182</fb>
    <v>2</v>
  </rv>
  <rv s="0">
    <fb>45398</fb>
    <v>0</v>
  </rv>
  <rv s="0">
    <fb>59.84</fb>
    <v>1</v>
  </rv>
  <rv s="0">
    <fb>14726259</fb>
    <v>2</v>
  </rv>
  <rv s="0">
    <fb>45399</fb>
    <v>0</v>
  </rv>
  <rv s="0">
    <fb>59.65</fb>
    <v>1</v>
  </rv>
  <rv s="0">
    <fb>15329693</fb>
    <v>2</v>
  </rv>
  <rv s="0">
    <fb>45400</fb>
    <v>0</v>
  </rv>
  <rv s="0">
    <fb>59.26</fb>
    <v>1</v>
  </rv>
  <rv s="0">
    <fb>12061538</fb>
    <v>2</v>
  </rv>
  <rv s="0">
    <fb>45401</fb>
    <v>0</v>
  </rv>
  <rv s="0">
    <fb>59.53</fb>
    <v>1</v>
  </rv>
  <rv s="0">
    <fb>14165797</fb>
    <v>2</v>
  </rv>
  <rv s="0">
    <fb>45404</fb>
    <v>0</v>
  </rv>
  <rv s="0">
    <fb>14909983</fb>
    <v>2</v>
  </rv>
  <rv s="0">
    <fb>45405</fb>
    <v>0</v>
  </rv>
  <rv s="0">
    <fb>59.09</fb>
    <v>1</v>
  </rv>
  <rv s="0">
    <fb>17963945</fb>
    <v>2</v>
  </rv>
  <rv s="0">
    <fb>45406</fb>
    <v>0</v>
  </rv>
  <rv s="0">
    <fb>59.87</fb>
    <v>1</v>
  </rv>
  <rv s="0">
    <fb>18529138</fb>
    <v>2</v>
  </rv>
  <rv s="0">
    <fb>45407</fb>
    <v>0</v>
  </rv>
  <rv s="0">
    <fb>60.21</fb>
    <v>1</v>
  </rv>
  <rv s="0">
    <fb>19262954</fb>
    <v>2</v>
  </rv>
  <rv s="0">
    <fb>45408</fb>
    <v>0</v>
  </rv>
  <rv s="0">
    <fb>60.16</fb>
    <v>1</v>
  </rv>
  <rv s="0">
    <fb>11045224</fb>
    <v>2</v>
  </rv>
  <rv s="0">
    <fb>45411</fb>
    <v>0</v>
  </rv>
  <rv s="0">
    <fb>60.24</fb>
    <v>1</v>
  </rv>
  <rv s="0">
    <fb>9788575</fb>
    <v>2</v>
  </rv>
  <rv s="0">
    <fb>45412</fb>
    <v>0</v>
  </rv>
  <rv s="0">
    <fb>59.35</fb>
    <v>1</v>
  </rv>
  <rv s="0">
    <fb>14209155</fb>
    <v>2</v>
  </rv>
  <rv s="0">
    <fb>45413</fb>
    <v>0</v>
  </rv>
  <rv s="0">
    <fb>58.85</fb>
    <v>1</v>
  </rv>
  <rv s="0">
    <fb>15470975</fb>
    <v>2</v>
  </rv>
  <rv s="0">
    <fb>45414</fb>
    <v>0</v>
  </rv>
  <rv s="0">
    <fb>59.71</fb>
    <v>1</v>
  </rv>
  <rv s="0">
    <fb>17574115</fb>
    <v>2</v>
  </rv>
  <rv s="0">
    <fb>45415</fb>
    <v>0</v>
  </rv>
  <rv s="0">
    <fb>59.82</fb>
    <v>1</v>
  </rv>
  <rv s="0">
    <fb>14207397</fb>
    <v>2</v>
  </rv>
  <rv s="0">
    <fb>45418</fb>
    <v>0</v>
  </rv>
  <rv s="0">
    <fb>11119402</fb>
    <v>2</v>
  </rv>
  <rv s="0">
    <fb>45419</fb>
    <v>0</v>
  </rv>
  <rv s="0">
    <fb>14520240</fb>
    <v>2</v>
  </rv>
  <rv s="0">
    <fb>45420</fb>
    <v>0</v>
  </rv>
  <rv s="0">
    <fb>60.3</fb>
    <v>1</v>
  </rv>
  <rv s="0">
    <fb>11015695</fb>
    <v>2</v>
  </rv>
  <rv s="0">
    <fb>45421</fb>
    <v>0</v>
  </rv>
  <rv s="0">
    <fb>60.44</fb>
    <v>1</v>
  </rv>
  <rv s="0">
    <fb>14550463</fb>
    <v>2</v>
  </rv>
  <rv s="0">
    <fb>45422</fb>
    <v>0</v>
  </rv>
  <rv s="0">
    <fb>60.48</fb>
    <v>1</v>
  </rv>
  <rv s="0">
    <fb>12356612</fb>
    <v>2</v>
  </rv>
  <rv s="0">
    <fb>45425</fb>
    <v>0</v>
  </rv>
  <rv s="0">
    <fb>60.41</fb>
    <v>1</v>
  </rv>
  <rv s="0">
    <fb>19260522</fb>
    <v>2</v>
  </rv>
  <rv s="0">
    <fb>45426</fb>
    <v>0</v>
  </rv>
  <rv s="0">
    <fb>59.86</fb>
    <v>1</v>
  </rv>
  <rv s="0">
    <fb>18780139</fb>
    <v>2</v>
  </rv>
  <rv s="0">
    <fb>45427</fb>
    <v>0</v>
  </rv>
  <rv s="0">
    <fb>59.83</fb>
    <v>1</v>
  </rv>
  <rv s="0">
    <fb>22240558</fb>
    <v>2</v>
  </rv>
  <rv s="0">
    <fb>45428</fb>
    <v>0</v>
  </rv>
  <rv s="0">
    <fb>64.010000000000005</fb>
    <v>1</v>
  </rv>
  <rv s="0">
    <fb>60545613</fb>
    <v>2</v>
  </rv>
  <rv s="0">
    <fb>45429</fb>
    <v>0</v>
  </rv>
  <rv s="0">
    <fb>64.650000000000006</fb>
    <v>1</v>
  </rv>
  <rv s="0">
    <fb>29330381</fb>
    <v>2</v>
  </rv>
  <rv s="0">
    <fb>45432</fb>
    <v>0</v>
  </rv>
  <rv s="0">
    <fb>64.180000000000007</fb>
    <v>1</v>
  </rv>
  <rv s="0">
    <fb>15001391</fb>
    <v>2</v>
  </rv>
  <rv s="0">
    <fb>45433</fb>
    <v>0</v>
  </rv>
  <rv s="0">
    <fb>65.150000000000006</fb>
    <v>1</v>
  </rv>
  <rv s="0">
    <fb>17131691</fb>
    <v>2</v>
  </rv>
  <rv s="0">
    <fb>45434</fb>
    <v>0</v>
  </rv>
  <rv s="0">
    <fb>65.25</fb>
    <v>1</v>
  </rv>
  <rv s="0">
    <fb>14879434</fb>
    <v>2</v>
  </rv>
  <rv s="0">
    <fb>45435</fb>
    <v>0</v>
  </rv>
  <rv s="0">
    <fb>64.84</fb>
    <v>1</v>
  </rv>
  <rv s="0">
    <fb>16222946</fb>
    <v>2</v>
  </rv>
  <rv s="0">
    <fb>45436</fb>
    <v>0</v>
  </rv>
  <rv s="0">
    <fb>65.38</fb>
    <v>1</v>
  </rv>
  <rv s="0">
    <fb>11795024</fb>
    <v>2</v>
  </rv>
  <rv s="0">
    <fb>45440</fb>
    <v>0</v>
  </rv>
  <rv s="0">
    <fb>65.040000000000006</fb>
    <v>1</v>
  </rv>
  <rv s="0">
    <fb>13349619</fb>
    <v>2</v>
  </rv>
  <rv s="0">
    <fb>45441</fb>
    <v>0</v>
  </rv>
  <rv s="0">
    <fb>64.92</fb>
    <v>1</v>
  </rv>
  <rv s="0">
    <fb>11538552</fb>
    <v>2</v>
  </rv>
  <rv s="0">
    <fb>45442</fb>
    <v>0</v>
  </rv>
  <rv s="0">
    <fb>64.89</fb>
    <v>1</v>
  </rv>
  <rv s="0">
    <fb>13053481</fb>
    <v>2</v>
  </rv>
  <rv s="0">
    <fb>45443</fb>
    <v>0</v>
  </rv>
  <rv s="0">
    <fb>65.760000000000005</fb>
    <v>1</v>
  </rv>
  <rv s="0">
    <fb>27632223</fb>
    <v>2</v>
  </rv>
  <rv s="0">
    <fb>45446</fb>
    <v>0</v>
  </rv>
  <rv s="0">
    <fb>65.819999999999993</fb>
    <v>1</v>
  </rv>
  <rv s="0">
    <fb>11578709</fb>
    <v>2</v>
  </rv>
  <rv s="0">
    <fb>45447</fb>
    <v>0</v>
  </rv>
  <rv s="0">
    <fb>66.599999999999994</fb>
    <v>1</v>
  </rv>
  <rv s="0">
    <fb>14780755</fb>
    <v>2</v>
  </rv>
  <rv s="0">
    <fb>45448</fb>
    <v>0</v>
  </rv>
  <rv s="0">
    <fb>67.09</fb>
    <v>1</v>
  </rv>
  <rv s="0">
    <fb>14982667</fb>
    <v>2</v>
  </rv>
  <rv s="0">
    <fb>45449</fb>
    <v>0</v>
  </rv>
  <rv s="0">
    <fb>67.150000000000006</fb>
    <v>1</v>
  </rv>
  <rv s="0">
    <fb>13256005</fb>
    <v>2</v>
  </rv>
  <rv s="0">
    <fb>45450</fb>
    <v>0</v>
  </rv>
  <rv s="0">
    <fb>65.88</fb>
    <v>1</v>
  </rv>
  <rv s="0">
    <fb>20213211</fb>
    <v>2</v>
  </rv>
  <rv s="0">
    <fb>45453</fb>
    <v>0</v>
  </rv>
  <rv s="0">
    <fb>66.959999999999994</fb>
    <v>1</v>
  </rv>
  <rv s="0">
    <fb>21667416</fb>
    <v>2</v>
  </rv>
  <rv s="0">
    <fb>45454</fb>
    <v>0</v>
  </rv>
  <rv s="0">
    <fb>66.73</fb>
    <v>1</v>
  </rv>
  <rv s="0">
    <fb>13367514</fb>
    <v>2</v>
  </rv>
  <rv s="0">
    <fb>45455</fb>
    <v>0</v>
  </rv>
  <rv s="0">
    <fb>66.31</fb>
    <v>1</v>
  </rv>
  <rv s="0">
    <fb>11704704</fb>
    <v>2</v>
  </rv>
  <rv s="0">
    <fb>45456</fb>
    <v>0</v>
  </rv>
  <rv s="0">
    <fb>66.7</fb>
    <v>1</v>
  </rv>
  <rv s="0">
    <fb>11196603</fb>
    <v>2</v>
  </rv>
  <rv s="0">
    <fb>45457</fb>
    <v>0</v>
  </rv>
  <rv s="0">
    <fb>67.02</fb>
    <v>1</v>
  </rv>
  <rv s="0">
    <fb>12590146</fb>
    <v>2</v>
  </rv>
  <rv s="0">
    <fb>45460</fb>
    <v>0</v>
  </rv>
  <rv s="0">
    <fb>67.42</fb>
    <v>1</v>
  </rv>
  <rv s="0">
    <fb>12103044</fb>
    <v>2</v>
  </rv>
  <rv s="0">
    <fb>45461</fb>
    <v>0</v>
  </rv>
  <rv s="0">
    <fb>67.599999999999994</fb>
    <v>1</v>
  </rv>
  <rv s="0">
    <fb>12093549</fb>
    <v>2</v>
  </rv>
  <rv s="0">
    <fb>45463</fb>
    <v>0</v>
  </rv>
  <rv s="0">
    <fb>68.010000000000005</fb>
    <v>1</v>
  </rv>
  <rv s="0">
    <fb>13860763</fb>
    <v>2</v>
  </rv>
  <rv s="0">
    <fb>45464</fb>
    <v>0</v>
  </rv>
  <rv s="0">
    <fb>67.91</fb>
    <v>1</v>
  </rv>
  <rv s="0">
    <fb>25891526</fb>
    <v>2</v>
  </rv>
  <rv s="0">
    <fb>45467</fb>
    <v>0</v>
  </rv>
  <rv s="0">
    <fb>68.900000000000006</fb>
    <v>1</v>
  </rv>
  <rv s="0">
    <fb>12470448</fb>
    <v>2</v>
  </rv>
  <rv s="0">
    <fb>45468</fb>
    <v>0</v>
  </rv>
  <rv s="0">
    <fb>20904039</fb>
    <v>2</v>
  </rv>
  <rv s="0">
    <fb>45469</fb>
    <v>0</v>
  </rv>
  <rv s="0">
    <fb>68.290000000000006</fb>
    <v>1</v>
  </rv>
  <rv s="0">
    <fb>14177522</fb>
    <v>2</v>
  </rv>
  <rv s="0">
    <fb>45470</fb>
    <v>0</v>
  </rv>
  <rv s="0">
    <fb>67.88</fb>
    <v>1</v>
  </rv>
  <rv s="0">
    <fb>12899186</fb>
    <v>2</v>
  </rv>
  <rv s="0">
    <fb>45471</fb>
    <v>0</v>
  </rv>
  <rv s="0">
    <fb>67.709999999999994</fb>
    <v>1</v>
  </rv>
  <rv s="0">
    <fb>18816720</fb>
    <v>2</v>
  </rv>
  <rv s="0">
    <fb>45474</fb>
    <v>0</v>
  </rv>
  <rv s="0">
    <fb>67.48</fb>
    <v>1</v>
  </rv>
  <rv s="0">
    <fb>8666021</fb>
    <v>2</v>
  </rv>
  <rv s="0">
    <fb>45475</fb>
    <v>0</v>
  </rv>
  <rv s="0">
    <fb>68.069999999999993</fb>
    <v>1</v>
  </rv>
  <rv s="0">
    <fb>9436487</fb>
    <v>2</v>
  </rv>
  <rv s="0">
    <fb>45476</fb>
    <v>0</v>
  </rv>
  <rv s="0">
    <fb>68.239999999999995</fb>
    <v>1</v>
  </rv>
  <rv s="0">
    <fb>6287545</fb>
    <v>2</v>
  </rv>
  <rv s="0">
    <fb>45478</fb>
    <v>0</v>
  </rv>
  <rv s="0">
    <fb>70.040000000000006</fb>
    <v>1</v>
  </rv>
  <rv s="0">
    <fb>21586100</fb>
    <v>2</v>
  </rv>
  <rv s="0">
    <fb>45481</fb>
    <v>0</v>
  </rv>
  <rv s="0">
    <fb>69.680000000000007</fb>
    <v>1</v>
  </rv>
  <rv s="0">
    <fb>12077679</fb>
    <v>2</v>
  </rv>
  <rv s="0">
    <fb>45482</fb>
    <v>0</v>
  </rv>
  <rv s="0">
    <fb>69.900000000000006</fb>
    <v>1</v>
  </rv>
  <rv s="0">
    <fb>9781831</fb>
    <v>2</v>
  </rv>
  <rv s="0">
    <fb>45483</fb>
    <v>0</v>
  </rv>
  <rv s="0">
    <fb>70.41</fb>
    <v>1</v>
  </rv>
  <rv s="0">
    <fb>10803405</fb>
    <v>2</v>
  </rv>
  <rv s="0">
    <fb>45484</fb>
    <v>0</v>
  </rv>
  <rv s="0">
    <fb>69.8</fb>
    <v>1</v>
  </rv>
  <rv s="0">
    <fb>15624796</fb>
    <v>2</v>
  </rv>
  <rv s="0">
    <fb>45485</fb>
    <v>0</v>
  </rv>
  <rv s="0">
    <fb>69.239999999999995</fb>
    <v>1</v>
  </rv>
  <rv s="0">
    <fb>12145317</fb>
    <v>2</v>
  </rv>
  <rv s="0">
    <fb>45488</fb>
    <v>0</v>
  </rv>
  <rv s="0">
    <fb>69.61</fb>
    <v>1</v>
  </rv>
  <rv s="0">
    <fb>10171137</fb>
    <v>2</v>
  </rv>
  <rv s="0">
    <fb>45489</fb>
    <v>0</v>
  </rv>
  <rv s="0">
    <fb>69.989999999999995</fb>
    <v>1</v>
  </rv>
  <rv s="0">
    <fb>9836824</fb>
    <v>2</v>
  </rv>
  <rv s="0">
    <fb>45490</fb>
    <v>0</v>
  </rv>
  <rv s="0">
    <fb>71.03</fb>
    <v>1</v>
  </rv>
  <rv s="0">
    <fb>13533791</fb>
    <v>2</v>
  </rv>
  <rv s="0">
    <fb>45491</fb>
    <v>0</v>
  </rv>
  <rv s="0">
    <fb>70.819999999999993</fb>
    <v>1</v>
  </rv>
  <rv s="0">
    <fb>10682742</fb>
    <v>2</v>
  </rv>
  <rv s="0">
    <fb>45492</fb>
    <v>0</v>
  </rv>
  <rv s="0">
    <fb>70.75</fb>
    <v>1</v>
  </rv>
  <rv s="0">
    <fb>11665526</fb>
    <v>2</v>
  </rv>
  <rv s="0">
    <fb>45495</fb>
    <v>0</v>
  </rv>
  <rv s="0">
    <fb>70.38</fb>
    <v>1</v>
  </rv>
  <rv s="0">
    <fb>12666130</fb>
    <v>2</v>
  </rv>
  <rv s="0">
    <fb>45496</fb>
    <v>0</v>
  </rv>
  <rv s="0">
    <fb>70.650000000000006</fb>
    <v>1</v>
  </rv>
  <rv s="0">
    <fb>9263561</fb>
    <v>2</v>
  </rv>
  <rv s="0">
    <fb>45497</fb>
    <v>0</v>
  </rv>
  <rv s="0">
    <fb>70.599999999999994</fb>
    <v>1</v>
  </rv>
  <rv s="0">
    <fb>22490783</fb>
    <v>2</v>
  </rv>
  <rv s="0">
    <fb>45498</fb>
    <v>0</v>
  </rv>
  <rv s="0">
    <fb>70.02</fb>
    <v>1</v>
  </rv>
  <rv s="0">
    <fb>18821199</fb>
    <v>2</v>
  </rv>
  <rv s="0">
    <fb>45499</fb>
    <v>0</v>
  </rv>
  <rv s="0">
    <fb>69.78</fb>
    <v>1</v>
  </rv>
  <rv s="0">
    <fb>16789306</fb>
    <v>2</v>
  </rv>
  <rv s="0">
    <fb>45502</fb>
    <v>0</v>
  </rv>
  <rv s="0">
    <fb>69.62</fb>
    <v>1</v>
  </rv>
  <rv s="0">
    <fb>10315305</fb>
    <v>2</v>
  </rv>
  <rv s="0">
    <fb>45503</fb>
    <v>0</v>
  </rv>
  <rv s="0">
    <fb>69.19</fb>
    <v>1</v>
  </rv>
  <rv s="0">
    <fb>12522469</fb>
    <v>2</v>
  </rv>
  <rv s="0">
    <fb>45504</fb>
    <v>0</v>
  </rv>
  <rv s="0">
    <fb>68.64</fb>
    <v>1</v>
  </rv>
  <rv s="0">
    <fb>22908760</fb>
    <v>2</v>
  </rv>
  <rv s="0">
    <fb>45505</fb>
    <v>0</v>
  </rv>
  <rv s="0">
    <fb>69.790000000000006</fb>
    <v>1</v>
  </rv>
  <rv s="0">
    <fb>17275532</fb>
    <v>2</v>
  </rv>
  <rv s="0">
    <fb>45506</fb>
    <v>0</v>
  </rv>
  <rv s="0">
    <fb>68.459999999999994</fb>
    <v>1</v>
  </rv>
  <rv s="0">
    <fb>23578664</fb>
    <v>2</v>
  </rv>
  <rv s="0">
    <fb>45509</fb>
    <v>0</v>
  </rv>
  <rv s="0">
    <fb>67.59</fb>
    <v>1</v>
  </rv>
  <rv s="0">
    <fb>20770455</fb>
    <v>2</v>
  </rv>
  <rv s="0">
    <fb>45510</fb>
    <v>0</v>
  </rv>
  <rv s="0">
    <fb>67.739999999999995</fb>
    <v>1</v>
  </rv>
  <rv s="0">
    <fb>14815072</fb>
    <v>2</v>
  </rv>
  <rv s="0">
    <fb>45511</fb>
    <v>0</v>
  </rv>
  <rv s="0">
    <fb>66.91</fb>
    <v>1</v>
  </rv>
  <rv s="0">
    <fb>18499200</fb>
    <v>2</v>
  </rv>
  <rv s="0">
    <fb>45512</fb>
    <v>0</v>
  </rv>
  <rv s="0">
    <fb>67.66</fb>
    <v>1</v>
  </rv>
  <rv s="0">
    <fb>12489819</fb>
    <v>2</v>
  </rv>
  <rv s="0">
    <fb>45513</fb>
    <v>0</v>
  </rv>
  <rv s="0">
    <fb>67.95</fb>
    <v>1</v>
  </rv>
  <rv s="0">
    <fb>13805576</fb>
    <v>2</v>
  </rv>
  <rv s="0">
    <fb>45516</fb>
    <v>0</v>
  </rv>
  <rv s="0">
    <fb>68.7</fb>
    <v>1</v>
  </rv>
  <rv s="0">
    <fb>17385278</fb>
    <v>2</v>
  </rv>
  <rv s="0">
    <fb>45517</fb>
    <v>0</v>
  </rv>
  <rv s="0">
    <fb>68.13</fb>
    <v>1</v>
  </rv>
  <rv s="0">
    <fb>26557901</fb>
    <v>2</v>
  </rv>
  <rv s="0">
    <fb>45518</fb>
    <v>0</v>
  </rv>
  <rv s="0">
    <fb>68.66</fb>
    <v>1</v>
  </rv>
  <rv s="0">
    <fb>22928551</fb>
    <v>2</v>
  </rv>
  <rv s="0">
    <fb>45519</fb>
    <v>0</v>
  </rv>
  <rv s="0">
    <fb>73.180000000000007</fb>
    <v>1</v>
  </rv>
  <rv s="0">
    <fb>49567500</fb>
    <v>2</v>
  </rv>
  <rv s="0">
    <fb>45520</fb>
    <v>0</v>
  </rv>
  <rv s="0">
    <fb>73.45</fb>
    <v>1</v>
  </rv>
  <rv s="0">
    <fb>19872144</fb>
    <v>2</v>
  </rv>
  <rv s="0">
    <fb>45523</fb>
    <v>0</v>
  </rv>
  <rv s="0">
    <fb>73.72</fb>
    <v>1</v>
  </rv>
  <rv s="0">
    <fb>13709265</fb>
    <v>2</v>
  </rv>
  <rv s="0">
    <fb>45524</fb>
    <v>0</v>
  </rv>
  <rv s="0">
    <fb>74.540000000000006</fb>
    <v>1</v>
  </rv>
  <rv s="0">
    <fb>14433985</fb>
    <v>2</v>
  </rv>
  <rv s="0">
    <fb>45525</fb>
    <v>0</v>
  </rv>
  <rv s="0">
    <fb>75.239999999999995</fb>
    <v>1</v>
  </rv>
  <rv s="0">
    <fb>14831992</fb>
    <v>2</v>
  </rv>
  <rv s="0">
    <fb>45526</fb>
    <v>0</v>
  </rv>
  <rv s="0">
    <fb>75.58</fb>
    <v>1</v>
  </rv>
  <rv s="0">
    <fb>16511139</fb>
    <v>2</v>
  </rv>
  <rv s="0">
    <fb>45527</fb>
    <v>0</v>
  </rv>
  <rv s="0">
    <fb>75.7</fb>
    <v>1</v>
  </rv>
  <rv s="0">
    <fb>12299093</fb>
    <v>2</v>
  </rv>
  <rv s="0">
    <fb>45530</fb>
    <v>0</v>
  </rv>
  <rv s="0">
    <fb>76.03</fb>
    <v>1</v>
  </rv>
  <rv s="0">
    <fb>9508215</fb>
    <v>2</v>
  </rv>
  <rv s="0">
    <fb>45531</fb>
    <v>0</v>
  </rv>
  <rv s="0">
    <fb>76.13</fb>
    <v>1</v>
  </rv>
  <rv s="0">
    <fb>11557762</fb>
    <v>2</v>
  </rv>
  <rv s="0">
    <fb>45532</fb>
    <v>0</v>
  </rv>
  <rv s="0">
    <fb>76.08</fb>
    <v>1</v>
  </rv>
  <rv s="0">
    <fb>9814264</fb>
    <v>2</v>
  </rv>
  <rv s="0">
    <fb>45533</fb>
    <v>0</v>
  </rv>
  <rv s="0">
    <fb>76.42</fb>
    <v>1</v>
  </rv>
  <rv s="0">
    <fb>11856787</fb>
    <v>2</v>
  </rv>
  <rv s="0">
    <fb>45534</fb>
    <v>0</v>
  </rv>
  <rv s="0">
    <fb>77.23</fb>
    <v>1</v>
  </rv>
  <rv s="0">
    <fb>23229975</fb>
    <v>2</v>
  </rv>
  <rv s="0">
    <fb>45538</fb>
    <v>0</v>
  </rv>
  <rv s="0">
    <fb>77.17</fb>
    <v>1</v>
  </rv>
  <rv s="0">
    <fb>22666144</fb>
    <v>2</v>
  </rv>
  <rv s="0">
    <fb>45539</fb>
    <v>0</v>
  </rv>
  <rv s="0">
    <fb>77.239999999999995</fb>
    <v>1</v>
  </rv>
  <rv s="0">
    <fb>18442775</fb>
    <v>2</v>
  </rv>
  <rv s="0">
    <fb>45540</fb>
    <v>0</v>
  </rv>
  <rv s="0">
    <fb>76.959999999999994</fb>
    <v>1</v>
  </rv>
  <rv s="0">
    <fb>13082893</fb>
    <v>2</v>
  </rv>
  <rv s="0">
    <fb>45541</fb>
    <v>0</v>
  </rv>
  <rv s="0">
    <fb>76.64</fb>
    <v>1</v>
  </rv>
  <rv s="0">
    <fb>14548588</fb>
    <v>2</v>
  </rv>
  <rv s="0">
    <fb>45544</fb>
    <v>0</v>
  </rv>
  <rv s="0">
    <fb>77.34</fb>
    <v>1</v>
  </rv>
  <rv s="0">
    <fb>22260226</fb>
    <v>2</v>
  </rv>
  <rv s="0">
    <fb>45545</fb>
    <v>0</v>
  </rv>
  <rv s="0">
    <fb>78.81</fb>
    <v>1</v>
  </rv>
  <rv s="0">
    <fb>17686284</fb>
    <v>2</v>
  </rv>
  <rv s="0">
    <fb>45546</fb>
    <v>0</v>
  </rv>
  <rv s="0">
    <fb>78.84</fb>
    <v>1</v>
  </rv>
  <rv s="0">
    <fb>19518761</fb>
    <v>2</v>
  </rv>
  <rv s="0">
    <fb>45547</fb>
    <v>0</v>
  </rv>
  <rv s="0">
    <fb>79.66</fb>
    <v>1</v>
  </rv>
  <rv s="0">
    <fb>14884852</fb>
    <v>2</v>
  </rv>
  <rv s="0">
    <fb>45548</fb>
    <v>0</v>
  </rv>
  <rv s="0">
    <fb>80.599999999999994</fb>
    <v>1</v>
  </rv>
  <rv s="0">
    <fb>12994100</fb>
    <v>2</v>
  </rv>
  <rv s="0">
    <fb>45551</fb>
    <v>0</v>
  </rv>
  <rv s="0">
    <fb>80.56</fb>
    <v>1</v>
  </rv>
  <rv s="0">
    <fb>15346367</fb>
    <v>2</v>
  </rv>
  <rv s="0">
    <fb>45552</fb>
    <v>0</v>
  </rv>
  <rv s="0">
    <fb>78.599999999999994</fb>
    <v>1</v>
  </rv>
  <rv s="0">
    <fb>21065938</fb>
    <v>2</v>
  </rv>
  <rv s="0">
    <fb>45553</fb>
    <v>0</v>
  </rv>
  <rv s="0">
    <fb>79.03</fb>
    <v>1</v>
  </rv>
  <rv s="0">
    <fb>15684878</fb>
    <v>2</v>
  </rv>
  <rv s="0">
    <fb>45554</fb>
    <v>0</v>
  </rv>
  <rv s="0">
    <fb>78.040000000000006</fb>
    <v>1</v>
  </rv>
  <rv s="0">
    <fb>21525685</fb>
    <v>2</v>
  </rv>
  <rv s="0">
    <fb>45555</fb>
    <v>0</v>
  </rv>
  <rv s="0">
    <fb>79.06</fb>
    <v>1</v>
  </rv>
  <rv s="0">
    <fb>39534251</fb>
    <v>2</v>
  </rv>
  <rv s="0">
    <fb>45558</fb>
    <v>0</v>
  </rv>
  <rv s="0">
    <fb>80.33</fb>
    <v>1</v>
  </rv>
  <rv s="0">
    <fb>12147264</fb>
    <v>2</v>
  </rv>
  <rv s="0">
    <fb>45559</fb>
    <v>0</v>
  </rv>
  <rv s="0">
    <fb>80.67</fb>
    <v>1</v>
  </rv>
  <rv s="0">
    <fb>14651133</fb>
    <v>2</v>
  </rv>
  <rv s="0">
    <fb>45560</fb>
    <v>0</v>
  </rv>
  <rv s="0">
    <fb>81.400000000000006</fb>
    <v>1</v>
  </rv>
  <rv s="0">
    <fb>14163785</fb>
    <v>2</v>
  </rv>
  <rv s="0">
    <fb>45561</fb>
    <v>0</v>
  </rv>
  <rv s="0">
    <fb>79.92</fb>
    <v>1</v>
  </rv>
  <rv s="0">
    <fb>17061133</fb>
    <v>2</v>
  </rv>
  <rv s="0">
    <fb>45562</fb>
    <v>0</v>
  </rv>
  <rv s="0">
    <fb>79.78</fb>
    <v>1</v>
  </rv>
  <rv s="0">
    <fb>11899050</fb>
    <v>2</v>
  </rv>
  <rv s="0">
    <fb>45565</fb>
    <v>0</v>
  </rv>
  <rv s="0">
    <fb>80.75</fb>
    <v>1</v>
  </rv>
  <rv s="0">
    <fb>19008187</fb>
    <v>2</v>
  </rv>
  <rv s="0">
    <fb>45566</fb>
    <v>0</v>
  </rv>
  <rv s="0">
    <fb>81.27</fb>
    <v>1</v>
  </rv>
  <rv s="0">
    <fb>16054249</fb>
    <v>2</v>
  </rv>
  <rv s="0">
    <fb>45567</fb>
    <v>0</v>
  </rv>
  <rv s="0">
    <fb>80.430000000000007</fb>
    <v>1</v>
  </rv>
  <rv s="0">
    <fb>16618272</fb>
    <v>2</v>
  </rv>
  <rv s="0">
    <fb>45568</fb>
    <v>0</v>
  </rv>
  <rv s="0">
    <fb>11640421</fb>
    <v>2</v>
  </rv>
  <rv s="0">
    <fb>45569</fb>
    <v>0</v>
  </rv>
  <rv s="0">
    <fb>80.94</fb>
    <v>1</v>
  </rv>
  <rv s="0">
    <fb>11591388</fb>
    <v>2</v>
  </rv>
  <rv s="0">
    <fb>45572</fb>
    <v>0</v>
  </rv>
  <rv s="0">
    <fb>79.099999999999994</fb>
    <v>1</v>
  </rv>
  <rv s="0">
    <fb>16791646</fb>
    <v>2</v>
  </rv>
  <rv s="0">
    <fb>45573</fb>
    <v>0</v>
  </rv>
  <rv s="0">
    <fb>79.709999999999994</fb>
    <v>1</v>
  </rv>
  <rv s="0">
    <fb>15269963</fb>
    <v>2</v>
  </rv>
  <rv s="0">
    <fb>45574</fb>
    <v>0</v>
  </rv>
  <rv s="0">
    <fb>80.400000000000006</fb>
    <v>1</v>
  </rv>
  <rv s="0">
    <fb>12413030</fb>
    <v>2</v>
  </rv>
  <rv s="0">
    <fb>45575</fb>
    <v>0</v>
  </rv>
  <rv s="0">
    <fb>79.61</fb>
    <v>1</v>
  </rv>
  <rv s="0">
    <fb>10812700</fb>
    <v>2</v>
  </rv>
  <rv s="0">
    <fb>45576</fb>
    <v>0</v>
  </rv>
  <rv s="0">
    <fb>80.099999999999994</fb>
    <v>1</v>
  </rv>
  <rv s="0">
    <fb>9570734</fb>
    <v>2</v>
  </rv>
  <rv s="0">
    <fb>45579</fb>
    <v>0</v>
  </rv>
  <rv s="0">
    <fb>80.290000000000006</fb>
    <v>1</v>
  </rv>
  <rv s="0">
    <fb>9914477</fb>
    <v>2</v>
  </rv>
  <rv s="0">
    <fb>45580</fb>
    <v>0</v>
  </rv>
  <rv s="0">
    <fb>81.650000000000006</fb>
    <v>1</v>
  </rv>
  <rv s="0">
    <fb>13276221</fb>
    <v>2</v>
  </rv>
  <rv s="0">
    <fb>45581</fb>
    <v>0</v>
  </rv>
  <rv s="0">
    <fb>81.22</fb>
    <v>1</v>
  </rv>
  <rv s="0">
    <fb>11123254</fb>
    <v>2</v>
  </rv>
  <rv s="0">
    <fb>45582</fb>
    <v>0</v>
  </rv>
  <rv s="0">
    <fb>80.89</fb>
    <v>1</v>
  </rv>
  <rv s="0">
    <fb>9424705</fb>
    <v>2</v>
  </rv>
  <rv s="0">
    <fb>45583</fb>
    <v>0</v>
  </rv>
  <rv s="0">
    <fb>81.31</fb>
    <v>1</v>
  </rv>
  <rv s="0">
    <fb>12324148</fb>
    <v>2</v>
  </rv>
  <rv s="0">
    <fb>45586</fb>
    <v>0</v>
  </rv>
  <rv s="0">
    <fb>80.81</fb>
    <v>1</v>
  </rv>
  <rv s="0">
    <fb>9750376</fb>
    <v>2</v>
  </rv>
  <rv s="0">
    <fb>45587</fb>
    <v>0</v>
  </rv>
  <rv s="0">
    <fb>82.02</fb>
    <v>1</v>
  </rv>
  <rv s="0">
    <fb>12240149</fb>
    <v>2</v>
  </rv>
  <rv s="0">
    <fb>45588</fb>
    <v>0</v>
  </rv>
  <rv s="0">
    <fb>83.27</fb>
    <v>1</v>
  </rv>
  <rv s="0">
    <fb>13058244</fb>
    <v>2</v>
  </rv>
  <rv s="0">
    <fb>45589</fb>
    <v>0</v>
  </rv>
  <rv s="0">
    <fb>83.04</fb>
    <v>1</v>
  </rv>
  <rv s="0">
    <fb>11645856</fb>
    <v>2</v>
  </rv>
  <rv s="0">
    <fb>45590</fb>
    <v>0</v>
  </rv>
  <rv s="0">
    <fb>82.51</fb>
    <v>1</v>
  </rv>
  <rv s="0">
    <fb>8959412</fb>
    <v>2</v>
  </rv>
  <rv s="0">
    <fb>45593</fb>
    <v>0</v>
  </rv>
  <rv s="0">
    <fb>82.75</fb>
    <v>1</v>
  </rv>
  <rv s="0">
    <fb>7990186</fb>
    <v>2</v>
  </rv>
  <rv s="0">
    <fb>45594</fb>
    <v>0</v>
  </rv>
  <rv s="0">
    <fb>81.7</fb>
    <v>1</v>
  </rv>
  <rv s="0">
    <fb>9682403</fb>
    <v>2</v>
  </rv>
  <rv s="0">
    <fb>45595</fb>
    <v>0</v>
  </rv>
  <rv s="0">
    <fb>81.39</fb>
    <v>1</v>
  </rv>
  <rv s="0">
    <fb>9268824</fb>
    <v>2</v>
  </rv>
  <rv s="0">
    <fb>45596</fb>
    <v>0</v>
  </rv>
  <rv s="0">
    <fb>81.95</fb>
    <v>1</v>
  </rv>
  <rv s="0">
    <fb>15538968</fb>
    <v>2</v>
  </rv>
  <rv s="0">
    <fb>45597</fb>
    <v>0</v>
  </rv>
  <rv s="0">
    <fb>82.19</fb>
    <v>1</v>
  </rv>
  <rv s="0">
    <fb>12181833</fb>
    <v>2</v>
  </rv>
  <rv s="0">
    <fb>45600</fb>
    <v>0</v>
  </rv>
  <rv s="0">
    <fb>82.45</fb>
    <v>1</v>
  </rv>
  <rv s="0">
    <fb>11731043</fb>
    <v>2</v>
  </rv>
  <rv s="0">
    <fb>45601</fb>
    <v>0</v>
  </rv>
  <rv s="0">
    <fb>83.68</fb>
    <v>1</v>
  </rv>
  <rv s="0">
    <fb>10612489</fb>
    <v>2</v>
  </rv>
  <rv s="0">
    <fb>45602</fb>
    <v>0</v>
  </rv>
  <rv s="0">
    <fb>83.44</fb>
    <v>1</v>
  </rv>
  <rv s="0">
    <fb>19974038</fb>
    <v>2</v>
  </rv>
  <rv s="0">
    <fb>45603</fb>
    <v>0</v>
  </rv>
  <rv s="0">
    <fb>83.85</fb>
    <v>1</v>
  </rv>
  <rv s="0">
    <fb>12665777</fb>
    <v>2</v>
  </rv>
  <rv s="0">
    <fb>45604</fb>
    <v>0</v>
  </rv>
  <rv s="0">
    <fb>84.83</fb>
    <v>1</v>
  </rv>
  <rv s="0">
    <fb>14396543</fb>
    <v>2</v>
  </rv>
  <rv s="0">
    <fb>45607</fb>
    <v>0</v>
  </rv>
  <rv s="0">
    <fb>84.21</fb>
    <v>1</v>
  </rv>
  <rv s="0">
    <fb>10433166</fb>
    <v>2</v>
  </rv>
  <rv s="0">
    <fb>45608</fb>
    <v>0</v>
  </rv>
  <rv s="0">
    <fb>84.99</fb>
    <v>1</v>
  </rv>
  <rv s="0">
    <fb>12860194</fb>
    <v>2</v>
  </rv>
  <rv s="0">
    <fb>45609</fb>
    <v>0</v>
  </rv>
  <rv s="0">
    <fb>85.5</fb>
    <v>1</v>
  </rv>
  <rv s="0">
    <fb>12802622</fb>
    <v>2</v>
  </rv>
  <rv s="0">
    <fb>45610</fb>
    <v>0</v>
  </rv>
  <rv s="0">
    <fb>84.47</fb>
    <v>1</v>
  </rv>
  <rv s="0">
    <fb>15740732</fb>
    <v>2</v>
  </rv>
  <rv s="0">
    <fb>45611</fb>
    <v>0</v>
  </rv>
  <rv s="0">
    <fb>84.25</fb>
    <v>1</v>
  </rv>
  <rv s="0">
    <fb>17370602</fb>
    <v>2</v>
  </rv>
  <rv s="0">
    <fb>45614</fb>
    <v>0</v>
  </rv>
  <rv s="0">
    <fb>84.08</fb>
    <v>1</v>
  </rv>
  <rv s="0">
    <fb>25278121</fb>
    <v>2</v>
  </rv>
  <rv s="0">
    <fb>45615</fb>
    <v>0</v>
  </rv>
  <rv s="0">
    <fb>86.6</fb>
    <v>1</v>
  </rv>
  <rv s="0">
    <fb>36340856</fb>
    <v>2</v>
  </rv>
  <rv s="0">
    <fb>45616</fb>
    <v>0</v>
  </rv>
  <rv s="0">
    <fb>87.18</fb>
    <v>1</v>
  </rv>
  <rv s="0">
    <fb>18183193</fb>
    <v>2</v>
  </rv>
  <rv s="0">
    <fb>45617</fb>
    <v>0</v>
  </rv>
  <rv s="0">
    <fb>88.39</fb>
    <v>1</v>
  </rv>
  <rv s="0">
    <fb>18729222</fb>
    <v>2</v>
  </rv>
  <rv s="0">
    <fb>45618</fb>
    <v>0</v>
  </rv>
  <rv s="0">
    <fb>90.44</fb>
    <v>1</v>
  </rv>
  <rv s="0">
    <fb>23990645</fb>
    <v>2</v>
  </rv>
  <rv s="0">
    <fb>45621</fb>
    <v>0</v>
  </rv>
  <rv s="0">
    <fb>89.5</fb>
    <v>1</v>
  </rv>
  <rv s="0">
    <fb>25078633</fb>
    <v>2</v>
  </rv>
  <rv s="0">
    <fb>45622</fb>
    <v>0</v>
  </rv>
  <rv s="0">
    <fb>91.31</fb>
    <v>1</v>
  </rv>
  <rv s="0">
    <fb>16657022</fb>
    <v>2</v>
  </rv>
  <rv s="0">
    <fb>45623</fb>
    <v>0</v>
  </rv>
  <rv s="0">
    <fb>91.88</fb>
    <v>1</v>
  </rv>
  <rv s="0">
    <fb>14358861</fb>
    <v>2</v>
  </rv>
  <rv s="0">
    <fb>45625</fb>
    <v>0</v>
  </rv>
  <rv s="0">
    <fb>92.5</fb>
    <v>1</v>
  </rv>
  <rv s="0">
    <fb>11041178</fb>
    <v>2</v>
  </rv>
  <rv s="0">
    <fb>45628</fb>
    <v>0</v>
  </rv>
  <rv s="0">
    <fb>92.64</fb>
    <v>1</v>
  </rv>
  <rv s="0">
    <fb>17172953</fb>
    <v>2</v>
  </rv>
  <rv s="0">
    <fb>45629</fb>
    <v>0</v>
  </rv>
  <rv s="0">
    <fb>93.51</fb>
    <v>1</v>
  </rv>
  <rv s="0">
    <fb>17775226</fb>
    <v>2</v>
  </rv>
  <rv s="0">
    <fb>45630</fb>
    <v>0</v>
  </rv>
  <rv s="0">
    <fb>94.45</fb>
    <v>1</v>
  </rv>
  <rv s="0">
    <fb>17312575</fb>
    <v>2</v>
  </rv>
  <rv s="0">
    <fb>45631</fb>
    <v>0</v>
  </rv>
  <rv s="0">
    <fb>95.3</fb>
    <v>1</v>
  </rv>
  <rv s="0">
    <fb>21932325</fb>
    <v>2</v>
  </rv>
  <rv s="0">
    <fb>45632</fb>
    <v>0</v>
  </rv>
  <rv s="0">
    <fb>95.7</fb>
    <v>1</v>
  </rv>
  <rv s="0">
    <fb>18803499</fb>
    <v>2</v>
  </rv>
  <rv s="0">
    <fb>45635</fb>
    <v>0</v>
  </rv>
  <rv s="0">
    <fb>93.83</fb>
    <v>1</v>
  </rv>
  <rv s="0">
    <fb>20931082</fb>
    <v>2</v>
  </rv>
  <rv s="0">
    <fb>45636</fb>
    <v>0</v>
  </rv>
  <rv s="0">
    <fb>94.55</fb>
    <v>1</v>
  </rv>
  <rv s="0">
    <fb>13164487</fb>
    <v>2</v>
  </rv>
  <rv s="0">
    <fb>45637</fb>
    <v>0</v>
  </rv>
  <rv s="0">
    <fb>94.96</fb>
    <v>1</v>
  </rv>
  <rv s="0">
    <fb>19682085</fb>
    <v>2</v>
  </rv>
  <rv s="0">
    <fb>45638</fb>
    <v>0</v>
  </rv>
  <rv s="0">
    <fb>94.09</fb>
    <v>1</v>
  </rv>
  <rv s="0">
    <fb>14298626</fb>
    <v>2</v>
  </rv>
  <rv s="0">
    <fb>45639</fb>
    <v>0</v>
  </rv>
  <rv s="0">
    <fb>94.25</fb>
    <v>1</v>
  </rv>
  <rv s="0">
    <fb>11495854</fb>
    <v>2</v>
  </rv>
  <rv s="0">
    <fb>45642</fb>
    <v>0</v>
  </rv>
  <rv s="0">
    <fb>94.87</fb>
    <v>1</v>
  </rv>
  <rv s="0">
    <fb>16741989</fb>
    <v>2</v>
  </rv>
  <rv s="0">
    <fb>45643</fb>
    <v>0</v>
  </rv>
  <rv s="0">
    <fb>95.42</fb>
    <v>1</v>
  </rv>
  <rv s="0">
    <fb>23560821</fb>
    <v>2</v>
  </rv>
  <rv s="0">
    <fb>45644</fb>
    <v>0</v>
  </rv>
  <rv s="0">
    <fb>93.55</fb>
    <v>1</v>
  </rv>
  <rv s="0">
    <fb>24665600</fb>
    <v>2</v>
  </rv>
  <rv s="0">
    <fb>45645</fb>
    <v>0</v>
  </rv>
  <rv s="0">
    <fb>93.4</fb>
    <v>1</v>
  </rv>
  <rv s="0">
    <fb>16606501</fb>
    <v>2</v>
  </rv>
  <rv s="0">
    <fb>45646</fb>
    <v>0</v>
  </rv>
  <rv s="0">
    <fb>92.24</fb>
    <v>1</v>
  </rv>
  <rv s="0">
    <fb>49350586</fb>
    <v>2</v>
  </rv>
  <rv s="0">
    <fb>45649</fb>
    <v>0</v>
  </rv>
  <rv s="0">
    <fb>90.35</fb>
    <v>1</v>
  </rv>
  <rv s="0">
    <fb>26205379</fb>
    <v>2</v>
  </rv>
  <rv s="0">
    <fb>45650</fb>
    <v>0</v>
  </rv>
  <rv s="0">
    <fb>92.68</fb>
    <v>1</v>
  </rv>
  <rv s="0">
    <fb>8992427</fb>
    <v>2</v>
  </rv>
  <rv s="0">
    <fb>45652</fb>
    <v>0</v>
  </rv>
  <rv s="0">
    <fb>92.79</fb>
    <v>1</v>
  </rv>
  <rv s="0">
    <fb>10997611</fb>
    <v>2</v>
  </rv>
  <rv s="0">
    <fb>45653</fb>
    <v>0</v>
  </rv>
  <rv s="0">
    <fb>91.66</fb>
    <v>1</v>
  </rv>
  <rv s="0">
    <fb>11384359</fb>
    <v>2</v>
  </rv>
  <rv s="0">
    <fb>45656</fb>
    <v>0</v>
  </rv>
  <rv s="0">
    <fb>90.57</fb>
    <v>1</v>
  </rv>
  <rv s="0">
    <fb>9790196</fb>
    <v>2</v>
  </rv>
  <rv s="0">
    <fb>45657</fb>
    <v>0</v>
  </rv>
  <rv s="0">
    <fb>11267652</fb>
    <v>2</v>
  </rv>
  <rv s="0">
    <fb>45659</fb>
    <v>0</v>
  </rv>
  <rv s="0">
    <fb>90</fb>
    <v>1</v>
  </rv>
  <rv s="0">
    <fb>14820438</fb>
    <v>2</v>
  </rv>
  <rv s="0">
    <fb>45660</fb>
    <v>0</v>
  </rv>
  <rv s="0">
    <fb>90.78</fb>
    <v>1</v>
  </rv>
  <rv s="0">
    <fb>10834630</fb>
    <v>2</v>
  </rv>
  <rv s="0">
    <fb>45663</fb>
    <v>0</v>
  </rv>
  <rv s="0">
    <fb>91.43</fb>
    <v>1</v>
  </rv>
  <rv s="0">
    <fb>14519858</fb>
    <v>2</v>
  </rv>
  <rv s="0">
    <fb>45664</fb>
    <v>0</v>
  </rv>
  <rv s="0">
    <fb>90.81</fb>
    <v>1</v>
  </rv>
  <rv s="0">
    <fb>11238044</fb>
    <v>2</v>
  </rv>
  <rv s="0">
    <fb>45665</fb>
    <v>0</v>
  </rv>
  <rv s="0">
    <fb>91.8</fb>
    <v>1</v>
  </rv>
  <rv s="0">
    <fb>13453627</fb>
    <v>2</v>
  </rv>
  <rv s="0">
    <fb>45667</fb>
    <v>0</v>
  </rv>
  <rv s="0">
    <fb>93</fb>
    <v>1</v>
  </rv>
  <rv s="0">
    <fb>18140864</fb>
    <v>2</v>
  </rv>
  <rv s="0">
    <fb>45670</fb>
    <v>0</v>
  </rv>
  <rv s="0">
    <fb>91.53</fb>
    <v>1</v>
  </rv>
  <rv s="0">
    <fb>18617077</fb>
    <v>2</v>
  </rv>
  <rv s="0">
    <fb>45671</fb>
    <v>0</v>
  </rv>
  <rv s="0">
    <fb>90.79</fb>
    <v>1</v>
  </rv>
  <rv s="0">
    <fb>13549159</fb>
    <v>2</v>
  </rv>
  <rv s="0">
    <fb>45672</fb>
    <v>0</v>
  </rv>
  <rv s="0">
    <fb>91.34</fb>
    <v>1</v>
  </rv>
  <rv s="0">
    <fb>17348174</fb>
    <v>2</v>
  </rv>
  <rv s="0">
    <fb>45673</fb>
    <v>0</v>
  </rv>
  <rv s="0">
    <fb>91.3</fb>
    <v>1</v>
  </rv>
  <rv s="0">
    <fb>13267723</fb>
    <v>2</v>
  </rv>
  <rv s="0">
    <fb>45674</fb>
    <v>0</v>
  </rv>
  <rv s="0">
    <fb>91.94</fb>
    <v>1</v>
  </rv>
  <rv s="0">
    <fb>15868213</fb>
    <v>2</v>
  </rv>
  <rv s="0">
    <fb>45678</fb>
    <v>0</v>
  </rv>
  <rv s="0">
    <fb>93.08</fb>
    <v>1</v>
  </rv>
  <rv s="0">
    <fb>23247451</fb>
    <v>2</v>
  </rv>
  <rv s="0">
    <fb>45679</fb>
    <v>0</v>
  </rv>
  <rv s="0">
    <fb>93.23</fb>
    <v>1</v>
  </rv>
  <rv s="0">
    <fb>15567057</fb>
    <v>2</v>
  </rv>
  <rv s="0">
    <fb>45680</fb>
    <v>0</v>
  </rv>
  <rv s="0">
    <fb>93.81</fb>
    <v>1</v>
  </rv>
  <rv s="0">
    <fb>14198438</fb>
    <v>2</v>
  </rv>
  <rv s="0">
    <fb>45681</fb>
    <v>0</v>
  </rv>
  <rv s="0">
    <fb>94.76</fb>
    <v>1</v>
  </rv>
  <rv s="0">
    <fb>14973773</fb>
    <v>2</v>
  </rv>
  <rv s="0">
    <fb>45684</fb>
    <v>0</v>
  </rv>
  <rv s="0">
    <fb>97.4</fb>
    <v>1</v>
  </rv>
  <rv s="0">
    <fb>18880614</fb>
    <v>2</v>
  </rv>
  <rv s="0">
    <fb>45685</fb>
    <v>0</v>
  </rv>
  <rv s="0">
    <fb>97.29</fb>
    <v>1</v>
  </rv>
  <rv s="0">
    <fb>14641621</fb>
    <v>2</v>
  </rv>
  <rv s="0">
    <fb>45686</fb>
    <v>0</v>
  </rv>
  <rv s="0">
    <fb>97.5</fb>
    <v>1</v>
  </rv>
  <rv s="0">
    <fb>11261444</fb>
    <v>2</v>
  </rv>
  <rv s="0">
    <fb>45687</fb>
    <v>0</v>
  </rv>
  <rv s="0">
    <fb>98.65</fb>
    <v>1</v>
  </rv>
  <rv s="0">
    <fb>11012220</fb>
    <v>2</v>
  </rv>
  <rv s="0">
    <fb>45688</fb>
    <v>0</v>
  </rv>
  <rv s="0">
    <fb>98.16</fb>
    <v>1</v>
  </rv>
  <rv s="0">
    <fb>16413893</fb>
    <v>2</v>
  </rv>
  <rv s="0">
    <fb>45691</fb>
    <v>0</v>
  </rv>
  <rv s="0">
    <fb>99.54</fb>
    <v>1</v>
  </rv>
  <rv s="0">
    <fb>20484152</fb>
    <v>2</v>
  </rv>
  <rv s="0">
    <fb>45692</fb>
    <v>0</v>
  </rv>
  <rv s="0">
    <fb>100.77</fb>
    <v>1</v>
  </rv>
  <rv s="0">
    <fb>15201194</fb>
    <v>2</v>
  </rv>
  <rv s="0">
    <fb>45693</fb>
    <v>0</v>
  </rv>
  <rv s="0">
    <fb>102.46</fb>
    <v>1</v>
  </rv>
  <rv s="0">
    <fb>15926717</fb>
    <v>2</v>
  </rv>
  <rv s="0">
    <fb>45694</fb>
    <v>0</v>
  </rv>
  <rv s="0">
    <fb>102.85</fb>
    <v>1</v>
  </rv>
  <rv s="0">
    <fb>13088467</fb>
    <v>2</v>
  </rv>
  <rv s="0">
    <fb>45695</fb>
    <v>0</v>
  </rv>
  <rv s="0">
    <fb>101.15</fb>
    <v>1</v>
  </rv>
  <rv s="0">
    <fb>12451072</fb>
    <v>2</v>
  </rv>
  <rv s="0">
    <fb>45698</fb>
    <v>0</v>
  </rv>
  <rv s="0">
    <fb>102.92</fb>
    <v>1</v>
  </rv>
  <rv s="0">
    <fb>15274644</fb>
    <v>2</v>
  </rv>
  <rv s="0">
    <fb>45699</fb>
    <v>0</v>
  </rv>
  <rv s="0">
    <fb>102.47</fb>
    <v>1</v>
  </rv>
  <rv s="0">
    <fb>11953632</fb>
    <v>2</v>
  </rv>
  <rv s="0">
    <fb>45700</fb>
    <v>0</v>
  </rv>
  <rv s="0">
    <fb>103.61</fb>
    <v>1</v>
  </rv>
  <rv s="0">
    <fb>15162125</fb>
    <v>2</v>
  </rv>
  <rv s="0">
    <fb>45701</fb>
    <v>0</v>
  </rv>
  <rv s="0">
    <fb>105.05</fb>
    <v>1</v>
  </rv>
  <rv s="0">
    <fb>12604413</fb>
    <v>2</v>
  </rv>
  <rv s="0">
    <fb>45702</fb>
    <v>0</v>
  </rv>
  <rv s="0">
    <fb>104.04</fb>
    <v>1</v>
  </rv>
  <rv s="0">
    <fb>14109460</fb>
    <v>2</v>
  </rv>
  <rv s="0">
    <fb>45706</fb>
    <v>0</v>
  </rv>
  <rv s="0">
    <fb>103.78</fb>
    <v>1</v>
  </rv>
  <rv s="0">
    <fb>18247314</fb>
    <v>2</v>
  </rv>
  <rv s="0">
    <fb>45707</fb>
    <v>0</v>
  </rv>
  <rv s="0">
    <fb>104</fb>
    <v>1</v>
  </rv>
  <rv s="0">
    <fb>18507981</fb>
    <v>2</v>
  </rv>
  <rv s="0">
    <fb>45708</fb>
    <v>0</v>
  </rv>
  <rv s="0">
    <fb>97.21</fb>
    <v>1</v>
  </rv>
  <rv s="0">
    <fb>55450924</fb>
    <v>2</v>
  </rv>
  <rv s="0">
    <fb>45709</fb>
    <v>0</v>
  </rv>
  <rv s="0">
    <fb>94.78</fb>
    <v>1</v>
  </rv>
  <rv s="0">
    <fb>35014806</fb>
    <v>2</v>
  </rv>
  <rv s="0">
    <fb>45712</fb>
    <v>0</v>
  </rv>
  <rv s="0">
    <fb>93.67</fb>
    <v>1</v>
  </rv>
  <rv s="0">
    <fb>29755875</fb>
    <v>2</v>
  </rv>
  <rv s="0">
    <fb>45713</fb>
    <v>0</v>
  </rv>
  <rv s="0">
    <fb>97.69</fb>
    <v>1</v>
  </rv>
  <rv s="0">
    <fb>29331188</fb>
    <v>2</v>
  </rv>
  <rv s="0">
    <fb>45714</fb>
    <v>0</v>
  </rv>
  <rv s="0">
    <fb>96.2</fb>
    <v>1</v>
  </rv>
  <rv s="0">
    <fb>19069721</fb>
    <v>2</v>
  </rv>
  <rv s="0">
    <fb>45715</fb>
    <v>0</v>
  </rv>
  <rv s="0">
    <fb>96.79</fb>
    <v>1</v>
  </rv>
  <rv s="0">
    <fb>16431469</fb>
    <v>2</v>
  </rv>
  <rv s="0">
    <fb>45716</fb>
    <v>0</v>
  </rv>
  <rv s="0">
    <fb>98.61</fb>
    <v>1</v>
  </rv>
  <rv s="0">
    <fb>25451260</fb>
    <v>2</v>
  </rv>
  <rv s="0">
    <fb>45719</fb>
    <v>0</v>
  </rv>
  <rv s="0">
    <fb>97.59</fb>
    <v>1</v>
  </rv>
  <rv s="0">
    <fb>18372193</fb>
    <v>2</v>
  </rv>
  <rv s="0">
    <fb>45720</fb>
    <v>0</v>
  </rv>
  <rv s="0">
    <fb>94.97</fb>
    <v>1</v>
  </rv>
  <rv s="0">
    <fb>25227673</fb>
    <v>2</v>
  </rv>
  <rv s="0">
    <fb>45721</fb>
    <v>0</v>
  </rv>
  <rv s="0">
    <fb>95.98</fb>
    <v>1</v>
  </rv>
  <rv s="0">
    <fb>17638956</fb>
    <v>2</v>
  </rv>
  <rv s="0">
    <fb>45722</fb>
    <v>0</v>
  </rv>
  <rv s="0">
    <fb>94.64</fb>
    <v>1</v>
  </rv>
  <rv s="0">
    <fb>19957804</fb>
    <v>2</v>
  </rv>
  <rv s="0">
    <fb>45723</fb>
    <v>0</v>
  </rv>
  <rv s="0">
    <fb>91.72</fb>
    <v>1</v>
  </rv>
  <rv s="0">
    <fb>35913156</fb>
    <v>2</v>
  </rv>
  <rv s="0">
    <fb>45726</fb>
    <v>0</v>
  </rv>
  <rv s="0">
    <fb>87.82</fb>
    <v>1</v>
  </rv>
  <rv s="0">
    <fb>35148837</fb>
    <v>2</v>
  </rv>
  <rv s="0">
    <fb>45727</fb>
    <v>0</v>
  </rv>
  <rv s="0">
    <fb>87.44</fb>
    <v>1</v>
  </rv>
  <rv s="0">
    <fb>28687586</fb>
    <v>2</v>
  </rv>
  <rv s="0">
    <fb>45728</fb>
    <v>0</v>
  </rv>
  <rv s="0">
    <fb>85.2</fb>
    <v>1</v>
  </rv>
  <rv s="0">
    <fb>33301609</fb>
    <v>2</v>
  </rv>
  <rv s="0">
    <fb>45729</fb>
    <v>0</v>
  </rv>
  <rv s="0">
    <fb>84.5</fb>
    <v>1</v>
  </rv>
  <rv s="0">
    <fb>31507753</fb>
    <v>2</v>
  </rv>
  <rv s="0">
    <fb>45730</fb>
    <v>0</v>
  </rv>
  <rv s="0">
    <fb>85.35</fb>
    <v>1</v>
  </rv>
  <rv s="0">
    <fb>35500647</fb>
    <v>2</v>
  </rv>
  <rv s="0">
    <fb>45733</fb>
    <v>0</v>
  </rv>
  <rv s="0">
    <fb>87.46</fb>
    <v>1</v>
  </rv>
  <rv s="0">
    <fb>26297768</fb>
    <v>2</v>
  </rv>
  <rv s="0">
    <fb>45734</fb>
    <v>0</v>
  </rv>
  <rv s="0">
    <fb>85.59</fb>
    <v>1</v>
  </rv>
  <rv s="0">
    <fb>17850930</fb>
    <v>2</v>
  </rv>
  <rv s="0">
    <fb>45735</fb>
    <v>0</v>
  </rv>
  <rv s="0">
    <fb>86.33</fb>
    <v>1</v>
  </rv>
  <rv s="0">
    <fb>24555857</fb>
    <v>2</v>
  </rv>
  <rv s="0">
    <fb>45736</fb>
    <v>0</v>
  </rv>
  <rv s="0">
    <fb>85.81</fb>
    <v>1</v>
  </rv>
  <rv s="0">
    <fb>18185506</fb>
    <v>2</v>
  </rv>
  <rv s="0">
    <fb>45737</fb>
    <v>0</v>
  </rv>
  <rv s="0">
    <fb>85.98</fb>
    <v>1</v>
  </rv>
  <rv s="0">
    <fb>26797178</fb>
    <v>2</v>
  </rv>
  <rv s="0">
    <fb>45740</fb>
    <v>0</v>
  </rv>
  <rv s="0">
    <fb>87.49</fb>
    <v>1</v>
  </rv>
  <rv s="0">
    <fb>17900732</fb>
    <v>2</v>
  </rv>
  <rv s="0">
    <fb>45741</fb>
    <v>0</v>
  </rv>
  <rv s="0">
    <fb>84.76</fb>
    <v>1</v>
  </rv>
  <rv s="0">
    <fb>27908573</fb>
    <v>2</v>
  </rv>
  <rv s="0">
    <fb>45742</fb>
    <v>0</v>
  </rv>
  <rv s="0">
    <fb>85.21</fb>
    <v>1</v>
  </rv>
  <rv s="0">
    <fb>27241495</fb>
    <v>2</v>
  </rv>
  <rv s="0">
    <fb>45743</fb>
    <v>0</v>
  </rv>
  <rv s="0">
    <fb>85.63</fb>
    <v>1</v>
  </rv>
  <rv s="0">
    <fb>16782807</fb>
    <v>2</v>
  </rv>
  <rv s="0">
    <fb>45744</fb>
    <v>0</v>
  </rv>
  <rv s="0">
    <fb>85.15</fb>
    <v>1</v>
  </rv>
  <rv s="0">
    <fb>14790567</fb>
    <v>2</v>
  </rv>
  <rv s="0">
    <fb>45747</fb>
    <v>0</v>
  </rv>
  <rv s="0">
    <fb>87.79</fb>
    <v>1</v>
  </rv>
  <rv s="0">
    <fb>30269313</fb>
    <v>2</v>
  </rv>
  <rv s="0">
    <fb>45748</fb>
    <v>0</v>
  </rv>
  <rv s="0">
    <fb>88.83</fb>
    <v>1</v>
  </rv>
  <rv s="0">
    <fb>22080252</fb>
    <v>2</v>
  </rv>
  <rv s="0">
    <fb>45749</fb>
    <v>0</v>
  </rv>
  <rv s="0">
    <fb>89.76</fb>
    <v>1</v>
  </rv>
  <rv s="0">
    <fb>19384137</fb>
    <v>2</v>
  </rv>
  <rv s="0">
    <fb>45750</fb>
    <v>0</v>
  </rv>
  <rv s="0">
    <fb>87.26</fb>
    <v>1</v>
  </rv>
  <rv s="0">
    <fb>33012927</fb>
    <v>2</v>
  </rv>
  <rv s="0">
    <fb>45751</fb>
    <v>0</v>
  </rv>
  <rv s="0">
    <fb>83.19</fb>
    <v>1</v>
  </rv>
  <rv s="0">
    <fb>36209015</fb>
    <v>2</v>
  </rv>
  <rv s="0">
    <fb>45754</fb>
    <v>0</v>
  </rv>
  <rv s="0">
    <fb>83.83</fb>
    <v>1</v>
  </rv>
  <rv s="0">
    <fb>36884944</fb>
    <v>2</v>
  </rv>
  <rv s="0">
    <fb>45755</fb>
    <v>0</v>
  </rv>
  <rv s="0">
    <fb>81.790000000000006</fb>
    <v>1</v>
  </rv>
  <rv s="0">
    <fb>34351744</fb>
    <v>2</v>
  </rv>
  <rv s="0">
    <fb>45756</fb>
    <v>0</v>
  </rv>
  <rv s="0">
    <fb>89.6</fb>
    <v>1</v>
  </rv>
  <rv s="0">
    <fb>46632755</fb>
    <v>2</v>
  </rv>
  <rv s="0">
    <fb>45757</fb>
    <v>0</v>
  </rv>
  <rv s="0">
    <fb>90.61</fb>
    <v>1</v>
  </rv>
  <rv s="0">
    <fb>34735323</fb>
    <v>2</v>
  </rv>
  <rv s="0">
    <fb>45758</fb>
    <v>0</v>
  </rv>
  <rv s="0">
    <fb>92.8</fb>
    <v>1</v>
  </rv>
  <rv s="0">
    <fb>25508136</fb>
    <v>2</v>
  </rv>
  <rv s="0">
    <fb>45761</fb>
    <v>0</v>
  </rv>
  <rv s="0">
    <fb>94.73</fb>
    <v>1</v>
  </rv>
  <rv s="0">
    <fb>27742915</fb>
    <v>2</v>
  </rv>
  <rv s="0">
    <fb>45762</fb>
    <v>0</v>
  </rv>
  <rv s="0">
    <fb>93.97</fb>
    <v>1</v>
  </rv>
  <rv s="0">
    <fb>21871213</fb>
    <v>2</v>
  </rv>
  <rv s="0">
    <fb>45763</fb>
    <v>0</v>
  </rv>
  <rv s="0">
    <fb>91.19</fb>
    <v>1</v>
  </rv>
  <rv s="0">
    <fb>22229105</fb>
    <v>2</v>
  </rv>
  <rv s="0">
    <fb>45764</fb>
    <v>0</v>
  </rv>
  <rv s="0">
    <fb>93.22</fb>
    <v>1</v>
  </rv>
  <rv s="0">
    <fb>21393917</fb>
    <v>2</v>
  </rv>
  <rv s="0">
    <fb>45768</fb>
    <v>0</v>
  </rv>
  <rv s="0">
    <fb>92.41</fb>
    <v>1</v>
  </rv>
  <rv s="0">
    <fb>18361208</fb>
    <v>2</v>
  </rv>
  <rv s="0">
    <fb>45769</fb>
    <v>0</v>
  </rv>
  <rv s="0">
    <fb>94.85</fb>
    <v>1</v>
  </rv>
  <rv s="0">
    <fb>15407774</fb>
    <v>2</v>
  </rv>
  <rv s="0">
    <fb>45770</fb>
    <v>0</v>
  </rv>
  <rv s="0">
    <fb>18046886</fb>
    <v>2</v>
  </rv>
  <rv s="0">
    <fb>45771</fb>
    <v>0</v>
  </rv>
  <rv s="0">
    <fb>95.84</fb>
    <v>1</v>
  </rv>
  <rv s="0">
    <fb>13444528</fb>
    <v>2</v>
  </rv>
  <rv s="0">
    <fb>45772</fb>
    <v>0</v>
  </rv>
  <rv s="0">
    <fb>95.09</fb>
    <v>1</v>
  </rv>
  <rv s="0">
    <fb>15317220</fb>
    <v>2</v>
  </rv>
  <rv s="0">
    <fb>45775</fb>
    <v>0</v>
  </rv>
  <rv s="0">
    <fb>95.22</fb>
    <v>1</v>
  </rv>
  <rv s="0">
    <fb>12950000</fb>
    <v>2</v>
  </rv>
  <rv s="0">
    <fb>45776</fb>
    <v>0</v>
  </rv>
  <rv s="0">
    <fb>96.04</fb>
    <v>1</v>
  </rv>
  <rv s="0">
    <fb>12679025</fb>
    <v>2</v>
  </rv>
  <rv s="0">
    <fb>45777</fb>
    <v>0</v>
  </rv>
  <rv s="0">
    <fb>97.25</fb>
    <v>1</v>
  </rv>
  <rv s="0">
    <fb>21639860</fb>
    <v>2</v>
  </rv>
  <rv s="0">
    <fb>45778</fb>
    <v>0</v>
  </rv>
  <rv s="0">
    <fb>97.41</fb>
    <v>1</v>
  </rv>
  <rv s="0">
    <fb>13171784</fb>
    <v>2</v>
  </rv>
  <rv s="0">
    <fb>45779</fb>
    <v>0</v>
  </rv>
  <rv s="0">
    <fb>98.75</fb>
    <v>1</v>
  </rv>
  <rv s="0">
    <fb>16031373</fb>
    <v>2</v>
  </rv>
  <rv s="0">
    <fb>45782</fb>
    <v>0</v>
  </rv>
  <rv s="0">
    <fb>99.33</fb>
    <v>1</v>
  </rv>
  <rv s="0">
    <fb>12439132</fb>
    <v>2</v>
  </rv>
  <rv s="0">
    <fb>45783</fb>
    <v>0</v>
  </rv>
  <rv s="0">
    <fb>98.55</fb>
    <v>1</v>
  </rv>
  <rv s="0">
    <fb>10625999</fb>
    <v>2</v>
  </rv>
  <rv s="0">
    <fb>45784</fb>
    <v>0</v>
  </rv>
  <rv s="0">
    <fb>98.83</fb>
    <v>1</v>
  </rv>
  <rv s="0">
    <fb>11310191</fb>
    <v>2</v>
  </rv>
  <rv s="0">
    <fb>45785</fb>
    <v>0</v>
  </rv>
  <rv s="0">
    <fb>97.43</fb>
    <v>1</v>
  </rv>
  <rv s="0">
    <fb>14461119</fb>
    <v>2</v>
  </rv>
  <rv s="0">
    <fb>45786</fb>
    <v>0</v>
  </rv>
  <rv s="0">
    <fb>96.72</fb>
    <v>1</v>
  </rv>
  <rv s="0">
    <fb>13697822</fb>
    <v>2</v>
  </rv>
  <rv s="0">
    <fb>45789</fb>
    <v>0</v>
  </rv>
  <rv s="0">
    <fb>96.75</fb>
    <v>1</v>
  </rv>
  <rv s="0">
    <fb>26783925</fb>
    <v>2</v>
  </rv>
  <rv s="0">
    <fb>45790</fb>
    <v>0</v>
  </rv>
  <rv s="0">
    <fb>95.88</fb>
    <v>1</v>
  </rv>
  <rv s="0">
    <fb>19746658</fb>
    <v>2</v>
  </rv>
  <rv s="0">
    <fb>45791</fb>
    <v>0</v>
  </rv>
  <rv s="0">
    <fb>96.83</fb>
    <v>1</v>
  </rv>
  <rv s="0">
    <fb>25620110</fb>
    <v>2</v>
  </rv>
  <rv s="0">
    <fb>45792</fb>
    <v>0</v>
  </rv>
  <rv s="0">
    <fb>96.35</fb>
    <v>1</v>
  </rv>
  <rv s="0">
    <fb>44026125</fb>
    <v>2</v>
  </rv>
  <rv s="0">
    <fb>45793</fb>
    <v>0</v>
  </rv>
  <rv s="0">
    <fb>98.24</fb>
    <v>1</v>
  </rv>
  <rv s="0">
    <fb>33746187</fb>
    <v>2</v>
  </rv>
  <rv s="0">
    <fb>45796</fb>
    <v>0</v>
  </rv>
  <rv s="0">
    <fb>98.12</fb>
    <v>1</v>
  </rv>
  <rv s="0">
    <fb>20041573</fb>
    <v>2</v>
  </rv>
  <rv s="0">
    <fb>45797</fb>
    <v>0</v>
  </rv>
  <rv s="0">
    <fb>97.8</fb>
    <v>1</v>
  </rv>
  <rv s="0">
    <fb>15609610</fb>
    <v>2</v>
  </rv>
  <rv s="0">
    <fb>45798</fb>
    <v>0</v>
  </rv>
  <rv s="0">
    <fb>96.43</fb>
    <v>1</v>
  </rv>
  <rv s="0">
    <fb>15742336</fb>
    <v>2</v>
  </rv>
  <rv s="0">
    <fb>45799</fb>
    <v>0</v>
  </rv>
  <rv s="0">
    <fb>95.93</fb>
    <v>1</v>
  </rv>
  <rv s="0">
    <fb>13712163</fb>
    <v>2</v>
  </rv>
  <rv s="0">
    <fb>45800</fb>
    <v>0</v>
  </rv>
  <rv s="0">
    <fb>96.34</fb>
    <v>1</v>
  </rv>
  <rv s="0">
    <fb>13668621</fb>
    <v>2</v>
  </rv>
  <rv s="0">
    <fb>45804</fb>
    <v>0</v>
  </rv>
  <rv s="0">
    <fb>97.58</fb>
    <v>1</v>
  </rv>
  <rv s="0">
    <fb>17180937</fb>
    <v>2</v>
  </rv>
  <rv s="0">
    <fb>45805</fb>
    <v>0</v>
  </rv>
  <rv s="0">
    <fb>97.24</fb>
    <v>1</v>
  </rv>
  <rv s="0">
    <fb>11220098</fb>
    <v>2</v>
  </rv>
  <rv s="0">
    <fb>45806</fb>
    <v>0</v>
  </rv>
  <rv s="0">
    <fb>97.1</fb>
    <v>1</v>
  </rv>
  <rv s="0">
    <fb>14343738</fb>
    <v>2</v>
  </rv>
  <rv s="0">
    <fb>45807</fb>
    <v>0</v>
  </rv>
  <rv s="0">
    <fb>98.72</fb>
    <v>1</v>
  </rv>
  <rv s="0">
    <fb>29980069</fb>
    <v>2</v>
  </rv>
  <rv s="0">
    <fb>45810</fb>
    <v>0</v>
  </rv>
  <rv s="0">
    <fb>99.77</fb>
    <v>1</v>
  </rv>
  <rv s="0">
    <fb>16999205</fb>
    <v>2</v>
  </rv>
  <rv s="0">
    <fb>45811</fb>
    <v>0</v>
  </rv>
  <rv s="0">
    <fb>99.98</fb>
    <v>1</v>
  </rv>
  <rv s="0">
    <fb>15598643</fb>
    <v>2</v>
  </rv>
  <rv s="0">
    <fb>45812</fb>
    <v>0</v>
  </rv>
  <rv s="0">
    <fb>99.35</fb>
    <v>1</v>
  </rv>
  <rv s="0">
    <fb>11115649</fb>
    <v>2</v>
  </rv>
  <rv s="0">
    <fb>45813</fb>
    <v>0</v>
  </rv>
  <rv s="0">
    <fb>97.96</fb>
    <v>1</v>
  </rv>
  <rv s="0">
    <fb>15825276</fb>
    <v>2</v>
  </rv>
  <rv s="0">
    <fb>45814</fb>
    <v>0</v>
  </rv>
  <rv s="0">
    <fb>97.47</fb>
    <v>1</v>
  </rv>
  <rv s="0">
    <fb>15599294</fb>
    <v>2</v>
  </rv>
  <rv s="0">
    <fb>45817</fb>
    <v>0</v>
  </rv>
  <rv s="0">
    <fb>97.45</fb>
    <v>1</v>
  </rv>
  <rv s="0">
    <fb>13655700</fb>
    <v>2</v>
  </rv>
  <rv s="0">
    <fb>45818</fb>
    <v>0</v>
  </rv>
  <rv s="0">
    <fb>97.32</fb>
    <v>1</v>
  </rv>
  <rv s="0">
    <fb>17162468</fb>
    <v>2</v>
  </rv>
  <rv s="0">
    <fb>45819</fb>
    <v>0</v>
  </rv>
  <rv s="0">
    <fb>95.8</fb>
    <v>1</v>
  </rv>
  <rv s="0">
    <fb>16389620</fb>
    <v>2</v>
  </rv>
  <rv s="0">
    <fb>45820</fb>
    <v>0</v>
  </rv>
  <rv s="0">
    <fb>94.83</fb>
    <v>1</v>
  </rv>
  <rv s="0">
    <fb>17845704</fb>
    <v>2</v>
  </rv>
  <rv s="0">
    <fb>45821</fb>
    <v>0</v>
  </rv>
  <rv s="0">
    <fb>94.44</fb>
    <v>1</v>
  </rv>
  <rv s="0">
    <fb>18694739</fb>
    <v>2</v>
  </rv>
  <rv s="0">
    <fb>45824</fb>
    <v>0</v>
  </rv>
  <rv s="0">
    <fb>94.29</fb>
    <v>1</v>
  </rv>
  <rv s="0">
    <fb>14881663</fb>
    <v>2</v>
  </rv>
  <rv s="0">
    <fb>45825</fb>
    <v>0</v>
  </rv>
  <rv s="0">
    <fb>14935630</fb>
    <v>2</v>
  </rv>
  <rv s="0">
    <fb>45826</fb>
    <v>0</v>
  </rv>
  <rv s="0">
    <fb>11333690</fb>
    <v>2</v>
  </rv>
  <rv s="0">
    <fb>45828</fb>
    <v>0</v>
  </rv>
  <rv s="0">
    <fb>96.12</fb>
    <v>1</v>
  </rv>
  <rv s="0">
    <fb>20604918</fb>
    <v>2</v>
  </rv>
  <rv s="0">
    <fb>45831</fb>
    <v>0</v>
  </rv>
  <rv s="0">
    <fb>97.87</fb>
    <v>1</v>
  </rv>
  <rv s="0">
    <fb>20432351</fb>
    <v>2</v>
  </rv>
  <rv s="0">
    <fb>45832</fb>
    <v>0</v>
  </rv>
  <rv s="0">
    <fb>98</fb>
    <v>1</v>
  </rv>
  <rv s="0">
    <fb>22403655</fb>
    <v>2</v>
  </rv>
  <rv s="0">
    <fb>45833</fb>
    <v>0</v>
  </rv>
  <rv s="0">
    <fb>97.26</fb>
    <v>1</v>
  </rv>
  <rv s="0">
    <fb>11154676</fb>
    <v>2</v>
  </rv>
  <rv s="0">
    <fb>45834</fb>
    <v>0</v>
  </rv>
  <rv s="0">
    <fb>96.02</fb>
    <v>1</v>
  </rv>
  <rv s="0">
    <fb>19361417</fb>
    <v>2</v>
  </rv>
  <rv s="0">
    <fb>45835</fb>
    <v>0</v>
  </rv>
  <rv s="0">
    <fb>97.27</fb>
    <v>1</v>
  </rv>
  <rv s="0">
    <fb>31431912</fb>
    <v>2</v>
  </rv>
  <rv s="0">
    <fb>45838</fb>
    <v>0</v>
  </rv>
  <rv s="0">
    <fb>97.78</fb>
    <v>1</v>
  </rv>
  <rv s="0">
    <fb>17803030</fb>
    <v>2</v>
  </rv>
  <rv s="0">
    <fb>45839</fb>
    <v>0</v>
  </rv>
  <rv s="0">
    <fb>15635847</fb>
    <v>2</v>
  </rv>
  <rv s="0">
    <fb>45840</fb>
    <v>0</v>
  </rv>
  <rv s="0">
    <fb>97.61</fb>
    <v>1</v>
  </rv>
  <rv s="0">
    <fb>12501965</fb>
    <v>2</v>
  </rv>
  <rv s="0">
    <fb>45841</fb>
    <v>0</v>
  </rv>
  <rv s="0">
    <fb>98.36</fb>
    <v>1</v>
  </rv>
  <rv s="0">
    <fb>7686204</fb>
    <v>2</v>
  </rv>
  <rv s="0">
    <fb>45845</fb>
    <v>0</v>
  </rv>
  <rv s="0">
    <fb>12930913</fb>
    <v>2</v>
  </rv>
  <rv s="0">
    <fb>45846</fb>
    <v>0</v>
  </rv>
  <rv s="0">
    <fb>97.09</fb>
    <v>1</v>
  </rv>
  <rv s="0">
    <fb>16874954</fb>
    <v>2</v>
  </rv>
  <rv s="0">
    <fb>45847</fb>
    <v>0</v>
  </rv>
  <rv s="0">
    <fb>96.81</fb>
    <v>1</v>
  </rv>
  <rv s="0">
    <fb>13702615</fb>
    <v>2</v>
  </rv>
  <rv s="0">
    <fb>45848</fb>
    <v>0</v>
  </rv>
  <rv s="0">
    <fb>94.86</fb>
    <v>1</v>
  </rv>
  <rv s="0">
    <fb>18894787</fb>
    <v>2</v>
  </rv>
  <rv s="0">
    <fb>45849</fb>
    <v>0</v>
  </rv>
  <rv s="0">
    <fb>94.4</fb>
    <v>1</v>
  </rv>
  <rv s="0">
    <fb>14595047</fb>
    <v>2</v>
  </rv>
  <rv s="0">
    <fb>45852</fb>
    <v>0</v>
  </rv>
  <rv s="0">
    <fb>95.78</fb>
    <v>1</v>
  </rv>
  <rv s="0">
    <fb>13779084</fb>
    <v>2</v>
  </rv>
  <rv s="0">
    <fb>45853</fb>
    <v>0</v>
  </rv>
  <rv s="0">
    <fb>95.39</fb>
    <v>1</v>
  </rv>
  <rv s="0">
    <fb>10450759</fb>
    <v>2</v>
  </rv>
  <rv s="0">
    <fb>45854</fb>
    <v>0</v>
  </rv>
  <rv s="0">
    <fb>95.15</fb>
    <v>1</v>
  </rv>
  <rv s="0">
    <fb>11181552</fb>
    <v>2</v>
  </rv>
  <rv s="0">
    <fb>45855</fb>
    <v>0</v>
  </rv>
  <rv s="0">
    <fb>11165126</fb>
    <v>2</v>
  </rv>
  <rv s="0">
    <fb>45856</fb>
    <v>0</v>
  </rv>
  <rv s="0">
    <fb>95.05</fb>
    <v>1</v>
  </rv>
  <rv s="0">
    <fb>14636294</fb>
    <v>2</v>
  </rv>
  <rv s="0">
    <fb>45859</fb>
    <v>0</v>
  </rv>
  <rv s="0">
    <fb>95.67</fb>
    <v>1</v>
  </rv>
  <rv s="0">
    <fb>13450359</fb>
    <v>2</v>
  </rv>
  <rv s="0">
    <fb>45860</fb>
    <v>0</v>
  </rv>
  <rv s="0">
    <fb>95.85</fb>
    <v>1</v>
  </rv>
  <rv s="0">
    <fb>9049130</fb>
    <v>2</v>
  </rv>
  <rv s="0">
    <fb>45861</fb>
    <v>0</v>
  </rv>
  <rv s="0">
    <fb>95.68</fb>
    <v>1</v>
  </rv>
  <rv s="0">
    <fb>9729672</fb>
    <v>2</v>
  </rv>
  <rv s="0">
    <fb>45862</fb>
    <v>0</v>
  </rv>
  <rv s="0">
    <fb>96.6</fb>
    <v>1</v>
  </rv>
  <rv s="0">
    <fb>14991517</fb>
    <v>2</v>
  </rv>
  <rv s="0">
    <fb>45863</fb>
    <v>0</v>
  </rv>
  <rv s="0">
    <fb>12868466</fb>
    <v>2</v>
  </rv>
  <rv s="0">
    <fb>45866</fb>
    <v>0</v>
  </rv>
  <rv s="0">
    <fb>12293060</fb>
    <v>2</v>
  </rv>
  <rv s="0">
    <fb>45867</fb>
    <v>0</v>
  </rv>
  <rv s="0">
    <fb>98.33</fb>
    <v>1</v>
  </rv>
  <rv s="0">
    <fb>14034265</fb>
    <v>2</v>
  </rv>
  <rv s="0">
    <fb>45868</fb>
    <v>0</v>
  </rv>
  <rv s="0">
    <fb>13864096</fb>
    <v>2</v>
  </rv>
  <rv s="0">
    <fb>45869</fb>
    <v>0</v>
  </rv>
  <rv s="0">
    <fb>97.98</fb>
    <v>1</v>
  </rv>
  <rv s="0">
    <fb>15651348</fb>
    <v>2</v>
  </rv>
  <rv s="0">
    <fb>45870</fb>
    <v>0</v>
  </rv>
  <rv s="0">
    <fb>98.49</fb>
    <v>1</v>
  </rv>
  <rv s="0">
    <fb>16750407</fb>
    <v>2</v>
  </rv>
  <rv s="0">
    <fb>45873</fb>
    <v>0</v>
  </rv>
  <rv s="0">
    <fb>99.59</fb>
    <v>1</v>
  </rv>
  <rv s="0">
    <fb>19050206</fb>
    <v>2</v>
  </rv>
  <rv s="0">
    <fb>45874</fb>
    <v>0</v>
  </rv>
  <rv s="0">
    <fb>99.31</fb>
    <v>1</v>
  </rv>
  <rv s="0">
    <fb>17977008</fb>
    <v>2</v>
  </rv>
  <rv s="0">
    <fb>45875</fb>
    <v>0</v>
  </rv>
  <rv s="0">
    <fb>103.36</fb>
    <v>1</v>
  </rv>
  <rv s="0">
    <fb>23738420</fb>
    <v>2</v>
  </rv>
  <rv s="0">
    <fb>45876</fb>
    <v>0</v>
  </rv>
  <rv s="0">
    <fb>103.12</fb>
    <v>1</v>
  </rv>
  <rv s="0">
    <fb>12509479</fb>
    <v>2</v>
  </rv>
  <rv s="0">
    <fb>45877</fb>
    <v>0</v>
  </rv>
  <rv s="0">
    <fb>103.73</fb>
    <v>1</v>
  </rv>
  <rv s="0">
    <fb>12394722</fb>
    <v>2</v>
  </rv>
  <rv s="0">
    <fb>45880</fb>
    <v>0</v>
  </rv>
  <rv s="0">
    <fb>103.93</fb>
    <v>1</v>
  </rv>
  <rv s="0">
    <fb>12856706</fb>
    <v>2</v>
  </rv>
  <rv s="0">
    <fb>45881</fb>
    <v>0</v>
  </rv>
  <rv s="0">
    <fb>103.62</fb>
    <v>1</v>
  </rv>
  <rv s="0">
    <fb>17919327</fb>
    <v>2</v>
  </rv>
  <rv s="0">
    <fb>45882</fb>
    <v>0</v>
  </rv>
  <rv s="0">
    <fb>100.99</fb>
    <v>1</v>
  </rv>
  <rv s="0">
    <fb>19398499</fb>
    <v>2</v>
  </rv>
  <rv s="0">
    <fb>45883</fb>
    <v>0</v>
  </rv>
  <rv s="0">
    <fb>100.85</fb>
    <v>1</v>
  </rv>
  <rv s="0">
    <fb>10858447</fb>
    <v>2</v>
  </rv>
  <rv s="0">
    <fb>45884</fb>
    <v>0</v>
  </rv>
  <rv s="0">
    <fb>100</fb>
    <v>1</v>
  </rv>
  <rv s="0">
    <fb>13604944</fb>
    <v>2</v>
  </rv>
  <rv s="0">
    <fb>45887</fb>
    <v>0</v>
  </rv>
  <rv s="0">
    <fb>100.7</fb>
    <v>1</v>
  </rv>
  <rv s="0">
    <fb>11656135</fb>
    <v>2</v>
  </rv>
  <rv s="0">
    <fb>45888</fb>
    <v>0</v>
  </rv>
  <rv s="0">
    <fb>101.29</fb>
    <v>1</v>
  </rv>
  <rv s="0">
    <fb>16999004</fb>
    <v>2</v>
  </rv>
  <rv s="0">
    <fb>45889</fb>
    <v>0</v>
  </rv>
  <rv s="0">
    <fb>102.57</fb>
    <v>1</v>
  </rv>
  <rv s="0">
    <fb>18655026</fb>
    <v>2</v>
  </rv>
  <rv s="0">
    <fb>45890</fb>
    <v>0</v>
  </rv>
  <rv s="0">
    <fb>51825050</fb>
    <v>2</v>
  </rv>
  <rv s="0">
    <fb>45891</fb>
    <v>0</v>
  </rv>
  <rv s="0">
    <fb>32695177</fb>
    <v>2</v>
  </rv>
  <rv s="0">
    <fb>45894</fb>
    <v>0</v>
  </rv>
  <rv s="0">
    <fb>96.07</fb>
    <v>1</v>
  </rv>
  <rv s="0">
    <fb>18956143</fb>
    <v>2</v>
  </rv>
  <rv s="0">
    <fb>45895</fb>
    <v>0</v>
  </rv>
  <rv s="0">
    <fb>96.05</fb>
    <v>1</v>
  </rv>
  <rv s="0">
    <fb>22270353</fb>
    <v>2</v>
  </rv>
  <rv s="0">
    <fb>45896</fb>
    <v>0</v>
  </rv>
  <rv s="0">
    <fb>96.08</fb>
    <v>1</v>
  </rv>
  <rv s="0">
    <fb>12925656</fb>
    <v>2</v>
  </rv>
  <rv s="0">
    <fb>45897</fb>
    <v>0</v>
  </rv>
  <rv s="0">
    <fb>96.11</fb>
    <v>1</v>
  </rv>
  <rv s="0">
    <fb>19241634</fb>
    <v>2</v>
  </rv>
  <rv s="0">
    <fb>45898</fb>
    <v>0</v>
  </rv>
  <rv s="0">
    <fb>96.98</fb>
    <v>1</v>
  </rv>
  <rv s="0">
    <fb>15600269</fb>
    <v>2</v>
  </rv>
  <rv s="0">
    <fb>45902</fb>
    <v>0</v>
  </rv>
  <rv s="0">
    <fb>97.85</fb>
    <v>1</v>
  </rv>
  <rv s="0">
    <fb>15351293</fb>
    <v>2</v>
  </rv>
  <rv s="0">
    <fb>45903</fb>
    <v>0</v>
  </rv>
  <rv s="0">
    <fb>99.44</fb>
    <v>1</v>
  </rv>
  <rv s="0">
    <fb>18995914</fb>
    <v>2</v>
  </rv>
  <rv s="0">
    <fb>45904</fb>
    <v>0</v>
  </rv>
  <rv s="0">
    <fb>100.93</fb>
    <v>1</v>
  </rv>
  <rv s="0">
    <fb>15640895</fb>
    <v>2</v>
  </rv>
  <rv s="0">
    <fb>45905</fb>
    <v>0</v>
  </rv>
  <rv s="0">
    <fb>100.51</fb>
    <v>1</v>
  </rv>
  <rv s="0">
    <fb>13748454</fb>
    <v>2</v>
  </rv>
  <rv s="0">
    <fb>45908</fb>
    <v>0</v>
  </rv>
  <rv s="0">
    <fb>102.28</fb>
    <v>1</v>
  </rv>
  <rv s="0">
    <fb>13685735</fb>
    <v>2</v>
  </rv>
  <rv s="0">
    <fb>45909</fb>
    <v>0</v>
  </rv>
  <rv s="0">
    <fb>102.29</fb>
    <v>1</v>
  </rv>
  <rv s="0">
    <fb>11819663</fb>
    <v>2</v>
  </rv>
  <rv s="0">
    <fb>45910</fb>
    <v>0</v>
  </rv>
  <rv s="0">
    <fb>100.41</fb>
    <v>1</v>
  </rv>
  <rv s="0">
    <fb>17934871</fb>
    <v>2</v>
  </rv>
  <rv s="0">
    <fb>45911</fb>
    <v>0</v>
  </rv>
  <rv s="0">
    <fb>102.65</fb>
    <v>1</v>
  </rv>
  <rv s="0">
    <fb>15900790</fb>
    <v>2</v>
  </rv>
  <rv s="0">
    <fb>45912</fb>
    <v>0</v>
  </rv>
  <rv s="0">
    <fb>103.49</fb>
    <v>1</v>
  </rv>
  <rv s="0">
    <fb>11641926</fb>
    <v>2</v>
  </rv>
  <rv s="0">
    <fb>45915</fb>
    <v>0</v>
  </rv>
  <rv s="0">
    <fb>103.69</fb>
    <v>1</v>
  </rv>
  <rv s="0">
    <fb>10756876</fb>
    <v>2</v>
  </rv>
  <rv s="0">
    <fb>45916</fb>
    <v>0</v>
  </rv>
  <rv s="0">
    <fb>103.42</fb>
    <v>1</v>
  </rv>
  <rv s="0">
    <fb>14481863</fb>
    <v>2</v>
  </rv>
  <rv s="0">
    <fb>45917</fb>
    <v>0</v>
  </rv>
  <rv s="0">
    <fb>104.27</fb>
    <v>1</v>
  </rv>
  <rv s="0">
    <fb>25382015</fb>
    <v>2</v>
  </rv>
  <rv s="0">
    <fb>45918</fb>
    <v>0</v>
  </rv>
  <rv s="0">
    <fb>103.6</fb>
    <v>1</v>
  </rv>
  <rv s="0">
    <fb>14869387</fb>
    <v>2</v>
  </rv>
  <rv s="0">
    <fb>45919</fb>
    <v>0</v>
  </rv>
  <rv s="0">
    <fb>102.33</fb>
    <v>1</v>
  </rv>
  <rv s="0">
    <fb>34791573</fb>
    <v>2</v>
  </rv>
  <rv s="0">
    <fb>45922</fb>
    <v>0</v>
  </rv>
  <rv s="0">
    <fb>102.82</fb>
    <v>1</v>
  </rv>
  <rv s="0">
    <fb>12861946</fb>
    <v>2</v>
  </rv>
  <rv s="0">
    <fb>45923</fb>
    <v>0</v>
  </rv>
  <rv s="0">
    <fb>102.52</fb>
    <v>1</v>
  </rv>
  <rv s="0">
    <fb>13158658</fb>
    <v>2</v>
  </rv>
  <rv s="0">
    <fb>45924</fb>
    <v>0</v>
  </rv>
  <rv s="0">
    <fb>102.73</fb>
    <v>1</v>
  </rv>
  <rv s="0">
    <fb>11391834</fb>
    <v>2</v>
  </rv>
  <rv s="0">
    <fb>45925</fb>
    <v>0</v>
  </rv>
  <rv s="0">
    <fb>103.05</fb>
    <v>1</v>
  </rv>
  <rv s="0">
    <fb>13366747</fb>
    <v>2</v>
  </rv>
  <rv s="0">
    <fb>45926</fb>
    <v>0</v>
  </rv>
  <rv s="0">
    <fb>103.16</fb>
    <v>1</v>
  </rv>
  <rv s="0">
    <fb>11859265</fb>
    <v>2</v>
  </rv>
  <rv s="0">
    <fb>45929</fb>
    <v>0</v>
  </rv>
  <rv s="0">
    <fb>103.08</fb>
    <v>1</v>
  </rv>
  <rv s="0">
    <fb>15477159</fb>
    <v>2</v>
  </rv>
  <rv s="0">
    <fb>45930</fb>
    <v>0</v>
  </rv>
  <rv s="0">
    <fb>103.06</fb>
    <v>1</v>
  </rv>
  <rv s="0">
    <fb>13873389</fb>
    <v>2</v>
  </rv>
  <rv s="0">
    <fb>45931</fb>
    <v>0</v>
  </rv>
  <rv s="0">
    <fb>101.96</fb>
    <v>1</v>
  </rv>
  <rv s="0">
    <fb>16142766</fb>
    <v>2</v>
  </rv>
  <rv s="0">
    <fb>45932</fb>
    <v>0</v>
  </rv>
  <rv s="0">
    <fb>101.7</fb>
    <v>1</v>
  </rv>
  <rv s="0">
    <fb>15605363</fb>
    <v>2</v>
  </rv>
  <rv s="0">
    <fb>45933</fb>
    <v>0</v>
  </rv>
  <rv s="0">
    <fb>102.07</fb>
    <v>1</v>
  </rv>
  <rv s="0">
    <fb>11867483</fb>
    <v>2</v>
  </rv>
  <rv s="0">
    <fb>45936</fb>
    <v>0</v>
  </rv>
  <rv s="0">
    <fb>102.7</fb>
    <v>1</v>
  </rv>
  <rv s="0">
    <fb>13303560</fb>
    <v>2</v>
  </rv>
  <rv s="0">
    <fb>45937</fb>
    <v>0</v>
  </rv>
  <rv s="0">
    <fb>103.24</fb>
    <v>1</v>
  </rv>
  <rv s="0">
    <fb>15538855</fb>
    <v>2</v>
  </rv>
  <rv s="0">
    <fb>45938</fb>
    <v>0</v>
  </rv>
  <rv s="0">
    <fb>102.9</fb>
    <v>1</v>
  </rv>
  <rv s="0">
    <fb>13584084</fb>
    <v>2</v>
  </rv>
  <rv s="0">
    <fb>45939</fb>
    <v>0</v>
  </rv>
  <rv s="0">
    <fb>101.77</fb>
    <v>1</v>
  </rv>
  <rv s="0">
    <fb>19508017</fb>
    <v>2</v>
  </rv>
  <rv s="0">
    <fb>45940</fb>
    <v>0</v>
  </rv>
  <rv s="0">
    <fb>101.84</fb>
    <v>1</v>
  </rv>
  <rv s="0">
    <fb>18519435</fb>
    <v>2</v>
  </rv>
  <rv s="0">
    <fb>45943</fb>
    <v>0</v>
  </rv>
  <rv s="0">
    <fb>102.12</fb>
    <v>1</v>
  </rv>
  <rv s="0">
    <fb>10871182</fb>
    <v>2</v>
  </rv>
  <rv s="0">
    <fb>45944</fb>
    <v>0</v>
  </rv>
  <rv s="0">
    <fb>107.21</fb>
    <v>1</v>
  </rv>
  <rv s="0">
    <fb>30859504</fb>
    <v>2</v>
  </rv>
  <rv s="0">
    <fb>45945</fb>
    <v>0</v>
  </rv>
  <rv s="0">
    <fb>109.03</fb>
    <v>1</v>
  </rv>
  <rv s="0">
    <fb>21416294</fb>
    <v>2</v>
  </rv>
  <rv s="0">
    <fb>45946</fb>
    <v>0</v>
  </rv>
  <rv s="0">
    <fb>106.47</fb>
    <v>1</v>
  </rv>
  <rv s="0">
    <fb>16366166</fb>
    <v>2</v>
  </rv>
  <rv s="0">
    <fb>45947</fb>
    <v>0</v>
  </rv>
  <rv s="0">
    <fb>107.73</fb>
    <v>1</v>
  </rv>
  <rv s="0">
    <fb>13735594</fb>
    <v>2</v>
  </rv>
  <rv s="0">
    <fb>45950</fb>
    <v>0</v>
  </rv>
  <rv s="0">
    <fb>107.05</fb>
    <v>1</v>
  </rv>
  <rv s="0">
    <fb>10581220</fb>
    <v>2</v>
  </rv>
  <rv s="0">
    <fb>45951</fb>
    <v>0</v>
  </rv>
  <rv s="0">
    <fb>106.22</fb>
    <v>1</v>
  </rv>
  <rv s="0">
    <fb>10899733</fb>
    <v>2</v>
  </rv>
  <rv s="0">
    <fb>45952</fb>
    <v>0</v>
  </rv>
  <rv s="0">
    <fb>107.14</fb>
    <v>1</v>
  </rv>
  <rv s="0">
    <fb>12296490</fb>
    <v>2</v>
  </rv>
  <rv s="0">
    <fb>45953</fb>
    <v>0</v>
  </rv>
  <rv s="0">
    <fb>106.86</fb>
    <v>1</v>
  </rv>
  <rv s="0">
    <fb>11408241</fb>
    <v>2</v>
  </rv>
  <rv s="0">
    <fb>45954</fb>
    <v>0</v>
  </rv>
  <rv s="0">
    <fb>106.17</fb>
    <v>1</v>
  </rv>
  <rv s="0">
    <fb>10317959</fb>
    <v>2</v>
  </rv>
  <rv s="0">
    <fb>45957</fb>
    <v>0</v>
  </rv>
  <rv s="0">
    <fb>104.47</fb>
    <v>1</v>
  </rv>
  <rv s="0">
    <fb>16375860</fb>
    <v>2</v>
  </rv>
  <rv s="0">
    <fb>45958</fb>
    <v>0</v>
  </rv>
  <rv s="0">
    <fb>103.17</fb>
    <v>1</v>
  </rv>
  <rv s="0">
    <fb>13322994</fb>
    <v>2</v>
  </rv>
  <rv s="0">
    <fb>45959</fb>
    <v>0</v>
  </rv>
  <rv s="0">
    <fb>11986407</fb>
    <v>2</v>
  </rv>
  <rv s="0">
    <fb>45960</fb>
    <v>0</v>
  </rv>
  <rv s="0">
    <fb>102.23</fb>
    <v>1</v>
  </rv>
  <rv s="0">
    <fb>14065077</fb>
    <v>2</v>
  </rv>
  <rv s="0">
    <fb>45961</fb>
    <v>0</v>
  </rv>
  <rv s="0">
    <fb>101.18</fb>
    <v>1</v>
  </rv>
  <rv s="0">
    <fb>20237018</fb>
    <v>2</v>
  </rv>
  <rv s="0">
    <fb>45964</fb>
    <v>0</v>
  </rv>
  <rv s="0">
    <fb>101.59</fb>
    <v>1</v>
  </rv>
  <rv s="0">
    <fb>14811687</fb>
    <v>2</v>
  </rv>
  <rv s="0">
    <fb>45965</fb>
    <v>0</v>
  </rv>
  <rv s="0">
    <fb>102.27</fb>
    <v>1</v>
  </rv>
  <rv s="0">
    <fb>12636350</fb>
    <v>2</v>
  </rv>
  <rv s="0">
    <fb>45966</fb>
    <v>0</v>
  </rv>
  <rv s="0">
    <fb>101.47</fb>
    <v>1</v>
  </rv>
  <rv s="0">
    <fb>13356821</fb>
    <v>2</v>
  </rv>
  <rv s="0">
    <fb>45967</fb>
    <v>0</v>
  </rv>
  <rv s="0">
    <fb>101.68</fb>
    <v>1</v>
  </rv>
  <rv s="0">
    <fb>14866025</fb>
    <v>2</v>
  </rv>
  <rv s="0">
    <fb>45968</fb>
    <v>0</v>
  </rv>
  <rv s="0">
    <fb>102.59</fb>
    <v>1</v>
  </rv>
  <rv s="0">
    <fb>17248716</fb>
    <v>2</v>
  </rv>
  <rv s="0">
    <fb>45971</fb>
    <v>0</v>
  </rv>
  <rv s="0">
    <fb>102.42</fb>
    <v>1</v>
  </rv>
  <rv s="0">
    <fb>14507603</fb>
    <v>2</v>
  </rv>
  <rv s="0">
    <fb>45972</fb>
    <v>0</v>
  </rv>
  <rv s="0">
    <fb>103.44</fb>
    <v>1</v>
  </rv>
  <rv s="0">
    <fb>13182144</fb>
    <v>2</v>
  </rv>
  <rv s="0">
    <fb>45973</fb>
    <v>0</v>
  </rv>
  <rv s="0">
    <fb>12084407</fb>
    <v>2</v>
  </rv>
  <rv s="0">
    <fb>45974</fb>
    <v>0</v>
  </rv>
  <rv s="0">
    <fb>102.54</fb>
    <v>1</v>
  </rv>
  <rv s="0">
    <fb>18088506</fb>
    <v>2</v>
  </rv>
  <rv s="0">
    <fb>45975</fb>
    <v>0</v>
  </rv>
  <rv s="0">
    <fb>102.48</fb>
    <v>1</v>
  </rv>
  <rv s="0">
    <fb>23424211</fb>
    <v>2</v>
  </rv>
  <rv s="0">
    <fb>45978</fb>
    <v>0</v>
  </rv>
  <rv s="0">
    <fb>102.95</fb>
    <v>1</v>
  </rv>
  <rv s="0">
    <fb>15289373</fb>
    <v>2</v>
  </rv>
  <rv s="0">
    <fb>45979</fb>
    <v>0</v>
  </rv>
  <rv s="0">
    <fb>101.39</fb>
    <v>1</v>
  </rv>
  <rv s="0">
    <fb>17604460</fb>
    <v>2</v>
  </rv>
  <rv s="0">
    <fb>45980</fb>
    <v>0</v>
  </rv>
  <rv s="0">
    <fb>100.61</fb>
    <v>1</v>
  </rv>
  <rv s="0">
    <fb>22157029</fb>
    <v>2</v>
  </rv>
  <rv s="0">
    <fb>45981</fb>
    <v>0</v>
  </rv>
  <rv s="0">
    <fb>107.11</fb>
    <v>1</v>
  </rv>
  <rv s="0">
    <fb>50375920</fb>
    <v>2</v>
  </rv>
  <rv s="0">
    <fb>45982</fb>
    <v>0</v>
  </rv>
  <rv s="0">
    <fb>105.32</fb>
    <v>1</v>
  </rv>
  <rv s="0">
    <fb>41420780</fb>
    <v>2</v>
  </rv>
  <rv s="0">
    <fb>45985</fb>
    <v>0</v>
  </rv>
  <rv s="0">
    <fb>104.06</fb>
    <v>1</v>
  </rv>
  <rv s="0">
    <fb>42519159</fb>
    <v>2</v>
  </rv>
  <rv s="0">
    <fb>45986</fb>
    <v>0</v>
  </rv>
  <rv s="0">
    <fb>107</fb>
    <v>1</v>
  </rv>
  <rv s="0">
    <fb>20212882</fb>
    <v>2</v>
  </rv>
  <rv s="0">
    <fb>45987</fb>
    <v>0</v>
  </rv>
  <rv s="0">
    <fb>109.1</fb>
    <v>1</v>
  </rv>
  <rv s="0">
    <fb>17783281</fb>
    <v>2</v>
  </rv>
  <rv s="0">
    <fb>45989</fb>
    <v>0</v>
  </rv>
  <rv s="0">
    <fb>110.51</fb>
    <v>1</v>
  </rv>
  <rv s="0">
    <fb>9846525</fb>
    <v>2</v>
  </rv>
  <rv s="0">
    <fb>45992</fb>
    <v>0</v>
  </rv>
  <rv s="0">
    <fb>111.53</fb>
    <v>1</v>
  </rv>
  <rv s="0">
    <fb>17236750</fb>
    <v>2</v>
  </rv>
  <rv s="0">
    <fb>45993</fb>
    <v>0</v>
  </rv>
  <rv s="0">
    <fb>112.41</fb>
    <v>1</v>
  </rv>
  <rv s="0">
    <fb>18711768</fb>
    <v>2</v>
  </rv>
  <rv s="0">
    <fb>45994</fb>
    <v>0</v>
  </rv>
  <rv s="0">
    <fb>114.41</fb>
    <v>1</v>
  </rv>
  <rv s="0">
    <fb>24478281</fb>
    <v>2</v>
  </rv>
  <rv s="0">
    <fb>45995</fb>
    <v>0</v>
  </rv>
  <rv s="0">
    <fb>114.84</fb>
    <v>1</v>
  </rv>
  <rv s="0">
    <fb>25905147</fb>
    <v>2</v>
  </rv>
  <rv s="0">
    <fb>45996</fb>
    <v>0</v>
  </rv>
  <rv s="0">
    <fb>115.11</fb>
    <v>1</v>
  </rv>
  <rv s="0">
    <fb>23956427</fb>
    <v>2</v>
  </rv>
  <rv s="0">
    <fb>45999</fb>
    <v>0</v>
  </rv>
  <rv s="0">
    <fb>113.56</fb>
    <v>1</v>
  </rv>
  <rv s="0">
    <fb>22700747</fb>
    <v>2</v>
  </rv>
  <rv s="0">
    <fb>46000</fb>
    <v>0</v>
  </rv>
  <rv s="0">
    <fb>115.06</fb>
    <v>1</v>
  </rv>
  <rv s="0">
    <fb>24326690</fb>
    <v>2</v>
  </rv>
  <rv s="0">
    <fb>46001</fb>
    <v>0</v>
  </rv>
  <rv s="0">
    <fb>113.18</fb>
    <v>1</v>
  </rv>
  <rv s="0">
    <fb>22859578</fb>
    <v>2</v>
  </rv>
  <rv s="0">
    <fb>46002</fb>
    <v>0</v>
  </rv>
  <rv s="0">
    <fb>115.52</fb>
    <v>1</v>
  </rv>
  <rv s="0">
    <fb>21586640</fb>
    <v>2</v>
  </rv>
  <rv s="0">
    <fb>46003</fb>
    <v>0</v>
  </rv>
  <rv s="0">
    <fb>116.7</fb>
    <v>1</v>
  </rv>
  <rv s="0">
    <fb>19092414</fb>
    <v>2</v>
  </rv>
  <rv s="0">
    <fb>46006</fb>
    <v>0</v>
  </rv>
  <rv s="0">
    <fb>116.79</fb>
    <v>1</v>
  </rv>
  <rv s="0">
    <fb>18713743</fb>
    <v>2</v>
  </rv>
  <rv s="0">
    <fb>46007</fb>
    <v>0</v>
  </rv>
  <rv s="0">
    <fb>115.42</fb>
    <v>1</v>
  </rv>
  <rv s="0">
    <fb>19642346</fb>
    <v>2</v>
  </rv>
  <rv s="0">
    <fb>46008</fb>
    <v>0</v>
  </rv>
  <rv s="0">
    <fb>115.66</fb>
    <v>1</v>
  </rv>
  <rv s="0">
    <fb>16177750</fb>
    <v>2</v>
  </rv>
  <rv s="0">
    <fb>46009</fb>
    <v>0</v>
  </rv>
  <rv s="0">
    <fb>114.83</fb>
    <v>1</v>
  </rv>
  <rv s="0">
    <fb>21476675</fb>
    <v>2</v>
  </rv>
  <rv s="0">
    <fb>46010</fb>
    <v>0</v>
  </rv>
  <rv s="0">
    <fb>114.36</fb>
    <v>1</v>
  </rv>
  <rv s="0">
    <fb>50043755</fb>
    <v>2</v>
  </rv>
  <rv s="0">
    <fb>46013</fb>
    <v>0</v>
  </rv>
  <rv s="0">
    <fb>112.6</fb>
    <v>1</v>
  </rv>
  <rv s="0">
    <fb>21473912</fb>
    <v>2</v>
  </rv>
  <rv s="0">
    <fb>46014</fb>
    <v>0</v>
  </rv>
  <rv s="0">
    <fb>110.9</fb>
    <v>1</v>
  </rv>
  <rv s="0">
    <fb>20319917</fb>
    <v>2</v>
  </rv>
  <rv s="0">
    <fb>46015</fb>
    <v>0</v>
  </rv>
  <rv s="0">
    <fb>111.61</fb>
    <v>1</v>
  </rv>
  <rv s="0">
    <fb>9009629</fb>
    <v>2</v>
  </rv>
  <rv s="0">
    <fb>46017</fb>
    <v>0</v>
  </rv>
  <rv s="0">
    <fb>111.74</fb>
    <v>1</v>
  </rv>
  <rv s="0">
    <fb>9003791</fb>
    <v>2</v>
  </rv>
  <rv s="0">
    <fb>46020</fb>
    <v>0</v>
  </rv>
  <rv s="0">
    <fb>112.53</fb>
    <v>1</v>
  </rv>
  <rv s="0">
    <fb>12979573</fb>
    <v>2</v>
  </rv>
  <rv s="0">
    <fb>46021</fb>
    <v>0</v>
  </rv>
  <rv s="0">
    <fb>111.92</fb>
    <v>1</v>
  </rv>
  <rv s="0">
    <fb>11730590</fb>
    <v>2</v>
  </rv>
  <rv s="0">
    <fb>46022</fb>
    <v>0</v>
  </rv>
  <rv s="0">
    <fb>111.41</fb>
    <v>1</v>
  </rv>
  <rv s="0">
    <fb>11487434</fb>
    <v>2</v>
  </rv>
  <rv s="0">
    <fb>46024</fb>
    <v>0</v>
  </rv>
  <rv s="0">
    <fb>112.76</fb>
    <v>1</v>
  </rv>
  <rv s="0">
    <fb>14306560</fb>
    <v>2</v>
  </rv>
  <rv s="0">
    <fb>46027</fb>
    <v>0</v>
  </rv>
  <rv s="0">
    <fb>112.71</fb>
    <v>1</v>
  </rv>
  <rv s="0">
    <fb>19557620</fb>
    <v>2</v>
  </rv>
  <rv s="0">
    <fb>46028</fb>
    <v>0</v>
  </rv>
  <rv s="0">
    <fb>114.34</fb>
    <v>1</v>
  </rv>
  <rv s="0">
    <fb>20120817</fb>
    <v>2</v>
  </rv>
  <rv s="0">
    <fb>46029</fb>
    <v>0</v>
  </rv>
  <rv s="0">
    <fb>112.72</fb>
    <v>1</v>
  </rv>
  <rv s="0">
    <fb>23306003</fb>
    <v>2</v>
  </rv>
  <rv s="0">
    <fb>46030</fb>
    <v>0</v>
  </rv>
  <rv s="0">
    <fb>113.07</fb>
    <v>1</v>
  </rv>
  <rv s="0">
    <fb>24058262</fb>
    <v>2</v>
  </rv>
  <rv s="0">
    <fb>46031</fb>
    <v>0</v>
  </rv>
  <rv s="0">
    <fb>114.53</fb>
    <v>1</v>
  </rv>
  <rv s="0">
    <fb>21902859</fb>
    <v>2</v>
  </rv>
  <rv s="0">
    <fb>46034</fb>
    <v>0</v>
  </rv>
  <rv s="0">
    <fb>117.97</fb>
    <v>1</v>
  </rv>
  <rv s="0">
    <fb>49182081</fb>
    <v>2</v>
  </rv>
  <rv s="0">
    <fb>46035</fb>
    <v>0</v>
  </rv>
  <rv s="0">
    <fb>120.36</fb>
    <v>1</v>
  </rv>
  <rv s="0">
    <fb>31222058</fb>
    <v>2</v>
  </rv>
  <rv s="0">
    <fb>46036</fb>
    <v>0</v>
  </rv>
  <rv s="0">
    <fb>120.04</fb>
    <v>1</v>
  </rv>
  <rv s="0">
    <fb>32764044</fb>
    <v>2</v>
  </rv>
  <rv s="0">
    <fb>46037</fb>
    <v>0</v>
  </rv>
  <rv s="0">
    <fb>119.2</fb>
    <v>1</v>
  </rv>
  <rv s="0">
    <fb>34559430</fb>
    <v>2</v>
  </rv>
  <rv s="0">
    <fb>46038</fb>
    <v>0</v>
  </rv>
  <rv s="0">
    <fb>119.7</fb>
    <v>1</v>
  </rv>
  <rv s="0">
    <fb>415144621</fb>
    <v>2</v>
  </rv>
  <rv s="0">
    <fb>46042</fb>
    <v>0</v>
  </rv>
  <rv s="0">
    <fb>118.71</fb>
    <v>1</v>
  </rv>
  <rv s="0">
    <fb>45333984</fb>
    <v>2</v>
  </rv>
  <rv s="0">
    <fb>46043</fb>
    <v>0</v>
  </rv>
  <rv s="0">
    <fb>119.36</fb>
    <v>1</v>
  </rv>
  <rv s="0">
    <fb>34811697</fb>
    <v>2</v>
  </rv>
  <rv s="0">
    <fb>46044</fb>
    <v>0</v>
  </rv>
  <rv s="0">
    <fb>117.83</fb>
    <v>1</v>
  </rv>
  <rv s="0">
    <fb>24547334</fb>
    <v>2</v>
  </rv>
  <rv s="0">
    <fb>46045</fb>
    <v>0</v>
  </rv>
  <rv s="0">
    <fb>117.73</fb>
    <v>1</v>
  </rv>
  <rv s="0">
    <fb>20806906</fb>
    <v>2</v>
  </rv>
  <rv s="0">
    <fb>46048</fb>
    <v>0</v>
  </rv>
  <rv s="0">
    <fb>117.64</fb>
    <v>1</v>
  </rv>
  <rv s="0">
    <fb>19552228</fb>
    <v>2</v>
  </rv>
  <rv s="0">
    <fb>46049</fb>
    <v>0</v>
  </rv>
  <rv s="0">
    <fb>116.94</fb>
    <v>1</v>
  </rv>
  <rv s="0">
    <fb>22968630</fb>
    <v>2</v>
  </rv>
  <rv s="0">
    <fb>46050</fb>
    <v>0</v>
  </rv>
  <rv s="0">
    <fb>116.57</fb>
    <v>1</v>
  </rv>
  <rv s="0">
    <fb>16341996</fb>
    <v>2</v>
  </rv>
  <rv s="0">
    <fb>46051</fb>
    <v>0</v>
  </rv>
  <rv s="0">
    <fb>117.41</fb>
    <v>1</v>
  </rv>
  <rv s="0">
    <fb>16381111</fb>
    <v>2</v>
  </rv>
  <rv s="0">
    <fb>46052</fb>
    <v>0</v>
  </rv>
  <rv s="0">
    <fb>119.14</fb>
    <v>1</v>
  </rv>
  <rv s="0">
    <fb>22215386</fb>
    <v>2</v>
  </rv>
  <rv s="1">
    <v>3</v>
    <v>WMT</v>
    <v>Daily</v>
    <v>45292</v>
    <v>46053</v>
    <v>0</v>
    <v>1</v>
    <v>639053280000000000,639054814257803266,0</v>
    <v>0</v>
    <v>a25ya2</v>
    <v>XNAS:WMT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4BE9FE-965B-4C8D-97D0-965ACDBAA38C}" name="MondayStart" displayName="MondayStart" ref="A1:G120" tableType="queryTable" totalsRowShown="0">
  <autoFilter ref="A1:G120" xr:uid="{134BE9FE-965B-4C8D-97D0-965ACDBAA38C}"/>
  <tableColumns count="7">
    <tableColumn id="1" xr3:uid="{A64D66D7-F6D0-470B-9066-D86979332CD7}" uniqueName="1" name="Week " queryTableFieldId="1" dataDxfId="4"/>
    <tableColumn id="2" xr3:uid="{0E00AA41-9966-4600-BAF9-AF9B415D3294}" uniqueName="2" name="Average" queryTableFieldId="2"/>
    <tableColumn id="3" xr3:uid="{E73064CE-6714-4DC4-A1BA-87C69EEB9D97}" uniqueName="3" name="Frozen" queryTableFieldId="3"/>
    <tableColumn id="4" xr3:uid="{F88FD7D4-FAB7-40F3-BC77-1EF5CD1AB408}" uniqueName="4" name="Forecast" queryTableFieldId="4"/>
    <tableColumn id="5" xr3:uid="{F3CA751D-B198-4AE2-88B3-D76D50A9EBF7}" uniqueName="5" name="CI/PI" queryTableFieldId="5"/>
    <tableColumn id="6" xr3:uid="{075FC3CF-A145-4318-8931-016820FC1E2C}" uniqueName="6" name="Lower" queryTableFieldId="6" dataDxfId="3">
      <calculatedColumnFormula>D2-E2</calculatedColumnFormula>
    </tableColumn>
    <tableColumn id="7" xr3:uid="{7F2FE8AE-DB53-4D93-B41C-4974840904CD}" uniqueName="7" name="Upper" queryTableFieldId="7" dataDxfId="2">
      <calculatedColumnFormula>MondayStart[[#This Row],[Forecast]]+MondayStart[[#This Row],[CI/PI]]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DDF048-15CF-4105-B85F-71FEBA60CF85}" name="Table5" displayName="Table5" ref="A1:B523" totalsRowShown="0">
  <autoFilter ref="A1:B523" xr:uid="{AADDF048-15CF-4105-B85F-71FEBA60CF85}"/>
  <tableColumns count="2">
    <tableColumn id="1" xr3:uid="{032F7CB2-7662-41A9-A9AD-111E49212363}" name="Week " dataDxfId="1"/>
    <tableColumn id="2" xr3:uid="{221A227F-1C4F-404D-9D32-075D9EF8691B}" name="Clo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77AFC0-68EA-4F85-80D3-681316994320}" name="Weekly" displayName="Weekly" ref="A1:D120" tableType="queryTable" totalsRowShown="0">
  <autoFilter ref="A1:D120" xr:uid="{FA77AFC0-68EA-4F85-80D3-681316994320}"/>
  <tableColumns count="4">
    <tableColumn id="1" xr3:uid="{F0AB1874-ACE0-42B4-9616-51E0BA28DCA7}" uniqueName="1" name="Date" queryTableFieldId="1" dataDxfId="0"/>
    <tableColumn id="2" xr3:uid="{F916C8A6-E097-40FB-BFF3-583435E05116}" uniqueName="2" name="Average" queryTableFieldId="2"/>
    <tableColumn id="3" xr3:uid="{44DE9DB4-0DB2-4A04-A613-67EE80246AD3}" uniqueName="3" name="Frozen" queryTableFieldId="3"/>
    <tableColumn id="4" xr3:uid="{F56369C7-F7B7-4895-AA0B-DC8ED7C79CE7}" uniqueName="4" name="Forecas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1EC6-011B-4E93-B7F2-012D4DB0A1AD}">
  <dimension ref="A1:M523"/>
  <sheetViews>
    <sheetView workbookViewId="0">
      <selection activeCell="C1" activeCellId="1" sqref="A1:A1048576 C1:C1048576"/>
    </sheetView>
  </sheetViews>
  <sheetFormatPr defaultRowHeight="15" x14ac:dyDescent="0.25"/>
  <cols>
    <col min="1" max="1" width="10.42578125" style="5" bestFit="1" customWidth="1"/>
    <col min="2" max="2" width="11.28515625" bestFit="1" customWidth="1"/>
    <col min="4" max="4" width="10.140625" bestFit="1" customWidth="1"/>
    <col min="5" max="7" width="10.5703125" customWidth="1"/>
    <col min="8" max="8" width="11.5703125" customWidth="1"/>
  </cols>
  <sheetData>
    <row r="1" spans="1:13" x14ac:dyDescent="0.25">
      <c r="A1" s="15" t="s">
        <v>8</v>
      </c>
      <c r="B1" s="2" t="str" cm="1">
        <f t="array" aca="1" ref="B1:D523" ca="1">_xlfn.STOCKHISTORY("WMT","2024-01-01",TODAY(),0,1,0,1,5)</f>
        <v>Date</v>
      </c>
      <c r="C1" s="2" t="str">
        <f ca="1"/>
        <v>Close</v>
      </c>
      <c r="D1" s="2" t="str">
        <f ca="1"/>
        <v>Volume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7</v>
      </c>
      <c r="J1" s="2" t="s">
        <v>6</v>
      </c>
      <c r="K1" s="2" t="s">
        <v>5</v>
      </c>
      <c r="L1" s="13" t="s">
        <v>16</v>
      </c>
      <c r="M1" s="13" t="s">
        <v>21</v>
      </c>
    </row>
    <row r="2" spans="1:13" x14ac:dyDescent="0.25">
      <c r="A2" s="5">
        <f ca="1">B2 - WEEKDAY(B2, 2) + 1</f>
        <v>45292</v>
      </c>
      <c r="B2" vm="1">
        <f ca="1"/>
        <v>45293</v>
      </c>
      <c r="C2" vm="2">
        <f ca="1"/>
        <v>53.0961</v>
      </c>
      <c r="D2" vm="3">
        <f ca="1"/>
        <v>23539912</v>
      </c>
      <c r="L2" t="s">
        <v>17</v>
      </c>
      <c r="M2">
        <f ca="1">COUNT(C:C)</f>
        <v>522</v>
      </c>
    </row>
    <row r="3" spans="1:13" x14ac:dyDescent="0.25">
      <c r="A3" s="5">
        <f t="shared" ref="A3:A66" ca="1" si="0">B3 - WEEKDAY(B3, 2) + 1</f>
        <v>45292</v>
      </c>
      <c r="B3" vm="4">
        <f ca="1"/>
        <v>45294</v>
      </c>
      <c r="C3" vm="5">
        <f ca="1"/>
        <v>53.099499999999999</v>
      </c>
      <c r="D3" vm="6">
        <f ca="1"/>
        <v>18756247</v>
      </c>
      <c r="L3" t="s">
        <v>12</v>
      </c>
      <c r="M3">
        <f ca="1">MIN(C:C)</f>
        <v>52.2361</v>
      </c>
    </row>
    <row r="4" spans="1:13" x14ac:dyDescent="0.25">
      <c r="A4" s="5">
        <f t="shared" ca="1" si="0"/>
        <v>45292</v>
      </c>
      <c r="B4" vm="7">
        <f ca="1"/>
        <v>45295</v>
      </c>
      <c r="C4" vm="8">
        <f ca="1"/>
        <v>52.586100000000002</v>
      </c>
      <c r="D4" vm="9">
        <f ca="1"/>
        <v>19282662</v>
      </c>
      <c r="L4" t="s">
        <v>13</v>
      </c>
      <c r="M4">
        <f ca="1">MAX(C:C)</f>
        <v>120.36</v>
      </c>
    </row>
    <row r="5" spans="1:13" x14ac:dyDescent="0.25">
      <c r="A5" s="5">
        <f t="shared" ca="1" si="0"/>
        <v>45292</v>
      </c>
      <c r="B5" vm="10">
        <f ca="1"/>
        <v>45296</v>
      </c>
      <c r="C5" vm="11">
        <f ca="1"/>
        <v>52.2361</v>
      </c>
      <c r="D5" vm="12">
        <f ca="1"/>
        <v>21709720</v>
      </c>
      <c r="L5" t="s">
        <v>14</v>
      </c>
      <c r="M5">
        <f ca="1">MEDIAN(C:C)</f>
        <v>91.305000000000007</v>
      </c>
    </row>
    <row r="6" spans="1:13" x14ac:dyDescent="0.25">
      <c r="A6" s="5">
        <f t="shared" ca="1" si="0"/>
        <v>45299</v>
      </c>
      <c r="B6" vm="13">
        <f ca="1"/>
        <v>45299</v>
      </c>
      <c r="C6" vm="14">
        <f ca="1"/>
        <v>52.749499999999998</v>
      </c>
      <c r="D6" vm="15">
        <f ca="1"/>
        <v>20681084</v>
      </c>
      <c r="L6" t="s">
        <v>18</v>
      </c>
      <c r="M6">
        <f ca="1">AVERAGE(C:C)</f>
        <v>85.878926245210778</v>
      </c>
    </row>
    <row r="7" spans="1:13" x14ac:dyDescent="0.25">
      <c r="A7" s="5">
        <f t="shared" ca="1" si="0"/>
        <v>45299</v>
      </c>
      <c r="B7" vm="16">
        <f ca="1"/>
        <v>45300</v>
      </c>
      <c r="C7" vm="17">
        <f ca="1"/>
        <v>53.102800000000002</v>
      </c>
      <c r="D7" vm="18">
        <f ca="1"/>
        <v>23322611</v>
      </c>
    </row>
    <row r="8" spans="1:13" x14ac:dyDescent="0.25">
      <c r="A8" s="5">
        <f t="shared" ca="1" si="0"/>
        <v>45299</v>
      </c>
      <c r="B8" vm="19">
        <f ca="1"/>
        <v>45301</v>
      </c>
      <c r="C8" vm="20">
        <f ca="1"/>
        <v>53.762799999999999</v>
      </c>
      <c r="D8" vm="21">
        <f ca="1"/>
        <v>20122239</v>
      </c>
      <c r="H8" s="14"/>
    </row>
    <row r="9" spans="1:13" x14ac:dyDescent="0.25">
      <c r="A9" s="5">
        <f t="shared" ca="1" si="0"/>
        <v>45299</v>
      </c>
      <c r="B9" vm="22">
        <f ca="1"/>
        <v>45302</v>
      </c>
      <c r="C9" vm="23">
        <f ca="1"/>
        <v>53.702800000000003</v>
      </c>
      <c r="D9" vm="24">
        <f ca="1"/>
        <v>14355350</v>
      </c>
    </row>
    <row r="10" spans="1:13" x14ac:dyDescent="0.25">
      <c r="A10" s="5">
        <f t="shared" ca="1" si="0"/>
        <v>45299</v>
      </c>
      <c r="B10" vm="25">
        <f ca="1"/>
        <v>45303</v>
      </c>
      <c r="C10" vm="26">
        <f ca="1"/>
        <v>53.772799999999997</v>
      </c>
      <c r="D10" vm="27">
        <f ca="1"/>
        <v>13629103</v>
      </c>
      <c r="E10">
        <f ca="1">AVERAGE(C2:C10)</f>
        <v>53.123166666666663</v>
      </c>
    </row>
    <row r="11" spans="1:13" x14ac:dyDescent="0.25">
      <c r="A11" s="5">
        <f t="shared" ca="1" si="0"/>
        <v>45306</v>
      </c>
      <c r="B11" vm="28">
        <f ca="1"/>
        <v>45307</v>
      </c>
      <c r="C11" vm="29">
        <f ca="1"/>
        <v>53.942799999999998</v>
      </c>
      <c r="D11" vm="30">
        <f ca="1"/>
        <v>17032760</v>
      </c>
      <c r="E11">
        <f t="shared" ref="E11:E74" ca="1" si="1">AVERAGE(C3:C11)</f>
        <v>53.217244444444447</v>
      </c>
    </row>
    <row r="12" spans="1:13" x14ac:dyDescent="0.25">
      <c r="A12" s="5">
        <f t="shared" ca="1" si="0"/>
        <v>45306</v>
      </c>
      <c r="B12" vm="31">
        <f ca="1"/>
        <v>45308</v>
      </c>
      <c r="C12" vm="32">
        <f ca="1"/>
        <v>53.689500000000002</v>
      </c>
      <c r="D12" vm="33">
        <f ca="1"/>
        <v>14827810</v>
      </c>
      <c r="E12">
        <f t="shared" ca="1" si="1"/>
        <v>53.282800000000009</v>
      </c>
    </row>
    <row r="13" spans="1:13" x14ac:dyDescent="0.25">
      <c r="A13" s="5">
        <f t="shared" ca="1" si="0"/>
        <v>45306</v>
      </c>
      <c r="B13" vm="34">
        <f ca="1"/>
        <v>45309</v>
      </c>
      <c r="C13" vm="35">
        <f ca="1"/>
        <v>54.412799999999997</v>
      </c>
      <c r="D13" vm="36">
        <f ca="1"/>
        <v>18190792</v>
      </c>
      <c r="E13">
        <f t="shared" ca="1" si="1"/>
        <v>53.48576666666667</v>
      </c>
    </row>
    <row r="14" spans="1:13" x14ac:dyDescent="0.25">
      <c r="A14" s="5">
        <f t="shared" ca="1" si="0"/>
        <v>45306</v>
      </c>
      <c r="B14" vm="37">
        <f ca="1"/>
        <v>45310</v>
      </c>
      <c r="C14" vm="38">
        <f ca="1"/>
        <v>54.126100000000001</v>
      </c>
      <c r="D14" vm="39">
        <f ca="1"/>
        <v>19175486</v>
      </c>
      <c r="E14">
        <f t="shared" ca="1" si="1"/>
        <v>53.695766666666664</v>
      </c>
    </row>
    <row r="15" spans="1:13" x14ac:dyDescent="0.25">
      <c r="A15" s="5">
        <f t="shared" ca="1" si="0"/>
        <v>45313</v>
      </c>
      <c r="B15" vm="40">
        <f ca="1"/>
        <v>45313</v>
      </c>
      <c r="C15" vm="41">
        <f ca="1"/>
        <v>54.1295</v>
      </c>
      <c r="D15" vm="42">
        <f ca="1"/>
        <v>13938520</v>
      </c>
      <c r="E15">
        <f t="shared" ca="1" si="1"/>
        <v>53.8491</v>
      </c>
    </row>
    <row r="16" spans="1:13" x14ac:dyDescent="0.25">
      <c r="A16" s="5">
        <f t="shared" ca="1" si="0"/>
        <v>45313</v>
      </c>
      <c r="B16" vm="43">
        <f ca="1"/>
        <v>45314</v>
      </c>
      <c r="C16" vm="44">
        <f ca="1"/>
        <v>54.266100000000002</v>
      </c>
      <c r="D16" vm="45">
        <f ca="1"/>
        <v>12066636</v>
      </c>
      <c r="E16">
        <f t="shared" ca="1" si="1"/>
        <v>53.978355555555559</v>
      </c>
    </row>
    <row r="17" spans="1:11" x14ac:dyDescent="0.25">
      <c r="A17" s="5">
        <f t="shared" ca="1" si="0"/>
        <v>45313</v>
      </c>
      <c r="B17" vm="46">
        <f ca="1"/>
        <v>45315</v>
      </c>
      <c r="C17" vm="47">
        <f ca="1"/>
        <v>53.499499999999998</v>
      </c>
      <c r="D17" vm="48">
        <f ca="1"/>
        <v>22933090</v>
      </c>
      <c r="E17">
        <f t="shared" ca="1" si="1"/>
        <v>53.949100000000001</v>
      </c>
    </row>
    <row r="18" spans="1:11" x14ac:dyDescent="0.25">
      <c r="A18" s="5">
        <f t="shared" ca="1" si="0"/>
        <v>45313</v>
      </c>
      <c r="B18" vm="49">
        <f ca="1"/>
        <v>45316</v>
      </c>
      <c r="C18" vm="50">
        <f ca="1"/>
        <v>54.279499999999999</v>
      </c>
      <c r="D18" vm="51">
        <f ca="1"/>
        <v>16369765</v>
      </c>
      <c r="E18">
        <f t="shared" ca="1" si="1"/>
        <v>54.013177777777777</v>
      </c>
    </row>
    <row r="19" spans="1:11" x14ac:dyDescent="0.25">
      <c r="A19" s="5">
        <f t="shared" ca="1" si="0"/>
        <v>45313</v>
      </c>
      <c r="B19" vm="52">
        <f ca="1"/>
        <v>45317</v>
      </c>
      <c r="C19" vm="53">
        <f ca="1"/>
        <v>54.756100000000004</v>
      </c>
      <c r="D19" vm="54">
        <f ca="1"/>
        <v>15746467</v>
      </c>
      <c r="E19">
        <f t="shared" ca="1" si="1"/>
        <v>54.122433333333333</v>
      </c>
    </row>
    <row r="20" spans="1:11" x14ac:dyDescent="0.25">
      <c r="A20" s="5">
        <f t="shared" ca="1" si="0"/>
        <v>45320</v>
      </c>
      <c r="B20" vm="55">
        <f ca="1"/>
        <v>45320</v>
      </c>
      <c r="C20" vm="56">
        <f ca="1"/>
        <v>55.012799999999999</v>
      </c>
      <c r="D20" vm="57">
        <f ca="1"/>
        <v>18240494</v>
      </c>
      <c r="E20">
        <f t="shared" ca="1" si="1"/>
        <v>54.24132222222223</v>
      </c>
    </row>
    <row r="21" spans="1:11" x14ac:dyDescent="0.25">
      <c r="A21" s="5">
        <f t="shared" ca="1" si="0"/>
        <v>45320</v>
      </c>
      <c r="B21" vm="58">
        <f ca="1"/>
        <v>45321</v>
      </c>
      <c r="C21" vm="59">
        <f ca="1"/>
        <v>55.196100000000001</v>
      </c>
      <c r="D21" vm="60">
        <f ca="1"/>
        <v>15270164</v>
      </c>
      <c r="E21">
        <f t="shared" ca="1" si="1"/>
        <v>54.408722222222224</v>
      </c>
      <c r="F21">
        <f ca="1">AVERAGE(C2:C21)</f>
        <v>53.770965000000004</v>
      </c>
      <c r="I21">
        <f ca="1">_xlfn.STDEV.S(C2:C21)</f>
        <v>0.7942051380733478</v>
      </c>
      <c r="J21">
        <f ca="1">F21-2*I21</f>
        <v>52.182554723853308</v>
      </c>
      <c r="K21">
        <f ca="1">F21+2*I21</f>
        <v>55.3593752761467</v>
      </c>
    </row>
    <row r="22" spans="1:11" x14ac:dyDescent="0.25">
      <c r="A22" s="5">
        <f t="shared" ca="1" si="0"/>
        <v>45320</v>
      </c>
      <c r="B22" vm="61">
        <f ca="1"/>
        <v>45322</v>
      </c>
      <c r="C22" vm="62">
        <f ca="1"/>
        <v>55.082799999999999</v>
      </c>
      <c r="D22" vm="63">
        <f ca="1"/>
        <v>26135136</v>
      </c>
      <c r="E22">
        <f t="shared" ca="1" si="1"/>
        <v>54.483166666666676</v>
      </c>
      <c r="F22">
        <f t="shared" ref="F22:F85" ca="1" si="2">AVERAGE(C3:C22)</f>
        <v>53.8703</v>
      </c>
      <c r="I22">
        <f t="shared" ref="I22:I85" ca="1" si="3">_xlfn.STDEV.S(C3:C22)</f>
        <v>0.82884173081285073</v>
      </c>
      <c r="J22">
        <f t="shared" ref="J22:J85" ca="1" si="4">F22-2*I22</f>
        <v>52.212616538374299</v>
      </c>
      <c r="K22">
        <f t="shared" ref="K22:K85" ca="1" si="5">F22+2*I22</f>
        <v>55.527983461625702</v>
      </c>
    </row>
    <row r="23" spans="1:11" x14ac:dyDescent="0.25">
      <c r="A23" s="5">
        <f t="shared" ca="1" si="0"/>
        <v>45320</v>
      </c>
      <c r="B23" vm="64">
        <f ca="1"/>
        <v>45323</v>
      </c>
      <c r="C23" vm="65">
        <f ca="1"/>
        <v>56.102800000000002</v>
      </c>
      <c r="D23" vm="66">
        <f ca="1"/>
        <v>20792760</v>
      </c>
      <c r="E23">
        <f t="shared" ca="1" si="1"/>
        <v>54.702799999999996</v>
      </c>
      <c r="F23">
        <f t="shared" ca="1" si="2"/>
        <v>54.020465000000016</v>
      </c>
      <c r="I23">
        <f t="shared" ca="1" si="3"/>
        <v>0.94566954129976366</v>
      </c>
      <c r="J23">
        <f t="shared" ca="1" si="4"/>
        <v>52.129125917400486</v>
      </c>
      <c r="K23">
        <f t="shared" ca="1" si="5"/>
        <v>55.911804082599545</v>
      </c>
    </row>
    <row r="24" spans="1:11" x14ac:dyDescent="0.25">
      <c r="A24" s="5">
        <f t="shared" ca="1" si="0"/>
        <v>45320</v>
      </c>
      <c r="B24" vm="67">
        <f ca="1"/>
        <v>45324</v>
      </c>
      <c r="C24" vm="68">
        <f ca="1"/>
        <v>56.522799999999997</v>
      </c>
      <c r="D24" vm="69">
        <f ca="1"/>
        <v>21670902</v>
      </c>
      <c r="E24">
        <f t="shared" ca="1" si="1"/>
        <v>54.968722222222226</v>
      </c>
      <c r="F24">
        <f t="shared" ca="1" si="2"/>
        <v>54.217300000000009</v>
      </c>
      <c r="I24">
        <f t="shared" ca="1" si="3"/>
        <v>1.0367186061902489</v>
      </c>
      <c r="J24">
        <f t="shared" ca="1" si="4"/>
        <v>52.143862787619511</v>
      </c>
      <c r="K24">
        <f t="shared" ca="1" si="5"/>
        <v>56.290737212380506</v>
      </c>
    </row>
    <row r="25" spans="1:11" x14ac:dyDescent="0.25">
      <c r="A25" s="5">
        <f t="shared" ca="1" si="0"/>
        <v>45327</v>
      </c>
      <c r="B25" vm="70">
        <f ca="1"/>
        <v>45327</v>
      </c>
      <c r="C25" vm="71">
        <f ca="1"/>
        <v>56.2194</v>
      </c>
      <c r="D25" vm="72">
        <f ca="1"/>
        <v>19145261</v>
      </c>
      <c r="E25">
        <f t="shared" ca="1" si="1"/>
        <v>55.185755555555566</v>
      </c>
      <c r="F25">
        <f t="shared" ca="1" si="2"/>
        <v>54.416465000000002</v>
      </c>
      <c r="I25">
        <f t="shared" ca="1" si="3"/>
        <v>1.0185345749111681</v>
      </c>
      <c r="J25">
        <f t="shared" ca="1" si="4"/>
        <v>52.379395850177666</v>
      </c>
      <c r="K25">
        <f t="shared" ca="1" si="5"/>
        <v>56.453534149822339</v>
      </c>
    </row>
    <row r="26" spans="1:11" x14ac:dyDescent="0.25">
      <c r="A26" s="5">
        <f t="shared" ca="1" si="0"/>
        <v>45327</v>
      </c>
      <c r="B26" vm="73">
        <f ca="1"/>
        <v>45328</v>
      </c>
      <c r="C26" vm="74">
        <f ca="1"/>
        <v>56.602800000000002</v>
      </c>
      <c r="D26" vm="75">
        <f ca="1"/>
        <v>14189925</v>
      </c>
      <c r="E26">
        <f t="shared" ca="1" si="1"/>
        <v>55.530566666666672</v>
      </c>
      <c r="F26">
        <f t="shared" ca="1" si="2"/>
        <v>54.609130000000007</v>
      </c>
      <c r="I26">
        <f t="shared" ca="1" si="3"/>
        <v>1.0505570778351236</v>
      </c>
      <c r="J26">
        <f t="shared" ca="1" si="4"/>
        <v>52.508015844329762</v>
      </c>
      <c r="K26">
        <f t="shared" ca="1" si="5"/>
        <v>56.710244155670253</v>
      </c>
    </row>
    <row r="27" spans="1:11" x14ac:dyDescent="0.25">
      <c r="A27" s="5">
        <f t="shared" ca="1" si="0"/>
        <v>45327</v>
      </c>
      <c r="B27" vm="76">
        <f ca="1"/>
        <v>45329</v>
      </c>
      <c r="C27" vm="77">
        <f ca="1"/>
        <v>56.459400000000002</v>
      </c>
      <c r="D27" vm="78">
        <f ca="1"/>
        <v>17082635</v>
      </c>
      <c r="E27">
        <f t="shared" ca="1" si="1"/>
        <v>55.772777777777783</v>
      </c>
      <c r="F27">
        <f t="shared" ca="1" si="2"/>
        <v>54.776959999999995</v>
      </c>
      <c r="I27">
        <f t="shared" ca="1" si="3"/>
        <v>1.0652616216340081</v>
      </c>
      <c r="J27">
        <f t="shared" ca="1" si="4"/>
        <v>52.64643675673198</v>
      </c>
      <c r="K27">
        <f t="shared" ca="1" si="5"/>
        <v>56.907483243268011</v>
      </c>
    </row>
    <row r="28" spans="1:11" x14ac:dyDescent="0.25">
      <c r="A28" s="5">
        <f t="shared" ca="1" si="0"/>
        <v>45327</v>
      </c>
      <c r="B28" vm="79">
        <f ca="1"/>
        <v>45330</v>
      </c>
      <c r="C28" vm="80">
        <f ca="1"/>
        <v>56.456099999999999</v>
      </c>
      <c r="D28" vm="81">
        <f ca="1"/>
        <v>14428071</v>
      </c>
      <c r="E28">
        <f t="shared" ca="1" si="1"/>
        <v>55.961666666666673</v>
      </c>
      <c r="F28">
        <f t="shared" ca="1" si="2"/>
        <v>54.911625000000001</v>
      </c>
      <c r="I28">
        <f t="shared" ca="1" si="3"/>
        <v>1.0999799404271451</v>
      </c>
      <c r="J28">
        <f t="shared" ca="1" si="4"/>
        <v>52.711665119145714</v>
      </c>
      <c r="K28">
        <f t="shared" ca="1" si="5"/>
        <v>57.111584880854288</v>
      </c>
    </row>
    <row r="29" spans="1:11" x14ac:dyDescent="0.25">
      <c r="A29" s="5">
        <f t="shared" ca="1" si="0"/>
        <v>45327</v>
      </c>
      <c r="B29" vm="82">
        <f ca="1"/>
        <v>45331</v>
      </c>
      <c r="C29" vm="83">
        <f ca="1"/>
        <v>56.426099999999998</v>
      </c>
      <c r="D29" vm="84">
        <f ca="1"/>
        <v>14330009</v>
      </c>
      <c r="E29">
        <f t="shared" ca="1" si="1"/>
        <v>56.118700000000004</v>
      </c>
      <c r="F29">
        <f t="shared" ca="1" si="2"/>
        <v>55.047789999999999</v>
      </c>
      <c r="I29">
        <f t="shared" ca="1" si="3"/>
        <v>1.1109673361534986</v>
      </c>
      <c r="J29">
        <f t="shared" ca="1" si="4"/>
        <v>52.825855327692999</v>
      </c>
      <c r="K29">
        <f t="shared" ca="1" si="5"/>
        <v>57.269724672306999</v>
      </c>
    </row>
    <row r="30" spans="1:11" x14ac:dyDescent="0.25">
      <c r="A30" s="5">
        <f t="shared" ca="1" si="0"/>
        <v>45334</v>
      </c>
      <c r="B30" vm="85">
        <f ca="1"/>
        <v>45334</v>
      </c>
      <c r="C30" vm="86">
        <f ca="1"/>
        <v>56.766100000000002</v>
      </c>
      <c r="D30" vm="87">
        <f ca="1"/>
        <v>14795187</v>
      </c>
      <c r="E30">
        <f t="shared" ca="1" si="1"/>
        <v>56.293144444444444</v>
      </c>
      <c r="F30">
        <f t="shared" ca="1" si="2"/>
        <v>55.197454999999991</v>
      </c>
      <c r="I30">
        <f t="shared" ca="1" si="3"/>
        <v>1.1315968579494435</v>
      </c>
      <c r="J30">
        <f t="shared" ca="1" si="4"/>
        <v>52.934261284101105</v>
      </c>
      <c r="K30">
        <f t="shared" ca="1" si="5"/>
        <v>57.460648715898877</v>
      </c>
    </row>
    <row r="31" spans="1:11" x14ac:dyDescent="0.25">
      <c r="A31" s="5">
        <f t="shared" ca="1" si="0"/>
        <v>45334</v>
      </c>
      <c r="B31" vm="88">
        <f ca="1"/>
        <v>45335</v>
      </c>
      <c r="C31" vm="89">
        <f ca="1"/>
        <v>56.379399999999997</v>
      </c>
      <c r="D31" vm="90">
        <f ca="1"/>
        <v>18574400</v>
      </c>
      <c r="E31">
        <f t="shared" ca="1" si="1"/>
        <v>56.437211111111111</v>
      </c>
      <c r="F31">
        <f t="shared" ca="1" si="2"/>
        <v>55.319285000000001</v>
      </c>
      <c r="I31">
        <f t="shared" ca="1" si="3"/>
        <v>1.1205191786681554</v>
      </c>
      <c r="J31">
        <f t="shared" ca="1" si="4"/>
        <v>53.078246642663693</v>
      </c>
      <c r="K31">
        <f t="shared" ca="1" si="5"/>
        <v>57.560323357336308</v>
      </c>
    </row>
    <row r="32" spans="1:11" x14ac:dyDescent="0.25">
      <c r="A32" s="5">
        <f t="shared" ca="1" si="0"/>
        <v>45334</v>
      </c>
      <c r="B32" vm="91">
        <f ca="1"/>
        <v>45336</v>
      </c>
      <c r="C32" vm="92">
        <f ca="1"/>
        <v>56.199399999999997</v>
      </c>
      <c r="D32" vm="93">
        <f ca="1"/>
        <v>18484786</v>
      </c>
      <c r="E32">
        <f t="shared" ca="1" si="1"/>
        <v>56.447944444444438</v>
      </c>
      <c r="F32">
        <f t="shared" ca="1" si="2"/>
        <v>55.444779999999994</v>
      </c>
      <c r="I32">
        <f t="shared" ca="1" si="3"/>
        <v>1.0676862522591355</v>
      </c>
      <c r="J32">
        <f t="shared" ca="1" si="4"/>
        <v>53.309407495481722</v>
      </c>
      <c r="K32">
        <f t="shared" ca="1" si="5"/>
        <v>57.580152504518267</v>
      </c>
    </row>
    <row r="33" spans="1:11" x14ac:dyDescent="0.25">
      <c r="A33" s="5">
        <f t="shared" ca="1" si="0"/>
        <v>45334</v>
      </c>
      <c r="B33" vm="94">
        <f ca="1"/>
        <v>45337</v>
      </c>
      <c r="C33" vm="95">
        <f ca="1"/>
        <v>56.429400000000001</v>
      </c>
      <c r="D33" vm="96">
        <f ca="1"/>
        <v>16949026</v>
      </c>
      <c r="E33">
        <f t="shared" ca="1" si="1"/>
        <v>56.437566666666662</v>
      </c>
      <c r="F33">
        <f t="shared" ca="1" si="2"/>
        <v>55.545609999999996</v>
      </c>
      <c r="I33">
        <f t="shared" ca="1" si="3"/>
        <v>1.0602950130183482</v>
      </c>
      <c r="J33">
        <f t="shared" ca="1" si="4"/>
        <v>53.425019973963302</v>
      </c>
      <c r="K33">
        <f t="shared" ca="1" si="5"/>
        <v>57.666200026036691</v>
      </c>
    </row>
    <row r="34" spans="1:11" x14ac:dyDescent="0.25">
      <c r="A34" s="5">
        <f t="shared" ca="1" si="0"/>
        <v>45334</v>
      </c>
      <c r="B34" vm="97">
        <f ca="1"/>
        <v>45338</v>
      </c>
      <c r="C34" vm="98">
        <f ca="1"/>
        <v>56.786099999999998</v>
      </c>
      <c r="D34" vm="99">
        <f ca="1"/>
        <v>22373764</v>
      </c>
      <c r="E34">
        <f t="shared" ca="1" si="1"/>
        <v>56.50053333333333</v>
      </c>
      <c r="F34">
        <f t="shared" ca="1" si="2"/>
        <v>55.678610000000006</v>
      </c>
      <c r="I34">
        <f t="shared" ca="1" si="3"/>
        <v>1.0394915654451355</v>
      </c>
      <c r="J34">
        <f t="shared" ca="1" si="4"/>
        <v>53.599626869109734</v>
      </c>
      <c r="K34">
        <f t="shared" ca="1" si="5"/>
        <v>57.757593130890278</v>
      </c>
    </row>
    <row r="35" spans="1:11" x14ac:dyDescent="0.25">
      <c r="A35" s="5">
        <f t="shared" ca="1" si="0"/>
        <v>45341</v>
      </c>
      <c r="B35" vm="100">
        <f ca="1"/>
        <v>45342</v>
      </c>
      <c r="C35" vm="101">
        <f ca="1"/>
        <v>58.619399999999999</v>
      </c>
      <c r="D35" vm="102">
        <f ca="1"/>
        <v>71789331</v>
      </c>
      <c r="E35">
        <f t="shared" ca="1" si="1"/>
        <v>56.724599999999995</v>
      </c>
      <c r="F35">
        <f t="shared" ca="1" si="2"/>
        <v>55.903105000000004</v>
      </c>
      <c r="I35">
        <f t="shared" ca="1" si="3"/>
        <v>1.1646290466450995</v>
      </c>
      <c r="J35">
        <f t="shared" ca="1" si="4"/>
        <v>53.573846906709804</v>
      </c>
      <c r="K35">
        <f t="shared" ca="1" si="5"/>
        <v>58.232363093290203</v>
      </c>
    </row>
    <row r="36" spans="1:11" x14ac:dyDescent="0.25">
      <c r="A36" s="5">
        <f t="shared" ca="1" si="0"/>
        <v>45341</v>
      </c>
      <c r="B36" vm="103">
        <f ca="1"/>
        <v>45343</v>
      </c>
      <c r="C36" vm="104">
        <f ca="1"/>
        <v>57.8994</v>
      </c>
      <c r="D36" vm="105">
        <f ca="1"/>
        <v>40551936</v>
      </c>
      <c r="E36">
        <f t="shared" ca="1" si="1"/>
        <v>56.884599999999999</v>
      </c>
      <c r="F36">
        <f t="shared" ca="1" si="2"/>
        <v>56.084770000000006</v>
      </c>
      <c r="I36">
        <f t="shared" ca="1" si="3"/>
        <v>1.1791214486352026</v>
      </c>
      <c r="J36">
        <f t="shared" ca="1" si="4"/>
        <v>53.726527102729598</v>
      </c>
      <c r="K36">
        <f t="shared" ca="1" si="5"/>
        <v>58.443012897270414</v>
      </c>
    </row>
    <row r="37" spans="1:11" x14ac:dyDescent="0.25">
      <c r="A37" s="5">
        <f t="shared" ca="1" si="0"/>
        <v>45341</v>
      </c>
      <c r="B37" vm="106">
        <f ca="1"/>
        <v>45344</v>
      </c>
      <c r="C37" vm="107">
        <f ca="1"/>
        <v>58.4694</v>
      </c>
      <c r="D37" vm="108">
        <f ca="1"/>
        <v>29513230</v>
      </c>
      <c r="E37">
        <f t="shared" ca="1" si="1"/>
        <v>57.1083</v>
      </c>
      <c r="F37">
        <f t="shared" ca="1" si="2"/>
        <v>56.333265000000004</v>
      </c>
      <c r="I37">
        <f t="shared" ca="1" si="3"/>
        <v>1.1282045443862048</v>
      </c>
      <c r="J37">
        <f t="shared" ca="1" si="4"/>
        <v>54.076855911227597</v>
      </c>
      <c r="K37">
        <f t="shared" ca="1" si="5"/>
        <v>58.589674088772412</v>
      </c>
    </row>
    <row r="38" spans="1:11" x14ac:dyDescent="0.25">
      <c r="A38" s="5">
        <f t="shared" ca="1" si="0"/>
        <v>45341</v>
      </c>
      <c r="B38" vm="109">
        <f ca="1"/>
        <v>45345</v>
      </c>
      <c r="C38" vm="110">
        <f ca="1"/>
        <v>58.519399999999997</v>
      </c>
      <c r="D38" vm="111">
        <f ca="1"/>
        <v>74366510</v>
      </c>
      <c r="E38">
        <f t="shared" ca="1" si="1"/>
        <v>57.340888888888884</v>
      </c>
      <c r="F38">
        <f t="shared" ca="1" si="2"/>
        <v>56.545260000000006</v>
      </c>
      <c r="I38">
        <f t="shared" ca="1" si="3"/>
        <v>1.1203021760597491</v>
      </c>
      <c r="J38">
        <f t="shared" ca="1" si="4"/>
        <v>54.304655647880509</v>
      </c>
      <c r="K38">
        <f t="shared" ca="1" si="5"/>
        <v>58.785864352119503</v>
      </c>
    </row>
    <row r="39" spans="1:11" x14ac:dyDescent="0.25">
      <c r="A39" s="5">
        <f t="shared" ca="1" si="0"/>
        <v>45348</v>
      </c>
      <c r="B39" vm="112">
        <f ca="1"/>
        <v>45348</v>
      </c>
      <c r="C39" vm="113">
        <f ca="1"/>
        <v>59.6</v>
      </c>
      <c r="D39" vm="114">
        <f ca="1"/>
        <v>32154765</v>
      </c>
      <c r="E39">
        <f t="shared" ca="1" si="1"/>
        <v>57.655766666666672</v>
      </c>
      <c r="F39">
        <f t="shared" ca="1" si="2"/>
        <v>56.787455000000001</v>
      </c>
      <c r="I39">
        <f t="shared" ca="1" si="3"/>
        <v>1.2312517582033933</v>
      </c>
      <c r="J39">
        <f t="shared" ca="1" si="4"/>
        <v>54.324951483593217</v>
      </c>
      <c r="K39">
        <f t="shared" ca="1" si="5"/>
        <v>59.249958516406785</v>
      </c>
    </row>
    <row r="40" spans="1:11" x14ac:dyDescent="0.25">
      <c r="A40" s="5">
        <f t="shared" ca="1" si="0"/>
        <v>45348</v>
      </c>
      <c r="B40" vm="115">
        <f ca="1"/>
        <v>45349</v>
      </c>
      <c r="C40" vm="116">
        <f ca="1"/>
        <v>59.59</v>
      </c>
      <c r="D40" vm="117">
        <f ca="1"/>
        <v>18012749</v>
      </c>
      <c r="E40">
        <f t="shared" ca="1" si="1"/>
        <v>58.01250000000001</v>
      </c>
      <c r="F40">
        <f t="shared" ca="1" si="2"/>
        <v>57.016314999999999</v>
      </c>
      <c r="I40">
        <f t="shared" ca="1" si="3"/>
        <v>1.307085086939638</v>
      </c>
      <c r="J40">
        <f t="shared" ca="1" si="4"/>
        <v>54.402144826120725</v>
      </c>
      <c r="K40">
        <f t="shared" ca="1" si="5"/>
        <v>59.630485173879272</v>
      </c>
    </row>
    <row r="41" spans="1:11" x14ac:dyDescent="0.25">
      <c r="A41" s="5">
        <f t="shared" ca="1" si="0"/>
        <v>45348</v>
      </c>
      <c r="B41" vm="118">
        <f ca="1"/>
        <v>45350</v>
      </c>
      <c r="C41" vm="119">
        <f ca="1"/>
        <v>59.62</v>
      </c>
      <c r="D41" vm="120">
        <f ca="1"/>
        <v>14803289</v>
      </c>
      <c r="E41">
        <f t="shared" ca="1" si="1"/>
        <v>58.392566666666681</v>
      </c>
      <c r="F41">
        <f t="shared" ca="1" si="2"/>
        <v>57.237509999999986</v>
      </c>
      <c r="I41">
        <f t="shared" ca="1" si="3"/>
        <v>1.3562410404845953</v>
      </c>
      <c r="J41">
        <f t="shared" ca="1" si="4"/>
        <v>54.525027919030798</v>
      </c>
      <c r="K41">
        <f t="shared" ca="1" si="5"/>
        <v>59.949992080969174</v>
      </c>
    </row>
    <row r="42" spans="1:11" x14ac:dyDescent="0.25">
      <c r="A42" s="5">
        <f t="shared" ca="1" si="0"/>
        <v>45348</v>
      </c>
      <c r="B42" vm="121">
        <f ca="1"/>
        <v>45351</v>
      </c>
      <c r="C42" vm="122">
        <f ca="1"/>
        <v>58.61</v>
      </c>
      <c r="D42" vm="123">
        <f ca="1"/>
        <v>29245142</v>
      </c>
      <c r="E42">
        <f t="shared" ca="1" si="1"/>
        <v>58.634855555555561</v>
      </c>
      <c r="F42">
        <f t="shared" ca="1" si="2"/>
        <v>57.413869999999989</v>
      </c>
      <c r="I42">
        <f t="shared" ca="1" si="3"/>
        <v>1.2889673970398086</v>
      </c>
      <c r="J42">
        <f t="shared" ca="1" si="4"/>
        <v>54.835935205920372</v>
      </c>
      <c r="K42">
        <f t="shared" ca="1" si="5"/>
        <v>59.991804794079606</v>
      </c>
    </row>
    <row r="43" spans="1:11" x14ac:dyDescent="0.25">
      <c r="A43" s="5">
        <f t="shared" ca="1" si="0"/>
        <v>45348</v>
      </c>
      <c r="B43" vm="124">
        <f ca="1"/>
        <v>45352</v>
      </c>
      <c r="C43" vm="125">
        <f ca="1"/>
        <v>58.76</v>
      </c>
      <c r="D43" vm="126">
        <f ca="1"/>
        <v>19030919</v>
      </c>
      <c r="E43">
        <f t="shared" ca="1" si="1"/>
        <v>58.854177777777778</v>
      </c>
      <c r="F43">
        <f t="shared" ca="1" si="2"/>
        <v>57.54672999999999</v>
      </c>
      <c r="I43">
        <f t="shared" ca="1" si="3"/>
        <v>1.2836507949061373</v>
      </c>
      <c r="J43">
        <f t="shared" ca="1" si="4"/>
        <v>54.979428410187715</v>
      </c>
      <c r="K43">
        <f t="shared" ca="1" si="5"/>
        <v>60.114031589812264</v>
      </c>
    </row>
    <row r="44" spans="1:11" x14ac:dyDescent="0.25">
      <c r="A44" s="5">
        <f t="shared" ca="1" si="0"/>
        <v>45355</v>
      </c>
      <c r="B44" vm="127">
        <f ca="1"/>
        <v>45355</v>
      </c>
      <c r="C44" vm="128">
        <f ca="1"/>
        <v>59.3</v>
      </c>
      <c r="D44" vm="129">
        <f ca="1"/>
        <v>16033298</v>
      </c>
      <c r="E44">
        <f t="shared" ca="1" si="1"/>
        <v>58.9298</v>
      </c>
      <c r="F44">
        <f t="shared" ca="1" si="2"/>
        <v>57.685590000000005</v>
      </c>
      <c r="I44">
        <f t="shared" ca="1" si="3"/>
        <v>1.3168404962357116</v>
      </c>
      <c r="J44">
        <f t="shared" ca="1" si="4"/>
        <v>55.051909007528579</v>
      </c>
      <c r="K44">
        <f t="shared" ca="1" si="5"/>
        <v>60.319270992471431</v>
      </c>
    </row>
    <row r="45" spans="1:11" x14ac:dyDescent="0.25">
      <c r="A45" s="5">
        <f t="shared" ca="1" si="0"/>
        <v>45355</v>
      </c>
      <c r="B45" vm="130">
        <f ca="1"/>
        <v>45356</v>
      </c>
      <c r="C45" vm="131">
        <f ca="1"/>
        <v>60.04</v>
      </c>
      <c r="D45" vm="132">
        <f ca="1"/>
        <v>19676884</v>
      </c>
      <c r="E45">
        <f t="shared" ca="1" si="1"/>
        <v>59.167644444444441</v>
      </c>
      <c r="F45">
        <f t="shared" ca="1" si="2"/>
        <v>57.876620000000003</v>
      </c>
      <c r="I45">
        <f t="shared" ca="1" si="3"/>
        <v>1.3690371774583616</v>
      </c>
      <c r="J45">
        <f t="shared" ca="1" si="4"/>
        <v>55.138545645083276</v>
      </c>
      <c r="K45">
        <f t="shared" ca="1" si="5"/>
        <v>60.614694354916729</v>
      </c>
    </row>
    <row r="46" spans="1:11" x14ac:dyDescent="0.25">
      <c r="A46" s="5">
        <f t="shared" ca="1" si="0"/>
        <v>45355</v>
      </c>
      <c r="B46" vm="133">
        <f ca="1"/>
        <v>45357</v>
      </c>
      <c r="C46" vm="134">
        <f ca="1"/>
        <v>60.57</v>
      </c>
      <c r="D46" vm="135">
        <f ca="1"/>
        <v>12698714</v>
      </c>
      <c r="E46">
        <f t="shared" ca="1" si="1"/>
        <v>59.401044444444452</v>
      </c>
      <c r="F46">
        <f t="shared" ca="1" si="2"/>
        <v>58.074979999999996</v>
      </c>
      <c r="I46">
        <f t="shared" ca="1" si="3"/>
        <v>1.4591947619365822</v>
      </c>
      <c r="J46">
        <f t="shared" ca="1" si="4"/>
        <v>55.15659047612683</v>
      </c>
      <c r="K46">
        <f t="shared" ca="1" si="5"/>
        <v>60.993369523873163</v>
      </c>
    </row>
    <row r="47" spans="1:11" x14ac:dyDescent="0.25">
      <c r="A47" s="5">
        <f t="shared" ca="1" si="0"/>
        <v>45355</v>
      </c>
      <c r="B47" vm="136">
        <f ca="1"/>
        <v>45358</v>
      </c>
      <c r="C47" vm="137">
        <f ca="1"/>
        <v>60.36</v>
      </c>
      <c r="D47" vm="138">
        <f ca="1"/>
        <v>16195303</v>
      </c>
      <c r="E47">
        <f t="shared" ca="1" si="1"/>
        <v>59.605555555555561</v>
      </c>
      <c r="F47">
        <f t="shared" ca="1" si="2"/>
        <v>58.270009999999992</v>
      </c>
      <c r="I47">
        <f t="shared" ca="1" si="3"/>
        <v>1.4921940990931515</v>
      </c>
      <c r="J47">
        <f t="shared" ca="1" si="4"/>
        <v>55.28562180181369</v>
      </c>
      <c r="K47">
        <f t="shared" ca="1" si="5"/>
        <v>61.254398198186294</v>
      </c>
    </row>
    <row r="48" spans="1:11" x14ac:dyDescent="0.25">
      <c r="A48" s="5">
        <f t="shared" ca="1" si="0"/>
        <v>45355</v>
      </c>
      <c r="B48" vm="139">
        <f ca="1"/>
        <v>45359</v>
      </c>
      <c r="C48" vm="140">
        <f ca="1"/>
        <v>60.12</v>
      </c>
      <c r="D48" vm="141">
        <f ca="1"/>
        <v>12143645</v>
      </c>
      <c r="E48">
        <f t="shared" ca="1" si="1"/>
        <v>59.663333333333334</v>
      </c>
      <c r="F48">
        <f t="shared" ca="1" si="2"/>
        <v>58.45320499999999</v>
      </c>
      <c r="I48">
        <f t="shared" ca="1" si="3"/>
        <v>1.4826577613671019</v>
      </c>
      <c r="J48">
        <f t="shared" ca="1" si="4"/>
        <v>55.487889477265789</v>
      </c>
      <c r="K48">
        <f t="shared" ca="1" si="5"/>
        <v>61.418520522734191</v>
      </c>
    </row>
    <row r="49" spans="1:11" x14ac:dyDescent="0.25">
      <c r="A49" s="5">
        <f t="shared" ca="1" si="0"/>
        <v>45362</v>
      </c>
      <c r="B49" vm="142">
        <f ca="1"/>
        <v>45362</v>
      </c>
      <c r="C49" vm="143">
        <f ca="1"/>
        <v>60.66</v>
      </c>
      <c r="D49" vm="144">
        <f ca="1"/>
        <v>14153969</v>
      </c>
      <c r="E49">
        <f t="shared" ca="1" si="1"/>
        <v>59.782222222222217</v>
      </c>
      <c r="F49">
        <f t="shared" ca="1" si="2"/>
        <v>58.664900000000003</v>
      </c>
      <c r="I49">
        <f t="shared" ca="1" si="3"/>
        <v>1.480250703161639</v>
      </c>
      <c r="J49">
        <f t="shared" ca="1" si="4"/>
        <v>55.704398593676729</v>
      </c>
      <c r="K49">
        <f t="shared" ca="1" si="5"/>
        <v>61.625401406323277</v>
      </c>
    </row>
    <row r="50" spans="1:11" x14ac:dyDescent="0.25">
      <c r="A50" s="5">
        <f t="shared" ca="1" si="0"/>
        <v>45362</v>
      </c>
      <c r="B50" vm="145">
        <f ca="1"/>
        <v>45363</v>
      </c>
      <c r="C50" vm="146">
        <f ca="1"/>
        <v>61.41</v>
      </c>
      <c r="D50" vm="147">
        <f ca="1"/>
        <v>16613062</v>
      </c>
      <c r="E50">
        <f t="shared" ca="1" si="1"/>
        <v>59.981111111111119</v>
      </c>
      <c r="F50">
        <f t="shared" ca="1" si="2"/>
        <v>58.897095000000014</v>
      </c>
      <c r="I50">
        <f t="shared" ca="1" si="3"/>
        <v>1.5301108138318817</v>
      </c>
      <c r="J50">
        <f t="shared" ca="1" si="4"/>
        <v>55.83687337233625</v>
      </c>
      <c r="K50">
        <f t="shared" ca="1" si="5"/>
        <v>61.957316627663779</v>
      </c>
    </row>
    <row r="51" spans="1:11" x14ac:dyDescent="0.25">
      <c r="A51" s="5">
        <f t="shared" ca="1" si="0"/>
        <v>45362</v>
      </c>
      <c r="B51" vm="148">
        <f ca="1"/>
        <v>45364</v>
      </c>
      <c r="C51" vm="149">
        <f ca="1"/>
        <v>61.28</v>
      </c>
      <c r="D51" vm="150">
        <f ca="1"/>
        <v>15935187</v>
      </c>
      <c r="E51">
        <f t="shared" ca="1" si="1"/>
        <v>60.277777777777764</v>
      </c>
      <c r="F51">
        <f t="shared" ca="1" si="2"/>
        <v>59.142125000000007</v>
      </c>
      <c r="G51">
        <f ca="1">AVERAGE(C2:C51)</f>
        <v>56.42559</v>
      </c>
      <c r="I51">
        <f t="shared" ca="1" si="3"/>
        <v>1.4977561648486399</v>
      </c>
      <c r="J51">
        <f t="shared" ca="1" si="4"/>
        <v>56.14661267030273</v>
      </c>
      <c r="K51">
        <f t="shared" ca="1" si="5"/>
        <v>62.137637329697284</v>
      </c>
    </row>
    <row r="52" spans="1:11" x14ac:dyDescent="0.25">
      <c r="A52" s="5">
        <f t="shared" ca="1" si="0"/>
        <v>45362</v>
      </c>
      <c r="B52" vm="151">
        <f ca="1"/>
        <v>45365</v>
      </c>
      <c r="C52" vm="152">
        <f ca="1"/>
        <v>61.02</v>
      </c>
      <c r="D52" vm="153">
        <f ca="1"/>
        <v>16584660</v>
      </c>
      <c r="E52">
        <f t="shared" ca="1" si="1"/>
        <v>60.528888888888872</v>
      </c>
      <c r="F52">
        <f t="shared" ca="1" si="2"/>
        <v>59.383155000000002</v>
      </c>
      <c r="G52">
        <f t="shared" ref="G52:G115" ca="1" si="6">AVERAGE(C3:C52)</f>
        <v>56.584068000000009</v>
      </c>
      <c r="I52">
        <f t="shared" ca="1" si="3"/>
        <v>1.3827332187317303</v>
      </c>
      <c r="J52">
        <f t="shared" ca="1" si="4"/>
        <v>56.617688562536543</v>
      </c>
      <c r="K52">
        <f t="shared" ca="1" si="5"/>
        <v>62.148621437463461</v>
      </c>
    </row>
    <row r="53" spans="1:11" x14ac:dyDescent="0.25">
      <c r="A53" s="5">
        <f t="shared" ca="1" si="0"/>
        <v>45362</v>
      </c>
      <c r="B53" vm="154">
        <f ca="1"/>
        <v>45366</v>
      </c>
      <c r="C53" vm="155">
        <f ca="1"/>
        <v>60.68</v>
      </c>
      <c r="D53" vm="156">
        <f ca="1"/>
        <v>50946329</v>
      </c>
      <c r="E53">
        <f t="shared" ca="1" si="1"/>
        <v>60.682222222222208</v>
      </c>
      <c r="F53">
        <f t="shared" ca="1" si="2"/>
        <v>59.595685000000003</v>
      </c>
      <c r="G53">
        <f t="shared" ca="1" si="6"/>
        <v>56.735678000000007</v>
      </c>
      <c r="I53">
        <f t="shared" ca="1" si="3"/>
        <v>1.2221816185455119</v>
      </c>
      <c r="J53">
        <f t="shared" ca="1" si="4"/>
        <v>57.151321762908978</v>
      </c>
      <c r="K53">
        <f t="shared" ca="1" si="5"/>
        <v>62.040048237091028</v>
      </c>
    </row>
    <row r="54" spans="1:11" x14ac:dyDescent="0.25">
      <c r="A54" s="5">
        <f t="shared" ca="1" si="0"/>
        <v>45369</v>
      </c>
      <c r="B54" vm="157">
        <f ca="1"/>
        <v>45369</v>
      </c>
      <c r="C54" vm="158">
        <f ca="1"/>
        <v>60.86</v>
      </c>
      <c r="D54" vm="159">
        <f ca="1"/>
        <v>16801658</v>
      </c>
      <c r="E54">
        <f t="shared" ca="1" si="1"/>
        <v>60.773333333333326</v>
      </c>
      <c r="F54">
        <f t="shared" ca="1" si="2"/>
        <v>59.799379999999999</v>
      </c>
      <c r="G54">
        <f t="shared" ca="1" si="6"/>
        <v>56.901156000000007</v>
      </c>
      <c r="I54">
        <f t="shared" ca="1" si="3"/>
        <v>1.0576966471884481</v>
      </c>
      <c r="J54">
        <f t="shared" ca="1" si="4"/>
        <v>57.683986705623106</v>
      </c>
      <c r="K54">
        <f t="shared" ca="1" si="5"/>
        <v>61.914773294376893</v>
      </c>
    </row>
    <row r="55" spans="1:11" x14ac:dyDescent="0.25">
      <c r="A55" s="5">
        <f t="shared" ca="1" si="0"/>
        <v>45369</v>
      </c>
      <c r="B55" vm="160">
        <f ca="1"/>
        <v>45370</v>
      </c>
      <c r="C55" vm="161">
        <f ca="1"/>
        <v>60.87</v>
      </c>
      <c r="D55" vm="162">
        <f ca="1"/>
        <v>12353624</v>
      </c>
      <c r="E55">
        <f t="shared" ca="1" si="1"/>
        <v>60.806666666666665</v>
      </c>
      <c r="F55">
        <f t="shared" ca="1" si="2"/>
        <v>59.911909999999992</v>
      </c>
      <c r="G55">
        <f t="shared" ca="1" si="6"/>
        <v>57.073833999999998</v>
      </c>
      <c r="I55">
        <f t="shared" ca="1" si="3"/>
        <v>1.0451979444357091</v>
      </c>
      <c r="J55">
        <f t="shared" ca="1" si="4"/>
        <v>57.821514111128572</v>
      </c>
      <c r="K55">
        <f t="shared" ca="1" si="5"/>
        <v>62.002305888871412</v>
      </c>
    </row>
    <row r="56" spans="1:11" x14ac:dyDescent="0.25">
      <c r="A56" s="5">
        <f t="shared" ca="1" si="0"/>
        <v>45369</v>
      </c>
      <c r="B56" vm="163">
        <f ca="1"/>
        <v>45371</v>
      </c>
      <c r="C56" vm="164">
        <f ca="1"/>
        <v>61.25</v>
      </c>
      <c r="D56" vm="165">
        <f ca="1"/>
        <v>12007593</v>
      </c>
      <c r="E56">
        <f t="shared" ca="1" si="1"/>
        <v>60.905555555555566</v>
      </c>
      <c r="F56">
        <f t="shared" ca="1" si="2"/>
        <v>60.079439999999991</v>
      </c>
      <c r="G56">
        <f t="shared" ca="1" si="6"/>
        <v>57.243843999999996</v>
      </c>
      <c r="I56">
        <f t="shared" ca="1" si="3"/>
        <v>0.97157762232902767</v>
      </c>
      <c r="J56">
        <f t="shared" ca="1" si="4"/>
        <v>58.136284755341933</v>
      </c>
      <c r="K56">
        <f t="shared" ca="1" si="5"/>
        <v>62.022595244658049</v>
      </c>
    </row>
    <row r="57" spans="1:11" x14ac:dyDescent="0.25">
      <c r="A57" s="5">
        <f t="shared" ca="1" si="0"/>
        <v>45369</v>
      </c>
      <c r="B57" vm="166">
        <f ca="1"/>
        <v>45372</v>
      </c>
      <c r="C57" vm="167">
        <f ca="1"/>
        <v>61.45</v>
      </c>
      <c r="D57" vm="168">
        <f ca="1"/>
        <v>14265872</v>
      </c>
      <c r="E57">
        <f t="shared" ca="1" si="1"/>
        <v>61.053333333333335</v>
      </c>
      <c r="F57">
        <f t="shared" ca="1" si="2"/>
        <v>60.228469999999994</v>
      </c>
      <c r="G57">
        <f t="shared" ca="1" si="6"/>
        <v>57.410787999999982</v>
      </c>
      <c r="I57">
        <f t="shared" ca="1" si="3"/>
        <v>0.93968935354078342</v>
      </c>
      <c r="J57">
        <f t="shared" ca="1" si="4"/>
        <v>58.34909129291843</v>
      </c>
      <c r="K57">
        <f t="shared" ca="1" si="5"/>
        <v>62.107848707081558</v>
      </c>
    </row>
    <row r="58" spans="1:11" x14ac:dyDescent="0.25">
      <c r="A58" s="5">
        <f t="shared" ca="1" si="0"/>
        <v>45369</v>
      </c>
      <c r="B58" vm="169">
        <f ca="1"/>
        <v>45373</v>
      </c>
      <c r="C58" vm="161">
        <f ca="1"/>
        <v>60.87</v>
      </c>
      <c r="D58" vm="170">
        <f ca="1"/>
        <v>14029440</v>
      </c>
      <c r="E58">
        <f t="shared" ca="1" si="1"/>
        <v>61.076666666666661</v>
      </c>
      <c r="F58">
        <f t="shared" ca="1" si="2"/>
        <v>60.345999999999989</v>
      </c>
      <c r="G58">
        <f t="shared" ca="1" si="6"/>
        <v>57.552931999999984</v>
      </c>
      <c r="I58">
        <f t="shared" ca="1" si="3"/>
        <v>0.85813997140694731</v>
      </c>
      <c r="J58">
        <f t="shared" ca="1" si="4"/>
        <v>58.629720057186091</v>
      </c>
      <c r="K58">
        <f t="shared" ca="1" si="5"/>
        <v>62.062279942813888</v>
      </c>
    </row>
    <row r="59" spans="1:11" x14ac:dyDescent="0.25">
      <c r="A59" s="5">
        <f t="shared" ca="1" si="0"/>
        <v>45376</v>
      </c>
      <c r="B59" vm="171">
        <f ca="1"/>
        <v>45376</v>
      </c>
      <c r="C59" vm="134">
        <f ca="1"/>
        <v>60.57</v>
      </c>
      <c r="D59" vm="172">
        <f ca="1"/>
        <v>14186627</v>
      </c>
      <c r="E59">
        <f t="shared" ca="1" si="1"/>
        <v>60.983333333333334</v>
      </c>
      <c r="F59">
        <f t="shared" ca="1" si="2"/>
        <v>60.394499999999994</v>
      </c>
      <c r="G59">
        <f t="shared" ca="1" si="6"/>
        <v>57.690275999999983</v>
      </c>
      <c r="I59">
        <f t="shared" ca="1" si="3"/>
        <v>0.84099862319181395</v>
      </c>
      <c r="J59">
        <f t="shared" ca="1" si="4"/>
        <v>58.712502753616363</v>
      </c>
      <c r="K59">
        <f t="shared" ca="1" si="5"/>
        <v>62.076497246383624</v>
      </c>
    </row>
    <row r="60" spans="1:11" x14ac:dyDescent="0.25">
      <c r="A60" s="5">
        <f t="shared" ca="1" si="0"/>
        <v>45376</v>
      </c>
      <c r="B60" vm="173">
        <f ca="1"/>
        <v>45377</v>
      </c>
      <c r="C60" vm="174">
        <f ca="1"/>
        <v>60.51</v>
      </c>
      <c r="D60" vm="175">
        <f ca="1"/>
        <v>13738342</v>
      </c>
      <c r="E60">
        <f t="shared" ca="1" si="1"/>
        <v>60.897777777777783</v>
      </c>
      <c r="F60">
        <f t="shared" ca="1" si="2"/>
        <v>60.440499999999986</v>
      </c>
      <c r="G60">
        <f t="shared" ca="1" si="6"/>
        <v>57.825019999999974</v>
      </c>
      <c r="I60">
        <f t="shared" ca="1" si="3"/>
        <v>0.81956647718554043</v>
      </c>
      <c r="J60">
        <f t="shared" ca="1" si="4"/>
        <v>58.801367045628908</v>
      </c>
      <c r="K60">
        <f t="shared" ca="1" si="5"/>
        <v>62.079632954371064</v>
      </c>
    </row>
    <row r="61" spans="1:11" x14ac:dyDescent="0.25">
      <c r="A61" s="5">
        <f t="shared" ca="1" si="0"/>
        <v>45376</v>
      </c>
      <c r="B61" vm="176">
        <f ca="1"/>
        <v>45378</v>
      </c>
      <c r="C61" vm="177">
        <f ca="1"/>
        <v>60.72</v>
      </c>
      <c r="D61" vm="178">
        <f ca="1"/>
        <v>14363410</v>
      </c>
      <c r="E61">
        <f t="shared" ca="1" si="1"/>
        <v>60.864444444444445</v>
      </c>
      <c r="F61">
        <f t="shared" ca="1" si="2"/>
        <v>60.495499999999993</v>
      </c>
      <c r="G61">
        <f t="shared" ca="1" si="6"/>
        <v>57.960563999999977</v>
      </c>
      <c r="I61">
        <f t="shared" ca="1" si="3"/>
        <v>0.79823802676170585</v>
      </c>
      <c r="J61">
        <f t="shared" ca="1" si="4"/>
        <v>58.899023946476582</v>
      </c>
      <c r="K61">
        <f t="shared" ca="1" si="5"/>
        <v>62.091976053523403</v>
      </c>
    </row>
    <row r="62" spans="1:11" x14ac:dyDescent="0.25">
      <c r="A62" s="5">
        <f t="shared" ca="1" si="0"/>
        <v>45376</v>
      </c>
      <c r="B62" vm="179">
        <f ca="1"/>
        <v>45379</v>
      </c>
      <c r="C62" vm="180">
        <f ca="1"/>
        <v>60.17</v>
      </c>
      <c r="D62" vm="181">
        <f ca="1"/>
        <v>17535100</v>
      </c>
      <c r="E62">
        <f t="shared" ca="1" si="1"/>
        <v>60.807777777777773</v>
      </c>
      <c r="F62">
        <f t="shared" ca="1" si="2"/>
        <v>60.573500000000003</v>
      </c>
      <c r="G62">
        <f t="shared" ca="1" si="6"/>
        <v>58.090173999999976</v>
      </c>
      <c r="I62">
        <f t="shared" ca="1" si="3"/>
        <v>0.67025741323763133</v>
      </c>
      <c r="J62">
        <f t="shared" ca="1" si="4"/>
        <v>59.232985173524739</v>
      </c>
      <c r="K62">
        <f t="shared" ca="1" si="5"/>
        <v>61.914014826475267</v>
      </c>
    </row>
    <row r="63" spans="1:11" x14ac:dyDescent="0.25">
      <c r="A63" s="5">
        <f t="shared" ca="1" si="0"/>
        <v>45383</v>
      </c>
      <c r="B63" vm="182">
        <f ca="1"/>
        <v>45383</v>
      </c>
      <c r="C63" vm="183">
        <f ca="1"/>
        <v>60</v>
      </c>
      <c r="D63" vm="184">
        <f ca="1"/>
        <v>13837599</v>
      </c>
      <c r="E63">
        <f t="shared" ca="1" si="1"/>
        <v>60.712222222222231</v>
      </c>
      <c r="F63">
        <f t="shared" ca="1" si="2"/>
        <v>60.6355</v>
      </c>
      <c r="G63">
        <f t="shared" ca="1" si="6"/>
        <v>58.201917999999978</v>
      </c>
      <c r="I63">
        <f t="shared" ca="1" si="3"/>
        <v>0.53797353681736992</v>
      </c>
      <c r="J63">
        <f t="shared" ca="1" si="4"/>
        <v>59.559552926365264</v>
      </c>
      <c r="K63">
        <f t="shared" ca="1" si="5"/>
        <v>61.711447073634737</v>
      </c>
    </row>
    <row r="64" spans="1:11" x14ac:dyDescent="0.25">
      <c r="A64" s="5">
        <f t="shared" ca="1" si="0"/>
        <v>45383</v>
      </c>
      <c r="B64" vm="185">
        <f ca="1"/>
        <v>45384</v>
      </c>
      <c r="C64" vm="186">
        <f ca="1"/>
        <v>59.16</v>
      </c>
      <c r="D64" vm="187">
        <f ca="1"/>
        <v>19510121</v>
      </c>
      <c r="E64">
        <f t="shared" ca="1" si="1"/>
        <v>60.522222222222226</v>
      </c>
      <c r="F64">
        <f t="shared" ca="1" si="2"/>
        <v>60.62850000000001</v>
      </c>
      <c r="G64">
        <f t="shared" ca="1" si="6"/>
        <v>58.302595999999987</v>
      </c>
      <c r="I64">
        <f t="shared" ca="1" si="3"/>
        <v>0.55684520196134324</v>
      </c>
      <c r="J64">
        <f t="shared" ca="1" si="4"/>
        <v>59.51480959607732</v>
      </c>
      <c r="K64">
        <f t="shared" ca="1" si="5"/>
        <v>61.742190403922699</v>
      </c>
    </row>
    <row r="65" spans="1:11" x14ac:dyDescent="0.25">
      <c r="A65" s="5">
        <f t="shared" ca="1" si="0"/>
        <v>45383</v>
      </c>
      <c r="B65" vm="188">
        <f ca="1"/>
        <v>45385</v>
      </c>
      <c r="C65" vm="189">
        <f ca="1"/>
        <v>59.43</v>
      </c>
      <c r="D65" vm="190">
        <f ca="1"/>
        <v>14615103</v>
      </c>
      <c r="E65">
        <f t="shared" ca="1" si="1"/>
        <v>60.32</v>
      </c>
      <c r="F65">
        <f t="shared" ca="1" si="2"/>
        <v>60.598000000000013</v>
      </c>
      <c r="G65">
        <f t="shared" ca="1" si="6"/>
        <v>58.408605999999985</v>
      </c>
      <c r="I65">
        <f t="shared" ca="1" si="3"/>
        <v>0.60536722217527694</v>
      </c>
      <c r="J65">
        <f t="shared" ca="1" si="4"/>
        <v>59.387265555649456</v>
      </c>
      <c r="K65">
        <f t="shared" ca="1" si="5"/>
        <v>61.80873444435057</v>
      </c>
    </row>
    <row r="66" spans="1:11" x14ac:dyDescent="0.25">
      <c r="A66" s="5">
        <f t="shared" ca="1" si="0"/>
        <v>45383</v>
      </c>
      <c r="B66" vm="191">
        <f ca="1"/>
        <v>45386</v>
      </c>
      <c r="C66" vm="192">
        <f ca="1"/>
        <v>59.5</v>
      </c>
      <c r="D66" vm="193">
        <f ca="1"/>
        <v>14436126</v>
      </c>
      <c r="E66">
        <f t="shared" ca="1" si="1"/>
        <v>60.103333333333339</v>
      </c>
      <c r="F66">
        <f t="shared" ca="1" si="2"/>
        <v>60.544500000000014</v>
      </c>
      <c r="G66">
        <f t="shared" ca="1" si="6"/>
        <v>58.513283999999977</v>
      </c>
      <c r="I66">
        <f t="shared" ca="1" si="3"/>
        <v>0.65335148112997898</v>
      </c>
      <c r="J66">
        <f t="shared" ca="1" si="4"/>
        <v>59.237797037740059</v>
      </c>
      <c r="K66">
        <f t="shared" ca="1" si="5"/>
        <v>61.851202962259968</v>
      </c>
    </row>
    <row r="67" spans="1:11" x14ac:dyDescent="0.25">
      <c r="A67" s="5">
        <f t="shared" ref="A67:A130" ca="1" si="7">B67 - WEEKDAY(B67, 2) + 1</f>
        <v>45383</v>
      </c>
      <c r="B67" vm="194">
        <f ca="1"/>
        <v>45387</v>
      </c>
      <c r="C67" vm="195">
        <f ca="1"/>
        <v>59.85</v>
      </c>
      <c r="D67" vm="196">
        <f ca="1"/>
        <v>10335909</v>
      </c>
      <c r="E67">
        <f t="shared" ca="1" si="1"/>
        <v>59.989999999999995</v>
      </c>
      <c r="F67">
        <f t="shared" ca="1" si="2"/>
        <v>60.519000000000005</v>
      </c>
      <c r="G67">
        <f t="shared" ca="1" si="6"/>
        <v>58.640293999999976</v>
      </c>
      <c r="I67">
        <f t="shared" ca="1" si="3"/>
        <v>0.67065482532882925</v>
      </c>
      <c r="J67">
        <f t="shared" ca="1" si="4"/>
        <v>59.177690349342349</v>
      </c>
      <c r="K67">
        <f t="shared" ca="1" si="5"/>
        <v>61.860309650657662</v>
      </c>
    </row>
    <row r="68" spans="1:11" x14ac:dyDescent="0.25">
      <c r="A68" s="5">
        <f t="shared" ca="1" si="7"/>
        <v>45390</v>
      </c>
      <c r="B68" vm="197">
        <f ca="1"/>
        <v>45390</v>
      </c>
      <c r="C68" vm="198">
        <f ca="1"/>
        <v>59.78</v>
      </c>
      <c r="D68" vm="199">
        <f ca="1"/>
        <v>11070120</v>
      </c>
      <c r="E68">
        <f t="shared" ca="1" si="1"/>
        <v>59.902222222222221</v>
      </c>
      <c r="F68">
        <f t="shared" ca="1" si="2"/>
        <v>60.501999999999995</v>
      </c>
      <c r="G68">
        <f t="shared" ca="1" si="6"/>
        <v>58.750303999999986</v>
      </c>
      <c r="I68">
        <f t="shared" ca="1" si="3"/>
        <v>0.68544722242988354</v>
      </c>
      <c r="J68">
        <f t="shared" ca="1" si="4"/>
        <v>59.13110555514023</v>
      </c>
      <c r="K68">
        <f t="shared" ca="1" si="5"/>
        <v>61.87289444485976</v>
      </c>
    </row>
    <row r="69" spans="1:11" x14ac:dyDescent="0.25">
      <c r="A69" s="5">
        <f t="shared" ca="1" si="7"/>
        <v>45390</v>
      </c>
      <c r="B69" vm="200">
        <f ca="1"/>
        <v>45391</v>
      </c>
      <c r="C69" vm="201">
        <f ca="1"/>
        <v>59.79</v>
      </c>
      <c r="D69" vm="202">
        <f ca="1"/>
        <v>10015922</v>
      </c>
      <c r="E69">
        <f t="shared" ca="1" si="1"/>
        <v>59.822222222222223</v>
      </c>
      <c r="F69">
        <f t="shared" ca="1" si="2"/>
        <v>60.458499999999994</v>
      </c>
      <c r="G69">
        <f t="shared" ca="1" si="6"/>
        <v>58.850981999999988</v>
      </c>
      <c r="I69">
        <f t="shared" ca="1" si="3"/>
        <v>0.70229154989408193</v>
      </c>
      <c r="J69">
        <f t="shared" ca="1" si="4"/>
        <v>59.053916900211831</v>
      </c>
      <c r="K69">
        <f t="shared" ca="1" si="5"/>
        <v>61.863083099788156</v>
      </c>
    </row>
    <row r="70" spans="1:11" x14ac:dyDescent="0.25">
      <c r="A70" s="5">
        <f t="shared" ca="1" si="7"/>
        <v>45390</v>
      </c>
      <c r="B70" vm="203">
        <f ca="1"/>
        <v>45392</v>
      </c>
      <c r="C70" vm="204">
        <f ca="1"/>
        <v>60.62</v>
      </c>
      <c r="D70" vm="205">
        <f ca="1"/>
        <v>15097558</v>
      </c>
      <c r="E70">
        <f t="shared" ca="1" si="1"/>
        <v>59.811111111111103</v>
      </c>
      <c r="F70">
        <f t="shared" ca="1" si="2"/>
        <v>60.418999999999983</v>
      </c>
      <c r="G70">
        <f t="shared" ca="1" si="6"/>
        <v>58.963125999999981</v>
      </c>
      <c r="I70">
        <f t="shared" ca="1" si="3"/>
        <v>0.66730329252186893</v>
      </c>
      <c r="J70">
        <f t="shared" ca="1" si="4"/>
        <v>59.084393414956246</v>
      </c>
      <c r="K70">
        <f t="shared" ca="1" si="5"/>
        <v>61.75360658504372</v>
      </c>
    </row>
    <row r="71" spans="1:11" x14ac:dyDescent="0.25">
      <c r="A71" s="5">
        <f t="shared" ca="1" si="7"/>
        <v>45390</v>
      </c>
      <c r="B71" vm="206">
        <f ca="1"/>
        <v>45393</v>
      </c>
      <c r="C71" vm="207">
        <f ca="1"/>
        <v>60.09</v>
      </c>
      <c r="D71" vm="208">
        <f ca="1"/>
        <v>10987600</v>
      </c>
      <c r="E71">
        <f t="shared" ca="1" si="1"/>
        <v>59.802222222222227</v>
      </c>
      <c r="F71">
        <f t="shared" ca="1" si="2"/>
        <v>60.35949999999999</v>
      </c>
      <c r="G71">
        <f t="shared" ca="1" si="6"/>
        <v>59.061003999999983</v>
      </c>
      <c r="I71">
        <f t="shared" ca="1" si="3"/>
        <v>0.63894217677592569</v>
      </c>
      <c r="J71">
        <f t="shared" ca="1" si="4"/>
        <v>59.081615646448135</v>
      </c>
      <c r="K71">
        <f t="shared" ca="1" si="5"/>
        <v>61.637384353551845</v>
      </c>
    </row>
    <row r="72" spans="1:11" x14ac:dyDescent="0.25">
      <c r="A72" s="5">
        <f t="shared" ca="1" si="7"/>
        <v>45390</v>
      </c>
      <c r="B72" vm="209">
        <f ca="1"/>
        <v>45394</v>
      </c>
      <c r="C72" vm="210">
        <f ca="1"/>
        <v>60.14</v>
      </c>
      <c r="D72" vm="211">
        <f ca="1"/>
        <v>12280569</v>
      </c>
      <c r="E72">
        <f t="shared" ca="1" si="1"/>
        <v>59.817777777777778</v>
      </c>
      <c r="F72">
        <f t="shared" ca="1" si="2"/>
        <v>60.315499999999986</v>
      </c>
      <c r="G72">
        <f t="shared" ca="1" si="6"/>
        <v>59.162147999999981</v>
      </c>
      <c r="I72">
        <f t="shared" ca="1" si="3"/>
        <v>0.62111508383585501</v>
      </c>
      <c r="J72">
        <f t="shared" ca="1" si="4"/>
        <v>59.073269832328279</v>
      </c>
      <c r="K72">
        <f t="shared" ca="1" si="5"/>
        <v>61.557730167671693</v>
      </c>
    </row>
    <row r="73" spans="1:11" x14ac:dyDescent="0.25">
      <c r="A73" s="5">
        <f t="shared" ca="1" si="7"/>
        <v>45397</v>
      </c>
      <c r="B73" vm="212">
        <f ca="1"/>
        <v>45397</v>
      </c>
      <c r="C73" vm="213">
        <f ca="1"/>
        <v>59.93</v>
      </c>
      <c r="D73" vm="214">
        <f ca="1"/>
        <v>10557182</v>
      </c>
      <c r="E73">
        <f t="shared" ca="1" si="1"/>
        <v>59.903333333333336</v>
      </c>
      <c r="F73">
        <f t="shared" ca="1" si="2"/>
        <v>60.277999999999999</v>
      </c>
      <c r="G73">
        <f t="shared" ca="1" si="6"/>
        <v>59.238691999999986</v>
      </c>
      <c r="I73">
        <f t="shared" ca="1" si="3"/>
        <v>0.62059055066843183</v>
      </c>
      <c r="J73">
        <f t="shared" ca="1" si="4"/>
        <v>59.036818898663135</v>
      </c>
      <c r="K73">
        <f t="shared" ca="1" si="5"/>
        <v>61.519181101336862</v>
      </c>
    </row>
    <row r="74" spans="1:11" x14ac:dyDescent="0.25">
      <c r="A74" s="5">
        <f t="shared" ca="1" si="7"/>
        <v>45397</v>
      </c>
      <c r="B74" vm="215">
        <f ca="1"/>
        <v>45398</v>
      </c>
      <c r="C74" vm="216">
        <f ca="1"/>
        <v>59.84</v>
      </c>
      <c r="D74" vm="217">
        <f ca="1"/>
        <v>14726259</v>
      </c>
      <c r="E74">
        <f t="shared" ca="1" si="1"/>
        <v>59.948888888888888</v>
      </c>
      <c r="F74">
        <f t="shared" ca="1" si="2"/>
        <v>60.226999999999997</v>
      </c>
      <c r="G74">
        <f t="shared" ca="1" si="6"/>
        <v>59.305035999999994</v>
      </c>
      <c r="I74">
        <f t="shared" ca="1" si="3"/>
        <v>0.61209820333531095</v>
      </c>
      <c r="J74">
        <f t="shared" ca="1" si="4"/>
        <v>59.002803593329375</v>
      </c>
      <c r="K74">
        <f t="shared" ca="1" si="5"/>
        <v>61.451196406670618</v>
      </c>
    </row>
    <row r="75" spans="1:11" x14ac:dyDescent="0.25">
      <c r="A75" s="5">
        <f t="shared" ca="1" si="7"/>
        <v>45397</v>
      </c>
      <c r="B75" vm="218">
        <f ca="1"/>
        <v>45399</v>
      </c>
      <c r="C75" vm="219">
        <f ca="1"/>
        <v>59.65</v>
      </c>
      <c r="D75" vm="220">
        <f ca="1"/>
        <v>15329693</v>
      </c>
      <c r="E75">
        <f t="shared" ref="E75:E138" ca="1" si="8">AVERAGE(C67:C75)</f>
        <v>59.965555555555547</v>
      </c>
      <c r="F75">
        <f t="shared" ca="1" si="2"/>
        <v>60.165999999999997</v>
      </c>
      <c r="G75">
        <f t="shared" ca="1" si="6"/>
        <v>59.373647999999982</v>
      </c>
      <c r="I75">
        <f t="shared" ca="1" si="3"/>
        <v>0.60540025907180683</v>
      </c>
      <c r="J75">
        <f t="shared" ca="1" si="4"/>
        <v>58.955199481856383</v>
      </c>
      <c r="K75">
        <f t="shared" ca="1" si="5"/>
        <v>61.376800518143611</v>
      </c>
    </row>
    <row r="76" spans="1:11" x14ac:dyDescent="0.25">
      <c r="A76" s="5">
        <f t="shared" ca="1" si="7"/>
        <v>45397</v>
      </c>
      <c r="B76" vm="221">
        <f ca="1"/>
        <v>45400</v>
      </c>
      <c r="C76" vm="222">
        <f ca="1"/>
        <v>59.26</v>
      </c>
      <c r="D76" vm="223">
        <f ca="1"/>
        <v>12061538</v>
      </c>
      <c r="E76">
        <f t="shared" ca="1" si="8"/>
        <v>59.900000000000006</v>
      </c>
      <c r="F76">
        <f t="shared" ca="1" si="2"/>
        <v>60.066499999999998</v>
      </c>
      <c r="G76">
        <f t="shared" ca="1" si="6"/>
        <v>59.426791999999985</v>
      </c>
      <c r="I76">
        <f t="shared" ca="1" si="3"/>
        <v>0.58090016353931284</v>
      </c>
      <c r="J76">
        <f t="shared" ca="1" si="4"/>
        <v>58.904699672921375</v>
      </c>
      <c r="K76">
        <f t="shared" ca="1" si="5"/>
        <v>61.228300327078621</v>
      </c>
    </row>
    <row r="77" spans="1:11" x14ac:dyDescent="0.25">
      <c r="A77" s="5">
        <f t="shared" ca="1" si="7"/>
        <v>45397</v>
      </c>
      <c r="B77" vm="224">
        <f ca="1"/>
        <v>45401</v>
      </c>
      <c r="C77" vm="225">
        <f ca="1"/>
        <v>59.53</v>
      </c>
      <c r="D77" vm="226">
        <f ca="1"/>
        <v>14165797</v>
      </c>
      <c r="E77">
        <f t="shared" ca="1" si="8"/>
        <v>59.872222222222213</v>
      </c>
      <c r="F77">
        <f t="shared" ca="1" si="2"/>
        <v>59.970500000000001</v>
      </c>
      <c r="G77">
        <f t="shared" ca="1" si="6"/>
        <v>59.488203999999996</v>
      </c>
      <c r="I77">
        <f t="shared" ca="1" si="3"/>
        <v>0.49208979711131229</v>
      </c>
      <c r="J77">
        <f t="shared" ca="1" si="4"/>
        <v>58.986320405777377</v>
      </c>
      <c r="K77">
        <f t="shared" ca="1" si="5"/>
        <v>60.954679594222625</v>
      </c>
    </row>
    <row r="78" spans="1:11" x14ac:dyDescent="0.25">
      <c r="A78" s="5">
        <f t="shared" ca="1" si="7"/>
        <v>45404</v>
      </c>
      <c r="B78" vm="227">
        <f ca="1"/>
        <v>45404</v>
      </c>
      <c r="C78" vm="210">
        <f ca="1"/>
        <v>60.14</v>
      </c>
      <c r="D78" vm="228">
        <f ca="1"/>
        <v>14909983</v>
      </c>
      <c r="E78">
        <f t="shared" ca="1" si="8"/>
        <v>59.911111111111104</v>
      </c>
      <c r="F78">
        <f t="shared" ca="1" si="2"/>
        <v>59.934000000000005</v>
      </c>
      <c r="G78">
        <f t="shared" ca="1" si="6"/>
        <v>59.561881999999997</v>
      </c>
      <c r="I78">
        <f t="shared" ca="1" si="3"/>
        <v>0.44685332575336417</v>
      </c>
      <c r="J78">
        <f t="shared" ca="1" si="4"/>
        <v>59.040293348493279</v>
      </c>
      <c r="K78">
        <f t="shared" ca="1" si="5"/>
        <v>60.82770665150673</v>
      </c>
    </row>
    <row r="79" spans="1:11" x14ac:dyDescent="0.25">
      <c r="A79" s="5">
        <f t="shared" ca="1" si="7"/>
        <v>45404</v>
      </c>
      <c r="B79" vm="229">
        <f ca="1"/>
        <v>45405</v>
      </c>
      <c r="C79" vm="230">
        <f ca="1"/>
        <v>59.09</v>
      </c>
      <c r="D79" vm="231">
        <f ca="1"/>
        <v>17963945</v>
      </c>
      <c r="E79">
        <f t="shared" ca="1" si="8"/>
        <v>59.74111111111111</v>
      </c>
      <c r="F79">
        <f t="shared" ca="1" si="2"/>
        <v>59.86</v>
      </c>
      <c r="G79">
        <f t="shared" ca="1" si="6"/>
        <v>59.615160000000003</v>
      </c>
      <c r="I79">
        <f t="shared" ca="1" si="3"/>
        <v>0.45838388875884811</v>
      </c>
      <c r="J79">
        <f t="shared" ca="1" si="4"/>
        <v>58.943232222482301</v>
      </c>
      <c r="K79">
        <f t="shared" ca="1" si="5"/>
        <v>60.776767777517698</v>
      </c>
    </row>
    <row r="80" spans="1:11" x14ac:dyDescent="0.25">
      <c r="A80" s="5">
        <f t="shared" ca="1" si="7"/>
        <v>45404</v>
      </c>
      <c r="B80" vm="232">
        <f ca="1"/>
        <v>45406</v>
      </c>
      <c r="C80" vm="233">
        <f ca="1"/>
        <v>59.87</v>
      </c>
      <c r="D80" vm="234">
        <f ca="1"/>
        <v>18529138</v>
      </c>
      <c r="E80">
        <f t="shared" ca="1" si="8"/>
        <v>59.716666666666669</v>
      </c>
      <c r="F80">
        <f t="shared" ca="1" si="2"/>
        <v>59.827999999999989</v>
      </c>
      <c r="G80">
        <f t="shared" ca="1" si="6"/>
        <v>59.67723800000001</v>
      </c>
      <c r="I80">
        <f t="shared" ca="1" si="3"/>
        <v>0.43221096213478155</v>
      </c>
      <c r="J80">
        <f t="shared" ca="1" si="4"/>
        <v>58.963578075730425</v>
      </c>
      <c r="K80">
        <f t="shared" ca="1" si="5"/>
        <v>60.692421924269553</v>
      </c>
    </row>
    <row r="81" spans="1:11" x14ac:dyDescent="0.25">
      <c r="A81" s="5">
        <f t="shared" ca="1" si="7"/>
        <v>45404</v>
      </c>
      <c r="B81" vm="235">
        <f ca="1"/>
        <v>45407</v>
      </c>
      <c r="C81" vm="236">
        <f ca="1"/>
        <v>60.21</v>
      </c>
      <c r="D81" vm="237">
        <f ca="1"/>
        <v>19262954</v>
      </c>
      <c r="E81">
        <f t="shared" ca="1" si="8"/>
        <v>59.724444444444458</v>
      </c>
      <c r="F81">
        <f t="shared" ca="1" si="2"/>
        <v>59.802499999999988</v>
      </c>
      <c r="G81">
        <f t="shared" ca="1" si="6"/>
        <v>59.753850000000014</v>
      </c>
      <c r="I81">
        <f t="shared" ca="1" si="3"/>
        <v>0.38977557645393857</v>
      </c>
      <c r="J81">
        <f t="shared" ca="1" si="4"/>
        <v>59.02294884709211</v>
      </c>
      <c r="K81">
        <f t="shared" ca="1" si="5"/>
        <v>60.582051152907866</v>
      </c>
    </row>
    <row r="82" spans="1:11" x14ac:dyDescent="0.25">
      <c r="A82" s="5">
        <f t="shared" ca="1" si="7"/>
        <v>45404</v>
      </c>
      <c r="B82" vm="238">
        <f ca="1"/>
        <v>45408</v>
      </c>
      <c r="C82" vm="239">
        <f ca="1"/>
        <v>60.16</v>
      </c>
      <c r="D82" vm="240">
        <f ca="1"/>
        <v>11045224</v>
      </c>
      <c r="E82">
        <f t="shared" ca="1" si="8"/>
        <v>59.75</v>
      </c>
      <c r="F82">
        <f t="shared" ca="1" si="2"/>
        <v>59.802</v>
      </c>
      <c r="G82">
        <f t="shared" ca="1" si="6"/>
        <v>59.833062000000012</v>
      </c>
      <c r="I82">
        <f t="shared" ca="1" si="3"/>
        <v>0.38928544526444436</v>
      </c>
      <c r="J82">
        <f t="shared" ca="1" si="4"/>
        <v>59.02342910947111</v>
      </c>
      <c r="K82">
        <f t="shared" ca="1" si="5"/>
        <v>60.58057089052889</v>
      </c>
    </row>
    <row r="83" spans="1:11" x14ac:dyDescent="0.25">
      <c r="A83" s="5">
        <f t="shared" ca="1" si="7"/>
        <v>45411</v>
      </c>
      <c r="B83" vm="241">
        <f ca="1"/>
        <v>45411</v>
      </c>
      <c r="C83" vm="242">
        <f ca="1"/>
        <v>60.24</v>
      </c>
      <c r="D83" vm="243">
        <f ca="1"/>
        <v>9788575</v>
      </c>
      <c r="E83">
        <f t="shared" ca="1" si="8"/>
        <v>59.794444444444444</v>
      </c>
      <c r="F83">
        <f t="shared" ca="1" si="2"/>
        <v>59.814</v>
      </c>
      <c r="G83">
        <f t="shared" ca="1" si="6"/>
        <v>59.909273999999996</v>
      </c>
      <c r="I83">
        <f t="shared" ca="1" si="3"/>
        <v>0.39928093262500619</v>
      </c>
      <c r="J83">
        <f t="shared" ca="1" si="4"/>
        <v>59.015438134749985</v>
      </c>
      <c r="K83">
        <f t="shared" ca="1" si="5"/>
        <v>60.612561865250015</v>
      </c>
    </row>
    <row r="84" spans="1:11" x14ac:dyDescent="0.25">
      <c r="A84" s="5">
        <f t="shared" ca="1" si="7"/>
        <v>45411</v>
      </c>
      <c r="B84" vm="244">
        <f ca="1"/>
        <v>45412</v>
      </c>
      <c r="C84" vm="245">
        <f ca="1"/>
        <v>59.35</v>
      </c>
      <c r="D84" vm="246">
        <f ca="1"/>
        <v>14209155</v>
      </c>
      <c r="E84">
        <f t="shared" ca="1" si="8"/>
        <v>59.761111111111113</v>
      </c>
      <c r="F84">
        <f t="shared" ca="1" si="2"/>
        <v>59.823500000000003</v>
      </c>
      <c r="G84">
        <f t="shared" ca="1" si="6"/>
        <v>59.960552</v>
      </c>
      <c r="I84">
        <f t="shared" ca="1" si="3"/>
        <v>0.38490292692819894</v>
      </c>
      <c r="J84">
        <f t="shared" ca="1" si="4"/>
        <v>59.053694146143606</v>
      </c>
      <c r="K84">
        <f t="shared" ca="1" si="5"/>
        <v>60.5933058538564</v>
      </c>
    </row>
    <row r="85" spans="1:11" x14ac:dyDescent="0.25">
      <c r="A85" s="5">
        <f t="shared" ca="1" si="7"/>
        <v>45411</v>
      </c>
      <c r="B85" vm="247">
        <f ca="1"/>
        <v>45413</v>
      </c>
      <c r="C85" vm="248">
        <f ca="1"/>
        <v>58.85</v>
      </c>
      <c r="D85" vm="249">
        <f ca="1"/>
        <v>15470975</v>
      </c>
      <c r="E85">
        <f t="shared" ca="1" si="8"/>
        <v>59.715555555555561</v>
      </c>
      <c r="F85">
        <f t="shared" ca="1" si="2"/>
        <v>59.794499999999985</v>
      </c>
      <c r="G85">
        <f t="shared" ca="1" si="6"/>
        <v>59.965163999999994</v>
      </c>
      <c r="I85">
        <f t="shared" ca="1" si="3"/>
        <v>0.43473494647222705</v>
      </c>
      <c r="J85">
        <f t="shared" ca="1" si="4"/>
        <v>58.925030107055534</v>
      </c>
      <c r="K85">
        <f t="shared" ca="1" si="5"/>
        <v>60.663969892944436</v>
      </c>
    </row>
    <row r="86" spans="1:11" x14ac:dyDescent="0.25">
      <c r="A86" s="5">
        <f t="shared" ca="1" si="7"/>
        <v>45411</v>
      </c>
      <c r="B86" vm="250">
        <f ca="1"/>
        <v>45414</v>
      </c>
      <c r="C86" vm="251">
        <f ca="1"/>
        <v>59.71</v>
      </c>
      <c r="D86" vm="252">
        <f ca="1"/>
        <v>17574115</v>
      </c>
      <c r="E86">
        <f t="shared" ca="1" si="8"/>
        <v>59.735555555555571</v>
      </c>
      <c r="F86">
        <f t="shared" ref="F86:F149" ca="1" si="9">AVERAGE(C67:C86)</f>
        <v>59.804999999999993</v>
      </c>
      <c r="G86">
        <f t="shared" ca="1" si="6"/>
        <v>60.001375999999993</v>
      </c>
      <c r="I86">
        <f t="shared" ref="I86:I149" ca="1" si="10">_xlfn.STDEV.S(C67:C86)</f>
        <v>0.4297551322371963</v>
      </c>
      <c r="J86">
        <f t="shared" ref="J86:J149" ca="1" si="11">F86-2*I86</f>
        <v>58.945489735525598</v>
      </c>
      <c r="K86">
        <f t="shared" ref="K86:K149" ca="1" si="12">F86+2*I86</f>
        <v>60.664510264474387</v>
      </c>
    </row>
    <row r="87" spans="1:11" x14ac:dyDescent="0.25">
      <c r="A87" s="5">
        <f t="shared" ca="1" si="7"/>
        <v>45411</v>
      </c>
      <c r="B87" vm="253">
        <f ca="1"/>
        <v>45415</v>
      </c>
      <c r="C87" vm="254">
        <f ca="1"/>
        <v>59.82</v>
      </c>
      <c r="D87" vm="255">
        <f ca="1"/>
        <v>14207397</v>
      </c>
      <c r="E87">
        <f t="shared" ca="1" si="8"/>
        <v>59.70000000000001</v>
      </c>
      <c r="F87">
        <f t="shared" ca="1" si="9"/>
        <v>59.8035</v>
      </c>
      <c r="G87">
        <f t="shared" ca="1" si="6"/>
        <v>60.028387999999993</v>
      </c>
      <c r="I87">
        <f t="shared" ca="1" si="10"/>
        <v>0.4296421399502755</v>
      </c>
      <c r="J87">
        <f t="shared" ca="1" si="11"/>
        <v>58.94421572009945</v>
      </c>
      <c r="K87">
        <f t="shared" ca="1" si="12"/>
        <v>60.662784279900549</v>
      </c>
    </row>
    <row r="88" spans="1:11" x14ac:dyDescent="0.25">
      <c r="A88" s="5">
        <f t="shared" ca="1" si="7"/>
        <v>45418</v>
      </c>
      <c r="B88" vm="256">
        <f ca="1"/>
        <v>45418</v>
      </c>
      <c r="C88" vm="233">
        <f ca="1"/>
        <v>59.87</v>
      </c>
      <c r="D88" vm="257">
        <f ca="1"/>
        <v>11119402</v>
      </c>
      <c r="E88">
        <f t="shared" ca="1" si="8"/>
        <v>59.786666666666669</v>
      </c>
      <c r="F88">
        <f t="shared" ca="1" si="9"/>
        <v>59.807999999999993</v>
      </c>
      <c r="G88">
        <f t="shared" ca="1" si="6"/>
        <v>60.055399999999999</v>
      </c>
      <c r="I88">
        <f t="shared" ca="1" si="10"/>
        <v>0.42985432048788902</v>
      </c>
      <c r="J88">
        <f t="shared" ca="1" si="11"/>
        <v>58.948291359024218</v>
      </c>
      <c r="K88">
        <f t="shared" ca="1" si="12"/>
        <v>60.667708640975768</v>
      </c>
    </row>
    <row r="89" spans="1:11" x14ac:dyDescent="0.25">
      <c r="A89" s="5">
        <f t="shared" ca="1" si="7"/>
        <v>45418</v>
      </c>
      <c r="B89" vm="258">
        <f ca="1"/>
        <v>45419</v>
      </c>
      <c r="C89" vm="204">
        <f ca="1"/>
        <v>60.62</v>
      </c>
      <c r="D89" vm="259">
        <f ca="1"/>
        <v>14520240</v>
      </c>
      <c r="E89">
        <f t="shared" ca="1" si="8"/>
        <v>59.86999999999999</v>
      </c>
      <c r="F89">
        <f t="shared" ca="1" si="9"/>
        <v>59.849499999999992</v>
      </c>
      <c r="G89">
        <f t="shared" ca="1" si="6"/>
        <v>60.075800000000001</v>
      </c>
      <c r="I89">
        <f t="shared" ca="1" si="10"/>
        <v>0.46652663939281874</v>
      </c>
      <c r="J89">
        <f t="shared" ca="1" si="11"/>
        <v>58.916446721214356</v>
      </c>
      <c r="K89">
        <f t="shared" ca="1" si="12"/>
        <v>60.782553278785628</v>
      </c>
    </row>
    <row r="90" spans="1:11" x14ac:dyDescent="0.25">
      <c r="A90" s="5">
        <f t="shared" ca="1" si="7"/>
        <v>45418</v>
      </c>
      <c r="B90" vm="260">
        <f ca="1"/>
        <v>45420</v>
      </c>
      <c r="C90" vm="261">
        <f ca="1"/>
        <v>60.3</v>
      </c>
      <c r="D90" vm="262">
        <f ca="1"/>
        <v>11015695</v>
      </c>
      <c r="E90">
        <f t="shared" ca="1" si="8"/>
        <v>59.879999999999995</v>
      </c>
      <c r="F90">
        <f t="shared" ca="1" si="9"/>
        <v>59.833499999999994</v>
      </c>
      <c r="G90">
        <f t="shared" ca="1" si="6"/>
        <v>60.089999999999989</v>
      </c>
      <c r="I90">
        <f t="shared" ca="1" si="10"/>
        <v>0.44363658669301725</v>
      </c>
      <c r="J90">
        <f t="shared" ca="1" si="11"/>
        <v>58.946226826613959</v>
      </c>
      <c r="K90">
        <f t="shared" ca="1" si="12"/>
        <v>60.720773173386029</v>
      </c>
    </row>
    <row r="91" spans="1:11" x14ac:dyDescent="0.25">
      <c r="A91" s="5">
        <f t="shared" ca="1" si="7"/>
        <v>45418</v>
      </c>
      <c r="B91" vm="263">
        <f ca="1"/>
        <v>45421</v>
      </c>
      <c r="C91" vm="264">
        <f ca="1"/>
        <v>60.44</v>
      </c>
      <c r="D91" vm="265">
        <f ca="1"/>
        <v>14550463</v>
      </c>
      <c r="E91">
        <f t="shared" ca="1" si="8"/>
        <v>59.911111111111119</v>
      </c>
      <c r="F91">
        <f t="shared" ca="1" si="9"/>
        <v>59.851000000000013</v>
      </c>
      <c r="G91">
        <f t="shared" ca="1" si="6"/>
        <v>60.106399999999994</v>
      </c>
      <c r="I91">
        <f t="shared" ca="1" si="10"/>
        <v>0.46085618261300421</v>
      </c>
      <c r="J91">
        <f t="shared" ca="1" si="11"/>
        <v>58.929287634774006</v>
      </c>
      <c r="K91">
        <f t="shared" ca="1" si="12"/>
        <v>60.77271236522602</v>
      </c>
    </row>
    <row r="92" spans="1:11" x14ac:dyDescent="0.25">
      <c r="A92" s="5">
        <f t="shared" ca="1" si="7"/>
        <v>45418</v>
      </c>
      <c r="B92" vm="266">
        <f ca="1"/>
        <v>45422</v>
      </c>
      <c r="C92" vm="267">
        <f ca="1"/>
        <v>60.48</v>
      </c>
      <c r="D92" vm="268">
        <f ca="1"/>
        <v>12356612</v>
      </c>
      <c r="E92">
        <f t="shared" ca="1" si="8"/>
        <v>59.937777777777768</v>
      </c>
      <c r="F92">
        <f t="shared" ca="1" si="9"/>
        <v>59.868000000000016</v>
      </c>
      <c r="G92">
        <f t="shared" ca="1" si="6"/>
        <v>60.143799999999999</v>
      </c>
      <c r="I92">
        <f t="shared" ca="1" si="10"/>
        <v>0.47802884740083135</v>
      </c>
      <c r="J92">
        <f t="shared" ca="1" si="11"/>
        <v>58.911942305198352</v>
      </c>
      <c r="K92">
        <f t="shared" ca="1" si="12"/>
        <v>60.824057694801681</v>
      </c>
    </row>
    <row r="93" spans="1:11" x14ac:dyDescent="0.25">
      <c r="A93" s="5">
        <f t="shared" ca="1" si="7"/>
        <v>45425</v>
      </c>
      <c r="B93" vm="269">
        <f ca="1"/>
        <v>45425</v>
      </c>
      <c r="C93" vm="270">
        <f ca="1"/>
        <v>60.41</v>
      </c>
      <c r="D93" vm="271">
        <f ca="1"/>
        <v>19260522</v>
      </c>
      <c r="E93">
        <f t="shared" ca="1" si="8"/>
        <v>60.055555555555557</v>
      </c>
      <c r="F93">
        <f t="shared" ca="1" si="9"/>
        <v>59.89200000000001</v>
      </c>
      <c r="G93">
        <f t="shared" ca="1" si="6"/>
        <v>60.176799999999993</v>
      </c>
      <c r="I93">
        <f t="shared" ca="1" si="10"/>
        <v>0.49311683253192096</v>
      </c>
      <c r="J93">
        <f t="shared" ca="1" si="11"/>
        <v>58.905766334936168</v>
      </c>
      <c r="K93">
        <f t="shared" ca="1" si="12"/>
        <v>60.878233665063853</v>
      </c>
    </row>
    <row r="94" spans="1:11" x14ac:dyDescent="0.25">
      <c r="A94" s="5">
        <f t="shared" ca="1" si="7"/>
        <v>45425</v>
      </c>
      <c r="B94" vm="272">
        <f ca="1"/>
        <v>45426</v>
      </c>
      <c r="C94" vm="273">
        <f ca="1"/>
        <v>59.86</v>
      </c>
      <c r="D94" vm="274">
        <f ca="1"/>
        <v>18780139</v>
      </c>
      <c r="E94">
        <f t="shared" ca="1" si="8"/>
        <v>60.167777777777779</v>
      </c>
      <c r="F94">
        <f t="shared" ca="1" si="9"/>
        <v>59.893000000000008</v>
      </c>
      <c r="G94">
        <f t="shared" ca="1" si="6"/>
        <v>60.187999999999995</v>
      </c>
      <c r="I94">
        <f t="shared" ca="1" si="10"/>
        <v>0.49302610158297305</v>
      </c>
      <c r="J94">
        <f t="shared" ca="1" si="11"/>
        <v>58.906947796834061</v>
      </c>
      <c r="K94">
        <f t="shared" ca="1" si="12"/>
        <v>60.879052203165955</v>
      </c>
    </row>
    <row r="95" spans="1:11" x14ac:dyDescent="0.25">
      <c r="A95" s="5">
        <f t="shared" ca="1" si="7"/>
        <v>45425</v>
      </c>
      <c r="B95" vm="275">
        <f ca="1"/>
        <v>45427</v>
      </c>
      <c r="C95" vm="276">
        <f ca="1"/>
        <v>59.83</v>
      </c>
      <c r="D95" vm="277">
        <f ca="1"/>
        <v>22240558</v>
      </c>
      <c r="E95">
        <f t="shared" ca="1" si="8"/>
        <v>60.181111111111122</v>
      </c>
      <c r="F95">
        <f t="shared" ca="1" si="9"/>
        <v>59.902000000000001</v>
      </c>
      <c r="G95">
        <f t="shared" ca="1" si="6"/>
        <v>60.183799999999991</v>
      </c>
      <c r="I95">
        <f t="shared" ca="1" si="10"/>
        <v>0.48999033287993377</v>
      </c>
      <c r="J95">
        <f t="shared" ca="1" si="11"/>
        <v>58.922019334240133</v>
      </c>
      <c r="K95">
        <f t="shared" ca="1" si="12"/>
        <v>60.881980665759869</v>
      </c>
    </row>
    <row r="96" spans="1:11" x14ac:dyDescent="0.25">
      <c r="A96" s="5">
        <f t="shared" ca="1" si="7"/>
        <v>45425</v>
      </c>
      <c r="B96" vm="278">
        <f ca="1"/>
        <v>45428</v>
      </c>
      <c r="C96" vm="279">
        <f ca="1"/>
        <v>64.010000000000005</v>
      </c>
      <c r="D96" vm="280">
        <f ca="1"/>
        <v>60545613</v>
      </c>
      <c r="E96">
        <f t="shared" ca="1" si="8"/>
        <v>60.646666666666675</v>
      </c>
      <c r="F96">
        <f t="shared" ca="1" si="9"/>
        <v>60.139499999999998</v>
      </c>
      <c r="G96">
        <f t="shared" ca="1" si="6"/>
        <v>60.252600000000001</v>
      </c>
      <c r="I96">
        <f t="shared" ca="1" si="10"/>
        <v>1.0233354905971894</v>
      </c>
      <c r="J96">
        <f t="shared" ca="1" si="11"/>
        <v>58.092829018805617</v>
      </c>
      <c r="K96">
        <f t="shared" ca="1" si="12"/>
        <v>62.18617098119438</v>
      </c>
    </row>
    <row r="97" spans="1:11" x14ac:dyDescent="0.25">
      <c r="A97" s="5">
        <f t="shared" ca="1" si="7"/>
        <v>45425</v>
      </c>
      <c r="B97" vm="281">
        <f ca="1"/>
        <v>45429</v>
      </c>
      <c r="C97" vm="282">
        <f ca="1"/>
        <v>64.650000000000006</v>
      </c>
      <c r="D97" vm="283">
        <f ca="1"/>
        <v>29330381</v>
      </c>
      <c r="E97">
        <f t="shared" ca="1" si="8"/>
        <v>61.177777777777777</v>
      </c>
      <c r="F97">
        <f t="shared" ca="1" si="9"/>
        <v>60.395500000000006</v>
      </c>
      <c r="G97">
        <f t="shared" ca="1" si="6"/>
        <v>60.338399999999993</v>
      </c>
      <c r="I97">
        <f t="shared" ca="1" si="10"/>
        <v>1.4245866436490136</v>
      </c>
      <c r="J97">
        <f t="shared" ca="1" si="11"/>
        <v>57.546326712701976</v>
      </c>
      <c r="K97">
        <f t="shared" ca="1" si="12"/>
        <v>63.244673287298035</v>
      </c>
    </row>
    <row r="98" spans="1:11" x14ac:dyDescent="0.25">
      <c r="A98" s="5">
        <f t="shared" ca="1" si="7"/>
        <v>45432</v>
      </c>
      <c r="B98" vm="284">
        <f ca="1"/>
        <v>45432</v>
      </c>
      <c r="C98" vm="285">
        <f ca="1"/>
        <v>64.180000000000007</v>
      </c>
      <c r="D98" vm="286">
        <f ca="1"/>
        <v>15001391</v>
      </c>
      <c r="E98">
        <f t="shared" ca="1" si="8"/>
        <v>61.573333333333345</v>
      </c>
      <c r="F98">
        <f t="shared" ca="1" si="9"/>
        <v>60.597500000000011</v>
      </c>
      <c r="G98">
        <f t="shared" ca="1" si="6"/>
        <v>60.419599999999988</v>
      </c>
      <c r="I98">
        <f t="shared" ca="1" si="10"/>
        <v>1.6543495303052071</v>
      </c>
      <c r="J98">
        <f t="shared" ca="1" si="11"/>
        <v>57.288800939389596</v>
      </c>
      <c r="K98">
        <f t="shared" ca="1" si="12"/>
        <v>63.906199060610426</v>
      </c>
    </row>
    <row r="99" spans="1:11" x14ac:dyDescent="0.25">
      <c r="A99" s="5">
        <f t="shared" ca="1" si="7"/>
        <v>45432</v>
      </c>
      <c r="B99" vm="287">
        <f ca="1"/>
        <v>45433</v>
      </c>
      <c r="C99" vm="288">
        <f ca="1"/>
        <v>65.150000000000006</v>
      </c>
      <c r="D99" vm="289">
        <f ca="1"/>
        <v>17131691</v>
      </c>
      <c r="E99">
        <f t="shared" ca="1" si="8"/>
        <v>62.112222222222222</v>
      </c>
      <c r="F99">
        <f t="shared" ca="1" si="9"/>
        <v>60.900500000000022</v>
      </c>
      <c r="G99">
        <f t="shared" ca="1" si="6"/>
        <v>60.509400000000007</v>
      </c>
      <c r="I99">
        <f t="shared" ca="1" si="10"/>
        <v>1.9003752399543592</v>
      </c>
      <c r="J99">
        <f t="shared" ca="1" si="11"/>
        <v>57.099749520091301</v>
      </c>
      <c r="K99">
        <f t="shared" ca="1" si="12"/>
        <v>64.701250479908737</v>
      </c>
    </row>
    <row r="100" spans="1:11" x14ac:dyDescent="0.25">
      <c r="A100" s="5">
        <f t="shared" ca="1" si="7"/>
        <v>45432</v>
      </c>
      <c r="B100" vm="290">
        <f ca="1"/>
        <v>45434</v>
      </c>
      <c r="C100" vm="291">
        <f ca="1"/>
        <v>65.25</v>
      </c>
      <c r="D100" vm="292">
        <f ca="1"/>
        <v>14879434</v>
      </c>
      <c r="E100">
        <f t="shared" ca="1" si="8"/>
        <v>62.646666666666675</v>
      </c>
      <c r="F100">
        <f t="shared" ca="1" si="9"/>
        <v>61.169500000000006</v>
      </c>
      <c r="G100">
        <f t="shared" ca="1" si="6"/>
        <v>60.586199999999998</v>
      </c>
      <c r="I100">
        <f t="shared" ca="1" si="10"/>
        <v>2.1154332018711806</v>
      </c>
      <c r="J100">
        <f t="shared" ca="1" si="11"/>
        <v>56.938633596257645</v>
      </c>
      <c r="K100">
        <f t="shared" ca="1" si="12"/>
        <v>65.400366403742368</v>
      </c>
    </row>
    <row r="101" spans="1:11" x14ac:dyDescent="0.25">
      <c r="A101" s="5">
        <f t="shared" ca="1" si="7"/>
        <v>45432</v>
      </c>
      <c r="B101" vm="293">
        <f ca="1"/>
        <v>45435</v>
      </c>
      <c r="C101" vm="294">
        <f ca="1"/>
        <v>64.84</v>
      </c>
      <c r="D101" vm="295">
        <f ca="1"/>
        <v>16222946</v>
      </c>
      <c r="E101">
        <f t="shared" ca="1" si="8"/>
        <v>63.131111111111117</v>
      </c>
      <c r="F101">
        <f t="shared" ca="1" si="9"/>
        <v>61.400999999999996</v>
      </c>
      <c r="G101">
        <f t="shared" ca="1" si="6"/>
        <v>60.65740000000001</v>
      </c>
      <c r="H101">
        <f ca="1">AVERAGE(C1:C101)</f>
        <v>58.541494999999983</v>
      </c>
      <c r="I101">
        <f t="shared" ca="1" si="10"/>
        <v>2.2537241693647778</v>
      </c>
      <c r="J101">
        <f t="shared" ca="1" si="11"/>
        <v>56.893551661270443</v>
      </c>
      <c r="K101">
        <f t="shared" ca="1" si="12"/>
        <v>65.908448338729556</v>
      </c>
    </row>
    <row r="102" spans="1:11" x14ac:dyDescent="0.25">
      <c r="A102" s="5">
        <f t="shared" ca="1" si="7"/>
        <v>45432</v>
      </c>
      <c r="B102" vm="296">
        <f ca="1"/>
        <v>45436</v>
      </c>
      <c r="C102" vm="297">
        <f ca="1"/>
        <v>65.38</v>
      </c>
      <c r="D102" vm="298">
        <f ca="1"/>
        <v>11795024</v>
      </c>
      <c r="E102">
        <f t="shared" ca="1" si="8"/>
        <v>63.68333333333333</v>
      </c>
      <c r="F102">
        <f t="shared" ca="1" si="9"/>
        <v>61.662000000000013</v>
      </c>
      <c r="G102">
        <f t="shared" ca="1" si="6"/>
        <v>60.744599999999998</v>
      </c>
      <c r="H102">
        <f t="shared" ref="H102:H165" ca="1" si="13">AVERAGE(C2:C102)</f>
        <v>58.609202970297019</v>
      </c>
      <c r="I102">
        <f t="shared" ca="1" si="10"/>
        <v>2.3999574557632668</v>
      </c>
      <c r="J102">
        <f t="shared" ca="1" si="11"/>
        <v>56.862085088473478</v>
      </c>
      <c r="K102">
        <f t="shared" ca="1" si="12"/>
        <v>66.461914911526549</v>
      </c>
    </row>
    <row r="103" spans="1:11" x14ac:dyDescent="0.25">
      <c r="A103" s="5">
        <f t="shared" ca="1" si="7"/>
        <v>45439</v>
      </c>
      <c r="B103" vm="299">
        <f ca="1"/>
        <v>45440</v>
      </c>
      <c r="C103" vm="300">
        <f ca="1"/>
        <v>65.040000000000006</v>
      </c>
      <c r="D103" vm="301">
        <f ca="1"/>
        <v>13349619</v>
      </c>
      <c r="E103">
        <f t="shared" ca="1" si="8"/>
        <v>64.25888888888889</v>
      </c>
      <c r="F103">
        <f t="shared" ca="1" si="9"/>
        <v>61.901999999999973</v>
      </c>
      <c r="G103">
        <f t="shared" ca="1" si="6"/>
        <v>60.831800000000001</v>
      </c>
      <c r="H103">
        <f t="shared" ca="1" si="13"/>
        <v>58.727459405940571</v>
      </c>
      <c r="I103">
        <f t="shared" ca="1" si="10"/>
        <v>2.4886364899171953</v>
      </c>
      <c r="J103">
        <f t="shared" ca="1" si="11"/>
        <v>56.924727020165584</v>
      </c>
      <c r="K103">
        <f t="shared" ca="1" si="12"/>
        <v>66.879272979834369</v>
      </c>
    </row>
    <row r="104" spans="1:11" x14ac:dyDescent="0.25">
      <c r="A104" s="5">
        <f t="shared" ca="1" si="7"/>
        <v>45439</v>
      </c>
      <c r="B104" vm="302">
        <f ca="1"/>
        <v>45441</v>
      </c>
      <c r="C104" vm="303">
        <f ca="1"/>
        <v>64.92</v>
      </c>
      <c r="D104" vm="304">
        <f ca="1"/>
        <v>11538552</v>
      </c>
      <c r="E104">
        <f t="shared" ca="1" si="8"/>
        <v>64.824444444444438</v>
      </c>
      <c r="F104">
        <f t="shared" ca="1" si="9"/>
        <v>62.180500000000009</v>
      </c>
      <c r="G104">
        <f t="shared" ca="1" si="6"/>
        <v>60.913000000000011</v>
      </c>
      <c r="H104">
        <f t="shared" ca="1" si="13"/>
        <v>58.844494059405932</v>
      </c>
      <c r="I104">
        <f t="shared" ca="1" si="10"/>
        <v>2.4996557131354185</v>
      </c>
      <c r="J104">
        <f t="shared" ca="1" si="11"/>
        <v>57.181188573729173</v>
      </c>
      <c r="K104">
        <f t="shared" ca="1" si="12"/>
        <v>67.179811426270845</v>
      </c>
    </row>
    <row r="105" spans="1:11" x14ac:dyDescent="0.25">
      <c r="A105" s="5">
        <f t="shared" ca="1" si="7"/>
        <v>45439</v>
      </c>
      <c r="B105" vm="305">
        <f ca="1"/>
        <v>45442</v>
      </c>
      <c r="C105" vm="306">
        <f ca="1"/>
        <v>64.89</v>
      </c>
      <c r="D105" vm="307">
        <f ca="1"/>
        <v>13053481</v>
      </c>
      <c r="E105">
        <f t="shared" ca="1" si="8"/>
        <v>64.922222222222231</v>
      </c>
      <c r="F105">
        <f t="shared" ca="1" si="9"/>
        <v>62.482500000000016</v>
      </c>
      <c r="G105">
        <f t="shared" ca="1" si="6"/>
        <v>60.993400000000001</v>
      </c>
      <c r="H105">
        <f t="shared" ca="1" si="13"/>
        <v>58.966314851485144</v>
      </c>
      <c r="I105">
        <f t="shared" ca="1" si="10"/>
        <v>2.4402585605024054</v>
      </c>
      <c r="J105">
        <f t="shared" ca="1" si="11"/>
        <v>57.601982878995202</v>
      </c>
      <c r="K105">
        <f t="shared" ca="1" si="12"/>
        <v>67.36301712100483</v>
      </c>
    </row>
    <row r="106" spans="1:11" x14ac:dyDescent="0.25">
      <c r="A106" s="5">
        <f t="shared" ca="1" si="7"/>
        <v>45439</v>
      </c>
      <c r="B106" vm="308">
        <f ca="1"/>
        <v>45443</v>
      </c>
      <c r="C106" vm="309">
        <f ca="1"/>
        <v>65.760000000000005</v>
      </c>
      <c r="D106" vm="310">
        <f ca="1"/>
        <v>27632223</v>
      </c>
      <c r="E106">
        <f t="shared" ca="1" si="8"/>
        <v>65.045555555555566</v>
      </c>
      <c r="F106">
        <f t="shared" ca="1" si="9"/>
        <v>62.785000000000011</v>
      </c>
      <c r="G106">
        <f t="shared" ca="1" si="6"/>
        <v>61.083599999999997</v>
      </c>
      <c r="H106">
        <f t="shared" ca="1" si="13"/>
        <v>59.100214851485134</v>
      </c>
      <c r="I106">
        <f t="shared" ca="1" si="10"/>
        <v>2.4534347566754593</v>
      </c>
      <c r="J106">
        <f t="shared" ca="1" si="11"/>
        <v>57.878130486649091</v>
      </c>
      <c r="K106">
        <f t="shared" ca="1" si="12"/>
        <v>67.691869513350923</v>
      </c>
    </row>
    <row r="107" spans="1:11" x14ac:dyDescent="0.25">
      <c r="A107" s="5">
        <f t="shared" ca="1" si="7"/>
        <v>45446</v>
      </c>
      <c r="B107" vm="311">
        <f ca="1"/>
        <v>45446</v>
      </c>
      <c r="C107" vm="312">
        <f ca="1"/>
        <v>65.819999999999993</v>
      </c>
      <c r="D107" vm="313">
        <f ca="1"/>
        <v>11578709</v>
      </c>
      <c r="E107">
        <f t="shared" ca="1" si="8"/>
        <v>65.227777777777774</v>
      </c>
      <c r="F107">
        <f t="shared" ca="1" si="9"/>
        <v>63.085000000000001</v>
      </c>
      <c r="G107">
        <f t="shared" ca="1" si="6"/>
        <v>61.171000000000006</v>
      </c>
      <c r="H107">
        <f t="shared" ca="1" si="13"/>
        <v>59.22962574257425</v>
      </c>
      <c r="I107">
        <f t="shared" ca="1" si="10"/>
        <v>2.438587813943923</v>
      </c>
      <c r="J107">
        <f t="shared" ca="1" si="11"/>
        <v>58.207824372112157</v>
      </c>
      <c r="K107">
        <f t="shared" ca="1" si="12"/>
        <v>67.962175627887845</v>
      </c>
    </row>
    <row r="108" spans="1:11" x14ac:dyDescent="0.25">
      <c r="A108" s="5">
        <f t="shared" ca="1" si="7"/>
        <v>45446</v>
      </c>
      <c r="B108" vm="314">
        <f ca="1"/>
        <v>45447</v>
      </c>
      <c r="C108" vm="315">
        <f ca="1"/>
        <v>66.599999999999994</v>
      </c>
      <c r="D108" vm="316">
        <f ca="1"/>
        <v>14780755</v>
      </c>
      <c r="E108">
        <f t="shared" ca="1" si="8"/>
        <v>65.388888888888886</v>
      </c>
      <c r="F108">
        <f t="shared" ca="1" si="9"/>
        <v>63.421499999999995</v>
      </c>
      <c r="G108">
        <f t="shared" ca="1" si="6"/>
        <v>61.285600000000002</v>
      </c>
      <c r="H108">
        <f t="shared" ca="1" si="13"/>
        <v>59.363261386138603</v>
      </c>
      <c r="I108">
        <f t="shared" ca="1" si="10"/>
        <v>2.4359355168200305</v>
      </c>
      <c r="J108">
        <f t="shared" ca="1" si="11"/>
        <v>58.549628966359933</v>
      </c>
      <c r="K108">
        <f t="shared" ca="1" si="12"/>
        <v>68.293371033640057</v>
      </c>
    </row>
    <row r="109" spans="1:11" x14ac:dyDescent="0.25">
      <c r="A109" s="5">
        <f t="shared" ca="1" si="7"/>
        <v>45446</v>
      </c>
      <c r="B109" vm="317">
        <f ca="1"/>
        <v>45448</v>
      </c>
      <c r="C109" vm="318">
        <f ca="1"/>
        <v>67.09</v>
      </c>
      <c r="D109" vm="319">
        <f ca="1"/>
        <v>14982667</v>
      </c>
      <c r="E109">
        <f t="shared" ca="1" si="8"/>
        <v>65.593333333333334</v>
      </c>
      <c r="F109">
        <f t="shared" ca="1" si="9"/>
        <v>63.74499999999999</v>
      </c>
      <c r="G109">
        <f t="shared" ca="1" si="6"/>
        <v>61.416000000000011</v>
      </c>
      <c r="H109">
        <f t="shared" ca="1" si="13"/>
        <v>59.495213861386127</v>
      </c>
      <c r="I109">
        <f t="shared" ca="1" si="10"/>
        <v>2.4736325302552213</v>
      </c>
      <c r="J109">
        <f t="shared" ca="1" si="11"/>
        <v>58.797734939489544</v>
      </c>
      <c r="K109">
        <f t="shared" ca="1" si="12"/>
        <v>68.692265060510437</v>
      </c>
    </row>
    <row r="110" spans="1:11" x14ac:dyDescent="0.25">
      <c r="A110" s="5">
        <f t="shared" ca="1" si="7"/>
        <v>45446</v>
      </c>
      <c r="B110" vm="320">
        <f ca="1"/>
        <v>45449</v>
      </c>
      <c r="C110" vm="321">
        <f ca="1"/>
        <v>67.150000000000006</v>
      </c>
      <c r="D110" vm="322">
        <f ca="1"/>
        <v>13256005</v>
      </c>
      <c r="E110">
        <f t="shared" ca="1" si="8"/>
        <v>65.849999999999994</v>
      </c>
      <c r="F110">
        <f t="shared" ca="1" si="9"/>
        <v>64.087499999999991</v>
      </c>
      <c r="G110">
        <f t="shared" ca="1" si="6"/>
        <v>61.548800000000007</v>
      </c>
      <c r="H110">
        <f t="shared" ca="1" si="13"/>
        <v>59.628354455445532</v>
      </c>
      <c r="I110">
        <f t="shared" ca="1" si="10"/>
        <v>2.4455994314170453</v>
      </c>
      <c r="J110">
        <f t="shared" ca="1" si="11"/>
        <v>59.196301137165904</v>
      </c>
      <c r="K110">
        <f t="shared" ca="1" si="12"/>
        <v>68.978698862834079</v>
      </c>
    </row>
    <row r="111" spans="1:11" x14ac:dyDescent="0.25">
      <c r="A111" s="5">
        <f t="shared" ca="1" si="7"/>
        <v>45446</v>
      </c>
      <c r="B111" vm="323">
        <f ca="1"/>
        <v>45450</v>
      </c>
      <c r="C111" vm="324">
        <f ca="1"/>
        <v>65.88</v>
      </c>
      <c r="D111" vm="325">
        <f ca="1"/>
        <v>20213211</v>
      </c>
      <c r="E111">
        <f t="shared" ca="1" si="8"/>
        <v>65.905555555555551</v>
      </c>
      <c r="F111">
        <f t="shared" ca="1" si="9"/>
        <v>64.359499999999997</v>
      </c>
      <c r="G111">
        <f t="shared" ca="1" si="6"/>
        <v>61.652000000000008</v>
      </c>
      <c r="H111">
        <f t="shared" ca="1" si="13"/>
        <v>59.748227722772256</v>
      </c>
      <c r="I111">
        <f t="shared" ca="1" si="10"/>
        <v>2.3177495323560842</v>
      </c>
      <c r="J111">
        <f t="shared" ca="1" si="11"/>
        <v>59.724000935287826</v>
      </c>
      <c r="K111">
        <f t="shared" ca="1" si="12"/>
        <v>68.994999064712161</v>
      </c>
    </row>
    <row r="112" spans="1:11" x14ac:dyDescent="0.25">
      <c r="A112" s="5">
        <f t="shared" ca="1" si="7"/>
        <v>45453</v>
      </c>
      <c r="B112" vm="326">
        <f ca="1"/>
        <v>45453</v>
      </c>
      <c r="C112" vm="327">
        <f ca="1"/>
        <v>66.959999999999994</v>
      </c>
      <c r="D112" vm="328">
        <f ca="1"/>
        <v>21667416</v>
      </c>
      <c r="E112">
        <f t="shared" ca="1" si="8"/>
        <v>66.11888888888889</v>
      </c>
      <c r="F112">
        <f t="shared" ca="1" si="9"/>
        <v>64.683500000000009</v>
      </c>
      <c r="G112">
        <f t="shared" ca="1" si="6"/>
        <v>61.787800000000004</v>
      </c>
      <c r="H112">
        <f t="shared" ca="1" si="13"/>
        <v>59.877110891089089</v>
      </c>
      <c r="I112">
        <f t="shared" ca="1" si="10"/>
        <v>2.1966464272421704</v>
      </c>
      <c r="J112">
        <f t="shared" ca="1" si="11"/>
        <v>60.290207145515666</v>
      </c>
      <c r="K112">
        <f t="shared" ca="1" si="12"/>
        <v>69.076792854484353</v>
      </c>
    </row>
    <row r="113" spans="1:11" x14ac:dyDescent="0.25">
      <c r="A113" s="5">
        <f t="shared" ca="1" si="7"/>
        <v>45453</v>
      </c>
      <c r="B113" vm="329">
        <f ca="1"/>
        <v>45454</v>
      </c>
      <c r="C113" vm="330">
        <f ca="1"/>
        <v>66.73</v>
      </c>
      <c r="D113" vm="331">
        <f ca="1"/>
        <v>13367514</v>
      </c>
      <c r="E113">
        <f t="shared" ca="1" si="8"/>
        <v>66.319999999999993</v>
      </c>
      <c r="F113">
        <f t="shared" ca="1" si="9"/>
        <v>64.999500000000012</v>
      </c>
      <c r="G113">
        <f t="shared" ca="1" si="6"/>
        <v>61.92240000000001</v>
      </c>
      <c r="H113">
        <f t="shared" ca="1" si="13"/>
        <v>60.006224752475234</v>
      </c>
      <c r="I113">
        <f t="shared" ca="1" si="10"/>
        <v>1.9948366903214487</v>
      </c>
      <c r="J113">
        <f t="shared" ca="1" si="11"/>
        <v>61.009826619357113</v>
      </c>
      <c r="K113">
        <f t="shared" ca="1" si="12"/>
        <v>68.98917338064291</v>
      </c>
    </row>
    <row r="114" spans="1:11" x14ac:dyDescent="0.25">
      <c r="A114" s="5">
        <f t="shared" ca="1" si="7"/>
        <v>45453</v>
      </c>
      <c r="B114" vm="332">
        <f ca="1"/>
        <v>45455</v>
      </c>
      <c r="C114" vm="333">
        <f ca="1"/>
        <v>66.31</v>
      </c>
      <c r="D114" vm="334">
        <f ca="1"/>
        <v>11704704</v>
      </c>
      <c r="E114">
        <f t="shared" ca="1" si="8"/>
        <v>66.477777777777774</v>
      </c>
      <c r="F114">
        <f t="shared" ca="1" si="9"/>
        <v>65.322000000000003</v>
      </c>
      <c r="G114">
        <f t="shared" ca="1" si="6"/>
        <v>62.065400000000011</v>
      </c>
      <c r="H114">
        <f t="shared" ca="1" si="13"/>
        <v>60.124018811881179</v>
      </c>
      <c r="I114">
        <f t="shared" ca="1" si="10"/>
        <v>1.6031370562283904</v>
      </c>
      <c r="J114">
        <f t="shared" ca="1" si="11"/>
        <v>62.115725887543221</v>
      </c>
      <c r="K114">
        <f t="shared" ca="1" si="12"/>
        <v>68.528274112456785</v>
      </c>
    </row>
    <row r="115" spans="1:11" x14ac:dyDescent="0.25">
      <c r="A115" s="5">
        <f t="shared" ca="1" si="7"/>
        <v>45453</v>
      </c>
      <c r="B115" vm="335">
        <f ca="1"/>
        <v>45456</v>
      </c>
      <c r="C115" vm="336">
        <f ca="1"/>
        <v>66.7</v>
      </c>
      <c r="D115" vm="337">
        <f ca="1"/>
        <v>11196603</v>
      </c>
      <c r="E115">
        <f t="shared" ca="1" si="8"/>
        <v>66.582222222222228</v>
      </c>
      <c r="F115">
        <f t="shared" ca="1" si="9"/>
        <v>65.665499999999994</v>
      </c>
      <c r="G115">
        <f t="shared" ca="1" si="6"/>
        <v>62.210799999999999</v>
      </c>
      <c r="H115">
        <f t="shared" ca="1" si="13"/>
        <v>60.248512871287112</v>
      </c>
      <c r="I115">
        <f t="shared" ca="1" si="10"/>
        <v>0.97893322711913899</v>
      </c>
      <c r="J115">
        <f t="shared" ca="1" si="11"/>
        <v>63.707633545761716</v>
      </c>
      <c r="K115">
        <f t="shared" ca="1" si="12"/>
        <v>67.623366454238266</v>
      </c>
    </row>
    <row r="116" spans="1:11" x14ac:dyDescent="0.25">
      <c r="A116" s="5">
        <f t="shared" ca="1" si="7"/>
        <v>45453</v>
      </c>
      <c r="B116" vm="338">
        <f ca="1"/>
        <v>45457</v>
      </c>
      <c r="C116" vm="339">
        <f ca="1"/>
        <v>67.02</v>
      </c>
      <c r="D116" vm="340">
        <f ca="1"/>
        <v>12590146</v>
      </c>
      <c r="E116">
        <f t="shared" ca="1" si="8"/>
        <v>66.715555555555568</v>
      </c>
      <c r="F116">
        <f t="shared" ca="1" si="9"/>
        <v>65.816000000000003</v>
      </c>
      <c r="G116">
        <f t="shared" ref="G116:G179" ca="1" si="14">AVERAGE(C67:C116)</f>
        <v>62.361200000000011</v>
      </c>
      <c r="H116">
        <f t="shared" ca="1" si="13"/>
        <v>60.376141584158404</v>
      </c>
      <c r="I116">
        <f t="shared" ca="1" si="10"/>
        <v>0.94169164692840612</v>
      </c>
      <c r="J116">
        <f t="shared" ca="1" si="11"/>
        <v>63.932616706143193</v>
      </c>
      <c r="K116">
        <f t="shared" ca="1" si="12"/>
        <v>67.699383293856812</v>
      </c>
    </row>
    <row r="117" spans="1:11" x14ac:dyDescent="0.25">
      <c r="A117" s="5">
        <f t="shared" ca="1" si="7"/>
        <v>45460</v>
      </c>
      <c r="B117" vm="341">
        <f ca="1"/>
        <v>45460</v>
      </c>
      <c r="C117" vm="342">
        <f ca="1"/>
        <v>67.42</v>
      </c>
      <c r="D117" vm="343">
        <f ca="1"/>
        <v>12103044</v>
      </c>
      <c r="E117">
        <f t="shared" ca="1" si="8"/>
        <v>66.806666666666672</v>
      </c>
      <c r="F117">
        <f t="shared" ca="1" si="9"/>
        <v>65.95450000000001</v>
      </c>
      <c r="G117">
        <f t="shared" ca="1" si="14"/>
        <v>62.512600000000013</v>
      </c>
      <c r="H117">
        <f t="shared" ca="1" si="13"/>
        <v>60.506378217821762</v>
      </c>
      <c r="I117">
        <f t="shared" ca="1" si="10"/>
        <v>0.96459686152462465</v>
      </c>
      <c r="J117">
        <f t="shared" ca="1" si="11"/>
        <v>64.025306276950758</v>
      </c>
      <c r="K117">
        <f t="shared" ca="1" si="12"/>
        <v>67.883693723049262</v>
      </c>
    </row>
    <row r="118" spans="1:11" x14ac:dyDescent="0.25">
      <c r="A118" s="5">
        <f t="shared" ca="1" si="7"/>
        <v>45460</v>
      </c>
      <c r="B118" vm="344">
        <f ca="1"/>
        <v>45461</v>
      </c>
      <c r="C118" vm="345">
        <f ca="1"/>
        <v>67.599999999999994</v>
      </c>
      <c r="D118" vm="346">
        <f ca="1"/>
        <v>12093549</v>
      </c>
      <c r="E118">
        <f t="shared" ca="1" si="8"/>
        <v>66.86333333333333</v>
      </c>
      <c r="F118">
        <f t="shared" ca="1" si="9"/>
        <v>66.125500000000002</v>
      </c>
      <c r="G118">
        <f t="shared" ca="1" si="14"/>
        <v>62.669000000000004</v>
      </c>
      <c r="H118">
        <f t="shared" ca="1" si="13"/>
        <v>60.645987128712854</v>
      </c>
      <c r="I118">
        <f t="shared" ca="1" si="10"/>
        <v>0.93618753744276884</v>
      </c>
      <c r="J118">
        <f t="shared" ca="1" si="11"/>
        <v>64.253124925114463</v>
      </c>
      <c r="K118">
        <f t="shared" ca="1" si="12"/>
        <v>67.997875074885542</v>
      </c>
    </row>
    <row r="119" spans="1:11" x14ac:dyDescent="0.25">
      <c r="A119" s="5">
        <f t="shared" ca="1" si="7"/>
        <v>45460</v>
      </c>
      <c r="B119" vm="347">
        <f ca="1"/>
        <v>45463</v>
      </c>
      <c r="C119" vm="348">
        <f ca="1"/>
        <v>68.010000000000005</v>
      </c>
      <c r="D119" vm="349">
        <f ca="1"/>
        <v>13860763</v>
      </c>
      <c r="E119">
        <f t="shared" ca="1" si="8"/>
        <v>66.958888888888893</v>
      </c>
      <c r="F119">
        <f t="shared" ca="1" si="9"/>
        <v>66.268500000000003</v>
      </c>
      <c r="G119">
        <f t="shared" ca="1" si="14"/>
        <v>62.833400000000012</v>
      </c>
      <c r="H119">
        <f t="shared" ca="1" si="13"/>
        <v>60.781932673267328</v>
      </c>
      <c r="I119">
        <f t="shared" ca="1" si="10"/>
        <v>0.9958665890358479</v>
      </c>
      <c r="J119">
        <f t="shared" ca="1" si="11"/>
        <v>64.276766821928305</v>
      </c>
      <c r="K119">
        <f t="shared" ca="1" si="12"/>
        <v>68.260233178071701</v>
      </c>
    </row>
    <row r="120" spans="1:11" x14ac:dyDescent="0.25">
      <c r="A120" s="5">
        <f t="shared" ca="1" si="7"/>
        <v>45460</v>
      </c>
      <c r="B120" vm="350">
        <f ca="1"/>
        <v>45464</v>
      </c>
      <c r="C120" vm="351">
        <f ca="1"/>
        <v>67.91</v>
      </c>
      <c r="D120" vm="352">
        <f ca="1"/>
        <v>25891526</v>
      </c>
      <c r="E120">
        <f t="shared" ca="1" si="8"/>
        <v>67.184444444444438</v>
      </c>
      <c r="F120">
        <f t="shared" ca="1" si="9"/>
        <v>66.401500000000013</v>
      </c>
      <c r="G120">
        <f t="shared" ca="1" si="14"/>
        <v>62.979200000000013</v>
      </c>
      <c r="H120">
        <f t="shared" ca="1" si="13"/>
        <v>60.912169306930686</v>
      </c>
      <c r="I120">
        <f t="shared" ca="1" si="10"/>
        <v>1.02973310287564</v>
      </c>
      <c r="J120">
        <f t="shared" ca="1" si="11"/>
        <v>64.342033794248735</v>
      </c>
      <c r="K120">
        <f t="shared" ca="1" si="12"/>
        <v>68.460966205751291</v>
      </c>
    </row>
    <row r="121" spans="1:11" x14ac:dyDescent="0.25">
      <c r="A121" s="5">
        <f t="shared" ca="1" si="7"/>
        <v>45467</v>
      </c>
      <c r="B121" vm="353">
        <f ca="1"/>
        <v>45467</v>
      </c>
      <c r="C121" vm="354">
        <f ca="1"/>
        <v>68.900000000000006</v>
      </c>
      <c r="D121" vm="355">
        <f ca="1"/>
        <v>12470448</v>
      </c>
      <c r="E121">
        <f t="shared" ca="1" si="8"/>
        <v>67.399999999999991</v>
      </c>
      <c r="F121">
        <f t="shared" ca="1" si="9"/>
        <v>66.604500000000002</v>
      </c>
      <c r="G121">
        <f t="shared" ca="1" si="14"/>
        <v>63.155400000000014</v>
      </c>
      <c r="H121">
        <f t="shared" ca="1" si="13"/>
        <v>61.049666336633649</v>
      </c>
      <c r="I121">
        <f t="shared" ca="1" si="10"/>
        <v>1.1032653686598757</v>
      </c>
      <c r="J121">
        <f t="shared" ca="1" si="11"/>
        <v>64.397969262680249</v>
      </c>
      <c r="K121">
        <f t="shared" ca="1" si="12"/>
        <v>68.811030737319754</v>
      </c>
    </row>
    <row r="122" spans="1:11" x14ac:dyDescent="0.25">
      <c r="A122" s="5">
        <f t="shared" ca="1" si="7"/>
        <v>45467</v>
      </c>
      <c r="B122" vm="356">
        <f ca="1"/>
        <v>45468</v>
      </c>
      <c r="C122" vm="342">
        <f ca="1"/>
        <v>67.42</v>
      </c>
      <c r="D122" vm="357">
        <f ca="1"/>
        <v>20904039</v>
      </c>
      <c r="E122">
        <f t="shared" ca="1" si="8"/>
        <v>67.476666666666645</v>
      </c>
      <c r="F122">
        <f t="shared" ca="1" si="9"/>
        <v>66.70650000000002</v>
      </c>
      <c r="G122">
        <f t="shared" ca="1" si="14"/>
        <v>63.301000000000023</v>
      </c>
      <c r="H122">
        <f t="shared" ca="1" si="13"/>
        <v>61.170695049504943</v>
      </c>
      <c r="I122">
        <f t="shared" ca="1" si="10"/>
        <v>1.0781137280112503</v>
      </c>
      <c r="J122">
        <f t="shared" ca="1" si="11"/>
        <v>64.550272543977513</v>
      </c>
      <c r="K122">
        <f t="shared" ca="1" si="12"/>
        <v>68.862727456022526</v>
      </c>
    </row>
    <row r="123" spans="1:11" x14ac:dyDescent="0.25">
      <c r="A123" s="5">
        <f t="shared" ca="1" si="7"/>
        <v>45467</v>
      </c>
      <c r="B123" vm="358">
        <f ca="1"/>
        <v>45469</v>
      </c>
      <c r="C123" vm="359">
        <f ca="1"/>
        <v>68.290000000000006</v>
      </c>
      <c r="D123" vm="360">
        <f ca="1"/>
        <v>14177522</v>
      </c>
      <c r="E123">
        <f t="shared" ca="1" si="8"/>
        <v>67.696666666666658</v>
      </c>
      <c r="F123">
        <f t="shared" ca="1" si="9"/>
        <v>66.869000000000014</v>
      </c>
      <c r="G123">
        <f t="shared" ca="1" si="14"/>
        <v>63.468200000000017</v>
      </c>
      <c r="H123">
        <f t="shared" ca="1" si="13"/>
        <v>61.301459405940584</v>
      </c>
      <c r="I123">
        <f t="shared" ca="1" si="10"/>
        <v>1.0584591581509826</v>
      </c>
      <c r="J123">
        <f t="shared" ca="1" si="11"/>
        <v>64.752081683698052</v>
      </c>
      <c r="K123">
        <f t="shared" ca="1" si="12"/>
        <v>68.985918316301976</v>
      </c>
    </row>
    <row r="124" spans="1:11" x14ac:dyDescent="0.25">
      <c r="A124" s="5">
        <f t="shared" ca="1" si="7"/>
        <v>45467</v>
      </c>
      <c r="B124" vm="361">
        <f ca="1"/>
        <v>45470</v>
      </c>
      <c r="C124" vm="362">
        <f ca="1"/>
        <v>67.88</v>
      </c>
      <c r="D124" vm="363">
        <f ca="1"/>
        <v>12899186</v>
      </c>
      <c r="E124">
        <f t="shared" ca="1" si="8"/>
        <v>67.827777777777783</v>
      </c>
      <c r="F124">
        <f t="shared" ca="1" si="9"/>
        <v>67.01700000000001</v>
      </c>
      <c r="G124">
        <f t="shared" ca="1" si="14"/>
        <v>63.629000000000012</v>
      </c>
      <c r="H124">
        <f t="shared" ca="1" si="13"/>
        <v>61.418065346534647</v>
      </c>
      <c r="I124">
        <f t="shared" ca="1" si="10"/>
        <v>0.9752683841141544</v>
      </c>
      <c r="J124">
        <f t="shared" ca="1" si="11"/>
        <v>65.066463231771706</v>
      </c>
      <c r="K124">
        <f t="shared" ca="1" si="12"/>
        <v>68.967536768228314</v>
      </c>
    </row>
    <row r="125" spans="1:11" x14ac:dyDescent="0.25">
      <c r="A125" s="5">
        <f t="shared" ca="1" si="7"/>
        <v>45467</v>
      </c>
      <c r="B125" vm="364">
        <f ca="1"/>
        <v>45471</v>
      </c>
      <c r="C125" vm="365">
        <f ca="1"/>
        <v>67.709999999999994</v>
      </c>
      <c r="D125" vm="366">
        <f ca="1"/>
        <v>18816720</v>
      </c>
      <c r="E125">
        <f t="shared" ca="1" si="8"/>
        <v>67.904444444444437</v>
      </c>
      <c r="F125">
        <f t="shared" ca="1" si="9"/>
        <v>67.157999999999987</v>
      </c>
      <c r="G125">
        <f t="shared" ca="1" si="14"/>
        <v>63.790200000000006</v>
      </c>
      <c r="H125">
        <f t="shared" ca="1" si="13"/>
        <v>61.528829702970306</v>
      </c>
      <c r="I125">
        <f t="shared" ca="1" si="10"/>
        <v>0.84698598758060739</v>
      </c>
      <c r="J125">
        <f t="shared" ca="1" si="11"/>
        <v>65.464028024838768</v>
      </c>
      <c r="K125">
        <f t="shared" ca="1" si="12"/>
        <v>68.851971975161206</v>
      </c>
    </row>
    <row r="126" spans="1:11" x14ac:dyDescent="0.25">
      <c r="A126" s="5">
        <f t="shared" ca="1" si="7"/>
        <v>45474</v>
      </c>
      <c r="B126" vm="367">
        <f ca="1"/>
        <v>45474</v>
      </c>
      <c r="C126" vm="368">
        <f ca="1"/>
        <v>67.48</v>
      </c>
      <c r="D126" vm="369">
        <f ca="1"/>
        <v>8666021</v>
      </c>
      <c r="E126">
        <f t="shared" ca="1" si="8"/>
        <v>67.911111111111111</v>
      </c>
      <c r="F126">
        <f t="shared" ca="1" si="9"/>
        <v>67.244</v>
      </c>
      <c r="G126">
        <f t="shared" ca="1" si="14"/>
        <v>63.954600000000006</v>
      </c>
      <c r="H126">
        <f t="shared" ca="1" si="13"/>
        <v>61.640320792079201</v>
      </c>
      <c r="I126">
        <f t="shared" ca="1" si="10"/>
        <v>0.78242806967192147</v>
      </c>
      <c r="J126">
        <f t="shared" ca="1" si="11"/>
        <v>65.679143860656154</v>
      </c>
      <c r="K126">
        <f t="shared" ca="1" si="12"/>
        <v>68.808856139343845</v>
      </c>
    </row>
    <row r="127" spans="1:11" x14ac:dyDescent="0.25">
      <c r="A127" s="5">
        <f t="shared" ca="1" si="7"/>
        <v>45474</v>
      </c>
      <c r="B127" vm="370">
        <f ca="1"/>
        <v>45475</v>
      </c>
      <c r="C127" vm="371">
        <f ca="1"/>
        <v>68.069999999999993</v>
      </c>
      <c r="D127" vm="372">
        <f ca="1"/>
        <v>9436487</v>
      </c>
      <c r="E127">
        <f t="shared" ca="1" si="8"/>
        <v>67.963333333333338</v>
      </c>
      <c r="F127">
        <f t="shared" ca="1" si="9"/>
        <v>67.356499999999997</v>
      </c>
      <c r="G127">
        <f t="shared" ca="1" si="14"/>
        <v>64.125400000000013</v>
      </c>
      <c r="H127">
        <f t="shared" ca="1" si="13"/>
        <v>61.753857425742567</v>
      </c>
      <c r="I127">
        <f t="shared" ca="1" si="10"/>
        <v>0.72667429176749521</v>
      </c>
      <c r="J127">
        <f t="shared" ca="1" si="11"/>
        <v>65.903151416465008</v>
      </c>
      <c r="K127">
        <f t="shared" ca="1" si="12"/>
        <v>68.809848583534986</v>
      </c>
    </row>
    <row r="128" spans="1:11" x14ac:dyDescent="0.25">
      <c r="A128" s="5">
        <f t="shared" ca="1" si="7"/>
        <v>45474</v>
      </c>
      <c r="B128" vm="373">
        <f ca="1"/>
        <v>45476</v>
      </c>
      <c r="C128" vm="374">
        <f ca="1"/>
        <v>68.239999999999995</v>
      </c>
      <c r="D128" vm="375">
        <f ca="1"/>
        <v>6287545</v>
      </c>
      <c r="E128">
        <f t="shared" ca="1" si="8"/>
        <v>67.988888888888894</v>
      </c>
      <c r="F128">
        <f t="shared" ca="1" si="9"/>
        <v>67.438500000000005</v>
      </c>
      <c r="G128">
        <f t="shared" ca="1" si="14"/>
        <v>64.287400000000005</v>
      </c>
      <c r="H128">
        <f t="shared" ca="1" si="13"/>
        <v>61.870497029702967</v>
      </c>
      <c r="I128">
        <f t="shared" ca="1" si="10"/>
        <v>0.72934198894764435</v>
      </c>
      <c r="J128">
        <f t="shared" ca="1" si="11"/>
        <v>65.979816022104714</v>
      </c>
      <c r="K128">
        <f t="shared" ca="1" si="12"/>
        <v>68.897183977895295</v>
      </c>
    </row>
    <row r="129" spans="1:11" x14ac:dyDescent="0.25">
      <c r="A129" s="5">
        <f t="shared" ca="1" si="7"/>
        <v>45474</v>
      </c>
      <c r="B129" vm="376">
        <f ca="1"/>
        <v>45478</v>
      </c>
      <c r="C129" vm="377">
        <f ca="1"/>
        <v>70.040000000000006</v>
      </c>
      <c r="D129" vm="378">
        <f ca="1"/>
        <v>21586100</v>
      </c>
      <c r="E129">
        <f t="shared" ca="1" si="8"/>
        <v>68.225555555555559</v>
      </c>
      <c r="F129">
        <f t="shared" ca="1" si="9"/>
        <v>67.585999999999984</v>
      </c>
      <c r="G129">
        <f t="shared" ca="1" si="14"/>
        <v>64.506400000000014</v>
      </c>
      <c r="H129">
        <f t="shared" ca="1" si="13"/>
        <v>62.004991089108913</v>
      </c>
      <c r="I129">
        <f t="shared" ca="1" si="10"/>
        <v>0.9267396159598853</v>
      </c>
      <c r="J129">
        <f t="shared" ca="1" si="11"/>
        <v>65.732520768080207</v>
      </c>
      <c r="K129">
        <f t="shared" ca="1" si="12"/>
        <v>69.439479231919762</v>
      </c>
    </row>
    <row r="130" spans="1:11" x14ac:dyDescent="0.25">
      <c r="A130" s="5">
        <f t="shared" ca="1" si="7"/>
        <v>45481</v>
      </c>
      <c r="B130" vm="379">
        <f ca="1"/>
        <v>45481</v>
      </c>
      <c r="C130" vm="380">
        <f ca="1"/>
        <v>69.680000000000007</v>
      </c>
      <c r="D130" vm="381">
        <f ca="1"/>
        <v>12077679</v>
      </c>
      <c r="E130">
        <f t="shared" ca="1" si="8"/>
        <v>68.312222222222218</v>
      </c>
      <c r="F130">
        <f t="shared" ca="1" si="9"/>
        <v>67.712499999999991</v>
      </c>
      <c r="G130">
        <f t="shared" ca="1" si="14"/>
        <v>64.702600000000004</v>
      </c>
      <c r="H130">
        <f t="shared" ca="1" si="13"/>
        <v>62.136217821782182</v>
      </c>
      <c r="I130">
        <f t="shared" ca="1" si="10"/>
        <v>1.0309110687052261</v>
      </c>
      <c r="J130">
        <f t="shared" ca="1" si="11"/>
        <v>65.650677862589532</v>
      </c>
      <c r="K130">
        <f t="shared" ca="1" si="12"/>
        <v>69.774322137410451</v>
      </c>
    </row>
    <row r="131" spans="1:11" x14ac:dyDescent="0.25">
      <c r="A131" s="5">
        <f t="shared" ref="A131:A194" ca="1" si="15">B131 - WEEKDAY(B131, 2) + 1</f>
        <v>45481</v>
      </c>
      <c r="B131" vm="382">
        <f ca="1"/>
        <v>45482</v>
      </c>
      <c r="C131" vm="383">
        <f ca="1"/>
        <v>69.900000000000006</v>
      </c>
      <c r="D131" vm="384">
        <f ca="1"/>
        <v>9781831</v>
      </c>
      <c r="E131">
        <f t="shared" ca="1" si="8"/>
        <v>68.587777777777788</v>
      </c>
      <c r="F131">
        <f t="shared" ca="1" si="9"/>
        <v>67.913499999999999</v>
      </c>
      <c r="G131">
        <f t="shared" ca="1" si="14"/>
        <v>64.8964</v>
      </c>
      <c r="H131">
        <f t="shared" ca="1" si="13"/>
        <v>62.266256435643569</v>
      </c>
      <c r="I131">
        <f t="shared" ca="1" si="10"/>
        <v>1.0465948545037322</v>
      </c>
      <c r="J131">
        <f t="shared" ca="1" si="11"/>
        <v>65.820310290992538</v>
      </c>
      <c r="K131">
        <f t="shared" ca="1" si="12"/>
        <v>70.00668970900746</v>
      </c>
    </row>
    <row r="132" spans="1:11" x14ac:dyDescent="0.25">
      <c r="A132" s="5">
        <f t="shared" ca="1" si="15"/>
        <v>45481</v>
      </c>
      <c r="B132" vm="385">
        <f ca="1"/>
        <v>45483</v>
      </c>
      <c r="C132" vm="386">
        <f ca="1"/>
        <v>70.41</v>
      </c>
      <c r="D132" vm="387">
        <f ca="1"/>
        <v>10803405</v>
      </c>
      <c r="E132">
        <f t="shared" ca="1" si="8"/>
        <v>68.823333333333323</v>
      </c>
      <c r="F132">
        <f t="shared" ca="1" si="9"/>
        <v>68.085999999999999</v>
      </c>
      <c r="G132">
        <f t="shared" ca="1" si="14"/>
        <v>65.101399999999998</v>
      </c>
      <c r="H132">
        <f t="shared" ca="1" si="13"/>
        <v>62.405173267326738</v>
      </c>
      <c r="I132">
        <f t="shared" ca="1" si="10"/>
        <v>1.1594027500580235</v>
      </c>
      <c r="J132">
        <f t="shared" ca="1" si="11"/>
        <v>65.767194499883956</v>
      </c>
      <c r="K132">
        <f t="shared" ca="1" si="12"/>
        <v>70.404805500116041</v>
      </c>
    </row>
    <row r="133" spans="1:11" x14ac:dyDescent="0.25">
      <c r="A133" s="5">
        <f t="shared" ca="1" si="15"/>
        <v>45481</v>
      </c>
      <c r="B133" vm="388">
        <f ca="1"/>
        <v>45484</v>
      </c>
      <c r="C133" vm="389">
        <f ca="1"/>
        <v>69.8</v>
      </c>
      <c r="D133" vm="390">
        <f ca="1"/>
        <v>15624796</v>
      </c>
      <c r="E133">
        <f t="shared" ca="1" si="8"/>
        <v>69.036666666666662</v>
      </c>
      <c r="F133">
        <f t="shared" ca="1" si="9"/>
        <v>68.239499999999992</v>
      </c>
      <c r="G133">
        <f t="shared" ca="1" si="14"/>
        <v>65.292600000000007</v>
      </c>
      <c r="H133">
        <f t="shared" ca="1" si="13"/>
        <v>62.539832673267327</v>
      </c>
      <c r="I133">
        <f t="shared" ca="1" si="10"/>
        <v>1.1735662024696134</v>
      </c>
      <c r="J133">
        <f t="shared" ca="1" si="11"/>
        <v>65.892367595060762</v>
      </c>
      <c r="K133">
        <f t="shared" ca="1" si="12"/>
        <v>70.586632404939223</v>
      </c>
    </row>
    <row r="134" spans="1:11" x14ac:dyDescent="0.25">
      <c r="A134" s="5">
        <f t="shared" ca="1" si="15"/>
        <v>45481</v>
      </c>
      <c r="B134" vm="391">
        <f ca="1"/>
        <v>45485</v>
      </c>
      <c r="C134" vm="392">
        <f ca="1"/>
        <v>69.239999999999995</v>
      </c>
      <c r="D134" vm="393">
        <f ca="1"/>
        <v>12145317</v>
      </c>
      <c r="E134">
        <f t="shared" ca="1" si="8"/>
        <v>69.206666666666663</v>
      </c>
      <c r="F134">
        <f t="shared" ca="1" si="9"/>
        <v>68.385999999999996</v>
      </c>
      <c r="G134">
        <f t="shared" ca="1" si="14"/>
        <v>65.490399999999994</v>
      </c>
      <c r="H134">
        <f t="shared" ca="1" si="13"/>
        <v>62.666670297029704</v>
      </c>
      <c r="I134">
        <f t="shared" ca="1" si="10"/>
        <v>1.1006380924383445</v>
      </c>
      <c r="J134">
        <f t="shared" ca="1" si="11"/>
        <v>66.184723815123306</v>
      </c>
      <c r="K134">
        <f t="shared" ca="1" si="12"/>
        <v>70.587276184876686</v>
      </c>
    </row>
    <row r="135" spans="1:11" x14ac:dyDescent="0.25">
      <c r="A135" s="5">
        <f t="shared" ca="1" si="15"/>
        <v>45488</v>
      </c>
      <c r="B135" vm="394">
        <f ca="1"/>
        <v>45488</v>
      </c>
      <c r="C135" vm="395">
        <f ca="1"/>
        <v>69.61</v>
      </c>
      <c r="D135" vm="396">
        <f ca="1"/>
        <v>10171137</v>
      </c>
      <c r="E135">
        <f t="shared" ca="1" si="8"/>
        <v>69.443333333333328</v>
      </c>
      <c r="F135">
        <f t="shared" ca="1" si="9"/>
        <v>68.531500000000008</v>
      </c>
      <c r="G135">
        <f t="shared" ca="1" si="14"/>
        <v>65.705600000000004</v>
      </c>
      <c r="H135">
        <f t="shared" ca="1" si="13"/>
        <v>62.793639603960393</v>
      </c>
      <c r="I135">
        <f t="shared" ca="1" si="10"/>
        <v>1.0575257866707966</v>
      </c>
      <c r="J135">
        <f t="shared" ca="1" si="11"/>
        <v>66.41644842665842</v>
      </c>
      <c r="K135">
        <f t="shared" ca="1" si="12"/>
        <v>70.646551573341597</v>
      </c>
    </row>
    <row r="136" spans="1:11" x14ac:dyDescent="0.25">
      <c r="A136" s="5">
        <f t="shared" ca="1" si="15"/>
        <v>45488</v>
      </c>
      <c r="B136" vm="397">
        <f ca="1"/>
        <v>45489</v>
      </c>
      <c r="C136" vm="398">
        <f ca="1"/>
        <v>69.989999999999995</v>
      </c>
      <c r="D136" vm="399">
        <f ca="1"/>
        <v>9836824</v>
      </c>
      <c r="E136">
        <f t="shared" ca="1" si="8"/>
        <v>69.656666666666666</v>
      </c>
      <c r="F136">
        <f t="shared" ca="1" si="9"/>
        <v>68.680000000000007</v>
      </c>
      <c r="G136">
        <f t="shared" ca="1" si="14"/>
        <v>65.911200000000008</v>
      </c>
      <c r="H136">
        <f t="shared" ca="1" si="13"/>
        <v>62.906219801980193</v>
      </c>
      <c r="I136">
        <f t="shared" ca="1" si="10"/>
        <v>1.0425272935970256</v>
      </c>
      <c r="J136">
        <f t="shared" ca="1" si="11"/>
        <v>66.594945412805956</v>
      </c>
      <c r="K136">
        <f t="shared" ca="1" si="12"/>
        <v>70.765054587194058</v>
      </c>
    </row>
    <row r="137" spans="1:11" x14ac:dyDescent="0.25">
      <c r="A137" s="5">
        <f t="shared" ca="1" si="15"/>
        <v>45488</v>
      </c>
      <c r="B137" vm="400">
        <f ca="1"/>
        <v>45490</v>
      </c>
      <c r="C137" vm="401">
        <f ca="1"/>
        <v>71.03</v>
      </c>
      <c r="D137" vm="402">
        <f ca="1"/>
        <v>13533791</v>
      </c>
      <c r="E137">
        <f t="shared" ca="1" si="8"/>
        <v>69.966666666666669</v>
      </c>
      <c r="F137">
        <f t="shared" ca="1" si="9"/>
        <v>68.860499999999988</v>
      </c>
      <c r="G137">
        <f t="shared" ca="1" si="14"/>
        <v>66.135400000000004</v>
      </c>
      <c r="H137">
        <f t="shared" ca="1" si="13"/>
        <v>63.036225742574253</v>
      </c>
      <c r="I137">
        <f t="shared" ca="1" si="10"/>
        <v>1.1223493920766112</v>
      </c>
      <c r="J137">
        <f t="shared" ca="1" si="11"/>
        <v>66.615801215846759</v>
      </c>
      <c r="K137">
        <f t="shared" ca="1" si="12"/>
        <v>71.105198784153217</v>
      </c>
    </row>
    <row r="138" spans="1:11" x14ac:dyDescent="0.25">
      <c r="A138" s="5">
        <f t="shared" ca="1" si="15"/>
        <v>45488</v>
      </c>
      <c r="B138" vm="403">
        <f ca="1"/>
        <v>45491</v>
      </c>
      <c r="C138" vm="404">
        <f ca="1"/>
        <v>70.819999999999993</v>
      </c>
      <c r="D138" vm="405">
        <f ca="1"/>
        <v>10682742</v>
      </c>
      <c r="E138">
        <f t="shared" ca="1" si="8"/>
        <v>70.053333333333342</v>
      </c>
      <c r="F138">
        <f t="shared" ca="1" si="9"/>
        <v>69.021499999999989</v>
      </c>
      <c r="G138">
        <f t="shared" ca="1" si="14"/>
        <v>66.354399999999998</v>
      </c>
      <c r="H138">
        <f t="shared" ca="1" si="13"/>
        <v>63.158508910891079</v>
      </c>
      <c r="I138">
        <f t="shared" ca="1" si="10"/>
        <v>1.1622585770817095</v>
      </c>
      <c r="J138">
        <f t="shared" ca="1" si="11"/>
        <v>66.696982845836573</v>
      </c>
      <c r="K138">
        <f t="shared" ca="1" si="12"/>
        <v>71.346017154163405</v>
      </c>
    </row>
    <row r="139" spans="1:11" x14ac:dyDescent="0.25">
      <c r="A139" s="5">
        <f t="shared" ca="1" si="15"/>
        <v>45488</v>
      </c>
      <c r="B139" vm="406">
        <f ca="1"/>
        <v>45492</v>
      </c>
      <c r="C139" vm="407">
        <f ca="1"/>
        <v>70.75</v>
      </c>
      <c r="D139" vm="408">
        <f ca="1"/>
        <v>11665526</v>
      </c>
      <c r="E139">
        <f t="shared" ref="E139:E202" ca="1" si="16">AVERAGE(C131:C139)</f>
        <v>70.172222222222217</v>
      </c>
      <c r="F139">
        <f t="shared" ca="1" si="9"/>
        <v>69.158499999999989</v>
      </c>
      <c r="G139">
        <f t="shared" ca="1" si="14"/>
        <v>66.557000000000002</v>
      </c>
      <c r="H139">
        <f t="shared" ca="1" si="13"/>
        <v>63.279603960396031</v>
      </c>
      <c r="I139">
        <f t="shared" ca="1" si="10"/>
        <v>1.197700757811883</v>
      </c>
      <c r="J139">
        <f t="shared" ca="1" si="11"/>
        <v>66.763098484376229</v>
      </c>
      <c r="K139">
        <f t="shared" ca="1" si="12"/>
        <v>71.55390151562375</v>
      </c>
    </row>
    <row r="140" spans="1:11" x14ac:dyDescent="0.25">
      <c r="A140" s="5">
        <f t="shared" ca="1" si="15"/>
        <v>45495</v>
      </c>
      <c r="B140" vm="409">
        <f ca="1"/>
        <v>45495</v>
      </c>
      <c r="C140" vm="410">
        <f ca="1"/>
        <v>70.38</v>
      </c>
      <c r="D140" vm="411">
        <f ca="1"/>
        <v>12666130</v>
      </c>
      <c r="E140">
        <f t="shared" ca="1" si="16"/>
        <v>70.225555555555559</v>
      </c>
      <c r="F140">
        <f t="shared" ca="1" si="9"/>
        <v>69.281999999999996</v>
      </c>
      <c r="G140">
        <f t="shared" ca="1" si="14"/>
        <v>66.758600000000001</v>
      </c>
      <c r="H140">
        <f t="shared" ca="1" si="13"/>
        <v>63.386336633663362</v>
      </c>
      <c r="I140">
        <f t="shared" ca="1" si="10"/>
        <v>1.1895049832863913</v>
      </c>
      <c r="J140">
        <f t="shared" ca="1" si="11"/>
        <v>66.902990033427216</v>
      </c>
      <c r="K140">
        <f t="shared" ca="1" si="12"/>
        <v>71.661009966572777</v>
      </c>
    </row>
    <row r="141" spans="1:11" x14ac:dyDescent="0.25">
      <c r="A141" s="5">
        <f t="shared" ca="1" si="15"/>
        <v>45495</v>
      </c>
      <c r="B141" vm="412">
        <f ca="1"/>
        <v>45496</v>
      </c>
      <c r="C141" vm="413">
        <f ca="1"/>
        <v>70.650000000000006</v>
      </c>
      <c r="D141" vm="414">
        <f ca="1"/>
        <v>9263561</v>
      </c>
      <c r="E141">
        <f t="shared" ca="1" si="16"/>
        <v>70.252222222222201</v>
      </c>
      <c r="F141">
        <f t="shared" ca="1" si="9"/>
        <v>69.369499999999988</v>
      </c>
      <c r="G141">
        <f t="shared" ca="1" si="14"/>
        <v>66.962800000000016</v>
      </c>
      <c r="H141">
        <f t="shared" ca="1" si="13"/>
        <v>63.495841584158399</v>
      </c>
      <c r="I141">
        <f t="shared" ca="1" si="10"/>
        <v>1.223796831263477</v>
      </c>
      <c r="J141">
        <f t="shared" ca="1" si="11"/>
        <v>66.921906337473033</v>
      </c>
      <c r="K141">
        <f t="shared" ca="1" si="12"/>
        <v>71.817093662526943</v>
      </c>
    </row>
    <row r="142" spans="1:11" x14ac:dyDescent="0.25">
      <c r="A142" s="5">
        <f t="shared" ca="1" si="15"/>
        <v>45495</v>
      </c>
      <c r="B142" vm="415">
        <f ca="1"/>
        <v>45497</v>
      </c>
      <c r="C142" vm="416">
        <f ca="1"/>
        <v>70.599999999999994</v>
      </c>
      <c r="D142" vm="417">
        <f ca="1"/>
        <v>22490783</v>
      </c>
      <c r="E142">
        <f t="shared" ca="1" si="16"/>
        <v>70.341111111111118</v>
      </c>
      <c r="F142">
        <f t="shared" ca="1" si="9"/>
        <v>69.528500000000008</v>
      </c>
      <c r="G142">
        <f t="shared" ca="1" si="14"/>
        <v>67.165199999999999</v>
      </c>
      <c r="H142">
        <f t="shared" ca="1" si="13"/>
        <v>63.60455445544553</v>
      </c>
      <c r="I142">
        <f t="shared" ca="1" si="10"/>
        <v>1.1622087637452734</v>
      </c>
      <c r="J142">
        <f t="shared" ca="1" si="11"/>
        <v>67.204082472509455</v>
      </c>
      <c r="K142">
        <f t="shared" ca="1" si="12"/>
        <v>71.852917527490561</v>
      </c>
    </row>
    <row r="143" spans="1:11" x14ac:dyDescent="0.25">
      <c r="A143" s="5">
        <f t="shared" ca="1" si="15"/>
        <v>45495</v>
      </c>
      <c r="B143" vm="418">
        <f ca="1"/>
        <v>45498</v>
      </c>
      <c r="C143" vm="419">
        <f ca="1"/>
        <v>70.02</v>
      </c>
      <c r="D143" vm="420">
        <f ca="1"/>
        <v>18821199</v>
      </c>
      <c r="E143">
        <f t="shared" ca="1" si="16"/>
        <v>70.427777777777777</v>
      </c>
      <c r="F143">
        <f t="shared" ca="1" si="9"/>
        <v>69.614999999999981</v>
      </c>
      <c r="G143">
        <f t="shared" ca="1" si="14"/>
        <v>67.357400000000013</v>
      </c>
      <c r="H143">
        <f t="shared" ca="1" si="13"/>
        <v>63.717524752475242</v>
      </c>
      <c r="I143">
        <f t="shared" ca="1" si="10"/>
        <v>1.1290867292220139</v>
      </c>
      <c r="J143">
        <f t="shared" ca="1" si="11"/>
        <v>67.356826541555947</v>
      </c>
      <c r="K143">
        <f t="shared" ca="1" si="12"/>
        <v>71.873173458444015</v>
      </c>
    </row>
    <row r="144" spans="1:11" x14ac:dyDescent="0.25">
      <c r="A144" s="5">
        <f t="shared" ca="1" si="15"/>
        <v>45495</v>
      </c>
      <c r="B144" vm="421">
        <f ca="1"/>
        <v>45499</v>
      </c>
      <c r="C144" vm="422">
        <f ca="1"/>
        <v>69.78</v>
      </c>
      <c r="D144" vm="423">
        <f ca="1"/>
        <v>16789306</v>
      </c>
      <c r="E144">
        <f t="shared" ca="1" si="16"/>
        <v>70.446666666666658</v>
      </c>
      <c r="F144">
        <f t="shared" ca="1" si="9"/>
        <v>69.710000000000008</v>
      </c>
      <c r="G144">
        <f t="shared" ca="1" si="14"/>
        <v>67.555800000000005</v>
      </c>
      <c r="H144">
        <f t="shared" ca="1" si="13"/>
        <v>63.826633663366323</v>
      </c>
      <c r="I144">
        <f t="shared" ca="1" si="10"/>
        <v>1.0527757795966171</v>
      </c>
      <c r="J144">
        <f t="shared" ca="1" si="11"/>
        <v>67.604448440806777</v>
      </c>
      <c r="K144">
        <f t="shared" ca="1" si="12"/>
        <v>71.815551559193239</v>
      </c>
    </row>
    <row r="145" spans="1:11" x14ac:dyDescent="0.25">
      <c r="A145" s="5">
        <f t="shared" ca="1" si="15"/>
        <v>45502</v>
      </c>
      <c r="B145" vm="424">
        <f ca="1"/>
        <v>45502</v>
      </c>
      <c r="C145" vm="425">
        <f ca="1"/>
        <v>69.62</v>
      </c>
      <c r="D145" vm="426">
        <f ca="1"/>
        <v>10315305</v>
      </c>
      <c r="E145">
        <f t="shared" ca="1" si="16"/>
        <v>70.405555555555551</v>
      </c>
      <c r="F145">
        <f t="shared" ca="1" si="9"/>
        <v>69.805500000000009</v>
      </c>
      <c r="G145">
        <f t="shared" ca="1" si="14"/>
        <v>67.75160000000001</v>
      </c>
      <c r="H145">
        <f t="shared" ca="1" si="13"/>
        <v>63.928811881188103</v>
      </c>
      <c r="I145">
        <f t="shared" ca="1" si="10"/>
        <v>0.94267522453248376</v>
      </c>
      <c r="J145">
        <f t="shared" ca="1" si="11"/>
        <v>67.920149550935037</v>
      </c>
      <c r="K145">
        <f t="shared" ca="1" si="12"/>
        <v>71.690850449064982</v>
      </c>
    </row>
    <row r="146" spans="1:11" x14ac:dyDescent="0.25">
      <c r="A146" s="5">
        <f t="shared" ca="1" si="15"/>
        <v>45502</v>
      </c>
      <c r="B146" vm="427">
        <f ca="1"/>
        <v>45503</v>
      </c>
      <c r="C146" vm="428">
        <f ca="1"/>
        <v>69.19</v>
      </c>
      <c r="D146" vm="429">
        <f ca="1"/>
        <v>12522469</v>
      </c>
      <c r="E146">
        <f t="shared" ca="1" si="16"/>
        <v>70.201111111111103</v>
      </c>
      <c r="F146">
        <f t="shared" ca="1" si="9"/>
        <v>69.890999999999991</v>
      </c>
      <c r="G146">
        <f t="shared" ca="1" si="14"/>
        <v>67.855200000000011</v>
      </c>
      <c r="H146">
        <f t="shared" ca="1" si="13"/>
        <v>64.019405940594041</v>
      </c>
      <c r="I146">
        <f t="shared" ca="1" si="10"/>
        <v>0.7850169290832969</v>
      </c>
      <c r="J146">
        <f t="shared" ca="1" si="11"/>
        <v>68.320966141833395</v>
      </c>
      <c r="K146">
        <f t="shared" ca="1" si="12"/>
        <v>71.461033858166587</v>
      </c>
    </row>
    <row r="147" spans="1:11" x14ac:dyDescent="0.25">
      <c r="A147" s="5">
        <f t="shared" ca="1" si="15"/>
        <v>45502</v>
      </c>
      <c r="B147" vm="430">
        <f ca="1"/>
        <v>45504</v>
      </c>
      <c r="C147" vm="431">
        <f ca="1"/>
        <v>68.64</v>
      </c>
      <c r="D147" vm="432">
        <f ca="1"/>
        <v>22908760</v>
      </c>
      <c r="E147">
        <f t="shared" ca="1" si="16"/>
        <v>69.958888888888893</v>
      </c>
      <c r="F147">
        <f t="shared" ca="1" si="9"/>
        <v>69.919499999999999</v>
      </c>
      <c r="G147">
        <f t="shared" ca="1" si="14"/>
        <v>67.935000000000002</v>
      </c>
      <c r="H147">
        <f t="shared" ca="1" si="13"/>
        <v>64.099306930693061</v>
      </c>
      <c r="I147">
        <f t="shared" ca="1" si="10"/>
        <v>0.7233509376142182</v>
      </c>
      <c r="J147">
        <f t="shared" ca="1" si="11"/>
        <v>68.472798124771558</v>
      </c>
      <c r="K147">
        <f t="shared" ca="1" si="12"/>
        <v>71.366201875228441</v>
      </c>
    </row>
    <row r="148" spans="1:11" x14ac:dyDescent="0.25">
      <c r="A148" s="5">
        <f t="shared" ca="1" si="15"/>
        <v>45502</v>
      </c>
      <c r="B148" vm="433">
        <f ca="1"/>
        <v>45505</v>
      </c>
      <c r="C148" vm="434">
        <f ca="1"/>
        <v>69.790000000000006</v>
      </c>
      <c r="D148" vm="435">
        <f ca="1"/>
        <v>17275532</v>
      </c>
      <c r="E148">
        <f t="shared" ca="1" si="16"/>
        <v>69.852222222222224</v>
      </c>
      <c r="F148">
        <f t="shared" ca="1" si="9"/>
        <v>69.997000000000014</v>
      </c>
      <c r="G148">
        <f t="shared" ca="1" si="14"/>
        <v>68.047200000000004</v>
      </c>
      <c r="H148">
        <f t="shared" ca="1" si="13"/>
        <v>64.192673267326725</v>
      </c>
      <c r="I148">
        <f t="shared" ca="1" si="10"/>
        <v>0.60773176215896552</v>
      </c>
      <c r="J148">
        <f t="shared" ca="1" si="11"/>
        <v>68.781536475682088</v>
      </c>
      <c r="K148">
        <f t="shared" ca="1" si="12"/>
        <v>71.21246352431794</v>
      </c>
    </row>
    <row r="149" spans="1:11" x14ac:dyDescent="0.25">
      <c r="A149" s="5">
        <f t="shared" ca="1" si="15"/>
        <v>45502</v>
      </c>
      <c r="B149" vm="436">
        <f ca="1"/>
        <v>45506</v>
      </c>
      <c r="C149" vm="437">
        <f ca="1"/>
        <v>68.459999999999994</v>
      </c>
      <c r="D149" vm="438">
        <f ca="1"/>
        <v>23578664</v>
      </c>
      <c r="E149">
        <f t="shared" ca="1" si="16"/>
        <v>69.638888888888886</v>
      </c>
      <c r="F149">
        <f t="shared" ca="1" si="9"/>
        <v>69.918000000000021</v>
      </c>
      <c r="G149">
        <f t="shared" ca="1" si="14"/>
        <v>68.113400000000013</v>
      </c>
      <c r="H149">
        <f t="shared" ca="1" si="13"/>
        <v>64.275247524752473</v>
      </c>
      <c r="I149">
        <f t="shared" ca="1" si="10"/>
        <v>0.69785837803201434</v>
      </c>
      <c r="J149">
        <f t="shared" ca="1" si="11"/>
        <v>68.522283243935988</v>
      </c>
      <c r="K149">
        <f t="shared" ca="1" si="12"/>
        <v>71.313716756064053</v>
      </c>
    </row>
    <row r="150" spans="1:11" x14ac:dyDescent="0.25">
      <c r="A150" s="5">
        <f t="shared" ca="1" si="15"/>
        <v>45509</v>
      </c>
      <c r="B150" vm="439">
        <f ca="1"/>
        <v>45509</v>
      </c>
      <c r="C150" vm="440">
        <f ca="1"/>
        <v>67.59</v>
      </c>
      <c r="D150" vm="441">
        <f ca="1"/>
        <v>20770455</v>
      </c>
      <c r="E150">
        <f t="shared" ca="1" si="16"/>
        <v>69.298888888888897</v>
      </c>
      <c r="F150">
        <f t="shared" ref="F150:F213" ca="1" si="17">AVERAGE(C131:C150)</f>
        <v>69.813500000000005</v>
      </c>
      <c r="G150">
        <f t="shared" ca="1" si="14"/>
        <v>68.160200000000017</v>
      </c>
      <c r="H150">
        <f t="shared" ca="1" si="13"/>
        <v>64.343861386138613</v>
      </c>
      <c r="I150">
        <f t="shared" ref="I150:I213" ca="1" si="18">_xlfn.STDEV.S(C131:C150)</f>
        <v>0.870500612170648</v>
      </c>
      <c r="J150">
        <f t="shared" ref="J150:J213" ca="1" si="19">F150-2*I150</f>
        <v>68.072498775658715</v>
      </c>
      <c r="K150">
        <f t="shared" ref="K150:K213" ca="1" si="20">F150+2*I150</f>
        <v>71.554501224341294</v>
      </c>
    </row>
    <row r="151" spans="1:11" x14ac:dyDescent="0.25">
      <c r="A151" s="5">
        <f t="shared" ca="1" si="15"/>
        <v>45509</v>
      </c>
      <c r="B151" vm="442">
        <f ca="1"/>
        <v>45510</v>
      </c>
      <c r="C151" vm="443">
        <f ca="1"/>
        <v>67.739999999999995</v>
      </c>
      <c r="D151" vm="444">
        <f ca="1"/>
        <v>14815072</v>
      </c>
      <c r="E151">
        <f t="shared" ca="1" si="16"/>
        <v>68.981111111111119</v>
      </c>
      <c r="F151">
        <f t="shared" ca="1" si="17"/>
        <v>69.705500000000001</v>
      </c>
      <c r="G151">
        <f t="shared" ca="1" si="14"/>
        <v>68.21820000000001</v>
      </c>
      <c r="H151">
        <f t="shared" ca="1" si="13"/>
        <v>64.406534653465329</v>
      </c>
      <c r="I151">
        <f t="shared" ca="1" si="18"/>
        <v>0.98558812257880879</v>
      </c>
      <c r="J151">
        <f t="shared" ca="1" si="19"/>
        <v>67.734323754842379</v>
      </c>
      <c r="K151">
        <f t="shared" ca="1" si="20"/>
        <v>71.676676245157623</v>
      </c>
    </row>
    <row r="152" spans="1:11" x14ac:dyDescent="0.25">
      <c r="A152" s="5">
        <f t="shared" ca="1" si="15"/>
        <v>45509</v>
      </c>
      <c r="B152" vm="445">
        <f ca="1"/>
        <v>45511</v>
      </c>
      <c r="C152" vm="446">
        <f ca="1"/>
        <v>66.91</v>
      </c>
      <c r="D152" vm="447">
        <f ca="1"/>
        <v>18499200</v>
      </c>
      <c r="E152">
        <f t="shared" ca="1" si="16"/>
        <v>68.635555555555555</v>
      </c>
      <c r="F152">
        <f t="shared" ca="1" si="17"/>
        <v>69.530499999999989</v>
      </c>
      <c r="G152">
        <f t="shared" ca="1" si="14"/>
        <v>68.248800000000017</v>
      </c>
      <c r="H152">
        <f t="shared" ca="1" si="13"/>
        <v>64.462277227722765</v>
      </c>
      <c r="I152">
        <f t="shared" ca="1" si="18"/>
        <v>1.1507959488065096</v>
      </c>
      <c r="J152">
        <f t="shared" ca="1" si="19"/>
        <v>67.228908102386967</v>
      </c>
      <c r="K152">
        <f t="shared" ca="1" si="20"/>
        <v>71.832091897613012</v>
      </c>
    </row>
    <row r="153" spans="1:11" x14ac:dyDescent="0.25">
      <c r="A153" s="5">
        <f t="shared" ca="1" si="15"/>
        <v>45509</v>
      </c>
      <c r="B153" vm="448">
        <f ca="1"/>
        <v>45512</v>
      </c>
      <c r="C153" vm="449">
        <f ca="1"/>
        <v>67.66</v>
      </c>
      <c r="D153" vm="450">
        <f ca="1"/>
        <v>12489819</v>
      </c>
      <c r="E153">
        <f t="shared" ca="1" si="16"/>
        <v>68.399999999999991</v>
      </c>
      <c r="F153">
        <f t="shared" ca="1" si="17"/>
        <v>69.423500000000018</v>
      </c>
      <c r="G153">
        <f t="shared" ca="1" si="14"/>
        <v>68.301200000000009</v>
      </c>
      <c r="H153">
        <f t="shared" ca="1" si="13"/>
        <v>64.528019801980179</v>
      </c>
      <c r="I153">
        <f t="shared" ca="1" si="18"/>
        <v>1.2217212835736486</v>
      </c>
      <c r="J153">
        <f t="shared" ca="1" si="19"/>
        <v>66.980057432852718</v>
      </c>
      <c r="K153">
        <f t="shared" ca="1" si="20"/>
        <v>71.866942567147319</v>
      </c>
    </row>
    <row r="154" spans="1:11" x14ac:dyDescent="0.25">
      <c r="A154" s="5">
        <f t="shared" ca="1" si="15"/>
        <v>45509</v>
      </c>
      <c r="B154" vm="451">
        <f ca="1"/>
        <v>45513</v>
      </c>
      <c r="C154" vm="452">
        <f ca="1"/>
        <v>67.95</v>
      </c>
      <c r="D154" vm="453">
        <f ca="1"/>
        <v>13805576</v>
      </c>
      <c r="E154">
        <f t="shared" ca="1" si="16"/>
        <v>68.214444444444439</v>
      </c>
      <c r="F154">
        <f t="shared" ca="1" si="17"/>
        <v>69.359000000000009</v>
      </c>
      <c r="G154">
        <f t="shared" ca="1" si="14"/>
        <v>68.361800000000002</v>
      </c>
      <c r="H154">
        <f t="shared" ca="1" si="13"/>
        <v>64.59999999999998</v>
      </c>
      <c r="I154">
        <f t="shared" ca="1" si="18"/>
        <v>1.2651977170220847</v>
      </c>
      <c r="J154">
        <f t="shared" ca="1" si="19"/>
        <v>66.828604565955843</v>
      </c>
      <c r="K154">
        <f t="shared" ca="1" si="20"/>
        <v>71.889395434044175</v>
      </c>
    </row>
    <row r="155" spans="1:11" x14ac:dyDescent="0.25">
      <c r="A155" s="5">
        <f t="shared" ca="1" si="15"/>
        <v>45516</v>
      </c>
      <c r="B155" vm="454">
        <f ca="1"/>
        <v>45516</v>
      </c>
      <c r="C155" vm="455">
        <f ca="1"/>
        <v>68.7</v>
      </c>
      <c r="D155" vm="456">
        <f ca="1"/>
        <v>17385278</v>
      </c>
      <c r="E155">
        <f t="shared" ca="1" si="16"/>
        <v>68.160000000000011</v>
      </c>
      <c r="F155">
        <f t="shared" ca="1" si="17"/>
        <v>69.313500000000005</v>
      </c>
      <c r="G155">
        <f t="shared" ca="1" si="14"/>
        <v>68.437999999999988</v>
      </c>
      <c r="H155">
        <f t="shared" ca="1" si="13"/>
        <v>64.677623762376214</v>
      </c>
      <c r="I155">
        <f t="shared" ca="1" si="18"/>
        <v>1.272040528152762</v>
      </c>
      <c r="J155">
        <f t="shared" ca="1" si="19"/>
        <v>66.769418943694475</v>
      </c>
      <c r="K155">
        <f t="shared" ca="1" si="20"/>
        <v>71.857581056305534</v>
      </c>
    </row>
    <row r="156" spans="1:11" x14ac:dyDescent="0.25">
      <c r="A156" s="5">
        <f t="shared" ca="1" si="15"/>
        <v>45516</v>
      </c>
      <c r="B156" vm="457">
        <f ca="1"/>
        <v>45517</v>
      </c>
      <c r="C156" vm="458">
        <f ca="1"/>
        <v>68.13</v>
      </c>
      <c r="D156" vm="459">
        <f ca="1"/>
        <v>26557901</v>
      </c>
      <c r="E156">
        <f t="shared" ca="1" si="16"/>
        <v>68.103333333333325</v>
      </c>
      <c r="F156">
        <f t="shared" ca="1" si="17"/>
        <v>69.220500000000015</v>
      </c>
      <c r="G156">
        <f t="shared" ca="1" si="14"/>
        <v>68.485399999999998</v>
      </c>
      <c r="H156">
        <f t="shared" ca="1" si="13"/>
        <v>64.749504950495023</v>
      </c>
      <c r="I156">
        <f t="shared" ca="1" si="18"/>
        <v>1.2878724806112563</v>
      </c>
      <c r="J156">
        <f t="shared" ca="1" si="19"/>
        <v>66.644755038777504</v>
      </c>
      <c r="K156">
        <f t="shared" ca="1" si="20"/>
        <v>71.796244961222527</v>
      </c>
    </row>
    <row r="157" spans="1:11" x14ac:dyDescent="0.25">
      <c r="A157" s="5">
        <f t="shared" ca="1" si="15"/>
        <v>45516</v>
      </c>
      <c r="B157" vm="460">
        <f ca="1"/>
        <v>45518</v>
      </c>
      <c r="C157" vm="461">
        <f ca="1"/>
        <v>68.66</v>
      </c>
      <c r="D157" vm="462">
        <f ca="1"/>
        <v>22928551</v>
      </c>
      <c r="E157">
        <f t="shared" ca="1" si="16"/>
        <v>67.977777777777774</v>
      </c>
      <c r="F157">
        <f t="shared" ca="1" si="17"/>
        <v>69.102000000000004</v>
      </c>
      <c r="G157">
        <f t="shared" ca="1" si="14"/>
        <v>68.54219999999998</v>
      </c>
      <c r="H157">
        <f t="shared" ca="1" si="13"/>
        <v>64.822871287128677</v>
      </c>
      <c r="I157">
        <f t="shared" ca="1" si="18"/>
        <v>1.2198515871764248</v>
      </c>
      <c r="J157">
        <f t="shared" ca="1" si="19"/>
        <v>66.662296825647161</v>
      </c>
      <c r="K157">
        <f t="shared" ca="1" si="20"/>
        <v>71.541703174352847</v>
      </c>
    </row>
    <row r="158" spans="1:11" x14ac:dyDescent="0.25">
      <c r="A158" s="5">
        <f t="shared" ca="1" si="15"/>
        <v>45516</v>
      </c>
      <c r="B158" vm="463">
        <f ca="1"/>
        <v>45519</v>
      </c>
      <c r="C158" vm="464">
        <f ca="1"/>
        <v>73.180000000000007</v>
      </c>
      <c r="D158" vm="465">
        <f ca="1"/>
        <v>49567500</v>
      </c>
      <c r="E158">
        <f t="shared" ca="1" si="16"/>
        <v>68.502222222222215</v>
      </c>
      <c r="F158">
        <f t="shared" ca="1" si="17"/>
        <v>69.22</v>
      </c>
      <c r="G158">
        <f t="shared" ca="1" si="14"/>
        <v>68.673799999999986</v>
      </c>
      <c r="H158">
        <f t="shared" ca="1" si="13"/>
        <v>64.939009900990087</v>
      </c>
      <c r="I158">
        <f t="shared" ca="1" si="18"/>
        <v>1.4809811825806225</v>
      </c>
      <c r="J158">
        <f t="shared" ca="1" si="19"/>
        <v>66.258037634838757</v>
      </c>
      <c r="K158">
        <f t="shared" ca="1" si="20"/>
        <v>72.18196236516124</v>
      </c>
    </row>
    <row r="159" spans="1:11" x14ac:dyDescent="0.25">
      <c r="A159" s="5">
        <f t="shared" ca="1" si="15"/>
        <v>45516</v>
      </c>
      <c r="B159" vm="466">
        <f ca="1"/>
        <v>45520</v>
      </c>
      <c r="C159" vm="467">
        <f ca="1"/>
        <v>73.45</v>
      </c>
      <c r="D159" vm="468">
        <f ca="1"/>
        <v>19872144</v>
      </c>
      <c r="E159">
        <f t="shared" ca="1" si="16"/>
        <v>69.15333333333335</v>
      </c>
      <c r="F159">
        <f t="shared" ca="1" si="17"/>
        <v>69.355000000000004</v>
      </c>
      <c r="G159">
        <f t="shared" ca="1" si="14"/>
        <v>68.800999999999974</v>
      </c>
      <c r="H159">
        <f t="shared" ca="1" si="13"/>
        <v>65.06356435643562</v>
      </c>
      <c r="I159">
        <f t="shared" ca="1" si="18"/>
        <v>1.7299269835519242</v>
      </c>
      <c r="J159">
        <f t="shared" ca="1" si="19"/>
        <v>65.89514603289615</v>
      </c>
      <c r="K159">
        <f t="shared" ca="1" si="20"/>
        <v>72.814853967103858</v>
      </c>
    </row>
    <row r="160" spans="1:11" x14ac:dyDescent="0.25">
      <c r="A160" s="5">
        <f t="shared" ca="1" si="15"/>
        <v>45523</v>
      </c>
      <c r="B160" vm="469">
        <f ca="1"/>
        <v>45523</v>
      </c>
      <c r="C160" vm="470">
        <f ca="1"/>
        <v>73.72</v>
      </c>
      <c r="D160" vm="471">
        <f ca="1"/>
        <v>13709265</v>
      </c>
      <c r="E160">
        <f t="shared" ca="1" si="16"/>
        <v>69.817777777777778</v>
      </c>
      <c r="F160">
        <f t="shared" ca="1" si="17"/>
        <v>69.522000000000006</v>
      </c>
      <c r="G160">
        <f t="shared" ca="1" si="14"/>
        <v>68.932399999999973</v>
      </c>
      <c r="H160">
        <f t="shared" ca="1" si="13"/>
        <v>65.193762376237601</v>
      </c>
      <c r="I160">
        <f t="shared" ca="1" si="18"/>
        <v>1.9775732071085739</v>
      </c>
      <c r="J160">
        <f t="shared" ca="1" si="19"/>
        <v>65.566853585782852</v>
      </c>
      <c r="K160">
        <f t="shared" ca="1" si="20"/>
        <v>73.47714641421716</v>
      </c>
    </row>
    <row r="161" spans="1:11" x14ac:dyDescent="0.25">
      <c r="A161" s="5">
        <f t="shared" ca="1" si="15"/>
        <v>45523</v>
      </c>
      <c r="B161" vm="472">
        <f ca="1"/>
        <v>45524</v>
      </c>
      <c r="C161" vm="473">
        <f ca="1"/>
        <v>74.540000000000006</v>
      </c>
      <c r="D161" vm="474">
        <f ca="1"/>
        <v>14433985</v>
      </c>
      <c r="E161">
        <f t="shared" ca="1" si="16"/>
        <v>70.665555555555557</v>
      </c>
      <c r="F161">
        <f t="shared" ca="1" si="17"/>
        <v>69.716500000000025</v>
      </c>
      <c r="G161">
        <f t="shared" ca="1" si="14"/>
        <v>69.105599999999967</v>
      </c>
      <c r="H161">
        <f t="shared" ca="1" si="13"/>
        <v>65.332673267326712</v>
      </c>
      <c r="I161">
        <f t="shared" ca="1" si="18"/>
        <v>2.2647929497557091</v>
      </c>
      <c r="J161">
        <f t="shared" ca="1" si="19"/>
        <v>65.186914100488607</v>
      </c>
      <c r="K161">
        <f t="shared" ca="1" si="20"/>
        <v>74.246085899511442</v>
      </c>
    </row>
    <row r="162" spans="1:11" x14ac:dyDescent="0.25">
      <c r="A162" s="5">
        <f t="shared" ca="1" si="15"/>
        <v>45523</v>
      </c>
      <c r="B162" vm="475">
        <f ca="1"/>
        <v>45525</v>
      </c>
      <c r="C162" vm="476">
        <f ca="1"/>
        <v>75.239999999999995</v>
      </c>
      <c r="D162" vm="477">
        <f ca="1"/>
        <v>14831992</v>
      </c>
      <c r="E162">
        <f t="shared" ca="1" si="16"/>
        <v>71.507777777777775</v>
      </c>
      <c r="F162">
        <f t="shared" ca="1" si="17"/>
        <v>69.94850000000001</v>
      </c>
      <c r="G162">
        <f t="shared" ca="1" si="14"/>
        <v>69.271199999999965</v>
      </c>
      <c r="H162">
        <f t="shared" ca="1" si="13"/>
        <v>65.476435643564344</v>
      </c>
      <c r="I162">
        <f t="shared" ca="1" si="18"/>
        <v>2.576293287897006</v>
      </c>
      <c r="J162">
        <f t="shared" ca="1" si="19"/>
        <v>64.795913424205992</v>
      </c>
      <c r="K162">
        <f t="shared" ca="1" si="20"/>
        <v>75.101086575794028</v>
      </c>
    </row>
    <row r="163" spans="1:11" x14ac:dyDescent="0.25">
      <c r="A163" s="5">
        <f t="shared" ca="1" si="15"/>
        <v>45523</v>
      </c>
      <c r="B163" vm="478">
        <f ca="1"/>
        <v>45526</v>
      </c>
      <c r="C163" vm="479">
        <f ca="1"/>
        <v>75.58</v>
      </c>
      <c r="D163" vm="480">
        <f ca="1"/>
        <v>16511139</v>
      </c>
      <c r="E163">
        <f t="shared" ca="1" si="16"/>
        <v>72.355555555555554</v>
      </c>
      <c r="F163">
        <f t="shared" ca="1" si="17"/>
        <v>70.226500000000001</v>
      </c>
      <c r="G163">
        <f t="shared" ca="1" si="14"/>
        <v>69.448199999999957</v>
      </c>
      <c r="H163">
        <f t="shared" ca="1" si="13"/>
        <v>65.629009900990084</v>
      </c>
      <c r="I163">
        <f t="shared" ca="1" si="18"/>
        <v>2.8678935512066408</v>
      </c>
      <c r="J163">
        <f t="shared" ca="1" si="19"/>
        <v>64.490712897586718</v>
      </c>
      <c r="K163">
        <f t="shared" ca="1" si="20"/>
        <v>75.962287102413285</v>
      </c>
    </row>
    <row r="164" spans="1:11" x14ac:dyDescent="0.25">
      <c r="A164" s="5">
        <f t="shared" ca="1" si="15"/>
        <v>45523</v>
      </c>
      <c r="B164" vm="481">
        <f ca="1"/>
        <v>45527</v>
      </c>
      <c r="C164" vm="482">
        <f ca="1"/>
        <v>75.7</v>
      </c>
      <c r="D164" vm="483">
        <f ca="1"/>
        <v>12299093</v>
      </c>
      <c r="E164">
        <f t="shared" ca="1" si="16"/>
        <v>73.13333333333334</v>
      </c>
      <c r="F164">
        <f t="shared" ca="1" si="17"/>
        <v>70.522500000000008</v>
      </c>
      <c r="G164">
        <f t="shared" ca="1" si="14"/>
        <v>69.635999999999953</v>
      </c>
      <c r="H164">
        <f t="shared" ca="1" si="13"/>
        <v>65.784455445544538</v>
      </c>
      <c r="I164">
        <f t="shared" ca="1" si="18"/>
        <v>3.1143046448690019</v>
      </c>
      <c r="J164">
        <f t="shared" ca="1" si="19"/>
        <v>64.293890710262005</v>
      </c>
      <c r="K164">
        <f t="shared" ca="1" si="20"/>
        <v>76.751109289738011</v>
      </c>
    </row>
    <row r="165" spans="1:11" x14ac:dyDescent="0.25">
      <c r="A165" s="5">
        <f t="shared" ca="1" si="15"/>
        <v>45530</v>
      </c>
      <c r="B165" vm="484">
        <f ca="1"/>
        <v>45530</v>
      </c>
      <c r="C165" vm="485">
        <f ca="1"/>
        <v>76.03</v>
      </c>
      <c r="D165" vm="486">
        <f ca="1"/>
        <v>9508215</v>
      </c>
      <c r="E165">
        <f t="shared" ca="1" si="16"/>
        <v>74.01111111111112</v>
      </c>
      <c r="F165">
        <f t="shared" ca="1" si="17"/>
        <v>70.842999999999989</v>
      </c>
      <c r="G165">
        <f t="shared" ca="1" si="14"/>
        <v>69.822599999999966</v>
      </c>
      <c r="H165">
        <f t="shared" ca="1" si="13"/>
        <v>65.951485148514834</v>
      </c>
      <c r="I165">
        <f t="shared" ca="1" si="18"/>
        <v>3.3383152069648303</v>
      </c>
      <c r="J165">
        <f t="shared" ca="1" si="19"/>
        <v>64.166369586070331</v>
      </c>
      <c r="K165">
        <f t="shared" ca="1" si="20"/>
        <v>77.519630413929647</v>
      </c>
    </row>
    <row r="166" spans="1:11" x14ac:dyDescent="0.25">
      <c r="A166" s="5">
        <f t="shared" ca="1" si="15"/>
        <v>45530</v>
      </c>
      <c r="B166" vm="487">
        <f ca="1"/>
        <v>45531</v>
      </c>
      <c r="C166" vm="488">
        <f ca="1"/>
        <v>76.13</v>
      </c>
      <c r="D166" vm="489">
        <f ca="1"/>
        <v>11557762</v>
      </c>
      <c r="E166">
        <f t="shared" ca="1" si="16"/>
        <v>74.841111111111104</v>
      </c>
      <c r="F166">
        <f t="shared" ca="1" si="17"/>
        <v>71.190000000000012</v>
      </c>
      <c r="G166">
        <f t="shared" ca="1" si="14"/>
        <v>70.004799999999975</v>
      </c>
      <c r="H166">
        <f t="shared" ref="H166:H229" ca="1" si="21">AVERAGE(C66:C166)</f>
        <v>66.116831683168286</v>
      </c>
      <c r="I166">
        <f t="shared" ca="1" si="18"/>
        <v>3.5135407242627257</v>
      </c>
      <c r="J166">
        <f t="shared" ca="1" si="19"/>
        <v>64.162918551474561</v>
      </c>
      <c r="K166">
        <f t="shared" ca="1" si="20"/>
        <v>78.217081448525462</v>
      </c>
    </row>
    <row r="167" spans="1:11" x14ac:dyDescent="0.25">
      <c r="A167" s="5">
        <f t="shared" ca="1" si="15"/>
        <v>45530</v>
      </c>
      <c r="B167" vm="490">
        <f ca="1"/>
        <v>45532</v>
      </c>
      <c r="C167" vm="491">
        <f ca="1"/>
        <v>76.08</v>
      </c>
      <c r="D167" vm="492">
        <f ca="1"/>
        <v>9814264</v>
      </c>
      <c r="E167">
        <f t="shared" ca="1" si="16"/>
        <v>75.163333333333341</v>
      </c>
      <c r="F167">
        <f t="shared" ca="1" si="17"/>
        <v>71.561999999999983</v>
      </c>
      <c r="G167">
        <f t="shared" ca="1" si="14"/>
        <v>70.177999999999969</v>
      </c>
      <c r="H167">
        <f t="shared" ca="1" si="21"/>
        <v>66.280990099009884</v>
      </c>
      <c r="I167">
        <f t="shared" ca="1" si="18"/>
        <v>3.6215460496138507</v>
      </c>
      <c r="J167">
        <f t="shared" ca="1" si="19"/>
        <v>64.318907900772288</v>
      </c>
      <c r="K167">
        <f t="shared" ca="1" si="20"/>
        <v>78.805092099227679</v>
      </c>
    </row>
    <row r="168" spans="1:11" x14ac:dyDescent="0.25">
      <c r="A168" s="5">
        <f t="shared" ca="1" si="15"/>
        <v>45530</v>
      </c>
      <c r="B168" vm="493">
        <f ca="1"/>
        <v>45533</v>
      </c>
      <c r="C168" vm="494">
        <f ca="1"/>
        <v>76.42</v>
      </c>
      <c r="D168" vm="495">
        <f ca="1"/>
        <v>11856787</v>
      </c>
      <c r="E168">
        <f t="shared" ca="1" si="16"/>
        <v>75.493333333333325</v>
      </c>
      <c r="F168">
        <f t="shared" ca="1" si="17"/>
        <v>71.893499999999989</v>
      </c>
      <c r="G168">
        <f t="shared" ca="1" si="14"/>
        <v>70.354399999999984</v>
      </c>
      <c r="H168">
        <f t="shared" ca="1" si="21"/>
        <v>66.445049504950489</v>
      </c>
      <c r="I168">
        <f t="shared" ca="1" si="18"/>
        <v>3.7519023595756695</v>
      </c>
      <c r="J168">
        <f t="shared" ca="1" si="19"/>
        <v>64.389695280848656</v>
      </c>
      <c r="K168">
        <f t="shared" ca="1" si="20"/>
        <v>79.397304719151322</v>
      </c>
    </row>
    <row r="169" spans="1:11" x14ac:dyDescent="0.25">
      <c r="A169" s="5">
        <f t="shared" ca="1" si="15"/>
        <v>45530</v>
      </c>
      <c r="B169" vm="496">
        <f ca="1"/>
        <v>45534</v>
      </c>
      <c r="C169" vm="497">
        <f ca="1"/>
        <v>77.23</v>
      </c>
      <c r="D169" vm="498">
        <f ca="1"/>
        <v>23229975</v>
      </c>
      <c r="E169">
        <f t="shared" ca="1" si="16"/>
        <v>75.88333333333334</v>
      </c>
      <c r="F169">
        <f t="shared" ca="1" si="17"/>
        <v>72.331999999999994</v>
      </c>
      <c r="G169">
        <f t="shared" ca="1" si="14"/>
        <v>70.538799999999966</v>
      </c>
      <c r="H169">
        <f t="shared" ca="1" si="21"/>
        <v>66.617821782178197</v>
      </c>
      <c r="I169">
        <f t="shared" ca="1" si="18"/>
        <v>3.8409313563523284</v>
      </c>
      <c r="J169">
        <f t="shared" ca="1" si="19"/>
        <v>64.650137287295337</v>
      </c>
      <c r="K169">
        <f t="shared" ca="1" si="20"/>
        <v>80.01386271270465</v>
      </c>
    </row>
    <row r="170" spans="1:11" x14ac:dyDescent="0.25">
      <c r="A170" s="5">
        <f t="shared" ca="1" si="15"/>
        <v>45537</v>
      </c>
      <c r="B170" vm="499">
        <f ca="1"/>
        <v>45538</v>
      </c>
      <c r="C170" vm="500">
        <f ca="1"/>
        <v>77.17</v>
      </c>
      <c r="D170" vm="501">
        <f ca="1"/>
        <v>22666144</v>
      </c>
      <c r="E170">
        <f t="shared" ca="1" si="16"/>
        <v>76.175555555555547</v>
      </c>
      <c r="F170">
        <f t="shared" ca="1" si="17"/>
        <v>72.811000000000007</v>
      </c>
      <c r="G170">
        <f t="shared" ca="1" si="14"/>
        <v>70.723999999999975</v>
      </c>
      <c r="H170">
        <f t="shared" ca="1" si="21"/>
        <v>66.789900990098985</v>
      </c>
      <c r="I170">
        <f t="shared" ca="1" si="18"/>
        <v>3.8157097704924556</v>
      </c>
      <c r="J170">
        <f t="shared" ca="1" si="19"/>
        <v>65.179580459015099</v>
      </c>
      <c r="K170">
        <f t="shared" ca="1" si="20"/>
        <v>80.442419540984915</v>
      </c>
    </row>
    <row r="171" spans="1:11" x14ac:dyDescent="0.25">
      <c r="A171" s="5">
        <f t="shared" ca="1" si="15"/>
        <v>45537</v>
      </c>
      <c r="B171" vm="502">
        <f ca="1"/>
        <v>45539</v>
      </c>
      <c r="C171" vm="503">
        <f ca="1"/>
        <v>77.239999999999995</v>
      </c>
      <c r="D171" vm="504">
        <f ca="1"/>
        <v>18442775</v>
      </c>
      <c r="E171">
        <f t="shared" ca="1" si="16"/>
        <v>76.397777777777776</v>
      </c>
      <c r="F171">
        <f t="shared" ca="1" si="17"/>
        <v>73.286000000000001</v>
      </c>
      <c r="G171">
        <f t="shared" ca="1" si="14"/>
        <v>70.890799999999956</v>
      </c>
      <c r="H171">
        <f t="shared" ca="1" si="21"/>
        <v>66.954455445544539</v>
      </c>
      <c r="I171">
        <f t="shared" ca="1" si="18"/>
        <v>3.7418098632388554</v>
      </c>
      <c r="J171">
        <f t="shared" ca="1" si="19"/>
        <v>65.802380273522289</v>
      </c>
      <c r="K171">
        <f t="shared" ca="1" si="20"/>
        <v>80.769619726477714</v>
      </c>
    </row>
    <row r="172" spans="1:11" x14ac:dyDescent="0.25">
      <c r="A172" s="5">
        <f t="shared" ca="1" si="15"/>
        <v>45537</v>
      </c>
      <c r="B172" vm="505">
        <f ca="1"/>
        <v>45540</v>
      </c>
      <c r="C172" vm="506">
        <f ca="1"/>
        <v>76.959999999999994</v>
      </c>
      <c r="D172" vm="507">
        <f ca="1"/>
        <v>13082893</v>
      </c>
      <c r="E172">
        <f t="shared" ca="1" si="16"/>
        <v>76.551111111111112</v>
      </c>
      <c r="F172">
        <f t="shared" ca="1" si="17"/>
        <v>73.788500000000013</v>
      </c>
      <c r="G172">
        <f t="shared" ca="1" si="14"/>
        <v>71.08159999999998</v>
      </c>
      <c r="H172">
        <f t="shared" ca="1" si="21"/>
        <v>67.121485148514836</v>
      </c>
      <c r="I172">
        <f t="shared" ca="1" si="18"/>
        <v>3.5080092945324868</v>
      </c>
      <c r="J172">
        <f t="shared" ca="1" si="19"/>
        <v>66.772481410935043</v>
      </c>
      <c r="K172">
        <f t="shared" ca="1" si="20"/>
        <v>80.804518589064983</v>
      </c>
    </row>
    <row r="173" spans="1:11" x14ac:dyDescent="0.25">
      <c r="A173" s="5">
        <f t="shared" ca="1" si="15"/>
        <v>45537</v>
      </c>
      <c r="B173" vm="508">
        <f ca="1"/>
        <v>45541</v>
      </c>
      <c r="C173" vm="509">
        <f ca="1"/>
        <v>76.64</v>
      </c>
      <c r="D173" vm="510">
        <f ca="1"/>
        <v>14548588</v>
      </c>
      <c r="E173">
        <f t="shared" ca="1" si="16"/>
        <v>76.655555555555566</v>
      </c>
      <c r="F173">
        <f t="shared" ca="1" si="17"/>
        <v>74.237500000000011</v>
      </c>
      <c r="G173">
        <f t="shared" ca="1" si="14"/>
        <v>71.248599999999968</v>
      </c>
      <c r="H173">
        <f t="shared" ca="1" si="21"/>
        <v>67.284851485148508</v>
      </c>
      <c r="I173">
        <f t="shared" ca="1" si="18"/>
        <v>3.2473225813535098</v>
      </c>
      <c r="J173">
        <f t="shared" ca="1" si="19"/>
        <v>67.742854837292995</v>
      </c>
      <c r="K173">
        <f t="shared" ca="1" si="20"/>
        <v>80.732145162707027</v>
      </c>
    </row>
    <row r="174" spans="1:11" x14ac:dyDescent="0.25">
      <c r="A174" s="5">
        <f t="shared" ca="1" si="15"/>
        <v>45544</v>
      </c>
      <c r="B174" vm="511">
        <f ca="1"/>
        <v>45544</v>
      </c>
      <c r="C174" vm="512">
        <f ca="1"/>
        <v>77.34</v>
      </c>
      <c r="D174" vm="513">
        <f ca="1"/>
        <v>22260226</v>
      </c>
      <c r="E174">
        <f t="shared" ca="1" si="16"/>
        <v>76.801111111111112</v>
      </c>
      <c r="F174">
        <f t="shared" ca="1" si="17"/>
        <v>74.707000000000008</v>
      </c>
      <c r="G174">
        <f t="shared" ca="1" si="14"/>
        <v>71.437799999999982</v>
      </c>
      <c r="H174">
        <f t="shared" ca="1" si="21"/>
        <v>67.457227722772274</v>
      </c>
      <c r="I174">
        <f t="shared" ca="1" si="18"/>
        <v>2.9561819258880822</v>
      </c>
      <c r="J174">
        <f t="shared" ca="1" si="19"/>
        <v>68.794636148223844</v>
      </c>
      <c r="K174">
        <f t="shared" ca="1" si="20"/>
        <v>80.619363851776171</v>
      </c>
    </row>
    <row r="175" spans="1:11" x14ac:dyDescent="0.25">
      <c r="A175" s="5">
        <f t="shared" ca="1" si="15"/>
        <v>45544</v>
      </c>
      <c r="B175" vm="514">
        <f ca="1"/>
        <v>45545</v>
      </c>
      <c r="C175" vm="515">
        <f ca="1"/>
        <v>78.81</v>
      </c>
      <c r="D175" vm="516">
        <f ca="1"/>
        <v>17686284</v>
      </c>
      <c r="E175">
        <f t="shared" ca="1" si="16"/>
        <v>77.098888888888894</v>
      </c>
      <c r="F175">
        <f t="shared" ca="1" si="17"/>
        <v>75.212500000000006</v>
      </c>
      <c r="G175">
        <f t="shared" ca="1" si="14"/>
        <v>71.65979999999999</v>
      </c>
      <c r="H175">
        <f t="shared" ca="1" si="21"/>
        <v>67.645049504950492</v>
      </c>
      <c r="I175">
        <f t="shared" ca="1" si="18"/>
        <v>2.7307332252287888</v>
      </c>
      <c r="J175">
        <f t="shared" ca="1" si="19"/>
        <v>69.751033549542427</v>
      </c>
      <c r="K175">
        <f t="shared" ca="1" si="20"/>
        <v>80.673966450457584</v>
      </c>
    </row>
    <row r="176" spans="1:11" x14ac:dyDescent="0.25">
      <c r="A176" s="5">
        <f t="shared" ca="1" si="15"/>
        <v>45544</v>
      </c>
      <c r="B176" vm="517">
        <f ca="1"/>
        <v>45546</v>
      </c>
      <c r="C176" vm="518">
        <f ca="1"/>
        <v>78.84</v>
      </c>
      <c r="D176" vm="519">
        <f ca="1"/>
        <v>19518761</v>
      </c>
      <c r="E176">
        <f t="shared" ca="1" si="16"/>
        <v>77.405555555555551</v>
      </c>
      <c r="F176">
        <f t="shared" ca="1" si="17"/>
        <v>75.748000000000005</v>
      </c>
      <c r="G176">
        <f t="shared" ca="1" si="14"/>
        <v>71.886999999999986</v>
      </c>
      <c r="H176">
        <f t="shared" ca="1" si="21"/>
        <v>67.83504950495049</v>
      </c>
      <c r="I176">
        <f t="shared" ca="1" si="18"/>
        <v>2.2819995848516621</v>
      </c>
      <c r="J176">
        <f t="shared" ca="1" si="19"/>
        <v>71.184000830296682</v>
      </c>
      <c r="K176">
        <f t="shared" ca="1" si="20"/>
        <v>80.311999169703327</v>
      </c>
    </row>
    <row r="177" spans="1:11" x14ac:dyDescent="0.25">
      <c r="A177" s="5">
        <f t="shared" ca="1" si="15"/>
        <v>45544</v>
      </c>
      <c r="B177" vm="520">
        <f ca="1"/>
        <v>45547</v>
      </c>
      <c r="C177" vm="521">
        <f ca="1"/>
        <v>79.66</v>
      </c>
      <c r="D177" vm="522">
        <f ca="1"/>
        <v>14884852</v>
      </c>
      <c r="E177">
        <f t="shared" ca="1" si="16"/>
        <v>77.765555555555537</v>
      </c>
      <c r="F177">
        <f t="shared" ca="1" si="17"/>
        <v>76.297999999999988</v>
      </c>
      <c r="G177">
        <f t="shared" ca="1" si="14"/>
        <v>72.118799999999979</v>
      </c>
      <c r="H177">
        <f t="shared" ca="1" si="21"/>
        <v>68.037029702970301</v>
      </c>
      <c r="I177">
        <f t="shared" ca="1" si="18"/>
        <v>1.7465291897149364</v>
      </c>
      <c r="J177">
        <f t="shared" ca="1" si="19"/>
        <v>72.804941620570119</v>
      </c>
      <c r="K177">
        <f t="shared" ca="1" si="20"/>
        <v>79.791058379429856</v>
      </c>
    </row>
    <row r="178" spans="1:11" x14ac:dyDescent="0.25">
      <c r="A178" s="5">
        <f t="shared" ca="1" si="15"/>
        <v>45544</v>
      </c>
      <c r="B178" vm="523">
        <f ca="1"/>
        <v>45548</v>
      </c>
      <c r="C178" vm="524">
        <f ca="1"/>
        <v>80.599999999999994</v>
      </c>
      <c r="D178" vm="525">
        <f ca="1"/>
        <v>12994100</v>
      </c>
      <c r="E178">
        <f t="shared" ca="1" si="16"/>
        <v>78.14</v>
      </c>
      <c r="F178">
        <f t="shared" ca="1" si="17"/>
        <v>76.668999999999997</v>
      </c>
      <c r="G178">
        <f t="shared" ca="1" si="14"/>
        <v>72.366</v>
      </c>
      <c r="H178">
        <f t="shared" ca="1" si="21"/>
        <v>68.245643564356428</v>
      </c>
      <c r="I178">
        <f t="shared" ca="1" si="18"/>
        <v>1.8351735899535921</v>
      </c>
      <c r="J178">
        <f t="shared" ca="1" si="19"/>
        <v>72.998652820092815</v>
      </c>
      <c r="K178">
        <f t="shared" ca="1" si="20"/>
        <v>80.339347179907179</v>
      </c>
    </row>
    <row r="179" spans="1:11" x14ac:dyDescent="0.25">
      <c r="A179" s="5">
        <f t="shared" ca="1" si="15"/>
        <v>45551</v>
      </c>
      <c r="B179" vm="526">
        <f ca="1"/>
        <v>45551</v>
      </c>
      <c r="C179" vm="527">
        <f ca="1"/>
        <v>80.56</v>
      </c>
      <c r="D179" vm="528">
        <f ca="1"/>
        <v>15346367</v>
      </c>
      <c r="E179">
        <f t="shared" ca="1" si="16"/>
        <v>78.516666666666652</v>
      </c>
      <c r="F179">
        <f t="shared" ca="1" si="17"/>
        <v>77.024499999999989</v>
      </c>
      <c r="G179">
        <f t="shared" ca="1" si="14"/>
        <v>72.576399999999992</v>
      </c>
      <c r="H179">
        <f t="shared" ca="1" si="21"/>
        <v>68.447821782178224</v>
      </c>
      <c r="I179">
        <f t="shared" ca="1" si="18"/>
        <v>1.8671635538543763</v>
      </c>
      <c r="J179">
        <f t="shared" ca="1" si="19"/>
        <v>73.290172892291238</v>
      </c>
      <c r="K179">
        <f t="shared" ca="1" si="20"/>
        <v>80.75882710770874</v>
      </c>
    </row>
    <row r="180" spans="1:11" x14ac:dyDescent="0.25">
      <c r="A180" s="5">
        <f t="shared" ca="1" si="15"/>
        <v>45551</v>
      </c>
      <c r="B180" vm="529">
        <f ca="1"/>
        <v>45552</v>
      </c>
      <c r="C180" vm="530">
        <f ca="1"/>
        <v>78.599999999999994</v>
      </c>
      <c r="D180" vm="531">
        <f ca="1"/>
        <v>21065938</v>
      </c>
      <c r="E180">
        <f t="shared" ca="1" si="16"/>
        <v>78.667777777777786</v>
      </c>
      <c r="F180">
        <f t="shared" ca="1" si="17"/>
        <v>77.268499999999989</v>
      </c>
      <c r="G180">
        <f t="shared" ref="G180:G243" ca="1" si="22">AVERAGE(C131:C180)</f>
        <v>72.754799999999989</v>
      </c>
      <c r="H180">
        <f t="shared" ca="1" si="21"/>
        <v>68.640990099009912</v>
      </c>
      <c r="I180">
        <f t="shared" ca="1" si="18"/>
        <v>1.7261373824692785</v>
      </c>
      <c r="J180">
        <f t="shared" ca="1" si="19"/>
        <v>73.816225235061438</v>
      </c>
      <c r="K180">
        <f t="shared" ca="1" si="20"/>
        <v>80.72077476493854</v>
      </c>
    </row>
    <row r="181" spans="1:11" x14ac:dyDescent="0.25">
      <c r="A181" s="5">
        <f t="shared" ca="1" si="15"/>
        <v>45551</v>
      </c>
      <c r="B181" vm="532">
        <f ca="1"/>
        <v>45553</v>
      </c>
      <c r="C181" vm="533">
        <f ca="1"/>
        <v>79.03</v>
      </c>
      <c r="D181" vm="534">
        <f ca="1"/>
        <v>15684878</v>
      </c>
      <c r="E181">
        <f t="shared" ca="1" si="16"/>
        <v>78.897777777777776</v>
      </c>
      <c r="F181">
        <f t="shared" ca="1" si="17"/>
        <v>77.492999999999981</v>
      </c>
      <c r="G181">
        <f t="shared" ca="1" si="22"/>
        <v>72.937400000000011</v>
      </c>
      <c r="H181">
        <f t="shared" ca="1" si="21"/>
        <v>68.830693069306932</v>
      </c>
      <c r="I181">
        <f t="shared" ca="1" si="18"/>
        <v>1.6425528910814411</v>
      </c>
      <c r="J181">
        <f t="shared" ca="1" si="19"/>
        <v>74.207894217837094</v>
      </c>
      <c r="K181">
        <f t="shared" ca="1" si="20"/>
        <v>80.778105782162868</v>
      </c>
    </row>
    <row r="182" spans="1:11" x14ac:dyDescent="0.25">
      <c r="A182" s="5">
        <f t="shared" ca="1" si="15"/>
        <v>45551</v>
      </c>
      <c r="B182" vm="535">
        <f ca="1"/>
        <v>45554</v>
      </c>
      <c r="C182" vm="536">
        <f ca="1"/>
        <v>78.040000000000006</v>
      </c>
      <c r="D182" vm="537">
        <f ca="1"/>
        <v>21525685</v>
      </c>
      <c r="E182">
        <f t="shared" ca="1" si="16"/>
        <v>79.053333333333327</v>
      </c>
      <c r="F182">
        <f t="shared" ca="1" si="17"/>
        <v>77.632999999999981</v>
      </c>
      <c r="G182">
        <f t="shared" ca="1" si="22"/>
        <v>73.09</v>
      </c>
      <c r="H182">
        <f t="shared" ca="1" si="21"/>
        <v>69.007227722772285</v>
      </c>
      <c r="I182">
        <f t="shared" ca="1" si="18"/>
        <v>1.5575422609794065</v>
      </c>
      <c r="J182">
        <f t="shared" ca="1" si="19"/>
        <v>74.517915478041175</v>
      </c>
      <c r="K182">
        <f t="shared" ca="1" si="20"/>
        <v>80.748084521958788</v>
      </c>
    </row>
    <row r="183" spans="1:11" x14ac:dyDescent="0.25">
      <c r="A183" s="5">
        <f t="shared" ca="1" si="15"/>
        <v>45551</v>
      </c>
      <c r="B183" vm="538">
        <f ca="1"/>
        <v>45555</v>
      </c>
      <c r="C183" vm="539">
        <f ca="1"/>
        <v>79.06</v>
      </c>
      <c r="D183" vm="540">
        <f ca="1"/>
        <v>39534251</v>
      </c>
      <c r="E183">
        <f t="shared" ca="1" si="16"/>
        <v>79.244444444444426</v>
      </c>
      <c r="F183">
        <f t="shared" ca="1" si="17"/>
        <v>77.806999999999988</v>
      </c>
      <c r="G183">
        <f t="shared" ca="1" si="22"/>
        <v>73.275200000000012</v>
      </c>
      <c r="H183">
        <f t="shared" ca="1" si="21"/>
        <v>69.19435643564357</v>
      </c>
      <c r="I183">
        <f t="shared" ca="1" si="18"/>
        <v>1.5097720288001655</v>
      </c>
      <c r="J183">
        <f t="shared" ca="1" si="19"/>
        <v>74.78745594239966</v>
      </c>
      <c r="K183">
        <f t="shared" ca="1" si="20"/>
        <v>80.826544057600316</v>
      </c>
    </row>
    <row r="184" spans="1:11" x14ac:dyDescent="0.25">
      <c r="A184" s="5">
        <f t="shared" ca="1" si="15"/>
        <v>45558</v>
      </c>
      <c r="B184" vm="541">
        <f ca="1"/>
        <v>45558</v>
      </c>
      <c r="C184" vm="542">
        <f ca="1"/>
        <v>80.33</v>
      </c>
      <c r="D184" vm="543">
        <f ca="1"/>
        <v>12147264</v>
      </c>
      <c r="E184">
        <f t="shared" ca="1" si="16"/>
        <v>79.413333333333327</v>
      </c>
      <c r="F184">
        <f t="shared" ca="1" si="17"/>
        <v>78.038499999999985</v>
      </c>
      <c r="G184">
        <f t="shared" ca="1" si="22"/>
        <v>73.497000000000014</v>
      </c>
      <c r="H184">
        <f t="shared" ca="1" si="21"/>
        <v>69.393267326732683</v>
      </c>
      <c r="I184">
        <f t="shared" ca="1" si="18"/>
        <v>1.524588900585818</v>
      </c>
      <c r="J184">
        <f t="shared" ca="1" si="19"/>
        <v>74.989322198828347</v>
      </c>
      <c r="K184">
        <f t="shared" ca="1" si="20"/>
        <v>81.087677801171623</v>
      </c>
    </row>
    <row r="185" spans="1:11" x14ac:dyDescent="0.25">
      <c r="A185" s="5">
        <f t="shared" ca="1" si="15"/>
        <v>45558</v>
      </c>
      <c r="B185" vm="544">
        <f ca="1"/>
        <v>45559</v>
      </c>
      <c r="C185" vm="545">
        <f ca="1"/>
        <v>80.67</v>
      </c>
      <c r="D185" vm="546">
        <f ca="1"/>
        <v>14651133</v>
      </c>
      <c r="E185">
        <f t="shared" ca="1" si="16"/>
        <v>79.61666666666666</v>
      </c>
      <c r="F185">
        <f t="shared" ca="1" si="17"/>
        <v>78.270499999999998</v>
      </c>
      <c r="G185">
        <f t="shared" ca="1" si="22"/>
        <v>73.71820000000001</v>
      </c>
      <c r="H185">
        <f t="shared" ca="1" si="21"/>
        <v>69.604356435643567</v>
      </c>
      <c r="I185">
        <f t="shared" ca="1" si="18"/>
        <v>1.5555891589937709</v>
      </c>
      <c r="J185">
        <f t="shared" ca="1" si="19"/>
        <v>75.159321682012461</v>
      </c>
      <c r="K185">
        <f t="shared" ca="1" si="20"/>
        <v>81.381678317987536</v>
      </c>
    </row>
    <row r="186" spans="1:11" x14ac:dyDescent="0.25">
      <c r="A186" s="5">
        <f t="shared" ca="1" si="15"/>
        <v>45558</v>
      </c>
      <c r="B186" vm="547">
        <f ca="1"/>
        <v>45560</v>
      </c>
      <c r="C186" vm="548">
        <f ca="1"/>
        <v>81.400000000000006</v>
      </c>
      <c r="D186" vm="549">
        <f ca="1"/>
        <v>14163785</v>
      </c>
      <c r="E186">
        <f t="shared" ca="1" si="16"/>
        <v>79.81</v>
      </c>
      <c r="F186">
        <f t="shared" ca="1" si="17"/>
        <v>78.534000000000006</v>
      </c>
      <c r="G186">
        <f t="shared" ca="1" si="22"/>
        <v>73.946400000000011</v>
      </c>
      <c r="H186">
        <f t="shared" ca="1" si="21"/>
        <v>69.827623762376248</v>
      </c>
      <c r="I186">
        <f t="shared" ca="1" si="18"/>
        <v>1.6189775850988899</v>
      </c>
      <c r="J186">
        <f t="shared" ca="1" si="19"/>
        <v>75.296044829802227</v>
      </c>
      <c r="K186">
        <f t="shared" ca="1" si="20"/>
        <v>81.771955170197785</v>
      </c>
    </row>
    <row r="187" spans="1:11" x14ac:dyDescent="0.25">
      <c r="A187" s="5">
        <f t="shared" ca="1" si="15"/>
        <v>45558</v>
      </c>
      <c r="B187" vm="550">
        <f ca="1"/>
        <v>45561</v>
      </c>
      <c r="C187" vm="551">
        <f ca="1"/>
        <v>79.92</v>
      </c>
      <c r="D187" vm="552">
        <f ca="1"/>
        <v>17061133</v>
      </c>
      <c r="E187">
        <f t="shared" ca="1" si="16"/>
        <v>79.734444444444435</v>
      </c>
      <c r="F187">
        <f t="shared" ca="1" si="17"/>
        <v>78.726000000000013</v>
      </c>
      <c r="G187">
        <f t="shared" ca="1" si="22"/>
        <v>74.124200000000002</v>
      </c>
      <c r="H187">
        <f t="shared" ca="1" si="21"/>
        <v>70.027722772277244</v>
      </c>
      <c r="I187">
        <f t="shared" ca="1" si="18"/>
        <v>1.5383223945173798</v>
      </c>
      <c r="J187">
        <f t="shared" ca="1" si="19"/>
        <v>75.649355210965254</v>
      </c>
      <c r="K187">
        <f t="shared" ca="1" si="20"/>
        <v>81.802644789034773</v>
      </c>
    </row>
    <row r="188" spans="1:11" x14ac:dyDescent="0.25">
      <c r="A188" s="5">
        <f t="shared" ca="1" si="15"/>
        <v>45558</v>
      </c>
      <c r="B188" vm="553">
        <f ca="1"/>
        <v>45562</v>
      </c>
      <c r="C188" vm="554">
        <f ca="1"/>
        <v>79.78</v>
      </c>
      <c r="D188" vm="555">
        <f ca="1"/>
        <v>11899050</v>
      </c>
      <c r="E188">
        <f t="shared" ca="1" si="16"/>
        <v>79.647777777777776</v>
      </c>
      <c r="F188">
        <f t="shared" ca="1" si="17"/>
        <v>78.894000000000005</v>
      </c>
      <c r="G188">
        <f t="shared" ca="1" si="22"/>
        <v>74.303399999999996</v>
      </c>
      <c r="H188">
        <f t="shared" ca="1" si="21"/>
        <v>70.225346534653468</v>
      </c>
      <c r="I188">
        <f t="shared" ca="1" si="18"/>
        <v>1.4544139713300339</v>
      </c>
      <c r="J188">
        <f t="shared" ca="1" si="19"/>
        <v>75.985172057339938</v>
      </c>
      <c r="K188">
        <f t="shared" ca="1" si="20"/>
        <v>81.802827942660073</v>
      </c>
    </row>
    <row r="189" spans="1:11" x14ac:dyDescent="0.25">
      <c r="A189" s="5">
        <f t="shared" ca="1" si="15"/>
        <v>45565</v>
      </c>
      <c r="B189" vm="556">
        <f ca="1"/>
        <v>45565</v>
      </c>
      <c r="C189" vm="557">
        <f ca="1"/>
        <v>80.75</v>
      </c>
      <c r="D189" vm="558">
        <f ca="1"/>
        <v>19008187</v>
      </c>
      <c r="E189">
        <f t="shared" ca="1" si="16"/>
        <v>79.886666666666656</v>
      </c>
      <c r="F189">
        <f t="shared" ca="1" si="17"/>
        <v>79.070000000000007</v>
      </c>
      <c r="G189">
        <f t="shared" ca="1" si="22"/>
        <v>74.503399999999999</v>
      </c>
      <c r="H189">
        <f t="shared" ca="1" si="21"/>
        <v>70.432079207920793</v>
      </c>
      <c r="I189">
        <f t="shared" ca="1" si="18"/>
        <v>1.4554326540676203</v>
      </c>
      <c r="J189">
        <f t="shared" ca="1" si="19"/>
        <v>76.159134691864764</v>
      </c>
      <c r="K189">
        <f t="shared" ca="1" si="20"/>
        <v>81.98086530813525</v>
      </c>
    </row>
    <row r="190" spans="1:11" x14ac:dyDescent="0.25">
      <c r="A190" s="5">
        <f t="shared" ca="1" si="15"/>
        <v>45565</v>
      </c>
      <c r="B190" vm="559">
        <f ca="1"/>
        <v>45566</v>
      </c>
      <c r="C190" vm="560">
        <f ca="1"/>
        <v>81.27</v>
      </c>
      <c r="D190" vm="561">
        <f ca="1"/>
        <v>16054249</v>
      </c>
      <c r="E190">
        <f t="shared" ca="1" si="16"/>
        <v>80.135555555555555</v>
      </c>
      <c r="F190">
        <f t="shared" ca="1" si="17"/>
        <v>79.275000000000006</v>
      </c>
      <c r="G190">
        <f t="shared" ca="1" si="22"/>
        <v>74.721199999999996</v>
      </c>
      <c r="H190">
        <f t="shared" ca="1" si="21"/>
        <v>70.636534653465361</v>
      </c>
      <c r="I190">
        <f t="shared" ca="1" si="18"/>
        <v>1.462458276507852</v>
      </c>
      <c r="J190">
        <f t="shared" ca="1" si="19"/>
        <v>76.3500834469843</v>
      </c>
      <c r="K190">
        <f t="shared" ca="1" si="20"/>
        <v>82.199916553015711</v>
      </c>
    </row>
    <row r="191" spans="1:11" x14ac:dyDescent="0.25">
      <c r="A191" s="5">
        <f t="shared" ca="1" si="15"/>
        <v>45565</v>
      </c>
      <c r="B191" vm="562">
        <f ca="1"/>
        <v>45567</v>
      </c>
      <c r="C191" vm="563">
        <f ca="1"/>
        <v>80.430000000000007</v>
      </c>
      <c r="D191" vm="564">
        <f ca="1"/>
        <v>16618272</v>
      </c>
      <c r="E191">
        <f t="shared" ca="1" si="16"/>
        <v>80.401111111111121</v>
      </c>
      <c r="F191">
        <f t="shared" ca="1" si="17"/>
        <v>79.434500000000014</v>
      </c>
      <c r="G191">
        <f t="shared" ca="1" si="22"/>
        <v>74.916800000000009</v>
      </c>
      <c r="H191">
        <f t="shared" ca="1" si="21"/>
        <v>70.83584158415843</v>
      </c>
      <c r="I191">
        <f t="shared" ca="1" si="18"/>
        <v>1.4015197578268199</v>
      </c>
      <c r="J191">
        <f t="shared" ca="1" si="19"/>
        <v>76.631460484346377</v>
      </c>
      <c r="K191">
        <f t="shared" ca="1" si="20"/>
        <v>82.237539515653651</v>
      </c>
    </row>
    <row r="192" spans="1:11" x14ac:dyDescent="0.25">
      <c r="A192" s="5">
        <f t="shared" ca="1" si="15"/>
        <v>45565</v>
      </c>
      <c r="B192" vm="565">
        <f ca="1"/>
        <v>45568</v>
      </c>
      <c r="C192" vm="563">
        <f ca="1"/>
        <v>80.430000000000007</v>
      </c>
      <c r="D192" vm="566">
        <f ca="1"/>
        <v>11640421</v>
      </c>
      <c r="E192">
        <f t="shared" ca="1" si="16"/>
        <v>80.553333333333342</v>
      </c>
      <c r="F192">
        <f t="shared" ca="1" si="17"/>
        <v>79.608000000000018</v>
      </c>
      <c r="G192">
        <f t="shared" ca="1" si="22"/>
        <v>75.113399999999999</v>
      </c>
      <c r="H192">
        <f t="shared" ca="1" si="21"/>
        <v>71.033762376237647</v>
      </c>
      <c r="I192">
        <f t="shared" ca="1" si="18"/>
        <v>1.28936377619678</v>
      </c>
      <c r="J192">
        <f t="shared" ca="1" si="19"/>
        <v>77.029272447606459</v>
      </c>
      <c r="K192">
        <f t="shared" ca="1" si="20"/>
        <v>82.186727552393577</v>
      </c>
    </row>
    <row r="193" spans="1:11" x14ac:dyDescent="0.25">
      <c r="A193" s="5">
        <f t="shared" ca="1" si="15"/>
        <v>45565</v>
      </c>
      <c r="B193" vm="567">
        <f ca="1"/>
        <v>45569</v>
      </c>
      <c r="C193" vm="568">
        <f ca="1"/>
        <v>80.94</v>
      </c>
      <c r="D193" vm="569">
        <f ca="1"/>
        <v>11591388</v>
      </c>
      <c r="E193">
        <f t="shared" ca="1" si="16"/>
        <v>80.621111111111134</v>
      </c>
      <c r="F193">
        <f t="shared" ca="1" si="17"/>
        <v>79.823000000000008</v>
      </c>
      <c r="G193">
        <f t="shared" ca="1" si="22"/>
        <v>75.331799999999987</v>
      </c>
      <c r="H193">
        <f t="shared" ca="1" si="21"/>
        <v>71.23633663366337</v>
      </c>
      <c r="I193">
        <f t="shared" ca="1" si="18"/>
        <v>1.1151450224309976</v>
      </c>
      <c r="J193">
        <f t="shared" ca="1" si="19"/>
        <v>77.592709955138019</v>
      </c>
      <c r="K193">
        <f t="shared" ca="1" si="20"/>
        <v>82.053290044861996</v>
      </c>
    </row>
    <row r="194" spans="1:11" x14ac:dyDescent="0.25">
      <c r="A194" s="5">
        <f t="shared" ca="1" si="15"/>
        <v>45572</v>
      </c>
      <c r="B194" vm="570">
        <f ca="1"/>
        <v>45572</v>
      </c>
      <c r="C194" vm="571">
        <f ca="1"/>
        <v>79.099999999999994</v>
      </c>
      <c r="D194" vm="572">
        <f ca="1"/>
        <v>16791646</v>
      </c>
      <c r="E194">
        <f t="shared" ca="1" si="16"/>
        <v>80.446666666666673</v>
      </c>
      <c r="F194">
        <f t="shared" ca="1" si="17"/>
        <v>79.910999999999987</v>
      </c>
      <c r="G194">
        <f t="shared" ca="1" si="22"/>
        <v>75.518200000000007</v>
      </c>
      <c r="H194">
        <f t="shared" ca="1" si="21"/>
        <v>71.421386138613869</v>
      </c>
      <c r="I194">
        <f t="shared" ca="1" si="18"/>
        <v>0.96872080601172172</v>
      </c>
      <c r="J194">
        <f t="shared" ca="1" si="19"/>
        <v>77.973558387976539</v>
      </c>
      <c r="K194">
        <f t="shared" ca="1" si="20"/>
        <v>81.848441612023436</v>
      </c>
    </row>
    <row r="195" spans="1:11" x14ac:dyDescent="0.25">
      <c r="A195" s="5">
        <f t="shared" ref="A195:A258" ca="1" si="23">B195 - WEEKDAY(B195, 2) + 1</f>
        <v>45572</v>
      </c>
      <c r="B195" vm="573">
        <f ca="1"/>
        <v>45573</v>
      </c>
      <c r="C195" vm="574">
        <f ca="1"/>
        <v>79.709999999999994</v>
      </c>
      <c r="D195" vm="575">
        <f ca="1"/>
        <v>15269963</v>
      </c>
      <c r="E195">
        <f t="shared" ca="1" si="16"/>
        <v>80.25888888888889</v>
      </c>
      <c r="F195">
        <f t="shared" ca="1" si="17"/>
        <v>79.955999999999989</v>
      </c>
      <c r="G195">
        <f t="shared" ca="1" si="22"/>
        <v>75.72</v>
      </c>
      <c r="H195">
        <f t="shared" ca="1" si="21"/>
        <v>71.617920792079218</v>
      </c>
      <c r="I195">
        <f t="shared" ca="1" si="18"/>
        <v>0.93520839220042562</v>
      </c>
      <c r="J195">
        <f t="shared" ca="1" si="19"/>
        <v>78.085583215599144</v>
      </c>
      <c r="K195">
        <f t="shared" ca="1" si="20"/>
        <v>81.826416784400834</v>
      </c>
    </row>
    <row r="196" spans="1:11" x14ac:dyDescent="0.25">
      <c r="A196" s="5">
        <f t="shared" ca="1" si="23"/>
        <v>45572</v>
      </c>
      <c r="B196" vm="576">
        <f ca="1"/>
        <v>45574</v>
      </c>
      <c r="C196" vm="577">
        <f ca="1"/>
        <v>80.400000000000006</v>
      </c>
      <c r="D196" vm="578">
        <f ca="1"/>
        <v>12413030</v>
      </c>
      <c r="E196">
        <f t="shared" ca="1" si="16"/>
        <v>80.312222222222232</v>
      </c>
      <c r="F196">
        <f t="shared" ca="1" si="17"/>
        <v>80.034000000000006</v>
      </c>
      <c r="G196">
        <f t="shared" ca="1" si="22"/>
        <v>75.944200000000009</v>
      </c>
      <c r="H196">
        <f t="shared" ca="1" si="21"/>
        <v>71.821584158415845</v>
      </c>
      <c r="I196">
        <f t="shared" ca="1" si="18"/>
        <v>0.90168497241203094</v>
      </c>
      <c r="J196">
        <f t="shared" ca="1" si="19"/>
        <v>78.230630055175951</v>
      </c>
      <c r="K196">
        <f t="shared" ca="1" si="20"/>
        <v>81.837369944824061</v>
      </c>
    </row>
    <row r="197" spans="1:11" x14ac:dyDescent="0.25">
      <c r="A197" s="5">
        <f t="shared" ca="1" si="23"/>
        <v>45572</v>
      </c>
      <c r="B197" vm="579">
        <f ca="1"/>
        <v>45575</v>
      </c>
      <c r="C197" vm="580">
        <f ca="1"/>
        <v>79.61</v>
      </c>
      <c r="D197" vm="581">
        <f ca="1"/>
        <v>10812700</v>
      </c>
      <c r="E197">
        <f t="shared" ca="1" si="16"/>
        <v>80.293333333333337</v>
      </c>
      <c r="F197">
        <f t="shared" ca="1" si="17"/>
        <v>80.031500000000008</v>
      </c>
      <c r="G197">
        <f t="shared" ca="1" si="22"/>
        <v>76.163600000000002</v>
      </c>
      <c r="H197">
        <f t="shared" ca="1" si="21"/>
        <v>71.976039603960402</v>
      </c>
      <c r="I197">
        <f t="shared" ca="1" si="18"/>
        <v>0.9028450645189996</v>
      </c>
      <c r="J197">
        <f t="shared" ca="1" si="19"/>
        <v>78.22580987096201</v>
      </c>
      <c r="K197">
        <f t="shared" ca="1" si="20"/>
        <v>81.837190129038007</v>
      </c>
    </row>
    <row r="198" spans="1:11" x14ac:dyDescent="0.25">
      <c r="A198" s="5">
        <f t="shared" ca="1" si="23"/>
        <v>45572</v>
      </c>
      <c r="B198" vm="582">
        <f ca="1"/>
        <v>45576</v>
      </c>
      <c r="C198" vm="583">
        <f ca="1"/>
        <v>80.099999999999994</v>
      </c>
      <c r="D198" vm="584">
        <f ca="1"/>
        <v>9570734</v>
      </c>
      <c r="E198">
        <f t="shared" ca="1" si="16"/>
        <v>80.221111111111114</v>
      </c>
      <c r="F198">
        <f t="shared" ca="1" si="17"/>
        <v>80.006499999999988</v>
      </c>
      <c r="G198">
        <f t="shared" ca="1" si="22"/>
        <v>76.369799999999998</v>
      </c>
      <c r="H198">
        <f t="shared" ca="1" si="21"/>
        <v>72.129009900990098</v>
      </c>
      <c r="I198">
        <f t="shared" ca="1" si="18"/>
        <v>0.8931450934169306</v>
      </c>
      <c r="J198">
        <f t="shared" ca="1" si="19"/>
        <v>78.220209813166122</v>
      </c>
      <c r="K198">
        <f t="shared" ca="1" si="20"/>
        <v>81.792790186833855</v>
      </c>
    </row>
    <row r="199" spans="1:11" x14ac:dyDescent="0.25">
      <c r="A199" s="5">
        <f t="shared" ca="1" si="23"/>
        <v>45579</v>
      </c>
      <c r="B199" vm="585">
        <f ca="1"/>
        <v>45579</v>
      </c>
      <c r="C199" vm="586">
        <f ca="1"/>
        <v>80.290000000000006</v>
      </c>
      <c r="D199" vm="587">
        <f ca="1"/>
        <v>9914477</v>
      </c>
      <c r="E199">
        <f t="shared" ca="1" si="16"/>
        <v>80.112222222222215</v>
      </c>
      <c r="F199">
        <f t="shared" ca="1" si="17"/>
        <v>79.992999999999995</v>
      </c>
      <c r="G199">
        <f t="shared" ca="1" si="22"/>
        <v>76.606399999999994</v>
      </c>
      <c r="H199">
        <f t="shared" ca="1" si="21"/>
        <v>72.288514851485147</v>
      </c>
      <c r="I199">
        <f t="shared" ca="1" si="18"/>
        <v>0.8863532621157092</v>
      </c>
      <c r="J199">
        <f t="shared" ca="1" si="19"/>
        <v>78.220293475768571</v>
      </c>
      <c r="K199">
        <f t="shared" ca="1" si="20"/>
        <v>81.765706524231419</v>
      </c>
    </row>
    <row r="200" spans="1:11" x14ac:dyDescent="0.25">
      <c r="A200" s="5">
        <f t="shared" ca="1" si="23"/>
        <v>45579</v>
      </c>
      <c r="B200" vm="588">
        <f ca="1"/>
        <v>45580</v>
      </c>
      <c r="C200" vm="589">
        <f ca="1"/>
        <v>81.650000000000006</v>
      </c>
      <c r="D200" vm="590">
        <f ca="1"/>
        <v>13276221</v>
      </c>
      <c r="E200">
        <f t="shared" ca="1" si="16"/>
        <v>80.247777777777785</v>
      </c>
      <c r="F200">
        <f t="shared" ca="1" si="17"/>
        <v>80.145499999999998</v>
      </c>
      <c r="G200">
        <f t="shared" ca="1" si="22"/>
        <v>76.887600000000006</v>
      </c>
      <c r="H200">
        <f t="shared" ca="1" si="21"/>
        <v>72.451881188118818</v>
      </c>
      <c r="I200">
        <f t="shared" ca="1" si="18"/>
        <v>0.89639321141655526</v>
      </c>
      <c r="J200">
        <f t="shared" ca="1" si="19"/>
        <v>78.352713577166881</v>
      </c>
      <c r="K200">
        <f t="shared" ca="1" si="20"/>
        <v>81.938286422833116</v>
      </c>
    </row>
    <row r="201" spans="1:11" x14ac:dyDescent="0.25">
      <c r="A201" s="5">
        <f t="shared" ca="1" si="23"/>
        <v>45579</v>
      </c>
      <c r="B201" vm="591">
        <f ca="1"/>
        <v>45581</v>
      </c>
      <c r="C201" vm="592">
        <f ca="1"/>
        <v>81.22</v>
      </c>
      <c r="D201" vm="593">
        <f ca="1"/>
        <v>11123254</v>
      </c>
      <c r="E201">
        <f t="shared" ca="1" si="16"/>
        <v>80.335555555555558</v>
      </c>
      <c r="F201">
        <f t="shared" ca="1" si="17"/>
        <v>80.25500000000001</v>
      </c>
      <c r="G201">
        <f t="shared" ca="1" si="22"/>
        <v>77.157200000000003</v>
      </c>
      <c r="H201">
        <f t="shared" ca="1" si="21"/>
        <v>72.61</v>
      </c>
      <c r="I201">
        <f t="shared" ca="1" si="18"/>
        <v>0.8866643582610767</v>
      </c>
      <c r="J201">
        <f t="shared" ca="1" si="19"/>
        <v>78.481671283477851</v>
      </c>
      <c r="K201">
        <f t="shared" ca="1" si="20"/>
        <v>82.028328716522168</v>
      </c>
    </row>
    <row r="202" spans="1:11" x14ac:dyDescent="0.25">
      <c r="A202" s="5">
        <f t="shared" ca="1" si="23"/>
        <v>45579</v>
      </c>
      <c r="B202" vm="594">
        <f ca="1"/>
        <v>45582</v>
      </c>
      <c r="C202" vm="595">
        <f ca="1"/>
        <v>80.89</v>
      </c>
      <c r="D202" vm="596">
        <f ca="1"/>
        <v>9424705</v>
      </c>
      <c r="E202">
        <f t="shared" ca="1" si="16"/>
        <v>80.33</v>
      </c>
      <c r="F202">
        <f t="shared" ca="1" si="17"/>
        <v>80.397500000000008</v>
      </c>
      <c r="G202">
        <f t="shared" ca="1" si="22"/>
        <v>77.436800000000005</v>
      </c>
      <c r="H202">
        <f t="shared" ca="1" si="21"/>
        <v>72.768910891089121</v>
      </c>
      <c r="I202">
        <f t="shared" ca="1" si="18"/>
        <v>0.72649754590812488</v>
      </c>
      <c r="J202">
        <f t="shared" ca="1" si="19"/>
        <v>78.94450490818376</v>
      </c>
      <c r="K202">
        <f t="shared" ca="1" si="20"/>
        <v>81.850495091816256</v>
      </c>
    </row>
    <row r="203" spans="1:11" x14ac:dyDescent="0.25">
      <c r="A203" s="5">
        <f t="shared" ca="1" si="23"/>
        <v>45579</v>
      </c>
      <c r="B203" vm="597">
        <f ca="1"/>
        <v>45583</v>
      </c>
      <c r="C203" vm="598">
        <f ca="1"/>
        <v>81.31</v>
      </c>
      <c r="D203" vm="599">
        <f ca="1"/>
        <v>12324148</v>
      </c>
      <c r="E203">
        <f t="shared" ref="E203:E266" ca="1" si="24">AVERAGE(C195:C203)</f>
        <v>80.575555555555567</v>
      </c>
      <c r="F203">
        <f t="shared" ca="1" si="17"/>
        <v>80.510000000000005</v>
      </c>
      <c r="G203">
        <f t="shared" ca="1" si="22"/>
        <v>77.709800000000001</v>
      </c>
      <c r="H203">
        <f t="shared" ca="1" si="21"/>
        <v>72.926633663366346</v>
      </c>
      <c r="I203">
        <f t="shared" ca="1" si="18"/>
        <v>0.68128361819513517</v>
      </c>
      <c r="J203">
        <f t="shared" ca="1" si="19"/>
        <v>79.147432763609729</v>
      </c>
      <c r="K203">
        <f t="shared" ca="1" si="20"/>
        <v>81.872567236390282</v>
      </c>
    </row>
    <row r="204" spans="1:11" x14ac:dyDescent="0.25">
      <c r="A204" s="5">
        <f t="shared" ca="1" si="23"/>
        <v>45586</v>
      </c>
      <c r="B204" vm="600">
        <f ca="1"/>
        <v>45586</v>
      </c>
      <c r="C204" vm="601">
        <f ca="1"/>
        <v>80.81</v>
      </c>
      <c r="D204" vm="602">
        <f ca="1"/>
        <v>9750376</v>
      </c>
      <c r="E204">
        <f t="shared" ca="1" si="24"/>
        <v>80.697777777777773</v>
      </c>
      <c r="F204">
        <f t="shared" ca="1" si="17"/>
        <v>80.534000000000006</v>
      </c>
      <c r="G204">
        <f t="shared" ca="1" si="22"/>
        <v>77.966999999999985</v>
      </c>
      <c r="H204">
        <f t="shared" ca="1" si="21"/>
        <v>73.082772277227733</v>
      </c>
      <c r="I204">
        <f t="shared" ca="1" si="18"/>
        <v>0.68306122095969513</v>
      </c>
      <c r="J204">
        <f t="shared" ca="1" si="19"/>
        <v>79.167877558080619</v>
      </c>
      <c r="K204">
        <f t="shared" ca="1" si="20"/>
        <v>81.900122441919393</v>
      </c>
    </row>
    <row r="205" spans="1:11" x14ac:dyDescent="0.25">
      <c r="A205" s="5">
        <f t="shared" ca="1" si="23"/>
        <v>45586</v>
      </c>
      <c r="B205" vm="603">
        <f ca="1"/>
        <v>45587</v>
      </c>
      <c r="C205" vm="604">
        <f ca="1"/>
        <v>82.02</v>
      </c>
      <c r="D205" vm="605">
        <f ca="1"/>
        <v>12240149</v>
      </c>
      <c r="E205">
        <f t="shared" ca="1" si="24"/>
        <v>80.877777777777766</v>
      </c>
      <c r="F205">
        <f t="shared" ca="1" si="17"/>
        <v>80.601500000000016</v>
      </c>
      <c r="G205">
        <f t="shared" ca="1" si="22"/>
        <v>78.233399999999989</v>
      </c>
      <c r="H205">
        <f t="shared" ca="1" si="21"/>
        <v>73.252079207920815</v>
      </c>
      <c r="I205">
        <f t="shared" ca="1" si="18"/>
        <v>0.75962092346671328</v>
      </c>
      <c r="J205">
        <f t="shared" ca="1" si="19"/>
        <v>79.08225815306659</v>
      </c>
      <c r="K205">
        <f t="shared" ca="1" si="20"/>
        <v>82.120741846933441</v>
      </c>
    </row>
    <row r="206" spans="1:11" x14ac:dyDescent="0.25">
      <c r="A206" s="5">
        <f t="shared" ca="1" si="23"/>
        <v>45586</v>
      </c>
      <c r="B206" vm="606">
        <f ca="1"/>
        <v>45588</v>
      </c>
      <c r="C206" vm="607">
        <f ca="1"/>
        <v>83.27</v>
      </c>
      <c r="D206" vm="608">
        <f ca="1"/>
        <v>13058244</v>
      </c>
      <c r="E206">
        <f t="shared" ca="1" si="24"/>
        <v>81.284444444444432</v>
      </c>
      <c r="F206">
        <f t="shared" ca="1" si="17"/>
        <v>80.695000000000007</v>
      </c>
      <c r="G206">
        <f t="shared" ca="1" si="22"/>
        <v>78.536199999999994</v>
      </c>
      <c r="H206">
        <f t="shared" ca="1" si="21"/>
        <v>73.434059405940616</v>
      </c>
      <c r="I206">
        <f t="shared" ca="1" si="18"/>
        <v>0.95343975605229114</v>
      </c>
      <c r="J206">
        <f t="shared" ca="1" si="19"/>
        <v>78.788120487895426</v>
      </c>
      <c r="K206">
        <f t="shared" ca="1" si="20"/>
        <v>82.601879512104588</v>
      </c>
    </row>
    <row r="207" spans="1:11" x14ac:dyDescent="0.25">
      <c r="A207" s="5">
        <f t="shared" ca="1" si="23"/>
        <v>45586</v>
      </c>
      <c r="B207" vm="609">
        <f ca="1"/>
        <v>45589</v>
      </c>
      <c r="C207" vm="610">
        <f ca="1"/>
        <v>83.04</v>
      </c>
      <c r="D207" vm="611">
        <f ca="1"/>
        <v>11645856</v>
      </c>
      <c r="E207">
        <f t="shared" ca="1" si="24"/>
        <v>81.611111111111114</v>
      </c>
      <c r="F207">
        <f t="shared" ca="1" si="17"/>
        <v>80.850999999999999</v>
      </c>
      <c r="G207">
        <f t="shared" ca="1" si="22"/>
        <v>78.823799999999977</v>
      </c>
      <c r="H207">
        <f t="shared" ca="1" si="21"/>
        <v>73.605148514851507</v>
      </c>
      <c r="I207">
        <f t="shared" ca="1" si="18"/>
        <v>1.0682888432589663</v>
      </c>
      <c r="J207">
        <f t="shared" ca="1" si="19"/>
        <v>78.714422313482061</v>
      </c>
      <c r="K207">
        <f t="shared" ca="1" si="20"/>
        <v>82.987577686517938</v>
      </c>
    </row>
    <row r="208" spans="1:11" x14ac:dyDescent="0.25">
      <c r="A208" s="5">
        <f t="shared" ca="1" si="23"/>
        <v>45586</v>
      </c>
      <c r="B208" vm="612">
        <f ca="1"/>
        <v>45590</v>
      </c>
      <c r="C208" vm="613">
        <f ca="1"/>
        <v>82.51</v>
      </c>
      <c r="D208" vm="614">
        <f ca="1"/>
        <v>8959412</v>
      </c>
      <c r="E208">
        <f t="shared" ca="1" si="24"/>
        <v>81.85777777777777</v>
      </c>
      <c r="F208">
        <f t="shared" ca="1" si="17"/>
        <v>80.987499999999983</v>
      </c>
      <c r="G208">
        <f t="shared" ca="1" si="22"/>
        <v>79.01039999999999</v>
      </c>
      <c r="H208">
        <f t="shared" ca="1" si="21"/>
        <v>73.77039603960398</v>
      </c>
      <c r="I208">
        <f t="shared" ca="1" si="18"/>
        <v>1.0982324315390675</v>
      </c>
      <c r="J208">
        <f t="shared" ca="1" si="19"/>
        <v>78.791035136921849</v>
      </c>
      <c r="K208">
        <f t="shared" ca="1" si="20"/>
        <v>83.183964863078117</v>
      </c>
    </row>
    <row r="209" spans="1:11" x14ac:dyDescent="0.25">
      <c r="A209" s="5">
        <f t="shared" ca="1" si="23"/>
        <v>45593</v>
      </c>
      <c r="B209" vm="615">
        <f ca="1"/>
        <v>45593</v>
      </c>
      <c r="C209" vm="616">
        <f ca="1"/>
        <v>82.75</v>
      </c>
      <c r="D209" vm="617">
        <f ca="1"/>
        <v>7990186</v>
      </c>
      <c r="E209">
        <f t="shared" ca="1" si="24"/>
        <v>81.97999999999999</v>
      </c>
      <c r="F209">
        <f t="shared" ca="1" si="17"/>
        <v>81.087499999999991</v>
      </c>
      <c r="G209">
        <f t="shared" ca="1" si="22"/>
        <v>79.196399999999983</v>
      </c>
      <c r="H209">
        <f t="shared" ca="1" si="21"/>
        <v>73.930297029702999</v>
      </c>
      <c r="I209">
        <f t="shared" ca="1" si="18"/>
        <v>1.1645232817269959</v>
      </c>
      <c r="J209">
        <f t="shared" ca="1" si="19"/>
        <v>78.758453436546006</v>
      </c>
      <c r="K209">
        <f t="shared" ca="1" si="20"/>
        <v>83.416546563453977</v>
      </c>
    </row>
    <row r="210" spans="1:11" x14ac:dyDescent="0.25">
      <c r="A210" s="5">
        <f t="shared" ca="1" si="23"/>
        <v>45593</v>
      </c>
      <c r="B210" vm="618">
        <f ca="1"/>
        <v>45594</v>
      </c>
      <c r="C210" vm="619">
        <f ca="1"/>
        <v>81.7</v>
      </c>
      <c r="D210" vm="620">
        <f ca="1"/>
        <v>9682403</v>
      </c>
      <c r="E210">
        <f t="shared" ca="1" si="24"/>
        <v>82.033333333333346</v>
      </c>
      <c r="F210">
        <f t="shared" ca="1" si="17"/>
        <v>81.108999999999995</v>
      </c>
      <c r="G210">
        <f t="shared" ca="1" si="22"/>
        <v>79.35599999999998</v>
      </c>
      <c r="H210">
        <f t="shared" ca="1" si="21"/>
        <v>74.074950495049521</v>
      </c>
      <c r="I210">
        <f t="shared" ca="1" si="18"/>
        <v>1.1720153582611459</v>
      </c>
      <c r="J210">
        <f t="shared" ca="1" si="19"/>
        <v>78.764969283477697</v>
      </c>
      <c r="K210">
        <f t="shared" ca="1" si="20"/>
        <v>83.453030716522292</v>
      </c>
    </row>
    <row r="211" spans="1:11" x14ac:dyDescent="0.25">
      <c r="A211" s="5">
        <f t="shared" ca="1" si="23"/>
        <v>45593</v>
      </c>
      <c r="B211" vm="621">
        <f ca="1"/>
        <v>45595</v>
      </c>
      <c r="C211" vm="622">
        <f ca="1"/>
        <v>81.39</v>
      </c>
      <c r="D211" vm="623">
        <f ca="1"/>
        <v>9268824</v>
      </c>
      <c r="E211">
        <f t="shared" ca="1" si="24"/>
        <v>82.088888888888903</v>
      </c>
      <c r="F211">
        <f t="shared" ca="1" si="17"/>
        <v>81.157000000000011</v>
      </c>
      <c r="G211">
        <f t="shared" ca="1" si="22"/>
        <v>79.492999999999981</v>
      </c>
      <c r="H211">
        <f t="shared" ca="1" si="21"/>
        <v>74.215940594059433</v>
      </c>
      <c r="I211">
        <f t="shared" ca="1" si="18"/>
        <v>1.1623619329442518</v>
      </c>
      <c r="J211">
        <f t="shared" ca="1" si="19"/>
        <v>78.83227613411151</v>
      </c>
      <c r="K211">
        <f t="shared" ca="1" si="20"/>
        <v>83.481723865888512</v>
      </c>
    </row>
    <row r="212" spans="1:11" x14ac:dyDescent="0.25">
      <c r="A212" s="5">
        <f t="shared" ca="1" si="23"/>
        <v>45593</v>
      </c>
      <c r="B212" vm="624">
        <f ca="1"/>
        <v>45596</v>
      </c>
      <c r="C212" vm="625">
        <f ca="1"/>
        <v>81.95</v>
      </c>
      <c r="D212" vm="626">
        <f ca="1"/>
        <v>15538968</v>
      </c>
      <c r="E212">
        <f t="shared" ca="1" si="24"/>
        <v>82.160000000000011</v>
      </c>
      <c r="F212">
        <f t="shared" ca="1" si="17"/>
        <v>81.233000000000004</v>
      </c>
      <c r="G212">
        <f t="shared" ca="1" si="22"/>
        <v>79.627199999999974</v>
      </c>
      <c r="H212">
        <f t="shared" ca="1" si="21"/>
        <v>74.37504950495051</v>
      </c>
      <c r="I212">
        <f t="shared" ca="1" si="18"/>
        <v>1.1620177550958066</v>
      </c>
      <c r="J212">
        <f t="shared" ca="1" si="19"/>
        <v>78.908964489808398</v>
      </c>
      <c r="K212">
        <f t="shared" ca="1" si="20"/>
        <v>83.557035510191611</v>
      </c>
    </row>
    <row r="213" spans="1:11" x14ac:dyDescent="0.25">
      <c r="A213" s="5">
        <f t="shared" ca="1" si="23"/>
        <v>45593</v>
      </c>
      <c r="B213" vm="627">
        <f ca="1"/>
        <v>45597</v>
      </c>
      <c r="C213" vm="628">
        <f ca="1"/>
        <v>82.19</v>
      </c>
      <c r="D213" vm="629">
        <f ca="1"/>
        <v>12181833</v>
      </c>
      <c r="E213">
        <f t="shared" ca="1" si="24"/>
        <v>82.313333333333333</v>
      </c>
      <c r="F213">
        <f t="shared" ca="1" si="17"/>
        <v>81.295500000000004</v>
      </c>
      <c r="G213">
        <f t="shared" ca="1" si="22"/>
        <v>79.759399999999971</v>
      </c>
      <c r="H213">
        <f t="shared" ca="1" si="21"/>
        <v>74.525841584158442</v>
      </c>
      <c r="I213">
        <f t="shared" ca="1" si="18"/>
        <v>1.1789222330497251</v>
      </c>
      <c r="J213">
        <f t="shared" ca="1" si="19"/>
        <v>78.937655533900553</v>
      </c>
      <c r="K213">
        <f t="shared" ca="1" si="20"/>
        <v>83.653344466099455</v>
      </c>
    </row>
    <row r="214" spans="1:11" x14ac:dyDescent="0.25">
      <c r="A214" s="5">
        <f t="shared" ca="1" si="23"/>
        <v>45600</v>
      </c>
      <c r="B214" vm="630">
        <f ca="1"/>
        <v>45600</v>
      </c>
      <c r="C214" vm="631">
        <f ca="1"/>
        <v>82.45</v>
      </c>
      <c r="D214" vm="632">
        <f ca="1"/>
        <v>11731043</v>
      </c>
      <c r="E214">
        <f t="shared" ca="1" si="24"/>
        <v>82.361111111111114</v>
      </c>
      <c r="F214">
        <f t="shared" ref="F214:F277" ca="1" si="25">AVERAGE(C195:C214)</f>
        <v>81.463000000000008</v>
      </c>
      <c r="G214">
        <f t="shared" ca="1" si="22"/>
        <v>79.894399999999976</v>
      </c>
      <c r="H214">
        <f t="shared" ca="1" si="21"/>
        <v>74.681485148514867</v>
      </c>
      <c r="I214">
        <f t="shared" ref="I214:I277" ca="1" si="26">_xlfn.STDEV.S(C195:C214)</f>
        <v>1.0847949114924911</v>
      </c>
      <c r="J214">
        <f t="shared" ref="J214:J277" ca="1" si="27">F214-2*I214</f>
        <v>79.293410177015019</v>
      </c>
      <c r="K214">
        <f t="shared" ref="K214:K277" ca="1" si="28">F214+2*I214</f>
        <v>83.632589822984997</v>
      </c>
    </row>
    <row r="215" spans="1:11" x14ac:dyDescent="0.25">
      <c r="A215" s="5">
        <f t="shared" ca="1" si="23"/>
        <v>45600</v>
      </c>
      <c r="B215" vm="633">
        <f ca="1"/>
        <v>45601</v>
      </c>
      <c r="C215" vm="634">
        <f ca="1"/>
        <v>83.68</v>
      </c>
      <c r="D215" vm="635">
        <f ca="1"/>
        <v>10612489</v>
      </c>
      <c r="E215">
        <f t="shared" ca="1" si="24"/>
        <v>82.40666666666668</v>
      </c>
      <c r="F215">
        <f t="shared" ca="1" si="25"/>
        <v>81.661500000000018</v>
      </c>
      <c r="G215">
        <f t="shared" ca="1" si="22"/>
        <v>80.047399999999982</v>
      </c>
      <c r="H215">
        <f t="shared" ca="1" si="21"/>
        <v>74.853465346534676</v>
      </c>
      <c r="I215">
        <f t="shared" ca="1" si="26"/>
        <v>1.1100700546883475</v>
      </c>
      <c r="J215">
        <f t="shared" ca="1" si="27"/>
        <v>79.441359890623318</v>
      </c>
      <c r="K215">
        <f t="shared" ca="1" si="28"/>
        <v>83.881640109376718</v>
      </c>
    </row>
    <row r="216" spans="1:11" x14ac:dyDescent="0.25">
      <c r="A216" s="5">
        <f t="shared" ca="1" si="23"/>
        <v>45600</v>
      </c>
      <c r="B216" vm="636">
        <f ca="1"/>
        <v>45602</v>
      </c>
      <c r="C216" vm="637">
        <f ca="1"/>
        <v>83.44</v>
      </c>
      <c r="D216" vm="638">
        <f ca="1"/>
        <v>19974038</v>
      </c>
      <c r="E216">
        <f t="shared" ca="1" si="24"/>
        <v>82.451111111111103</v>
      </c>
      <c r="F216">
        <f t="shared" ca="1" si="25"/>
        <v>81.813500000000005</v>
      </c>
      <c r="G216">
        <f t="shared" ca="1" si="22"/>
        <v>80.193599999999989</v>
      </c>
      <c r="H216">
        <f t="shared" ca="1" si="21"/>
        <v>75.019207920792098</v>
      </c>
      <c r="I216">
        <f t="shared" ca="1" si="26"/>
        <v>1.1360702118776773</v>
      </c>
      <c r="J216">
        <f t="shared" ca="1" si="27"/>
        <v>79.541359576244645</v>
      </c>
      <c r="K216">
        <f t="shared" ca="1" si="28"/>
        <v>84.085640423755365</v>
      </c>
    </row>
    <row r="217" spans="1:11" x14ac:dyDescent="0.25">
      <c r="A217" s="5">
        <f t="shared" ca="1" si="23"/>
        <v>45600</v>
      </c>
      <c r="B217" vm="639">
        <f ca="1"/>
        <v>45603</v>
      </c>
      <c r="C217" vm="640">
        <f ca="1"/>
        <v>83.85</v>
      </c>
      <c r="D217" vm="641">
        <f ca="1"/>
        <v>12665777</v>
      </c>
      <c r="E217">
        <f t="shared" ca="1" si="24"/>
        <v>82.6</v>
      </c>
      <c r="F217">
        <f t="shared" ca="1" si="25"/>
        <v>82.025500000000008</v>
      </c>
      <c r="G217">
        <f t="shared" ca="1" si="22"/>
        <v>80.34899999999999</v>
      </c>
      <c r="H217">
        <f t="shared" ca="1" si="21"/>
        <v>75.185841584158425</v>
      </c>
      <c r="I217">
        <f t="shared" ca="1" si="26"/>
        <v>1.0982161372928947</v>
      </c>
      <c r="J217">
        <f t="shared" ca="1" si="27"/>
        <v>79.82906772541422</v>
      </c>
      <c r="K217">
        <f t="shared" ca="1" si="28"/>
        <v>84.221932274585797</v>
      </c>
    </row>
    <row r="218" spans="1:11" x14ac:dyDescent="0.25">
      <c r="A218" s="5">
        <f t="shared" ca="1" si="23"/>
        <v>45600</v>
      </c>
      <c r="B218" vm="642">
        <f ca="1"/>
        <v>45604</v>
      </c>
      <c r="C218" vm="643">
        <f ca="1"/>
        <v>84.83</v>
      </c>
      <c r="D218" vm="644">
        <f ca="1"/>
        <v>14396543</v>
      </c>
      <c r="E218">
        <f t="shared" ca="1" si="24"/>
        <v>82.831111111111113</v>
      </c>
      <c r="F218">
        <f t="shared" ca="1" si="25"/>
        <v>82.262000000000015</v>
      </c>
      <c r="G218">
        <f t="shared" ca="1" si="22"/>
        <v>80.517199999999988</v>
      </c>
      <c r="H218">
        <f t="shared" ca="1" si="21"/>
        <v>75.358217821782191</v>
      </c>
      <c r="I218">
        <f t="shared" ca="1" si="26"/>
        <v>1.1687717349512905</v>
      </c>
      <c r="J218">
        <f t="shared" ca="1" si="27"/>
        <v>79.92445653009743</v>
      </c>
      <c r="K218">
        <f t="shared" ca="1" si="28"/>
        <v>84.599543469902599</v>
      </c>
    </row>
    <row r="219" spans="1:11" x14ac:dyDescent="0.25">
      <c r="A219" s="5">
        <f t="shared" ca="1" si="23"/>
        <v>45607</v>
      </c>
      <c r="B219" vm="645">
        <f ca="1"/>
        <v>45607</v>
      </c>
      <c r="C219" vm="646">
        <f ca="1"/>
        <v>84.21</v>
      </c>
      <c r="D219" vm="647">
        <f ca="1"/>
        <v>10433166</v>
      </c>
      <c r="E219">
        <f t="shared" ca="1" si="24"/>
        <v>83.110000000000014</v>
      </c>
      <c r="F219">
        <f t="shared" ca="1" si="25"/>
        <v>82.457999999999998</v>
      </c>
      <c r="G219">
        <f t="shared" ca="1" si="22"/>
        <v>80.65679999999999</v>
      </c>
      <c r="H219">
        <f t="shared" ca="1" si="21"/>
        <v>75.522673267326752</v>
      </c>
      <c r="I219">
        <f t="shared" ca="1" si="26"/>
        <v>1.1491901038282739</v>
      </c>
      <c r="J219">
        <f t="shared" ca="1" si="27"/>
        <v>80.159619792343449</v>
      </c>
      <c r="K219">
        <f t="shared" ca="1" si="28"/>
        <v>84.756380207656548</v>
      </c>
    </row>
    <row r="220" spans="1:11" x14ac:dyDescent="0.25">
      <c r="A220" s="5">
        <f t="shared" ca="1" si="23"/>
        <v>45607</v>
      </c>
      <c r="B220" vm="648">
        <f ca="1"/>
        <v>45608</v>
      </c>
      <c r="C220" vm="649">
        <f ca="1"/>
        <v>84.99</v>
      </c>
      <c r="D220" vm="650">
        <f ca="1"/>
        <v>12860194</v>
      </c>
      <c r="E220">
        <f t="shared" ca="1" si="24"/>
        <v>83.51</v>
      </c>
      <c r="F220">
        <f t="shared" ca="1" si="25"/>
        <v>82.625</v>
      </c>
      <c r="G220">
        <f t="shared" ca="1" si="22"/>
        <v>80.813199999999981</v>
      </c>
      <c r="H220">
        <f t="shared" ca="1" si="21"/>
        <v>75.690792079207938</v>
      </c>
      <c r="I220">
        <f t="shared" ca="1" si="26"/>
        <v>1.2626726041469158</v>
      </c>
      <c r="J220">
        <f t="shared" ca="1" si="27"/>
        <v>80.099654791706172</v>
      </c>
      <c r="K220">
        <f t="shared" ca="1" si="28"/>
        <v>85.150345208293828</v>
      </c>
    </row>
    <row r="221" spans="1:11" x14ac:dyDescent="0.25">
      <c r="A221" s="5">
        <f t="shared" ca="1" si="23"/>
        <v>45607</v>
      </c>
      <c r="B221" vm="651">
        <f ca="1"/>
        <v>45609</v>
      </c>
      <c r="C221" vm="652">
        <f ca="1"/>
        <v>85.5</v>
      </c>
      <c r="D221" vm="653">
        <f ca="1"/>
        <v>12802622</v>
      </c>
      <c r="E221">
        <f t="shared" ca="1" si="24"/>
        <v>83.904444444444437</v>
      </c>
      <c r="F221">
        <f t="shared" ca="1" si="25"/>
        <v>82.839000000000013</v>
      </c>
      <c r="G221">
        <f t="shared" ca="1" si="22"/>
        <v>80.978399999999979</v>
      </c>
      <c r="H221">
        <f t="shared" ca="1" si="21"/>
        <v>75.864950495049513</v>
      </c>
      <c r="I221">
        <f t="shared" ca="1" si="26"/>
        <v>1.3701359901772319</v>
      </c>
      <c r="J221">
        <f t="shared" ca="1" si="27"/>
        <v>80.098728019645549</v>
      </c>
      <c r="K221">
        <f t="shared" ca="1" si="28"/>
        <v>85.579271980354477</v>
      </c>
    </row>
    <row r="222" spans="1:11" x14ac:dyDescent="0.25">
      <c r="A222" s="5">
        <f t="shared" ca="1" si="23"/>
        <v>45607</v>
      </c>
      <c r="B222" vm="654">
        <f ca="1"/>
        <v>45610</v>
      </c>
      <c r="C222" vm="655">
        <f ca="1"/>
        <v>84.47</v>
      </c>
      <c r="D222" vm="656">
        <f ca="1"/>
        <v>15740732</v>
      </c>
      <c r="E222">
        <f t="shared" ca="1" si="24"/>
        <v>84.157777777777767</v>
      </c>
      <c r="F222">
        <f t="shared" ca="1" si="25"/>
        <v>83.018000000000001</v>
      </c>
      <c r="G222">
        <f t="shared" ca="1" si="22"/>
        <v>81.128599999999977</v>
      </c>
      <c r="H222">
        <f t="shared" ca="1" si="21"/>
        <v>76.019108910891092</v>
      </c>
      <c r="I222">
        <f t="shared" ca="1" si="26"/>
        <v>1.3355251283375573</v>
      </c>
      <c r="J222">
        <f t="shared" ca="1" si="27"/>
        <v>80.346949743324885</v>
      </c>
      <c r="K222">
        <f t="shared" ca="1" si="28"/>
        <v>85.689050256675117</v>
      </c>
    </row>
    <row r="223" spans="1:11" x14ac:dyDescent="0.25">
      <c r="A223" s="5">
        <f t="shared" ca="1" si="23"/>
        <v>45607</v>
      </c>
      <c r="B223" vm="657">
        <f ca="1"/>
        <v>45611</v>
      </c>
      <c r="C223" vm="658">
        <f ca="1"/>
        <v>84.25</v>
      </c>
      <c r="D223" vm="659">
        <f ca="1"/>
        <v>17370602</v>
      </c>
      <c r="E223">
        <f t="shared" ca="1" si="24"/>
        <v>84.357777777777784</v>
      </c>
      <c r="F223">
        <f t="shared" ca="1" si="25"/>
        <v>83.165000000000006</v>
      </c>
      <c r="G223">
        <f t="shared" ca="1" si="22"/>
        <v>81.280799999999971</v>
      </c>
      <c r="H223">
        <f t="shared" ca="1" si="21"/>
        <v>76.185742574257432</v>
      </c>
      <c r="I223">
        <f t="shared" ca="1" si="26"/>
        <v>1.2989327603034231</v>
      </c>
      <c r="J223">
        <f t="shared" ca="1" si="27"/>
        <v>80.567134479393161</v>
      </c>
      <c r="K223">
        <f t="shared" ca="1" si="28"/>
        <v>85.762865520606852</v>
      </c>
    </row>
    <row r="224" spans="1:11" x14ac:dyDescent="0.25">
      <c r="A224" s="5">
        <f t="shared" ca="1" si="23"/>
        <v>45614</v>
      </c>
      <c r="B224" vm="660">
        <f ca="1"/>
        <v>45614</v>
      </c>
      <c r="C224" vm="661">
        <f ca="1"/>
        <v>84.08</v>
      </c>
      <c r="D224" vm="662">
        <f ca="1"/>
        <v>25278121</v>
      </c>
      <c r="E224">
        <f t="shared" ca="1" si="24"/>
        <v>84.402222222222221</v>
      </c>
      <c r="F224">
        <f t="shared" ca="1" si="25"/>
        <v>83.328499999999991</v>
      </c>
      <c r="G224">
        <f t="shared" ca="1" si="22"/>
        <v>81.415599999999955</v>
      </c>
      <c r="H224">
        <f t="shared" ca="1" si="21"/>
        <v>76.34207920792079</v>
      </c>
      <c r="I224">
        <f t="shared" ca="1" si="26"/>
        <v>1.1879627630173375</v>
      </c>
      <c r="J224">
        <f t="shared" ca="1" si="27"/>
        <v>80.952574473965313</v>
      </c>
      <c r="K224">
        <f t="shared" ca="1" si="28"/>
        <v>85.704425526034669</v>
      </c>
    </row>
    <row r="225" spans="1:11" x14ac:dyDescent="0.25">
      <c r="A225" s="5">
        <f t="shared" ca="1" si="23"/>
        <v>45614</v>
      </c>
      <c r="B225" vm="663">
        <f ca="1"/>
        <v>45615</v>
      </c>
      <c r="C225" vm="664">
        <f ca="1"/>
        <v>86.6</v>
      </c>
      <c r="D225" vm="665">
        <f ca="1"/>
        <v>36340856</v>
      </c>
      <c r="E225">
        <f t="shared" ca="1" si="24"/>
        <v>84.753333333333345</v>
      </c>
      <c r="F225">
        <f t="shared" ca="1" si="25"/>
        <v>83.557500000000005</v>
      </c>
      <c r="G225">
        <f t="shared" ca="1" si="22"/>
        <v>81.571399999999969</v>
      </c>
      <c r="H225">
        <f t="shared" ca="1" si="21"/>
        <v>76.527425742574266</v>
      </c>
      <c r="I225">
        <f t="shared" ca="1" si="26"/>
        <v>1.3524942844513905</v>
      </c>
      <c r="J225">
        <f t="shared" ca="1" si="27"/>
        <v>80.852511431097227</v>
      </c>
      <c r="K225">
        <f t="shared" ca="1" si="28"/>
        <v>86.262488568902782</v>
      </c>
    </row>
    <row r="226" spans="1:11" x14ac:dyDescent="0.25">
      <c r="A226" s="5">
        <f t="shared" ca="1" si="23"/>
        <v>45614</v>
      </c>
      <c r="B226" vm="666">
        <f ca="1"/>
        <v>45616</v>
      </c>
      <c r="C226" vm="667">
        <f ca="1"/>
        <v>87.18</v>
      </c>
      <c r="D226" vm="668">
        <f ca="1"/>
        <v>18183193</v>
      </c>
      <c r="E226">
        <f t="shared" ca="1" si="24"/>
        <v>85.123333333333349</v>
      </c>
      <c r="F226">
        <f t="shared" ca="1" si="25"/>
        <v>83.753000000000014</v>
      </c>
      <c r="G226">
        <f t="shared" ca="1" si="22"/>
        <v>81.738199999999964</v>
      </c>
      <c r="H226">
        <f t="shared" ca="1" si="21"/>
        <v>76.720198019801998</v>
      </c>
      <c r="I226">
        <f t="shared" ca="1" si="26"/>
        <v>1.5733139680639907</v>
      </c>
      <c r="J226">
        <f t="shared" ca="1" si="27"/>
        <v>80.60637206387203</v>
      </c>
      <c r="K226">
        <f t="shared" ca="1" si="28"/>
        <v>86.899627936127999</v>
      </c>
    </row>
    <row r="227" spans="1:11" x14ac:dyDescent="0.25">
      <c r="A227" s="5">
        <f t="shared" ca="1" si="23"/>
        <v>45614</v>
      </c>
      <c r="B227" vm="669">
        <f ca="1"/>
        <v>45617</v>
      </c>
      <c r="C227" vm="670">
        <f ca="1"/>
        <v>88.39</v>
      </c>
      <c r="D227" vm="671">
        <f ca="1"/>
        <v>18729222</v>
      </c>
      <c r="E227">
        <f t="shared" ca="1" si="24"/>
        <v>85.518888888888881</v>
      </c>
      <c r="F227">
        <f t="shared" ca="1" si="25"/>
        <v>84.020499999999998</v>
      </c>
      <c r="G227">
        <f t="shared" ca="1" si="22"/>
        <v>81.912799999999976</v>
      </c>
      <c r="H227">
        <f t="shared" ca="1" si="21"/>
        <v>76.927227722772287</v>
      </c>
      <c r="I227">
        <f t="shared" ca="1" si="26"/>
        <v>1.8721405564641487</v>
      </c>
      <c r="J227">
        <f t="shared" ca="1" si="27"/>
        <v>80.276218887071707</v>
      </c>
      <c r="K227">
        <f t="shared" ca="1" si="28"/>
        <v>87.76478111292829</v>
      </c>
    </row>
    <row r="228" spans="1:11" x14ac:dyDescent="0.25">
      <c r="A228" s="5">
        <f t="shared" ca="1" si="23"/>
        <v>45614</v>
      </c>
      <c r="B228" vm="672">
        <f ca="1"/>
        <v>45618</v>
      </c>
      <c r="C228" vm="673">
        <f ca="1"/>
        <v>90.44</v>
      </c>
      <c r="D228" vm="674">
        <f ca="1"/>
        <v>23990645</v>
      </c>
      <c r="E228">
        <f t="shared" ca="1" si="24"/>
        <v>86.211111111111094</v>
      </c>
      <c r="F228">
        <f t="shared" ca="1" si="25"/>
        <v>84.417000000000002</v>
      </c>
      <c r="G228">
        <f t="shared" ca="1" si="22"/>
        <v>82.109599999999972</v>
      </c>
      <c r="H228">
        <f t="shared" ca="1" si="21"/>
        <v>77.148712871287145</v>
      </c>
      <c r="I228">
        <f t="shared" ca="1" si="26"/>
        <v>2.3212680291508545</v>
      </c>
      <c r="J228">
        <f t="shared" ca="1" si="27"/>
        <v>79.774463941698286</v>
      </c>
      <c r="K228">
        <f t="shared" ca="1" si="28"/>
        <v>89.059536058301717</v>
      </c>
    </row>
    <row r="229" spans="1:11" x14ac:dyDescent="0.25">
      <c r="A229" s="5">
        <f t="shared" ca="1" si="23"/>
        <v>45621</v>
      </c>
      <c r="B229" vm="675">
        <f ca="1"/>
        <v>45621</v>
      </c>
      <c r="C229" vm="676">
        <f ca="1"/>
        <v>89.5</v>
      </c>
      <c r="D229" vm="677">
        <f ca="1"/>
        <v>25078633</v>
      </c>
      <c r="E229">
        <f t="shared" ca="1" si="24"/>
        <v>86.712222222222209</v>
      </c>
      <c r="F229">
        <f t="shared" ca="1" si="25"/>
        <v>84.754500000000007</v>
      </c>
      <c r="G229">
        <f t="shared" ca="1" si="22"/>
        <v>82.288399999999967</v>
      </c>
      <c r="H229">
        <f t="shared" ca="1" si="21"/>
        <v>77.359207920792102</v>
      </c>
      <c r="I229">
        <f t="shared" ca="1" si="26"/>
        <v>2.5459699320174303</v>
      </c>
      <c r="J229">
        <f t="shared" ca="1" si="27"/>
        <v>79.662560135965151</v>
      </c>
      <c r="K229">
        <f t="shared" ca="1" si="28"/>
        <v>89.846439864034863</v>
      </c>
    </row>
    <row r="230" spans="1:11" x14ac:dyDescent="0.25">
      <c r="A230" s="5">
        <f t="shared" ca="1" si="23"/>
        <v>45621</v>
      </c>
      <c r="B230" vm="678">
        <f ca="1"/>
        <v>45622</v>
      </c>
      <c r="C230" vm="679">
        <f ca="1"/>
        <v>91.31</v>
      </c>
      <c r="D230" vm="680">
        <f ca="1"/>
        <v>16657022</v>
      </c>
      <c r="E230">
        <f t="shared" ca="1" si="24"/>
        <v>87.357777777777784</v>
      </c>
      <c r="F230">
        <f t="shared" ca="1" si="25"/>
        <v>85.235000000000014</v>
      </c>
      <c r="G230">
        <f t="shared" ca="1" si="22"/>
        <v>82.542599999999965</v>
      </c>
      <c r="H230">
        <f t="shared" ref="H230:H293" ca="1" si="29">AVERAGE(C130:C230)</f>
        <v>77.569801980198037</v>
      </c>
      <c r="I230">
        <f t="shared" ca="1" si="26"/>
        <v>2.8301413392267181</v>
      </c>
      <c r="J230">
        <f t="shared" ca="1" si="27"/>
        <v>79.574717321546572</v>
      </c>
      <c r="K230">
        <f t="shared" ca="1" si="28"/>
        <v>90.895282678453455</v>
      </c>
    </row>
    <row r="231" spans="1:11" x14ac:dyDescent="0.25">
      <c r="A231" s="5">
        <f t="shared" ca="1" si="23"/>
        <v>45621</v>
      </c>
      <c r="B231" vm="681">
        <f ca="1"/>
        <v>45623</v>
      </c>
      <c r="C231" vm="682">
        <f ca="1"/>
        <v>91.88</v>
      </c>
      <c r="D231" vm="683">
        <f ca="1"/>
        <v>14358861</v>
      </c>
      <c r="E231">
        <f t="shared" ca="1" si="24"/>
        <v>88.181111111111107</v>
      </c>
      <c r="F231">
        <f t="shared" ca="1" si="25"/>
        <v>85.759500000000003</v>
      </c>
      <c r="G231">
        <f t="shared" ca="1" si="22"/>
        <v>82.79959999999997</v>
      </c>
      <c r="H231">
        <f t="shared" ca="1" si="29"/>
        <v>77.789603960396065</v>
      </c>
      <c r="I231">
        <f t="shared" ca="1" si="26"/>
        <v>3.0440130627702287</v>
      </c>
      <c r="J231">
        <f t="shared" ca="1" si="27"/>
        <v>79.671473874459551</v>
      </c>
      <c r="K231">
        <f t="shared" ca="1" si="28"/>
        <v>91.847526125540455</v>
      </c>
    </row>
    <row r="232" spans="1:11" x14ac:dyDescent="0.25">
      <c r="A232" s="5">
        <f t="shared" ca="1" si="23"/>
        <v>45621</v>
      </c>
      <c r="B232" vm="684">
        <f ca="1"/>
        <v>45625</v>
      </c>
      <c r="C232" vm="685">
        <f ca="1"/>
        <v>92.5</v>
      </c>
      <c r="D232" vm="686">
        <f ca="1"/>
        <v>11041178</v>
      </c>
      <c r="E232">
        <f t="shared" ca="1" si="24"/>
        <v>89.097777777777779</v>
      </c>
      <c r="F232">
        <f t="shared" ca="1" si="25"/>
        <v>86.287000000000006</v>
      </c>
      <c r="G232">
        <f t="shared" ca="1" si="22"/>
        <v>83.088799999999978</v>
      </c>
      <c r="H232">
        <f t="shared" ca="1" si="29"/>
        <v>78.013366336633695</v>
      </c>
      <c r="I232">
        <f t="shared" ca="1" si="26"/>
        <v>3.2558548073149378</v>
      </c>
      <c r="J232">
        <f t="shared" ca="1" si="27"/>
        <v>79.775290385370127</v>
      </c>
      <c r="K232">
        <f t="shared" ca="1" si="28"/>
        <v>92.798709614629885</v>
      </c>
    </row>
    <row r="233" spans="1:11" x14ac:dyDescent="0.25">
      <c r="A233" s="5">
        <f t="shared" ca="1" si="23"/>
        <v>45628</v>
      </c>
      <c r="B233" vm="687">
        <f ca="1"/>
        <v>45628</v>
      </c>
      <c r="C233" vm="688">
        <f ca="1"/>
        <v>92.64</v>
      </c>
      <c r="D233" vm="689">
        <f ca="1"/>
        <v>17172953</v>
      </c>
      <c r="E233">
        <f t="shared" ca="1" si="24"/>
        <v>90.048888888888897</v>
      </c>
      <c r="F233">
        <f t="shared" ca="1" si="25"/>
        <v>86.809500000000014</v>
      </c>
      <c r="G233">
        <f t="shared" ca="1" si="22"/>
        <v>83.36039999999997</v>
      </c>
      <c r="H233">
        <f t="shared" ca="1" si="29"/>
        <v>78.233465346534686</v>
      </c>
      <c r="I233">
        <f t="shared" ca="1" si="26"/>
        <v>3.3991198164106819</v>
      </c>
      <c r="J233">
        <f t="shared" ca="1" si="27"/>
        <v>80.01126036717865</v>
      </c>
      <c r="K233">
        <f t="shared" ca="1" si="28"/>
        <v>93.607739632821378</v>
      </c>
    </row>
    <row r="234" spans="1:11" x14ac:dyDescent="0.25">
      <c r="A234" s="5">
        <f t="shared" ca="1" si="23"/>
        <v>45628</v>
      </c>
      <c r="B234" vm="690">
        <f ca="1"/>
        <v>45629</v>
      </c>
      <c r="C234" vm="691">
        <f ca="1"/>
        <v>93.51</v>
      </c>
      <c r="D234" vm="692">
        <f ca="1"/>
        <v>17775226</v>
      </c>
      <c r="E234">
        <f t="shared" ca="1" si="24"/>
        <v>90.816666666666663</v>
      </c>
      <c r="F234">
        <f t="shared" ca="1" si="25"/>
        <v>87.362500000000026</v>
      </c>
      <c r="G234">
        <f t="shared" ca="1" si="22"/>
        <v>83.623999999999967</v>
      </c>
      <c r="H234">
        <f t="shared" ca="1" si="29"/>
        <v>78.468217821782218</v>
      </c>
      <c r="I234">
        <f t="shared" ca="1" si="26"/>
        <v>3.5489181079368559</v>
      </c>
      <c r="J234">
        <f t="shared" ca="1" si="27"/>
        <v>80.264663784126313</v>
      </c>
      <c r="K234">
        <f t="shared" ca="1" si="28"/>
        <v>94.460336215873738</v>
      </c>
    </row>
    <row r="235" spans="1:11" x14ac:dyDescent="0.25">
      <c r="A235" s="5">
        <f t="shared" ca="1" si="23"/>
        <v>45628</v>
      </c>
      <c r="B235" vm="693">
        <f ca="1"/>
        <v>45630</v>
      </c>
      <c r="C235" vm="694">
        <f ca="1"/>
        <v>94.45</v>
      </c>
      <c r="D235" vm="695">
        <f ca="1"/>
        <v>17312575</v>
      </c>
      <c r="E235">
        <f t="shared" ca="1" si="24"/>
        <v>91.62444444444445</v>
      </c>
      <c r="F235">
        <f t="shared" ca="1" si="25"/>
        <v>87.90100000000001</v>
      </c>
      <c r="G235">
        <f t="shared" ca="1" si="22"/>
        <v>83.899599999999978</v>
      </c>
      <c r="H235">
        <f t="shared" ca="1" si="29"/>
        <v>78.717821782178262</v>
      </c>
      <c r="I235">
        <f t="shared" ca="1" si="26"/>
        <v>3.7708981200211391</v>
      </c>
      <c r="J235">
        <f t="shared" ca="1" si="27"/>
        <v>80.359203759957737</v>
      </c>
      <c r="K235">
        <f t="shared" ca="1" si="28"/>
        <v>95.442796240042284</v>
      </c>
    </row>
    <row r="236" spans="1:11" x14ac:dyDescent="0.25">
      <c r="A236" s="5">
        <f t="shared" ca="1" si="23"/>
        <v>45628</v>
      </c>
      <c r="B236" vm="696">
        <f ca="1"/>
        <v>45631</v>
      </c>
      <c r="C236" vm="697">
        <f ca="1"/>
        <v>95.3</v>
      </c>
      <c r="D236" vm="698">
        <f ca="1"/>
        <v>21932325</v>
      </c>
      <c r="E236">
        <f t="shared" ca="1" si="24"/>
        <v>92.392222222222216</v>
      </c>
      <c r="F236">
        <f t="shared" ca="1" si="25"/>
        <v>88.494</v>
      </c>
      <c r="G236">
        <f t="shared" ca="1" si="22"/>
        <v>84.177599999999984</v>
      </c>
      <c r="H236">
        <f t="shared" ca="1" si="29"/>
        <v>78.972178217821821</v>
      </c>
      <c r="I236">
        <f t="shared" ca="1" si="26"/>
        <v>3.96023311381912</v>
      </c>
      <c r="J236">
        <f t="shared" ca="1" si="27"/>
        <v>80.573533772361756</v>
      </c>
      <c r="K236">
        <f t="shared" ca="1" si="28"/>
        <v>96.414466227638243</v>
      </c>
    </row>
    <row r="237" spans="1:11" x14ac:dyDescent="0.25">
      <c r="A237" s="5">
        <f t="shared" ca="1" si="23"/>
        <v>45628</v>
      </c>
      <c r="B237" vm="699">
        <f ca="1"/>
        <v>45632</v>
      </c>
      <c r="C237" vm="700">
        <f ca="1"/>
        <v>95.7</v>
      </c>
      <c r="D237" vm="701">
        <f ca="1"/>
        <v>18803499</v>
      </c>
      <c r="E237">
        <f t="shared" ca="1" si="24"/>
        <v>92.976666666666674</v>
      </c>
      <c r="F237">
        <f t="shared" ca="1" si="25"/>
        <v>89.086500000000015</v>
      </c>
      <c r="G237">
        <f t="shared" ca="1" si="22"/>
        <v>84.493199999999973</v>
      </c>
      <c r="H237">
        <f t="shared" ca="1" si="29"/>
        <v>79.226732673267364</v>
      </c>
      <c r="I237">
        <f t="shared" ca="1" si="26"/>
        <v>4.1123949674637359</v>
      </c>
      <c r="J237">
        <f t="shared" ca="1" si="27"/>
        <v>80.861710065072543</v>
      </c>
      <c r="K237">
        <f t="shared" ca="1" si="28"/>
        <v>97.311289934927487</v>
      </c>
    </row>
    <row r="238" spans="1:11" x14ac:dyDescent="0.25">
      <c r="A238" s="5">
        <f t="shared" ca="1" si="23"/>
        <v>45635</v>
      </c>
      <c r="B238" vm="702">
        <f ca="1"/>
        <v>45635</v>
      </c>
      <c r="C238" vm="703">
        <f ca="1"/>
        <v>93.83</v>
      </c>
      <c r="D238" vm="704">
        <f ca="1"/>
        <v>20931082</v>
      </c>
      <c r="E238">
        <f t="shared" ca="1" si="24"/>
        <v>93.457777777777778</v>
      </c>
      <c r="F238">
        <f t="shared" ca="1" si="25"/>
        <v>89.53649999999999</v>
      </c>
      <c r="G238">
        <f t="shared" ca="1" si="22"/>
        <v>84.774199999999979</v>
      </c>
      <c r="H238">
        <f t="shared" ca="1" si="29"/>
        <v>79.452475247524774</v>
      </c>
      <c r="I238">
        <f t="shared" ca="1" si="26"/>
        <v>4.1145253291492248</v>
      </c>
      <c r="J238">
        <f t="shared" ca="1" si="27"/>
        <v>81.307449341701542</v>
      </c>
      <c r="K238">
        <f t="shared" ca="1" si="28"/>
        <v>97.765550658298437</v>
      </c>
    </row>
    <row r="239" spans="1:11" x14ac:dyDescent="0.25">
      <c r="A239" s="5">
        <f t="shared" ca="1" si="23"/>
        <v>45635</v>
      </c>
      <c r="B239" vm="705">
        <f ca="1"/>
        <v>45636</v>
      </c>
      <c r="C239" vm="706">
        <f ca="1"/>
        <v>94.55</v>
      </c>
      <c r="D239" vm="707">
        <f ca="1"/>
        <v>13164487</v>
      </c>
      <c r="E239">
        <f t="shared" ca="1" si="24"/>
        <v>93.817777777777778</v>
      </c>
      <c r="F239">
        <f t="shared" ca="1" si="25"/>
        <v>90.053499999999985</v>
      </c>
      <c r="G239">
        <f t="shared" ca="1" si="22"/>
        <v>85.05019999999999</v>
      </c>
      <c r="H239">
        <f t="shared" ca="1" si="29"/>
        <v>79.687425742574291</v>
      </c>
      <c r="I239">
        <f t="shared" ca="1" si="26"/>
        <v>4.0592639662096905</v>
      </c>
      <c r="J239">
        <f t="shared" ca="1" si="27"/>
        <v>81.934972067580603</v>
      </c>
      <c r="K239">
        <f t="shared" ca="1" si="28"/>
        <v>98.172027932419368</v>
      </c>
    </row>
    <row r="240" spans="1:11" x14ac:dyDescent="0.25">
      <c r="A240" s="5">
        <f t="shared" ca="1" si="23"/>
        <v>45635</v>
      </c>
      <c r="B240" vm="708">
        <f ca="1"/>
        <v>45637</v>
      </c>
      <c r="C240" vm="709">
        <f ca="1"/>
        <v>94.96</v>
      </c>
      <c r="D240" vm="710">
        <f ca="1"/>
        <v>19682085</v>
      </c>
      <c r="E240">
        <f t="shared" ca="1" si="24"/>
        <v>94.160000000000011</v>
      </c>
      <c r="F240">
        <f t="shared" ca="1" si="25"/>
        <v>90.551999999999992</v>
      </c>
      <c r="G240">
        <f t="shared" ca="1" si="22"/>
        <v>85.323999999999984</v>
      </c>
      <c r="H240">
        <f t="shared" ca="1" si="29"/>
        <v>79.927128712871323</v>
      </c>
      <c r="I240">
        <f t="shared" ca="1" si="26"/>
        <v>4.0166726213830799</v>
      </c>
      <c r="J240">
        <f t="shared" ca="1" si="27"/>
        <v>82.518654757233833</v>
      </c>
      <c r="K240">
        <f t="shared" ca="1" si="28"/>
        <v>98.585345242766152</v>
      </c>
    </row>
    <row r="241" spans="1:11" x14ac:dyDescent="0.25">
      <c r="A241" s="5">
        <f t="shared" ca="1" si="23"/>
        <v>45635</v>
      </c>
      <c r="B241" vm="711">
        <f ca="1"/>
        <v>45638</v>
      </c>
      <c r="C241" vm="712">
        <f ca="1"/>
        <v>94.09</v>
      </c>
      <c r="D241" vm="713">
        <f ca="1"/>
        <v>14298626</v>
      </c>
      <c r="E241">
        <f t="shared" ca="1" si="24"/>
        <v>94.336666666666673</v>
      </c>
      <c r="F241">
        <f t="shared" ca="1" si="25"/>
        <v>90.981499999999997</v>
      </c>
      <c r="G241">
        <f t="shared" ca="1" si="22"/>
        <v>85.597199999999987</v>
      </c>
      <c r="H241">
        <f t="shared" ca="1" si="29"/>
        <v>80.161881188118826</v>
      </c>
      <c r="I241">
        <f t="shared" ca="1" si="26"/>
        <v>3.9057639929239261</v>
      </c>
      <c r="J241">
        <f t="shared" ca="1" si="27"/>
        <v>83.169972014152151</v>
      </c>
      <c r="K241">
        <f t="shared" ca="1" si="28"/>
        <v>98.793027985847843</v>
      </c>
    </row>
    <row r="242" spans="1:11" x14ac:dyDescent="0.25">
      <c r="A242" s="5">
        <f t="shared" ca="1" si="23"/>
        <v>45635</v>
      </c>
      <c r="B242" vm="714">
        <f ca="1"/>
        <v>45639</v>
      </c>
      <c r="C242" vm="715">
        <f ca="1"/>
        <v>94.25</v>
      </c>
      <c r="D242" vm="716">
        <f ca="1"/>
        <v>11495854</v>
      </c>
      <c r="E242">
        <f t="shared" ca="1" si="24"/>
        <v>94.515555555555551</v>
      </c>
      <c r="F242">
        <f t="shared" ca="1" si="25"/>
        <v>91.470499999999987</v>
      </c>
      <c r="G242">
        <f t="shared" ca="1" si="22"/>
        <v>85.873599999999982</v>
      </c>
      <c r="H242">
        <f t="shared" ca="1" si="29"/>
        <v>80.395544554455483</v>
      </c>
      <c r="I242">
        <f t="shared" ca="1" si="26"/>
        <v>3.6515742459498495</v>
      </c>
      <c r="J242">
        <f t="shared" ca="1" si="27"/>
        <v>84.167351508100282</v>
      </c>
      <c r="K242">
        <f t="shared" ca="1" si="28"/>
        <v>98.773648491899692</v>
      </c>
    </row>
    <row r="243" spans="1:11" x14ac:dyDescent="0.25">
      <c r="A243" s="5">
        <f t="shared" ca="1" si="23"/>
        <v>45642</v>
      </c>
      <c r="B243" vm="717">
        <f ca="1"/>
        <v>45642</v>
      </c>
      <c r="C243" vm="718">
        <f ca="1"/>
        <v>94.87</v>
      </c>
      <c r="D243" vm="719">
        <f ca="1"/>
        <v>16741989</v>
      </c>
      <c r="E243">
        <f t="shared" ca="1" si="24"/>
        <v>94.666666666666671</v>
      </c>
      <c r="F243">
        <f t="shared" ca="1" si="25"/>
        <v>92.001499999999993</v>
      </c>
      <c r="G243">
        <f t="shared" ca="1" si="22"/>
        <v>86.152199999999979</v>
      </c>
      <c r="H243">
        <f t="shared" ca="1" si="29"/>
        <v>80.635841584158456</v>
      </c>
      <c r="I243">
        <f t="shared" ca="1" si="26"/>
        <v>3.3017352295900095</v>
      </c>
      <c r="J243">
        <f t="shared" ca="1" si="27"/>
        <v>85.398029540819977</v>
      </c>
      <c r="K243">
        <f t="shared" ca="1" si="28"/>
        <v>98.604970459180009</v>
      </c>
    </row>
    <row r="244" spans="1:11" x14ac:dyDescent="0.25">
      <c r="A244" s="5">
        <f t="shared" ca="1" si="23"/>
        <v>45642</v>
      </c>
      <c r="B244" vm="720">
        <f ca="1"/>
        <v>45643</v>
      </c>
      <c r="C244" vm="721">
        <f ca="1"/>
        <v>95.42</v>
      </c>
      <c r="D244" vm="722">
        <f ca="1"/>
        <v>23560821</v>
      </c>
      <c r="E244">
        <f t="shared" ca="1" si="24"/>
        <v>94.774444444444441</v>
      </c>
      <c r="F244">
        <f t="shared" ca="1" si="25"/>
        <v>92.5685</v>
      </c>
      <c r="G244">
        <f t="shared" ref="G244:G307" ca="1" si="30">AVERAGE(C195:C244)</f>
        <v>86.478599999999986</v>
      </c>
      <c r="H244">
        <f t="shared" ca="1" si="29"/>
        <v>80.887326732673301</v>
      </c>
      <c r="I244">
        <f t="shared" ca="1" si="26"/>
        <v>2.8063260773886523</v>
      </c>
      <c r="J244">
        <f t="shared" ca="1" si="27"/>
        <v>86.955847845222692</v>
      </c>
      <c r="K244">
        <f t="shared" ca="1" si="28"/>
        <v>98.181152154777308</v>
      </c>
    </row>
    <row r="245" spans="1:11" x14ac:dyDescent="0.25">
      <c r="A245" s="5">
        <f t="shared" ca="1" si="23"/>
        <v>45642</v>
      </c>
      <c r="B245" vm="723">
        <f ca="1"/>
        <v>45644</v>
      </c>
      <c r="C245" vm="724">
        <f ca="1"/>
        <v>93.55</v>
      </c>
      <c r="D245" vm="725">
        <f ca="1"/>
        <v>24665600</v>
      </c>
      <c r="E245">
        <f t="shared" ca="1" si="24"/>
        <v>94.579999999999984</v>
      </c>
      <c r="F245">
        <f t="shared" ca="1" si="25"/>
        <v>92.915999999999997</v>
      </c>
      <c r="G245">
        <f t="shared" ca="1" si="30"/>
        <v>86.755400000000009</v>
      </c>
      <c r="H245">
        <f t="shared" ca="1" si="29"/>
        <v>81.122673267326761</v>
      </c>
      <c r="I245">
        <f t="shared" ca="1" si="26"/>
        <v>2.4339601692022725</v>
      </c>
      <c r="J245">
        <f t="shared" ca="1" si="27"/>
        <v>88.048079661595452</v>
      </c>
      <c r="K245">
        <f t="shared" ca="1" si="28"/>
        <v>97.783920338404542</v>
      </c>
    </row>
    <row r="246" spans="1:11" x14ac:dyDescent="0.25">
      <c r="A246" s="5">
        <f t="shared" ca="1" si="23"/>
        <v>45642</v>
      </c>
      <c r="B246" vm="726">
        <f ca="1"/>
        <v>45645</v>
      </c>
      <c r="C246" vm="727">
        <f ca="1"/>
        <v>93.4</v>
      </c>
      <c r="D246" vm="728">
        <f ca="1"/>
        <v>16606501</v>
      </c>
      <c r="E246">
        <f t="shared" ca="1" si="24"/>
        <v>94.324444444444424</v>
      </c>
      <c r="F246">
        <f t="shared" ca="1" si="25"/>
        <v>93.227000000000004</v>
      </c>
      <c r="G246">
        <f t="shared" ca="1" si="30"/>
        <v>87.015399999999985</v>
      </c>
      <c r="H246">
        <f t="shared" ca="1" si="29"/>
        <v>81.358118811881226</v>
      </c>
      <c r="I246">
        <f t="shared" ca="1" si="26"/>
        <v>2.0255891930367742</v>
      </c>
      <c r="J246">
        <f t="shared" ca="1" si="27"/>
        <v>89.175821613926459</v>
      </c>
      <c r="K246">
        <f t="shared" ca="1" si="28"/>
        <v>97.278178386073549</v>
      </c>
    </row>
    <row r="247" spans="1:11" x14ac:dyDescent="0.25">
      <c r="A247" s="5">
        <f t="shared" ca="1" si="23"/>
        <v>45642</v>
      </c>
      <c r="B247" vm="729">
        <f ca="1"/>
        <v>45646</v>
      </c>
      <c r="C247" vm="730">
        <f ca="1"/>
        <v>92.24</v>
      </c>
      <c r="D247" vm="731">
        <f ca="1"/>
        <v>49350586</v>
      </c>
      <c r="E247">
        <f t="shared" ca="1" si="24"/>
        <v>94.147777777777776</v>
      </c>
      <c r="F247">
        <f t="shared" ca="1" si="25"/>
        <v>93.419500000000014</v>
      </c>
      <c r="G247">
        <f t="shared" ca="1" si="30"/>
        <v>87.267999999999986</v>
      </c>
      <c r="H247">
        <f t="shared" ca="1" si="29"/>
        <v>81.586336633663407</v>
      </c>
      <c r="I247">
        <f t="shared" ca="1" si="26"/>
        <v>1.6981986586411286</v>
      </c>
      <c r="J247">
        <f t="shared" ca="1" si="27"/>
        <v>90.023102682717763</v>
      </c>
      <c r="K247">
        <f t="shared" ca="1" si="28"/>
        <v>96.815897317282264</v>
      </c>
    </row>
    <row r="248" spans="1:11" x14ac:dyDescent="0.25">
      <c r="A248" s="5">
        <f t="shared" ca="1" si="23"/>
        <v>45649</v>
      </c>
      <c r="B248" vm="732">
        <f ca="1"/>
        <v>45649</v>
      </c>
      <c r="C248" vm="733">
        <f ca="1"/>
        <v>90.35</v>
      </c>
      <c r="D248" vm="734">
        <f ca="1"/>
        <v>26205379</v>
      </c>
      <c r="E248">
        <f t="shared" ca="1" si="24"/>
        <v>93.681111111111107</v>
      </c>
      <c r="F248">
        <f t="shared" ca="1" si="25"/>
        <v>93.415000000000006</v>
      </c>
      <c r="G248">
        <f t="shared" ca="1" si="30"/>
        <v>87.472999999999999</v>
      </c>
      <c r="H248">
        <f t="shared" ca="1" si="29"/>
        <v>81.801287128712914</v>
      </c>
      <c r="I248">
        <f t="shared" ca="1" si="26"/>
        <v>1.7066079005781594</v>
      </c>
      <c r="J248">
        <f t="shared" ca="1" si="27"/>
        <v>90.001784198843694</v>
      </c>
      <c r="K248">
        <f t="shared" ca="1" si="28"/>
        <v>96.828215801156318</v>
      </c>
    </row>
    <row r="249" spans="1:11" x14ac:dyDescent="0.25">
      <c r="A249" s="5">
        <f t="shared" ca="1" si="23"/>
        <v>45649</v>
      </c>
      <c r="B249" vm="735">
        <f ca="1"/>
        <v>45650</v>
      </c>
      <c r="C249" vm="736">
        <f ca="1"/>
        <v>92.68</v>
      </c>
      <c r="D249" vm="737">
        <f ca="1"/>
        <v>8992427</v>
      </c>
      <c r="E249">
        <f t="shared" ca="1" si="24"/>
        <v>93.427777777777791</v>
      </c>
      <c r="F249">
        <f t="shared" ca="1" si="25"/>
        <v>93.573999999999984</v>
      </c>
      <c r="G249">
        <f t="shared" ca="1" si="30"/>
        <v>87.720800000000011</v>
      </c>
      <c r="H249">
        <f t="shared" ca="1" si="29"/>
        <v>82.027920792079243</v>
      </c>
      <c r="I249">
        <f t="shared" ca="1" si="26"/>
        <v>1.4517698817215099</v>
      </c>
      <c r="J249">
        <f t="shared" ca="1" si="27"/>
        <v>90.670460236556963</v>
      </c>
      <c r="K249">
        <f t="shared" ca="1" si="28"/>
        <v>96.477539763443005</v>
      </c>
    </row>
    <row r="250" spans="1:11" x14ac:dyDescent="0.25">
      <c r="A250" s="5">
        <f t="shared" ca="1" si="23"/>
        <v>45649</v>
      </c>
      <c r="B250" vm="738">
        <f ca="1"/>
        <v>45652</v>
      </c>
      <c r="C250" vm="739">
        <f ca="1"/>
        <v>92.79</v>
      </c>
      <c r="D250" vm="740">
        <f ca="1"/>
        <v>10997611</v>
      </c>
      <c r="E250">
        <f t="shared" ca="1" si="24"/>
        <v>93.283333333333331</v>
      </c>
      <c r="F250">
        <f t="shared" ca="1" si="25"/>
        <v>93.64800000000001</v>
      </c>
      <c r="G250">
        <f t="shared" ca="1" si="30"/>
        <v>87.943600000000018</v>
      </c>
      <c r="H250">
        <f t="shared" ca="1" si="29"/>
        <v>82.268811881188157</v>
      </c>
      <c r="I250">
        <f t="shared" ca="1" si="26"/>
        <v>1.3654480660400945</v>
      </c>
      <c r="J250">
        <f t="shared" ca="1" si="27"/>
        <v>90.91710386791982</v>
      </c>
      <c r="K250">
        <f t="shared" ca="1" si="28"/>
        <v>96.3788961320802</v>
      </c>
    </row>
    <row r="251" spans="1:11" x14ac:dyDescent="0.25">
      <c r="A251" s="5">
        <f t="shared" ca="1" si="23"/>
        <v>45649</v>
      </c>
      <c r="B251" vm="741">
        <f ca="1"/>
        <v>45653</v>
      </c>
      <c r="C251" vm="742">
        <f ca="1"/>
        <v>91.66</v>
      </c>
      <c r="D251" vm="743">
        <f ca="1"/>
        <v>11384359</v>
      </c>
      <c r="E251">
        <f t="shared" ca="1" si="24"/>
        <v>92.995555555555541</v>
      </c>
      <c r="F251">
        <f t="shared" ca="1" si="25"/>
        <v>93.637000000000015</v>
      </c>
      <c r="G251">
        <f t="shared" ca="1" si="30"/>
        <v>88.152400000000014</v>
      </c>
      <c r="H251">
        <f t="shared" ca="1" si="29"/>
        <v>82.507128712871321</v>
      </c>
      <c r="I251">
        <f t="shared" ca="1" si="26"/>
        <v>1.3812355262399572</v>
      </c>
      <c r="J251">
        <f t="shared" ca="1" si="27"/>
        <v>90.874528947520105</v>
      </c>
      <c r="K251">
        <f t="shared" ca="1" si="28"/>
        <v>96.399471052479925</v>
      </c>
    </row>
    <row r="252" spans="1:11" x14ac:dyDescent="0.25">
      <c r="A252" s="5">
        <f t="shared" ca="1" si="23"/>
        <v>45656</v>
      </c>
      <c r="B252" vm="744">
        <f ca="1"/>
        <v>45656</v>
      </c>
      <c r="C252" vm="745">
        <f ca="1"/>
        <v>90.57</v>
      </c>
      <c r="D252" vm="746">
        <f ca="1"/>
        <v>9790196</v>
      </c>
      <c r="E252">
        <f t="shared" ca="1" si="24"/>
        <v>92.517777777777781</v>
      </c>
      <c r="F252">
        <f t="shared" ca="1" si="25"/>
        <v>93.540500000000009</v>
      </c>
      <c r="G252">
        <f t="shared" ca="1" si="30"/>
        <v>88.346000000000004</v>
      </c>
      <c r="H252">
        <f t="shared" ca="1" si="29"/>
        <v>82.733168316831708</v>
      </c>
      <c r="I252">
        <f t="shared" ca="1" si="26"/>
        <v>1.5248105145437456</v>
      </c>
      <c r="J252">
        <f t="shared" ca="1" si="27"/>
        <v>90.490878970912519</v>
      </c>
      <c r="K252">
        <f t="shared" ca="1" si="28"/>
        <v>96.590121029087499</v>
      </c>
    </row>
    <row r="253" spans="1:11" x14ac:dyDescent="0.25">
      <c r="A253" s="5">
        <f t="shared" ca="1" si="23"/>
        <v>45656</v>
      </c>
      <c r="B253" vm="747">
        <f ca="1"/>
        <v>45657</v>
      </c>
      <c r="C253" vm="733">
        <f ca="1"/>
        <v>90.35</v>
      </c>
      <c r="D253" vm="748">
        <f ca="1"/>
        <v>11267652</v>
      </c>
      <c r="E253">
        <f t="shared" ca="1" si="24"/>
        <v>91.954444444444448</v>
      </c>
      <c r="F253">
        <f t="shared" ca="1" si="25"/>
        <v>93.426000000000002</v>
      </c>
      <c r="G253">
        <f t="shared" ca="1" si="30"/>
        <v>88.526800000000009</v>
      </c>
      <c r="H253">
        <f t="shared" ca="1" si="29"/>
        <v>82.965247524752513</v>
      </c>
      <c r="I253">
        <f t="shared" ca="1" si="26"/>
        <v>1.6746104024518678</v>
      </c>
      <c r="J253">
        <f t="shared" ca="1" si="27"/>
        <v>90.076779195096265</v>
      </c>
      <c r="K253">
        <f t="shared" ca="1" si="28"/>
        <v>96.775220804903739</v>
      </c>
    </row>
    <row r="254" spans="1:11" x14ac:dyDescent="0.25">
      <c r="A254" s="5">
        <f t="shared" ca="1" si="23"/>
        <v>45656</v>
      </c>
      <c r="B254" vm="749">
        <f ca="1"/>
        <v>45659</v>
      </c>
      <c r="C254" vm="750">
        <f ca="1"/>
        <v>90</v>
      </c>
      <c r="D254" vm="751">
        <f ca="1"/>
        <v>14820438</v>
      </c>
      <c r="E254">
        <f t="shared" ca="1" si="24"/>
        <v>91.56</v>
      </c>
      <c r="F254">
        <f t="shared" ca="1" si="25"/>
        <v>93.250500000000002</v>
      </c>
      <c r="G254">
        <f t="shared" ca="1" si="30"/>
        <v>88.710600000000014</v>
      </c>
      <c r="H254">
        <f t="shared" ca="1" si="29"/>
        <v>83.18643564356438</v>
      </c>
      <c r="I254">
        <f t="shared" ca="1" si="26"/>
        <v>1.8410022299080251</v>
      </c>
      <c r="J254">
        <f t="shared" ca="1" si="27"/>
        <v>89.568495540183946</v>
      </c>
      <c r="K254">
        <f t="shared" ca="1" si="28"/>
        <v>96.932504459816059</v>
      </c>
    </row>
    <row r="255" spans="1:11" x14ac:dyDescent="0.25">
      <c r="A255" s="5">
        <f t="shared" ca="1" si="23"/>
        <v>45656</v>
      </c>
      <c r="B255" vm="752">
        <f ca="1"/>
        <v>45660</v>
      </c>
      <c r="C255" vm="753">
        <f ca="1"/>
        <v>90.78</v>
      </c>
      <c r="D255" vm="754">
        <f ca="1"/>
        <v>10834630</v>
      </c>
      <c r="E255">
        <f t="shared" ca="1" si="24"/>
        <v>91.268888888888881</v>
      </c>
      <c r="F255">
        <f t="shared" ca="1" si="25"/>
        <v>93.066999999999979</v>
      </c>
      <c r="G255">
        <f t="shared" ca="1" si="30"/>
        <v>88.885800000000003</v>
      </c>
      <c r="H255">
        <f t="shared" ca="1" si="29"/>
        <v>83.412475247524767</v>
      </c>
      <c r="I255">
        <f t="shared" ca="1" si="26"/>
        <v>1.8971948822017828</v>
      </c>
      <c r="J255">
        <f t="shared" ca="1" si="27"/>
        <v>89.272610235596417</v>
      </c>
      <c r="K255">
        <f t="shared" ca="1" si="28"/>
        <v>96.86138976440354</v>
      </c>
    </row>
    <row r="256" spans="1:11" x14ac:dyDescent="0.25">
      <c r="A256" s="5">
        <f t="shared" ca="1" si="23"/>
        <v>45663</v>
      </c>
      <c r="B256" vm="755">
        <f ca="1"/>
        <v>45663</v>
      </c>
      <c r="C256" vm="756">
        <f ca="1"/>
        <v>91.43</v>
      </c>
      <c r="D256" vm="757">
        <f ca="1"/>
        <v>14519858</v>
      </c>
      <c r="E256">
        <f t="shared" ca="1" si="24"/>
        <v>91.178888888888878</v>
      </c>
      <c r="F256">
        <f t="shared" ca="1" si="25"/>
        <v>92.873499999999993</v>
      </c>
      <c r="G256">
        <f t="shared" ca="1" si="30"/>
        <v>89.049000000000021</v>
      </c>
      <c r="H256">
        <f t="shared" ca="1" si="29"/>
        <v>83.637524752475258</v>
      </c>
      <c r="I256">
        <f t="shared" ca="1" si="26"/>
        <v>1.8543299967487206</v>
      </c>
      <c r="J256">
        <f t="shared" ca="1" si="27"/>
        <v>89.164840006502558</v>
      </c>
      <c r="K256">
        <f t="shared" ca="1" si="28"/>
        <v>96.582159993497427</v>
      </c>
    </row>
    <row r="257" spans="1:11" x14ac:dyDescent="0.25">
      <c r="A257" s="5">
        <f t="shared" ca="1" si="23"/>
        <v>45663</v>
      </c>
      <c r="B257" vm="758">
        <f ca="1"/>
        <v>45664</v>
      </c>
      <c r="C257" vm="759">
        <f ca="1"/>
        <v>90.81</v>
      </c>
      <c r="D257" vm="760">
        <f ca="1"/>
        <v>11238044</v>
      </c>
      <c r="E257">
        <f t="shared" ca="1" si="24"/>
        <v>91.22999999999999</v>
      </c>
      <c r="F257">
        <f t="shared" ca="1" si="25"/>
        <v>92.628999999999991</v>
      </c>
      <c r="G257">
        <f t="shared" ca="1" si="30"/>
        <v>89.204400000000007</v>
      </c>
      <c r="H257">
        <f t="shared" ca="1" si="29"/>
        <v>83.8620792079208</v>
      </c>
      <c r="I257">
        <f t="shared" ca="1" si="26"/>
        <v>1.7830426390391181</v>
      </c>
      <c r="J257">
        <f t="shared" ca="1" si="27"/>
        <v>89.062914721921757</v>
      </c>
      <c r="K257">
        <f t="shared" ca="1" si="28"/>
        <v>96.195085278078224</v>
      </c>
    </row>
    <row r="258" spans="1:11" x14ac:dyDescent="0.25">
      <c r="A258" s="5">
        <f t="shared" ca="1" si="23"/>
        <v>45663</v>
      </c>
      <c r="B258" vm="761">
        <f ca="1"/>
        <v>45665</v>
      </c>
      <c r="C258" vm="762">
        <f ca="1"/>
        <v>91.8</v>
      </c>
      <c r="D258" vm="763">
        <f ca="1"/>
        <v>13453627</v>
      </c>
      <c r="E258">
        <f t="shared" ca="1" si="24"/>
        <v>91.132222222222197</v>
      </c>
      <c r="F258">
        <f t="shared" ca="1" si="25"/>
        <v>92.527499999999989</v>
      </c>
      <c r="G258">
        <f t="shared" ca="1" si="30"/>
        <v>89.390200000000021</v>
      </c>
      <c r="H258">
        <f t="shared" ca="1" si="29"/>
        <v>84.091188118811871</v>
      </c>
      <c r="I258">
        <f t="shared" ca="1" si="26"/>
        <v>1.7687993995333324</v>
      </c>
      <c r="J258">
        <f t="shared" ca="1" si="27"/>
        <v>88.989901200933318</v>
      </c>
      <c r="K258">
        <f t="shared" ca="1" si="28"/>
        <v>96.065098799066661</v>
      </c>
    </row>
    <row r="259" spans="1:11" x14ac:dyDescent="0.25">
      <c r="A259" s="5">
        <f t="shared" ref="A259:A322" ca="1" si="31">B259 - WEEKDAY(B259, 2) + 1</f>
        <v>45663</v>
      </c>
      <c r="B259" vm="764">
        <f ca="1"/>
        <v>45667</v>
      </c>
      <c r="C259" vm="765">
        <f ca="1"/>
        <v>93</v>
      </c>
      <c r="D259" vm="766">
        <f ca="1"/>
        <v>18140864</v>
      </c>
      <c r="E259">
        <f t="shared" ca="1" si="24"/>
        <v>91.155555555555537</v>
      </c>
      <c r="F259">
        <f t="shared" ca="1" si="25"/>
        <v>92.449999999999989</v>
      </c>
      <c r="G259">
        <f t="shared" ca="1" si="30"/>
        <v>89.59520000000002</v>
      </c>
      <c r="H259">
        <f t="shared" ca="1" si="29"/>
        <v>84.287425742574243</v>
      </c>
      <c r="I259">
        <f t="shared" ca="1" si="26"/>
        <v>1.7084465088741336</v>
      </c>
      <c r="J259">
        <f t="shared" ca="1" si="27"/>
        <v>89.033106982251724</v>
      </c>
      <c r="K259">
        <f t="shared" ca="1" si="28"/>
        <v>95.866893017748254</v>
      </c>
    </row>
    <row r="260" spans="1:11" x14ac:dyDescent="0.25">
      <c r="A260" s="5">
        <f t="shared" ca="1" si="31"/>
        <v>45670</v>
      </c>
      <c r="B260" vm="767">
        <f ca="1"/>
        <v>45670</v>
      </c>
      <c r="C260" vm="768">
        <f ca="1"/>
        <v>91.53</v>
      </c>
      <c r="D260" vm="769">
        <f ca="1"/>
        <v>18617077</v>
      </c>
      <c r="E260">
        <f t="shared" ca="1" si="24"/>
        <v>91.141111111111101</v>
      </c>
      <c r="F260">
        <f t="shared" ca="1" si="25"/>
        <v>92.278499999999994</v>
      </c>
      <c r="G260">
        <f t="shared" ca="1" si="30"/>
        <v>89.791800000000023</v>
      </c>
      <c r="H260">
        <f t="shared" ca="1" si="29"/>
        <v>84.466435643564367</v>
      </c>
      <c r="I260">
        <f t="shared" ca="1" si="26"/>
        <v>1.6126972339596357</v>
      </c>
      <c r="J260">
        <f t="shared" ca="1" si="27"/>
        <v>89.053105532080721</v>
      </c>
      <c r="K260">
        <f t="shared" ca="1" si="28"/>
        <v>95.503894467919267</v>
      </c>
    </row>
    <row r="261" spans="1:11" x14ac:dyDescent="0.25">
      <c r="A261" s="5">
        <f t="shared" ca="1" si="31"/>
        <v>45670</v>
      </c>
      <c r="B261" vm="770">
        <f ca="1"/>
        <v>45671</v>
      </c>
      <c r="C261" vm="771">
        <f ca="1"/>
        <v>90.79</v>
      </c>
      <c r="D261" vm="772">
        <f ca="1"/>
        <v>13549159</v>
      </c>
      <c r="E261">
        <f t="shared" ca="1" si="24"/>
        <v>91.165555555555542</v>
      </c>
      <c r="F261">
        <f t="shared" ca="1" si="25"/>
        <v>92.113499999999988</v>
      </c>
      <c r="G261">
        <f t="shared" ca="1" si="30"/>
        <v>89.979799999999997</v>
      </c>
      <c r="H261">
        <f t="shared" ca="1" si="29"/>
        <v>84.635445544554472</v>
      </c>
      <c r="I261">
        <f t="shared" ca="1" si="26"/>
        <v>1.5862012714924343</v>
      </c>
      <c r="J261">
        <f t="shared" ca="1" si="27"/>
        <v>88.941097457015118</v>
      </c>
      <c r="K261">
        <f t="shared" ca="1" si="28"/>
        <v>95.285902542984857</v>
      </c>
    </row>
    <row r="262" spans="1:11" x14ac:dyDescent="0.25">
      <c r="A262" s="5">
        <f t="shared" ca="1" si="31"/>
        <v>45670</v>
      </c>
      <c r="B262" vm="773">
        <f ca="1"/>
        <v>45672</v>
      </c>
      <c r="C262" vm="774">
        <f ca="1"/>
        <v>91.34</v>
      </c>
      <c r="D262" vm="775">
        <f ca="1"/>
        <v>17348174</v>
      </c>
      <c r="E262">
        <f t="shared" ca="1" si="24"/>
        <v>91.275555555555556</v>
      </c>
      <c r="F262">
        <f t="shared" ca="1" si="25"/>
        <v>91.967999999999989</v>
      </c>
      <c r="G262">
        <f t="shared" ca="1" si="30"/>
        <v>90.167600000000007</v>
      </c>
      <c r="H262">
        <f t="shared" ca="1" si="29"/>
        <v>84.801782178217849</v>
      </c>
      <c r="I262">
        <f t="shared" ca="1" si="26"/>
        <v>1.5116202530641381</v>
      </c>
      <c r="J262">
        <f t="shared" ca="1" si="27"/>
        <v>88.944759493871715</v>
      </c>
      <c r="K262">
        <f t="shared" ca="1" si="28"/>
        <v>94.991240506128264</v>
      </c>
    </row>
    <row r="263" spans="1:11" x14ac:dyDescent="0.25">
      <c r="A263" s="5">
        <f t="shared" ca="1" si="31"/>
        <v>45670</v>
      </c>
      <c r="B263" vm="776">
        <f ca="1"/>
        <v>45673</v>
      </c>
      <c r="C263" vm="777">
        <f ca="1"/>
        <v>91.3</v>
      </c>
      <c r="D263" vm="778">
        <f ca="1"/>
        <v>13267723</v>
      </c>
      <c r="E263">
        <f t="shared" ca="1" si="24"/>
        <v>91.42</v>
      </c>
      <c r="F263">
        <f t="shared" ca="1" si="25"/>
        <v>91.789500000000004</v>
      </c>
      <c r="G263">
        <f t="shared" ca="1" si="30"/>
        <v>90.349800000000016</v>
      </c>
      <c r="H263">
        <f t="shared" ca="1" si="29"/>
        <v>84.960792079207948</v>
      </c>
      <c r="I263">
        <f t="shared" ca="1" si="26"/>
        <v>1.3534030208485972</v>
      </c>
      <c r="J263">
        <f t="shared" ca="1" si="27"/>
        <v>89.082693958302812</v>
      </c>
      <c r="K263">
        <f t="shared" ca="1" si="28"/>
        <v>94.496306041697196</v>
      </c>
    </row>
    <row r="264" spans="1:11" x14ac:dyDescent="0.25">
      <c r="A264" s="5">
        <f t="shared" ca="1" si="31"/>
        <v>45670</v>
      </c>
      <c r="B264" vm="779">
        <f ca="1"/>
        <v>45674</v>
      </c>
      <c r="C264" vm="780">
        <f ca="1"/>
        <v>91.94</v>
      </c>
      <c r="D264" vm="781">
        <f ca="1"/>
        <v>15868213</v>
      </c>
      <c r="E264">
        <f t="shared" ca="1" si="24"/>
        <v>91.548888888888897</v>
      </c>
      <c r="F264">
        <f t="shared" ca="1" si="25"/>
        <v>91.615499999999983</v>
      </c>
      <c r="G264">
        <f t="shared" ca="1" si="30"/>
        <v>90.539600000000007</v>
      </c>
      <c r="H264">
        <f t="shared" ca="1" si="29"/>
        <v>85.122772277227739</v>
      </c>
      <c r="I264">
        <f t="shared" ca="1" si="26"/>
        <v>1.0522881084369895</v>
      </c>
      <c r="J264">
        <f t="shared" ca="1" si="27"/>
        <v>89.510923783126003</v>
      </c>
      <c r="K264">
        <f t="shared" ca="1" si="28"/>
        <v>93.720076216873963</v>
      </c>
    </row>
    <row r="265" spans="1:11" x14ac:dyDescent="0.25">
      <c r="A265" s="5">
        <f t="shared" ca="1" si="31"/>
        <v>45677</v>
      </c>
      <c r="B265" vm="782">
        <f ca="1"/>
        <v>45678</v>
      </c>
      <c r="C265" vm="783">
        <f ca="1"/>
        <v>93.08</v>
      </c>
      <c r="D265" vm="784">
        <f ca="1"/>
        <v>23247451</v>
      </c>
      <c r="E265">
        <f t="shared" ca="1" si="24"/>
        <v>91.732222222222219</v>
      </c>
      <c r="F265">
        <f t="shared" ca="1" si="25"/>
        <v>91.591999999999985</v>
      </c>
      <c r="G265">
        <f t="shared" ca="1" si="30"/>
        <v>90.727599999999995</v>
      </c>
      <c r="H265">
        <f t="shared" ca="1" si="29"/>
        <v>85.294851485148527</v>
      </c>
      <c r="I265">
        <f t="shared" ca="1" si="26"/>
        <v>1.0112608076320544</v>
      </c>
      <c r="J265">
        <f t="shared" ca="1" si="27"/>
        <v>89.569478384735874</v>
      </c>
      <c r="K265">
        <f t="shared" ca="1" si="28"/>
        <v>93.614521615264096</v>
      </c>
    </row>
    <row r="266" spans="1:11" x14ac:dyDescent="0.25">
      <c r="A266" s="5">
        <f t="shared" ca="1" si="31"/>
        <v>45677</v>
      </c>
      <c r="B266" vm="785">
        <f ca="1"/>
        <v>45679</v>
      </c>
      <c r="C266" vm="786">
        <f ca="1"/>
        <v>93.23</v>
      </c>
      <c r="D266" vm="787">
        <f ca="1"/>
        <v>15567057</v>
      </c>
      <c r="E266">
        <f t="shared" ca="1" si="24"/>
        <v>92.001111111111129</v>
      </c>
      <c r="F266">
        <f t="shared" ca="1" si="25"/>
        <v>91.583499999999987</v>
      </c>
      <c r="G266">
        <f t="shared" ca="1" si="30"/>
        <v>90.923399999999987</v>
      </c>
      <c r="H266">
        <f t="shared" ca="1" si="29"/>
        <v>85.465148514851478</v>
      </c>
      <c r="I266">
        <f t="shared" ca="1" si="26"/>
        <v>0.99586130401884176</v>
      </c>
      <c r="J266">
        <f t="shared" ca="1" si="27"/>
        <v>89.591777391962296</v>
      </c>
      <c r="K266">
        <f t="shared" ca="1" si="28"/>
        <v>93.575222608037677</v>
      </c>
    </row>
    <row r="267" spans="1:11" x14ac:dyDescent="0.25">
      <c r="A267" s="5">
        <f t="shared" ca="1" si="31"/>
        <v>45677</v>
      </c>
      <c r="B267" vm="788">
        <f ca="1"/>
        <v>45680</v>
      </c>
      <c r="C267" vm="789">
        <f ca="1"/>
        <v>93.81</v>
      </c>
      <c r="D267" vm="790">
        <f ca="1"/>
        <v>14198438</v>
      </c>
      <c r="E267">
        <f t="shared" ref="E267:E330" ca="1" si="32">AVERAGE(C259:C267)</f>
        <v>92.224444444444444</v>
      </c>
      <c r="F267">
        <f t="shared" ca="1" si="25"/>
        <v>91.661999999999978</v>
      </c>
      <c r="G267">
        <f t="shared" ca="1" si="30"/>
        <v>91.122600000000006</v>
      </c>
      <c r="H267">
        <f t="shared" ca="1" si="29"/>
        <v>85.640198019802</v>
      </c>
      <c r="I267">
        <f t="shared" ca="1" si="26"/>
        <v>1.1061103019138749</v>
      </c>
      <c r="J267">
        <f t="shared" ca="1" si="27"/>
        <v>89.449779396172232</v>
      </c>
      <c r="K267">
        <f t="shared" ca="1" si="28"/>
        <v>93.874220603827723</v>
      </c>
    </row>
    <row r="268" spans="1:11" x14ac:dyDescent="0.25">
      <c r="A268" s="5">
        <f t="shared" ca="1" si="31"/>
        <v>45677</v>
      </c>
      <c r="B268" vm="791">
        <f ca="1"/>
        <v>45681</v>
      </c>
      <c r="C268" vm="792">
        <f ca="1"/>
        <v>94.76</v>
      </c>
      <c r="D268" vm="793">
        <f ca="1"/>
        <v>14973773</v>
      </c>
      <c r="E268">
        <f t="shared" ca="1" si="32"/>
        <v>92.42</v>
      </c>
      <c r="F268">
        <f t="shared" ca="1" si="25"/>
        <v>91.882499999999979</v>
      </c>
      <c r="G268">
        <f t="shared" ca="1" si="30"/>
        <v>91.32119999999999</v>
      </c>
      <c r="H268">
        <f t="shared" ca="1" si="29"/>
        <v>85.825148514851506</v>
      </c>
      <c r="I268">
        <f t="shared" ca="1" si="26"/>
        <v>1.25969868995474</v>
      </c>
      <c r="J268">
        <f t="shared" ca="1" si="27"/>
        <v>89.363102620090501</v>
      </c>
      <c r="K268">
        <f t="shared" ca="1" si="28"/>
        <v>94.401897379909457</v>
      </c>
    </row>
    <row r="269" spans="1:11" x14ac:dyDescent="0.25">
      <c r="A269" s="5">
        <f t="shared" ca="1" si="31"/>
        <v>45684</v>
      </c>
      <c r="B269" vm="794">
        <f ca="1"/>
        <v>45684</v>
      </c>
      <c r="C269" vm="795">
        <f ca="1"/>
        <v>97.4</v>
      </c>
      <c r="D269" vm="796">
        <f ca="1"/>
        <v>18880614</v>
      </c>
      <c r="E269">
        <f t="shared" ca="1" si="32"/>
        <v>93.072222222222223</v>
      </c>
      <c r="F269">
        <f t="shared" ca="1" si="25"/>
        <v>92.118499999999983</v>
      </c>
      <c r="G269">
        <f t="shared" ca="1" si="30"/>
        <v>91.584999999999994</v>
      </c>
      <c r="H269">
        <f t="shared" ca="1" si="29"/>
        <v>86.032871287128714</v>
      </c>
      <c r="I269">
        <f t="shared" ca="1" si="26"/>
        <v>1.7598273689260144</v>
      </c>
      <c r="J269">
        <f t="shared" ca="1" si="27"/>
        <v>88.598845262147961</v>
      </c>
      <c r="K269">
        <f t="shared" ca="1" si="28"/>
        <v>95.638154737852005</v>
      </c>
    </row>
    <row r="270" spans="1:11" x14ac:dyDescent="0.25">
      <c r="A270" s="5">
        <f t="shared" ca="1" si="31"/>
        <v>45684</v>
      </c>
      <c r="B270" vm="797">
        <f ca="1"/>
        <v>45685</v>
      </c>
      <c r="C270" vm="798">
        <f ca="1"/>
        <v>97.29</v>
      </c>
      <c r="D270" vm="799">
        <f ca="1"/>
        <v>14641621</v>
      </c>
      <c r="E270">
        <f t="shared" ca="1" si="32"/>
        <v>93.794444444444437</v>
      </c>
      <c r="F270">
        <f t="shared" ca="1" si="25"/>
        <v>92.343499999999977</v>
      </c>
      <c r="G270">
        <f t="shared" ca="1" si="30"/>
        <v>91.831000000000003</v>
      </c>
      <c r="H270">
        <f t="shared" ca="1" si="29"/>
        <v>86.231485148514864</v>
      </c>
      <c r="I270">
        <f t="shared" ca="1" si="26"/>
        <v>2.1041794875412796</v>
      </c>
      <c r="J270">
        <f t="shared" ca="1" si="27"/>
        <v>88.135141024917417</v>
      </c>
      <c r="K270">
        <f t="shared" ca="1" si="28"/>
        <v>96.551858975082538</v>
      </c>
    </row>
    <row r="271" spans="1:11" x14ac:dyDescent="0.25">
      <c r="A271" s="5">
        <f t="shared" ca="1" si="31"/>
        <v>45684</v>
      </c>
      <c r="B271" vm="800">
        <f ca="1"/>
        <v>45686</v>
      </c>
      <c r="C271" vm="801">
        <f ca="1"/>
        <v>97.5</v>
      </c>
      <c r="D271" vm="802">
        <f ca="1"/>
        <v>11261444</v>
      </c>
      <c r="E271">
        <f t="shared" ca="1" si="32"/>
        <v>94.478888888888889</v>
      </c>
      <c r="F271">
        <f t="shared" ca="1" si="25"/>
        <v>92.635499999999993</v>
      </c>
      <c r="G271">
        <f t="shared" ca="1" si="30"/>
        <v>92.070999999999998</v>
      </c>
      <c r="H271">
        <f t="shared" ca="1" si="29"/>
        <v>86.432772277227727</v>
      </c>
      <c r="I271">
        <f t="shared" ca="1" si="26"/>
        <v>2.390121060576333</v>
      </c>
      <c r="J271">
        <f t="shared" ca="1" si="27"/>
        <v>87.855257878847326</v>
      </c>
      <c r="K271">
        <f t="shared" ca="1" si="28"/>
        <v>97.415742121152661</v>
      </c>
    </row>
    <row r="272" spans="1:11" x14ac:dyDescent="0.25">
      <c r="A272" s="5">
        <f t="shared" ca="1" si="31"/>
        <v>45684</v>
      </c>
      <c r="B272" vm="803">
        <f ca="1"/>
        <v>45687</v>
      </c>
      <c r="C272" vm="804">
        <f ca="1"/>
        <v>98.65</v>
      </c>
      <c r="D272" vm="805">
        <f ca="1"/>
        <v>11012220</v>
      </c>
      <c r="E272">
        <f t="shared" ca="1" si="32"/>
        <v>95.295555555555552</v>
      </c>
      <c r="F272">
        <f t="shared" ca="1" si="25"/>
        <v>93.039500000000004</v>
      </c>
      <c r="G272">
        <f t="shared" ca="1" si="30"/>
        <v>92.354599999999991</v>
      </c>
      <c r="H272">
        <f t="shared" ca="1" si="29"/>
        <v>86.644752475247529</v>
      </c>
      <c r="I272">
        <f t="shared" ca="1" si="26"/>
        <v>2.6870497909319386</v>
      </c>
      <c r="J272">
        <f t="shared" ca="1" si="27"/>
        <v>87.66540041813613</v>
      </c>
      <c r="K272">
        <f t="shared" ca="1" si="28"/>
        <v>98.413599581863878</v>
      </c>
    </row>
    <row r="273" spans="1:11" x14ac:dyDescent="0.25">
      <c r="A273" s="5">
        <f t="shared" ca="1" si="31"/>
        <v>45684</v>
      </c>
      <c r="B273" vm="806">
        <f ca="1"/>
        <v>45688</v>
      </c>
      <c r="C273" vm="807">
        <f ca="1"/>
        <v>98.16</v>
      </c>
      <c r="D273" vm="808">
        <f ca="1"/>
        <v>16413893</v>
      </c>
      <c r="E273">
        <f t="shared" ca="1" si="32"/>
        <v>95.98666666666665</v>
      </c>
      <c r="F273">
        <f t="shared" ca="1" si="25"/>
        <v>93.43</v>
      </c>
      <c r="G273">
        <f t="shared" ca="1" si="30"/>
        <v>92.632799999999975</v>
      </c>
      <c r="H273">
        <f t="shared" ca="1" si="29"/>
        <v>86.85465346534653</v>
      </c>
      <c r="I273">
        <f t="shared" ca="1" si="26"/>
        <v>2.8388359363802995</v>
      </c>
      <c r="J273">
        <f t="shared" ca="1" si="27"/>
        <v>87.752328127239409</v>
      </c>
      <c r="K273">
        <f t="shared" ca="1" si="28"/>
        <v>99.107671872760605</v>
      </c>
    </row>
    <row r="274" spans="1:11" x14ac:dyDescent="0.25">
      <c r="A274" s="5">
        <f t="shared" ca="1" si="31"/>
        <v>45691</v>
      </c>
      <c r="B274" vm="809">
        <f ca="1"/>
        <v>45691</v>
      </c>
      <c r="C274" vm="810">
        <f ca="1"/>
        <v>99.54</v>
      </c>
      <c r="D274" vm="811">
        <f ca="1"/>
        <v>20484152</v>
      </c>
      <c r="E274">
        <f t="shared" ca="1" si="32"/>
        <v>96.704444444444434</v>
      </c>
      <c r="F274">
        <f t="shared" ca="1" si="25"/>
        <v>93.907000000000011</v>
      </c>
      <c r="G274">
        <f t="shared" ca="1" si="30"/>
        <v>92.941999999999993</v>
      </c>
      <c r="H274">
        <f t="shared" ca="1" si="29"/>
        <v>87.08138613861388</v>
      </c>
      <c r="I274">
        <f t="shared" ca="1" si="26"/>
        <v>3.0273961366859572</v>
      </c>
      <c r="J274">
        <f t="shared" ca="1" si="27"/>
        <v>87.852207726628095</v>
      </c>
      <c r="K274">
        <f t="shared" ca="1" si="28"/>
        <v>99.961792273371927</v>
      </c>
    </row>
    <row r="275" spans="1:11" x14ac:dyDescent="0.25">
      <c r="A275" s="5">
        <f t="shared" ca="1" si="31"/>
        <v>45691</v>
      </c>
      <c r="B275" vm="812">
        <f ca="1"/>
        <v>45692</v>
      </c>
      <c r="C275" vm="813">
        <f ca="1"/>
        <v>100.77</v>
      </c>
      <c r="D275" vm="814">
        <f ca="1"/>
        <v>15201194</v>
      </c>
      <c r="E275">
        <f t="shared" ca="1" si="32"/>
        <v>97.542222222222222</v>
      </c>
      <c r="F275">
        <f t="shared" ca="1" si="25"/>
        <v>94.406500000000023</v>
      </c>
      <c r="G275">
        <f t="shared" ca="1" si="30"/>
        <v>93.225400000000008</v>
      </c>
      <c r="H275">
        <f t="shared" ca="1" si="29"/>
        <v>87.313366336633678</v>
      </c>
      <c r="I275">
        <f t="shared" ca="1" si="26"/>
        <v>3.2964897997718725</v>
      </c>
      <c r="J275">
        <f t="shared" ca="1" si="27"/>
        <v>87.813520400456284</v>
      </c>
      <c r="K275">
        <f t="shared" ca="1" si="28"/>
        <v>100.99947959954376</v>
      </c>
    </row>
    <row r="276" spans="1:11" x14ac:dyDescent="0.25">
      <c r="A276" s="5">
        <f t="shared" ca="1" si="31"/>
        <v>45691</v>
      </c>
      <c r="B276" vm="815">
        <f ca="1"/>
        <v>45693</v>
      </c>
      <c r="C276" vm="816">
        <f ca="1"/>
        <v>102.46</v>
      </c>
      <c r="D276" vm="817">
        <f ca="1"/>
        <v>15926717</v>
      </c>
      <c r="E276">
        <f t="shared" ca="1" si="32"/>
        <v>98.50333333333333</v>
      </c>
      <c r="F276">
        <f t="shared" ca="1" si="25"/>
        <v>94.958000000000013</v>
      </c>
      <c r="G276">
        <f t="shared" ca="1" si="30"/>
        <v>93.53100000000002</v>
      </c>
      <c r="H276">
        <f t="shared" ca="1" si="29"/>
        <v>87.54752475247524</v>
      </c>
      <c r="I276">
        <f t="shared" ca="1" si="26"/>
        <v>3.6734203192808281</v>
      </c>
      <c r="J276">
        <f t="shared" ca="1" si="27"/>
        <v>87.611159361438354</v>
      </c>
      <c r="K276">
        <f t="shared" ca="1" si="28"/>
        <v>102.30484063856167</v>
      </c>
    </row>
    <row r="277" spans="1:11" x14ac:dyDescent="0.25">
      <c r="A277" s="5">
        <f t="shared" ca="1" si="31"/>
        <v>45691</v>
      </c>
      <c r="B277" vm="818">
        <f ca="1"/>
        <v>45694</v>
      </c>
      <c r="C277" vm="819">
        <f ca="1"/>
        <v>102.85</v>
      </c>
      <c r="D277" vm="820">
        <f ca="1"/>
        <v>13088467</v>
      </c>
      <c r="E277">
        <f t="shared" ca="1" si="32"/>
        <v>99.402222222222221</v>
      </c>
      <c r="F277">
        <f t="shared" ca="1" si="25"/>
        <v>95.560000000000016</v>
      </c>
      <c r="G277">
        <f t="shared" ca="1" si="30"/>
        <v>93.820200000000028</v>
      </c>
      <c r="H277">
        <f t="shared" ca="1" si="29"/>
        <v>87.785247524752464</v>
      </c>
      <c r="I277">
        <f t="shared" ca="1" si="26"/>
        <v>3.9351051614383747</v>
      </c>
      <c r="J277">
        <f t="shared" ca="1" si="27"/>
        <v>87.689789677123272</v>
      </c>
      <c r="K277">
        <f t="shared" ca="1" si="28"/>
        <v>103.43021032287676</v>
      </c>
    </row>
    <row r="278" spans="1:11" x14ac:dyDescent="0.25">
      <c r="A278" s="5">
        <f t="shared" ca="1" si="31"/>
        <v>45691</v>
      </c>
      <c r="B278" vm="821">
        <f ca="1"/>
        <v>45695</v>
      </c>
      <c r="C278" vm="822">
        <f ca="1"/>
        <v>101.15</v>
      </c>
      <c r="D278" vm="823">
        <f ca="1"/>
        <v>12451072</v>
      </c>
      <c r="E278">
        <f t="shared" ca="1" si="32"/>
        <v>99.818888888888907</v>
      </c>
      <c r="F278">
        <f t="shared" ref="F278:F341" ca="1" si="33">AVERAGE(C259:C278)</f>
        <v>96.027500000000003</v>
      </c>
      <c r="G278">
        <f t="shared" ca="1" si="30"/>
        <v>94.034400000000019</v>
      </c>
      <c r="H278">
        <f t="shared" ca="1" si="29"/>
        <v>87.998019801980192</v>
      </c>
      <c r="I278">
        <f t="shared" ref="I278:I341" ca="1" si="34">_xlfn.STDEV.S(C259:C278)</f>
        <v>4.0193962298623376</v>
      </c>
      <c r="J278">
        <f t="shared" ref="J278:J341" ca="1" si="35">F278-2*I278</f>
        <v>87.988707540275328</v>
      </c>
      <c r="K278">
        <f t="shared" ref="K278:K341" ca="1" si="36">F278+2*I278</f>
        <v>104.06629245972468</v>
      </c>
    </row>
    <row r="279" spans="1:11" x14ac:dyDescent="0.25">
      <c r="A279" s="5">
        <f t="shared" ca="1" si="31"/>
        <v>45698</v>
      </c>
      <c r="B279" vm="824">
        <f ca="1"/>
        <v>45698</v>
      </c>
      <c r="C279" vm="825">
        <f ca="1"/>
        <v>102.92</v>
      </c>
      <c r="D279" vm="826">
        <f ca="1"/>
        <v>15274644</v>
      </c>
      <c r="E279">
        <f t="shared" ca="1" si="32"/>
        <v>100.44444444444444</v>
      </c>
      <c r="F279">
        <f t="shared" ca="1" si="33"/>
        <v>96.523500000000013</v>
      </c>
      <c r="G279">
        <f t="shared" ca="1" si="30"/>
        <v>94.302800000000019</v>
      </c>
      <c r="H279">
        <f t="shared" ca="1" si="29"/>
        <v>88.219009900990102</v>
      </c>
      <c r="I279">
        <f t="shared" ca="1" si="34"/>
        <v>4.2325546286150297</v>
      </c>
      <c r="J279">
        <f t="shared" ca="1" si="35"/>
        <v>88.058390742769959</v>
      </c>
      <c r="K279">
        <f t="shared" ca="1" si="36"/>
        <v>104.98860925723007</v>
      </c>
    </row>
    <row r="280" spans="1:11" x14ac:dyDescent="0.25">
      <c r="A280" s="5">
        <f t="shared" ca="1" si="31"/>
        <v>45698</v>
      </c>
      <c r="B280" vm="827">
        <f ca="1"/>
        <v>45699</v>
      </c>
      <c r="C280" vm="828">
        <f ca="1"/>
        <v>102.47</v>
      </c>
      <c r="D280" vm="829">
        <f ca="1"/>
        <v>11953632</v>
      </c>
      <c r="E280">
        <f t="shared" ca="1" si="32"/>
        <v>100.99666666666666</v>
      </c>
      <c r="F280">
        <f t="shared" ca="1" si="33"/>
        <v>97.07050000000001</v>
      </c>
      <c r="G280">
        <f t="shared" ca="1" si="30"/>
        <v>94.526000000000039</v>
      </c>
      <c r="H280">
        <f t="shared" ca="1" si="29"/>
        <v>88.435940594059389</v>
      </c>
      <c r="I280">
        <f t="shared" ca="1" si="34"/>
        <v>4.2600808924862337</v>
      </c>
      <c r="J280">
        <f t="shared" ca="1" si="35"/>
        <v>88.550338215027537</v>
      </c>
      <c r="K280">
        <f t="shared" ca="1" si="36"/>
        <v>105.59066178497248</v>
      </c>
    </row>
    <row r="281" spans="1:11" x14ac:dyDescent="0.25">
      <c r="A281" s="5">
        <f t="shared" ca="1" si="31"/>
        <v>45698</v>
      </c>
      <c r="B281" vm="830">
        <f ca="1"/>
        <v>45700</v>
      </c>
      <c r="C281" vm="831">
        <f ca="1"/>
        <v>103.61</v>
      </c>
      <c r="D281" vm="832">
        <f ca="1"/>
        <v>15162125</v>
      </c>
      <c r="E281">
        <f t="shared" ca="1" si="32"/>
        <v>101.54777777777777</v>
      </c>
      <c r="F281">
        <f t="shared" ca="1" si="33"/>
        <v>97.711500000000001</v>
      </c>
      <c r="G281">
        <f t="shared" ca="1" si="30"/>
        <v>94.760600000000025</v>
      </c>
      <c r="H281">
        <f t="shared" ca="1" si="29"/>
        <v>88.683564356435639</v>
      </c>
      <c r="I281">
        <f t="shared" ca="1" si="34"/>
        <v>4.229720999881919</v>
      </c>
      <c r="J281">
        <f t="shared" ca="1" si="35"/>
        <v>89.252058000236161</v>
      </c>
      <c r="K281">
        <f t="shared" ca="1" si="36"/>
        <v>106.17094199976384</v>
      </c>
    </row>
    <row r="282" spans="1:11" x14ac:dyDescent="0.25">
      <c r="A282" s="5">
        <f t="shared" ca="1" si="31"/>
        <v>45698</v>
      </c>
      <c r="B282" vm="833">
        <f ca="1"/>
        <v>45701</v>
      </c>
      <c r="C282" vm="834">
        <f ca="1"/>
        <v>105.05</v>
      </c>
      <c r="D282" vm="835">
        <f ca="1"/>
        <v>12604413</v>
      </c>
      <c r="E282">
        <f t="shared" ca="1" si="32"/>
        <v>102.31333333333333</v>
      </c>
      <c r="F282">
        <f t="shared" ca="1" si="33"/>
        <v>98.396999999999991</v>
      </c>
      <c r="G282">
        <f t="shared" ca="1" si="30"/>
        <v>95.011600000000016</v>
      </c>
      <c r="H282">
        <f t="shared" ca="1" si="29"/>
        <v>88.941188118811851</v>
      </c>
      <c r="I282">
        <f t="shared" ca="1" si="34"/>
        <v>4.2536647976217292</v>
      </c>
      <c r="J282">
        <f t="shared" ca="1" si="35"/>
        <v>89.889670404756529</v>
      </c>
      <c r="K282">
        <f t="shared" ca="1" si="36"/>
        <v>106.90432959524345</v>
      </c>
    </row>
    <row r="283" spans="1:11" x14ac:dyDescent="0.25">
      <c r="A283" s="5">
        <f t="shared" ca="1" si="31"/>
        <v>45698</v>
      </c>
      <c r="B283" vm="836">
        <f ca="1"/>
        <v>45702</v>
      </c>
      <c r="C283" vm="837">
        <f ca="1"/>
        <v>104.04</v>
      </c>
      <c r="D283" vm="838">
        <f ca="1"/>
        <v>14109460</v>
      </c>
      <c r="E283">
        <f t="shared" ca="1" si="32"/>
        <v>102.81333333333333</v>
      </c>
      <c r="F283">
        <f t="shared" ca="1" si="33"/>
        <v>99.033999999999992</v>
      </c>
      <c r="G283">
        <f t="shared" ca="1" si="30"/>
        <v>95.23960000000001</v>
      </c>
      <c r="H283">
        <f t="shared" ca="1" si="29"/>
        <v>89.198613861386136</v>
      </c>
      <c r="I283">
        <f t="shared" ca="1" si="34"/>
        <v>4.0855346876768186</v>
      </c>
      <c r="J283">
        <f t="shared" ca="1" si="35"/>
        <v>90.862930624646353</v>
      </c>
      <c r="K283">
        <f t="shared" ca="1" si="36"/>
        <v>107.20506937535363</v>
      </c>
    </row>
    <row r="284" spans="1:11" x14ac:dyDescent="0.25">
      <c r="A284" s="5">
        <f t="shared" ca="1" si="31"/>
        <v>45705</v>
      </c>
      <c r="B284" vm="839">
        <f ca="1"/>
        <v>45706</v>
      </c>
      <c r="C284" vm="840">
        <f ca="1"/>
        <v>103.78</v>
      </c>
      <c r="D284" vm="841">
        <f ca="1"/>
        <v>18247314</v>
      </c>
      <c r="E284">
        <f t="shared" ca="1" si="32"/>
        <v>103.14777777777778</v>
      </c>
      <c r="F284">
        <f t="shared" ca="1" si="33"/>
        <v>99.625999999999991</v>
      </c>
      <c r="G284">
        <f t="shared" ca="1" si="30"/>
        <v>95.445000000000022</v>
      </c>
      <c r="H284">
        <f t="shared" ca="1" si="29"/>
        <v>89.443366336633659</v>
      </c>
      <c r="I284">
        <f t="shared" ca="1" si="34"/>
        <v>3.8548034286697681</v>
      </c>
      <c r="J284">
        <f t="shared" ca="1" si="35"/>
        <v>91.916393142660453</v>
      </c>
      <c r="K284">
        <f t="shared" ca="1" si="36"/>
        <v>107.33560685733953</v>
      </c>
    </row>
    <row r="285" spans="1:11" x14ac:dyDescent="0.25">
      <c r="A285" s="5">
        <f t="shared" ca="1" si="31"/>
        <v>45705</v>
      </c>
      <c r="B285" vm="842">
        <f ca="1"/>
        <v>45707</v>
      </c>
      <c r="C285" vm="843">
        <f ca="1"/>
        <v>104</v>
      </c>
      <c r="D285" vm="844">
        <f ca="1"/>
        <v>18507981</v>
      </c>
      <c r="E285">
        <f t="shared" ca="1" si="32"/>
        <v>103.31888888888888</v>
      </c>
      <c r="F285">
        <f t="shared" ca="1" si="33"/>
        <v>100.172</v>
      </c>
      <c r="G285">
        <f t="shared" ca="1" si="30"/>
        <v>95.63600000000001</v>
      </c>
      <c r="H285">
        <f t="shared" ca="1" si="29"/>
        <v>89.677722772277221</v>
      </c>
      <c r="I285">
        <f t="shared" ca="1" si="34"/>
        <v>3.6465565588431637</v>
      </c>
      <c r="J285">
        <f t="shared" ca="1" si="35"/>
        <v>92.878886882313665</v>
      </c>
      <c r="K285">
        <f t="shared" ca="1" si="36"/>
        <v>107.46511311768633</v>
      </c>
    </row>
    <row r="286" spans="1:11" x14ac:dyDescent="0.25">
      <c r="A286" s="5">
        <f t="shared" ca="1" si="31"/>
        <v>45705</v>
      </c>
      <c r="B286" vm="845">
        <f ca="1"/>
        <v>45708</v>
      </c>
      <c r="C286" vm="846">
        <f ca="1"/>
        <v>97.21</v>
      </c>
      <c r="D286" vm="847">
        <f ca="1"/>
        <v>55450924</v>
      </c>
      <c r="E286">
        <f t="shared" ca="1" si="32"/>
        <v>102.69222222222221</v>
      </c>
      <c r="F286">
        <f t="shared" ca="1" si="33"/>
        <v>100.37100000000001</v>
      </c>
      <c r="G286">
        <f t="shared" ca="1" si="30"/>
        <v>95.674199999999999</v>
      </c>
      <c r="H286">
        <f t="shared" ca="1" si="29"/>
        <v>89.841485148514849</v>
      </c>
      <c r="I286">
        <f t="shared" ca="1" si="34"/>
        <v>3.3438095198834441</v>
      </c>
      <c r="J286">
        <f t="shared" ca="1" si="35"/>
        <v>93.683380960233123</v>
      </c>
      <c r="K286">
        <f t="shared" ca="1" si="36"/>
        <v>107.0586190397669</v>
      </c>
    </row>
    <row r="287" spans="1:11" x14ac:dyDescent="0.25">
      <c r="A287" s="5">
        <f t="shared" ca="1" si="31"/>
        <v>45705</v>
      </c>
      <c r="B287" vm="848">
        <f ca="1"/>
        <v>45709</v>
      </c>
      <c r="C287" vm="849">
        <f ca="1"/>
        <v>94.78</v>
      </c>
      <c r="D287" vm="850">
        <f ca="1"/>
        <v>35014806</v>
      </c>
      <c r="E287">
        <f t="shared" ca="1" si="32"/>
        <v>101.98444444444445</v>
      </c>
      <c r="F287">
        <f t="shared" ca="1" si="33"/>
        <v>100.4195</v>
      </c>
      <c r="G287">
        <f t="shared" ca="1" si="30"/>
        <v>95.655799999999999</v>
      </c>
      <c r="H287">
        <f t="shared" ca="1" si="29"/>
        <v>89.973960396039587</v>
      </c>
      <c r="I287">
        <f t="shared" ca="1" si="34"/>
        <v>3.2493375438209253</v>
      </c>
      <c r="J287">
        <f t="shared" ca="1" si="35"/>
        <v>93.920824912358142</v>
      </c>
      <c r="K287">
        <f t="shared" ca="1" si="36"/>
        <v>106.91817508764186</v>
      </c>
    </row>
    <row r="288" spans="1:11" x14ac:dyDescent="0.25">
      <c r="A288" s="5">
        <f t="shared" ca="1" si="31"/>
        <v>45712</v>
      </c>
      <c r="B288" vm="851">
        <f ca="1"/>
        <v>45712</v>
      </c>
      <c r="C288" vm="852">
        <f ca="1"/>
        <v>93.67</v>
      </c>
      <c r="D288" vm="853">
        <f ca="1"/>
        <v>29755875</v>
      </c>
      <c r="E288">
        <f t="shared" ca="1" si="32"/>
        <v>100.95666666666666</v>
      </c>
      <c r="F288">
        <f t="shared" ca="1" si="33"/>
        <v>100.36499999999999</v>
      </c>
      <c r="G288">
        <f t="shared" ca="1" si="30"/>
        <v>95.652600000000007</v>
      </c>
      <c r="H288">
        <f t="shared" ca="1" si="29"/>
        <v>90.110099009900978</v>
      </c>
      <c r="I288">
        <f t="shared" ca="1" si="34"/>
        <v>3.3566281640329096</v>
      </c>
      <c r="J288">
        <f t="shared" ca="1" si="35"/>
        <v>93.65174367193417</v>
      </c>
      <c r="K288">
        <f t="shared" ca="1" si="36"/>
        <v>107.07825632806582</v>
      </c>
    </row>
    <row r="289" spans="1:11" x14ac:dyDescent="0.25">
      <c r="A289" s="5">
        <f t="shared" ca="1" si="31"/>
        <v>45712</v>
      </c>
      <c r="B289" vm="854">
        <f ca="1"/>
        <v>45713</v>
      </c>
      <c r="C289" vm="855">
        <f ca="1"/>
        <v>97.69</v>
      </c>
      <c r="D289" vm="856">
        <f ca="1"/>
        <v>29331188</v>
      </c>
      <c r="E289">
        <f t="shared" ca="1" si="32"/>
        <v>100.42555555555555</v>
      </c>
      <c r="F289">
        <f t="shared" ca="1" si="33"/>
        <v>100.37949999999999</v>
      </c>
      <c r="G289">
        <f t="shared" ca="1" si="30"/>
        <v>95.715399999999988</v>
      </c>
      <c r="H289">
        <f t="shared" ca="1" si="29"/>
        <v>90.287425742574257</v>
      </c>
      <c r="I289">
        <f t="shared" ca="1" si="34"/>
        <v>3.3437474643374543</v>
      </c>
      <c r="J289">
        <f t="shared" ca="1" si="35"/>
        <v>93.692005071325084</v>
      </c>
      <c r="K289">
        <f t="shared" ca="1" si="36"/>
        <v>107.0669949286749</v>
      </c>
    </row>
    <row r="290" spans="1:11" x14ac:dyDescent="0.25">
      <c r="A290" s="5">
        <f t="shared" ca="1" si="31"/>
        <v>45712</v>
      </c>
      <c r="B290" vm="857">
        <f ca="1"/>
        <v>45714</v>
      </c>
      <c r="C290" vm="858">
        <f ca="1"/>
        <v>96.2</v>
      </c>
      <c r="D290" vm="859">
        <f ca="1"/>
        <v>19069721</v>
      </c>
      <c r="E290">
        <f t="shared" ca="1" si="32"/>
        <v>99.602222222222224</v>
      </c>
      <c r="F290">
        <f t="shared" ca="1" si="33"/>
        <v>100.325</v>
      </c>
      <c r="G290">
        <f t="shared" ca="1" si="30"/>
        <v>95.740199999999987</v>
      </c>
      <c r="H290">
        <f t="shared" ca="1" si="29"/>
        <v>90.440396039603968</v>
      </c>
      <c r="I290">
        <f t="shared" ca="1" si="34"/>
        <v>3.405074386698089</v>
      </c>
      <c r="J290">
        <f t="shared" ca="1" si="35"/>
        <v>93.514851226603824</v>
      </c>
      <c r="K290">
        <f t="shared" ca="1" si="36"/>
        <v>107.13514877339618</v>
      </c>
    </row>
    <row r="291" spans="1:11" x14ac:dyDescent="0.25">
      <c r="A291" s="5">
        <f t="shared" ca="1" si="31"/>
        <v>45712</v>
      </c>
      <c r="B291" vm="860">
        <f ca="1"/>
        <v>45715</v>
      </c>
      <c r="C291" vm="861">
        <f ca="1"/>
        <v>96.79</v>
      </c>
      <c r="D291" vm="862">
        <f ca="1"/>
        <v>16431469</v>
      </c>
      <c r="E291">
        <f t="shared" ca="1" si="32"/>
        <v>98.684444444444424</v>
      </c>
      <c r="F291">
        <f t="shared" ca="1" si="33"/>
        <v>100.2895</v>
      </c>
      <c r="G291">
        <f t="shared" ca="1" si="30"/>
        <v>95.794199999999989</v>
      </c>
      <c r="H291">
        <f t="shared" ca="1" si="29"/>
        <v>90.594059405940612</v>
      </c>
      <c r="I291">
        <f t="shared" ca="1" si="34"/>
        <v>3.4396029070075418</v>
      </c>
      <c r="J291">
        <f t="shared" ca="1" si="35"/>
        <v>93.410294185984924</v>
      </c>
      <c r="K291">
        <f t="shared" ca="1" si="36"/>
        <v>107.16870581401508</v>
      </c>
    </row>
    <row r="292" spans="1:11" x14ac:dyDescent="0.25">
      <c r="A292" s="5">
        <f t="shared" ca="1" si="31"/>
        <v>45712</v>
      </c>
      <c r="B292" vm="863">
        <f ca="1"/>
        <v>45716</v>
      </c>
      <c r="C292" vm="864">
        <f ca="1"/>
        <v>98.61</v>
      </c>
      <c r="D292" vm="865">
        <f ca="1"/>
        <v>25451260</v>
      </c>
      <c r="E292">
        <f t="shared" ca="1" si="32"/>
        <v>98.081111111111113</v>
      </c>
      <c r="F292">
        <f t="shared" ca="1" si="33"/>
        <v>100.28749999999999</v>
      </c>
      <c r="G292">
        <f t="shared" ca="1" si="30"/>
        <v>95.881399999999999</v>
      </c>
      <c r="H292">
        <f t="shared" ca="1" si="29"/>
        <v>90.774059405940633</v>
      </c>
      <c r="I292">
        <f t="shared" ca="1" si="34"/>
        <v>3.4406178683180539</v>
      </c>
      <c r="J292">
        <f t="shared" ca="1" si="35"/>
        <v>93.40626426336388</v>
      </c>
      <c r="K292">
        <f t="shared" ca="1" si="36"/>
        <v>107.16873573663611</v>
      </c>
    </row>
    <row r="293" spans="1:11" x14ac:dyDescent="0.25">
      <c r="A293" s="5">
        <f t="shared" ca="1" si="31"/>
        <v>45719</v>
      </c>
      <c r="B293" vm="866">
        <f ca="1"/>
        <v>45719</v>
      </c>
      <c r="C293" vm="867">
        <f ca="1"/>
        <v>97.59</v>
      </c>
      <c r="D293" vm="868">
        <f ca="1"/>
        <v>18372193</v>
      </c>
      <c r="E293">
        <f t="shared" ca="1" si="32"/>
        <v>97.393333333333345</v>
      </c>
      <c r="F293">
        <f t="shared" ca="1" si="33"/>
        <v>100.25899999999999</v>
      </c>
      <c r="G293">
        <f t="shared" ca="1" si="30"/>
        <v>95.935799999999986</v>
      </c>
      <c r="H293">
        <f t="shared" ca="1" si="29"/>
        <v>90.943960396039643</v>
      </c>
      <c r="I293">
        <f t="shared" ca="1" si="34"/>
        <v>3.4614659200676048</v>
      </c>
      <c r="J293">
        <f t="shared" ca="1" si="35"/>
        <v>93.33606815986478</v>
      </c>
      <c r="K293">
        <f t="shared" ca="1" si="36"/>
        <v>107.18193184013519</v>
      </c>
    </row>
    <row r="294" spans="1:11" x14ac:dyDescent="0.25">
      <c r="A294" s="5">
        <f t="shared" ca="1" si="31"/>
        <v>45719</v>
      </c>
      <c r="B294" vm="869">
        <f ca="1"/>
        <v>45720</v>
      </c>
      <c r="C294" vm="870">
        <f ca="1"/>
        <v>94.97</v>
      </c>
      <c r="D294" vm="871">
        <f ca="1"/>
        <v>25227673</v>
      </c>
      <c r="E294">
        <f t="shared" ca="1" si="32"/>
        <v>96.390000000000015</v>
      </c>
      <c r="F294">
        <f t="shared" ca="1" si="33"/>
        <v>100.03049999999999</v>
      </c>
      <c r="G294">
        <f t="shared" ca="1" si="30"/>
        <v>95.9268</v>
      </c>
      <c r="H294">
        <f t="shared" ref="H294:H357" ca="1" si="37">AVERAGE(C194:C294)</f>
        <v>91.082871287128725</v>
      </c>
      <c r="I294">
        <f t="shared" ca="1" si="34"/>
        <v>3.6567565078761715</v>
      </c>
      <c r="J294">
        <f t="shared" ca="1" si="35"/>
        <v>92.71698698424764</v>
      </c>
      <c r="K294">
        <f t="shared" ca="1" si="36"/>
        <v>107.34401301575234</v>
      </c>
    </row>
    <row r="295" spans="1:11" x14ac:dyDescent="0.25">
      <c r="A295" s="5">
        <f t="shared" ca="1" si="31"/>
        <v>45719</v>
      </c>
      <c r="B295" vm="872">
        <f ca="1"/>
        <v>45721</v>
      </c>
      <c r="C295" vm="873">
        <f ca="1"/>
        <v>95.98</v>
      </c>
      <c r="D295" vm="874">
        <f ca="1"/>
        <v>17638956</v>
      </c>
      <c r="E295">
        <f t="shared" ca="1" si="32"/>
        <v>96.253333333333345</v>
      </c>
      <c r="F295">
        <f t="shared" ca="1" si="33"/>
        <v>99.790999999999997</v>
      </c>
      <c r="G295">
        <f t="shared" ca="1" si="30"/>
        <v>95.975399999999993</v>
      </c>
      <c r="H295">
        <f t="shared" ca="1" si="37"/>
        <v>91.25</v>
      </c>
      <c r="I295">
        <f t="shared" ca="1" si="34"/>
        <v>3.7611447025718383</v>
      </c>
      <c r="J295">
        <f t="shared" ca="1" si="35"/>
        <v>92.268710594856316</v>
      </c>
      <c r="K295">
        <f t="shared" ca="1" si="36"/>
        <v>107.31328940514368</v>
      </c>
    </row>
    <row r="296" spans="1:11" x14ac:dyDescent="0.25">
      <c r="A296" s="5">
        <f t="shared" ca="1" si="31"/>
        <v>45719</v>
      </c>
      <c r="B296" vm="875">
        <f ca="1"/>
        <v>45722</v>
      </c>
      <c r="C296" vm="876">
        <f ca="1"/>
        <v>94.64</v>
      </c>
      <c r="D296" vm="877">
        <f ca="1"/>
        <v>19957804</v>
      </c>
      <c r="E296">
        <f t="shared" ca="1" si="32"/>
        <v>96.237777777777794</v>
      </c>
      <c r="F296">
        <f t="shared" ca="1" si="33"/>
        <v>99.4</v>
      </c>
      <c r="G296">
        <f t="shared" ca="1" si="30"/>
        <v>96.000199999999992</v>
      </c>
      <c r="H296">
        <f t="shared" ca="1" si="37"/>
        <v>91.397821782178241</v>
      </c>
      <c r="I296">
        <f t="shared" ca="1" si="34"/>
        <v>3.873863840228716</v>
      </c>
      <c r="J296">
        <f t="shared" ca="1" si="35"/>
        <v>91.652272319542575</v>
      </c>
      <c r="K296">
        <f t="shared" ca="1" si="36"/>
        <v>107.14772768045744</v>
      </c>
    </row>
    <row r="297" spans="1:11" x14ac:dyDescent="0.25">
      <c r="A297" s="5">
        <f t="shared" ca="1" si="31"/>
        <v>45719</v>
      </c>
      <c r="B297" vm="878">
        <f ca="1"/>
        <v>45723</v>
      </c>
      <c r="C297" vm="879">
        <f ca="1"/>
        <v>91.72</v>
      </c>
      <c r="D297" vm="880">
        <f ca="1"/>
        <v>35913156</v>
      </c>
      <c r="E297">
        <f t="shared" ca="1" si="32"/>
        <v>96.021111111111111</v>
      </c>
      <c r="F297">
        <f t="shared" ca="1" si="33"/>
        <v>98.843499999999992</v>
      </c>
      <c r="G297">
        <f t="shared" ca="1" si="30"/>
        <v>95.989800000000017</v>
      </c>
      <c r="H297">
        <f t="shared" ca="1" si="37"/>
        <v>91.509900990099013</v>
      </c>
      <c r="I297">
        <f t="shared" ca="1" si="34"/>
        <v>4.1423083762813366</v>
      </c>
      <c r="J297">
        <f t="shared" ca="1" si="35"/>
        <v>90.558883247437322</v>
      </c>
      <c r="K297">
        <f t="shared" ca="1" si="36"/>
        <v>107.12811675256266</v>
      </c>
    </row>
    <row r="298" spans="1:11" x14ac:dyDescent="0.25">
      <c r="A298" s="5">
        <f t="shared" ca="1" si="31"/>
        <v>45726</v>
      </c>
      <c r="B298" vm="881">
        <f ca="1"/>
        <v>45726</v>
      </c>
      <c r="C298" vm="882">
        <f ca="1"/>
        <v>87.82</v>
      </c>
      <c r="D298" vm="883">
        <f ca="1"/>
        <v>35148837</v>
      </c>
      <c r="E298">
        <f t="shared" ca="1" si="32"/>
        <v>94.924444444444461</v>
      </c>
      <c r="F298">
        <f t="shared" ca="1" si="33"/>
        <v>98.176999999999992</v>
      </c>
      <c r="G298">
        <f t="shared" ca="1" si="30"/>
        <v>95.9392</v>
      </c>
      <c r="H298">
        <f t="shared" ca="1" si="37"/>
        <v>91.591188118811885</v>
      </c>
      <c r="I298">
        <f t="shared" ca="1" si="34"/>
        <v>4.7756444591280047</v>
      </c>
      <c r="J298">
        <f t="shared" ca="1" si="35"/>
        <v>88.625711081743987</v>
      </c>
      <c r="K298">
        <f t="shared" ca="1" si="36"/>
        <v>107.728288918256</v>
      </c>
    </row>
    <row r="299" spans="1:11" x14ac:dyDescent="0.25">
      <c r="A299" s="5">
        <f t="shared" ca="1" si="31"/>
        <v>45726</v>
      </c>
      <c r="B299" vm="884">
        <f ca="1"/>
        <v>45727</v>
      </c>
      <c r="C299" vm="885">
        <f ca="1"/>
        <v>87.44</v>
      </c>
      <c r="D299" vm="886">
        <f ca="1"/>
        <v>28687586</v>
      </c>
      <c r="E299">
        <f t="shared" ca="1" si="32"/>
        <v>93.951111111111132</v>
      </c>
      <c r="F299">
        <f t="shared" ca="1" si="33"/>
        <v>97.402999999999992</v>
      </c>
      <c r="G299">
        <f t="shared" ca="1" si="30"/>
        <v>95.834399999999988</v>
      </c>
      <c r="H299">
        <f t="shared" ca="1" si="37"/>
        <v>91.663861386138606</v>
      </c>
      <c r="I299">
        <f t="shared" ca="1" si="34"/>
        <v>5.2018944929505713</v>
      </c>
      <c r="J299">
        <f t="shared" ca="1" si="35"/>
        <v>86.999211014098847</v>
      </c>
      <c r="K299">
        <f t="shared" ca="1" si="36"/>
        <v>107.80678898590114</v>
      </c>
    </row>
    <row r="300" spans="1:11" x14ac:dyDescent="0.25">
      <c r="A300" s="5">
        <f t="shared" ca="1" si="31"/>
        <v>45726</v>
      </c>
      <c r="B300" vm="887">
        <f ca="1"/>
        <v>45728</v>
      </c>
      <c r="C300" vm="888">
        <f ca="1"/>
        <v>85.2</v>
      </c>
      <c r="D300" vm="889">
        <f ca="1"/>
        <v>33301609</v>
      </c>
      <c r="E300">
        <f t="shared" ca="1" si="32"/>
        <v>92.663333333333341</v>
      </c>
      <c r="F300">
        <f t="shared" ca="1" si="33"/>
        <v>96.539500000000004</v>
      </c>
      <c r="G300">
        <f t="shared" ca="1" si="30"/>
        <v>95.682600000000008</v>
      </c>
      <c r="H300">
        <f t="shared" ca="1" si="37"/>
        <v>91.712475247524765</v>
      </c>
      <c r="I300">
        <f t="shared" ca="1" si="34"/>
        <v>5.7237294384177986</v>
      </c>
      <c r="J300">
        <f t="shared" ca="1" si="35"/>
        <v>85.092041123164407</v>
      </c>
      <c r="K300">
        <f t="shared" ca="1" si="36"/>
        <v>107.9869588768356</v>
      </c>
    </row>
    <row r="301" spans="1:11" x14ac:dyDescent="0.25">
      <c r="A301" s="5">
        <f t="shared" ca="1" si="31"/>
        <v>45726</v>
      </c>
      <c r="B301" vm="890">
        <f ca="1"/>
        <v>45729</v>
      </c>
      <c r="C301" vm="891">
        <f ca="1"/>
        <v>84.5</v>
      </c>
      <c r="D301" vm="892">
        <f ca="1"/>
        <v>31507753</v>
      </c>
      <c r="E301">
        <f t="shared" ca="1" si="32"/>
        <v>91.095555555555563</v>
      </c>
      <c r="F301">
        <f t="shared" ca="1" si="33"/>
        <v>95.584000000000003</v>
      </c>
      <c r="G301">
        <f t="shared" ca="1" si="30"/>
        <v>95.539400000000001</v>
      </c>
      <c r="H301">
        <f t="shared" ca="1" si="37"/>
        <v>91.740693069306943</v>
      </c>
      <c r="I301">
        <f t="shared" ca="1" si="34"/>
        <v>6.0661202375853147</v>
      </c>
      <c r="J301">
        <f t="shared" ca="1" si="35"/>
        <v>83.45175952482937</v>
      </c>
      <c r="K301">
        <f t="shared" ca="1" si="36"/>
        <v>107.71624047517064</v>
      </c>
    </row>
    <row r="302" spans="1:11" x14ac:dyDescent="0.25">
      <c r="A302" s="5">
        <f t="shared" ca="1" si="31"/>
        <v>45726</v>
      </c>
      <c r="B302" vm="893">
        <f ca="1"/>
        <v>45730</v>
      </c>
      <c r="C302" vm="894">
        <f ca="1"/>
        <v>85.35</v>
      </c>
      <c r="D302" vm="895">
        <f ca="1"/>
        <v>35500647</v>
      </c>
      <c r="E302">
        <f t="shared" ca="1" si="32"/>
        <v>89.73555555555555</v>
      </c>
      <c r="F302">
        <f t="shared" ca="1" si="33"/>
        <v>94.599000000000004</v>
      </c>
      <c r="G302">
        <f t="shared" ca="1" si="30"/>
        <v>95.435000000000016</v>
      </c>
      <c r="H302">
        <f t="shared" ca="1" si="37"/>
        <v>91.781584158415853</v>
      </c>
      <c r="I302">
        <f t="shared" ca="1" si="34"/>
        <v>6.0475466099898734</v>
      </c>
      <c r="J302">
        <f t="shared" ca="1" si="35"/>
        <v>82.503906780020259</v>
      </c>
      <c r="K302">
        <f t="shared" ca="1" si="36"/>
        <v>106.69409321997975</v>
      </c>
    </row>
    <row r="303" spans="1:11" x14ac:dyDescent="0.25">
      <c r="A303" s="5">
        <f t="shared" ca="1" si="31"/>
        <v>45733</v>
      </c>
      <c r="B303" vm="896">
        <f ca="1"/>
        <v>45733</v>
      </c>
      <c r="C303" vm="897">
        <f ca="1"/>
        <v>87.46</v>
      </c>
      <c r="D303" vm="898">
        <f ca="1"/>
        <v>26297768</v>
      </c>
      <c r="E303">
        <f t="shared" ca="1" si="32"/>
        <v>88.901111111111121</v>
      </c>
      <c r="F303">
        <f t="shared" ca="1" si="33"/>
        <v>93.77000000000001</v>
      </c>
      <c r="G303">
        <f t="shared" ca="1" si="30"/>
        <v>95.377200000000016</v>
      </c>
      <c r="H303">
        <f t="shared" ca="1" si="37"/>
        <v>91.846633663366319</v>
      </c>
      <c r="I303">
        <f t="shared" ca="1" si="34"/>
        <v>5.817268304480705</v>
      </c>
      <c r="J303">
        <f t="shared" ca="1" si="35"/>
        <v>82.135463391038599</v>
      </c>
      <c r="K303">
        <f t="shared" ca="1" si="36"/>
        <v>105.40453660896142</v>
      </c>
    </row>
    <row r="304" spans="1:11" x14ac:dyDescent="0.25">
      <c r="A304" s="5">
        <f t="shared" ca="1" si="31"/>
        <v>45733</v>
      </c>
      <c r="B304" vm="899">
        <f ca="1"/>
        <v>45734</v>
      </c>
      <c r="C304" vm="900">
        <f ca="1"/>
        <v>85.59</v>
      </c>
      <c r="D304" vm="901">
        <f ca="1"/>
        <v>17850930</v>
      </c>
      <c r="E304">
        <f t="shared" ca="1" si="32"/>
        <v>87.74666666666667</v>
      </c>
      <c r="F304">
        <f t="shared" ca="1" si="33"/>
        <v>92.860500000000002</v>
      </c>
      <c r="G304">
        <f t="shared" ca="1" si="30"/>
        <v>95.289000000000001</v>
      </c>
      <c r="H304">
        <f t="shared" ca="1" si="37"/>
        <v>91.889009900990075</v>
      </c>
      <c r="I304">
        <f t="shared" ca="1" si="34"/>
        <v>5.5872980712364111</v>
      </c>
      <c r="J304">
        <f t="shared" ca="1" si="35"/>
        <v>81.68590385752718</v>
      </c>
      <c r="K304">
        <f t="shared" ca="1" si="36"/>
        <v>104.03509614247282</v>
      </c>
    </row>
    <row r="305" spans="1:11" x14ac:dyDescent="0.25">
      <c r="A305" s="5">
        <f t="shared" ca="1" si="31"/>
        <v>45733</v>
      </c>
      <c r="B305" vm="902">
        <f ca="1"/>
        <v>45735</v>
      </c>
      <c r="C305" vm="903">
        <f ca="1"/>
        <v>86.33</v>
      </c>
      <c r="D305" vm="904">
        <f ca="1"/>
        <v>24555857</v>
      </c>
      <c r="E305">
        <f t="shared" ca="1" si="32"/>
        <v>86.823333333333338</v>
      </c>
      <c r="F305">
        <f t="shared" ca="1" si="33"/>
        <v>91.977000000000004</v>
      </c>
      <c r="G305">
        <f t="shared" ca="1" si="30"/>
        <v>95.200000000000017</v>
      </c>
      <c r="H305">
        <f t="shared" ca="1" si="37"/>
        <v>91.943663366336608</v>
      </c>
      <c r="I305">
        <f t="shared" ca="1" si="34"/>
        <v>5.1097822592398314</v>
      </c>
      <c r="J305">
        <f t="shared" ca="1" si="35"/>
        <v>81.757435481520346</v>
      </c>
      <c r="K305">
        <f t="shared" ca="1" si="36"/>
        <v>102.19656451847966</v>
      </c>
    </row>
    <row r="306" spans="1:11" x14ac:dyDescent="0.25">
      <c r="A306" s="5">
        <f t="shared" ca="1" si="31"/>
        <v>45733</v>
      </c>
      <c r="B306" vm="905">
        <f ca="1"/>
        <v>45736</v>
      </c>
      <c r="C306" vm="906">
        <f ca="1"/>
        <v>85.81</v>
      </c>
      <c r="D306" vm="907">
        <f ca="1"/>
        <v>18185506</v>
      </c>
      <c r="E306">
        <f t="shared" ca="1" si="32"/>
        <v>86.166666666666671</v>
      </c>
      <c r="F306">
        <f t="shared" ca="1" si="33"/>
        <v>91.406999999999996</v>
      </c>
      <c r="G306">
        <f t="shared" ca="1" si="30"/>
        <v>95.087600000000023</v>
      </c>
      <c r="H306">
        <f t="shared" ca="1" si="37"/>
        <v>91.981188118811843</v>
      </c>
      <c r="I306">
        <f t="shared" ca="1" si="34"/>
        <v>5.1311085290453677</v>
      </c>
      <c r="J306">
        <f t="shared" ca="1" si="35"/>
        <v>81.144782941909256</v>
      </c>
      <c r="K306">
        <f t="shared" ca="1" si="36"/>
        <v>101.66921705809074</v>
      </c>
    </row>
    <row r="307" spans="1:11" x14ac:dyDescent="0.25">
      <c r="A307" s="5">
        <f t="shared" ca="1" si="31"/>
        <v>45733</v>
      </c>
      <c r="B307" vm="908">
        <f ca="1"/>
        <v>45737</v>
      </c>
      <c r="C307" vm="909">
        <f ca="1"/>
        <v>85.98</v>
      </c>
      <c r="D307" vm="910">
        <f ca="1"/>
        <v>26797178</v>
      </c>
      <c r="E307">
        <f t="shared" ca="1" si="32"/>
        <v>85.962222222222238</v>
      </c>
      <c r="F307">
        <f t="shared" ca="1" si="33"/>
        <v>90.966999999999999</v>
      </c>
      <c r="G307">
        <f t="shared" ca="1" si="30"/>
        <v>94.991000000000028</v>
      </c>
      <c r="H307">
        <f t="shared" ca="1" si="37"/>
        <v>92.008019801980168</v>
      </c>
      <c r="I307">
        <f t="shared" ca="1" si="34"/>
        <v>5.2034422816965478</v>
      </c>
      <c r="J307">
        <f t="shared" ca="1" si="35"/>
        <v>80.560115436606907</v>
      </c>
      <c r="K307">
        <f t="shared" ca="1" si="36"/>
        <v>101.37388456339309</v>
      </c>
    </row>
    <row r="308" spans="1:11" x14ac:dyDescent="0.25">
      <c r="A308" s="5">
        <f t="shared" ca="1" si="31"/>
        <v>45740</v>
      </c>
      <c r="B308" vm="911">
        <f ca="1"/>
        <v>45740</v>
      </c>
      <c r="C308" vm="912">
        <f ca="1"/>
        <v>87.49</v>
      </c>
      <c r="D308" vm="913">
        <f ca="1"/>
        <v>17900732</v>
      </c>
      <c r="E308">
        <f t="shared" ca="1" si="32"/>
        <v>85.967777777777783</v>
      </c>
      <c r="F308">
        <f t="shared" ca="1" si="33"/>
        <v>90.657999999999987</v>
      </c>
      <c r="G308">
        <f t="shared" ref="G308:G371" ca="1" si="38">AVERAGE(C259:C308)</f>
        <v>94.904800000000009</v>
      </c>
      <c r="H308">
        <f t="shared" ca="1" si="37"/>
        <v>92.052079207920755</v>
      </c>
      <c r="I308">
        <f t="shared" ca="1" si="34"/>
        <v>5.2179554374647967</v>
      </c>
      <c r="J308">
        <f t="shared" ca="1" si="35"/>
        <v>80.222089125070397</v>
      </c>
      <c r="K308">
        <f t="shared" ca="1" si="36"/>
        <v>101.09391087492958</v>
      </c>
    </row>
    <row r="309" spans="1:11" x14ac:dyDescent="0.25">
      <c r="A309" s="5">
        <f t="shared" ca="1" si="31"/>
        <v>45740</v>
      </c>
      <c r="B309" vm="914">
        <f ca="1"/>
        <v>45741</v>
      </c>
      <c r="C309" vm="915">
        <f ca="1"/>
        <v>84.76</v>
      </c>
      <c r="D309" vm="916">
        <f ca="1"/>
        <v>27908573</v>
      </c>
      <c r="E309">
        <f t="shared" ca="1" si="32"/>
        <v>85.918888888888887</v>
      </c>
      <c r="F309">
        <f t="shared" ca="1" si="33"/>
        <v>90.011499999999998</v>
      </c>
      <c r="G309">
        <f t="shared" ca="1" si="38"/>
        <v>94.740000000000023</v>
      </c>
      <c r="H309">
        <f t="shared" ca="1" si="37"/>
        <v>92.074356435643551</v>
      </c>
      <c r="I309">
        <f t="shared" ca="1" si="34"/>
        <v>5.1005276042881365</v>
      </c>
      <c r="J309">
        <f t="shared" ca="1" si="35"/>
        <v>79.81044479142372</v>
      </c>
      <c r="K309">
        <f t="shared" ca="1" si="36"/>
        <v>100.21255520857628</v>
      </c>
    </row>
    <row r="310" spans="1:11" x14ac:dyDescent="0.25">
      <c r="A310" s="5">
        <f t="shared" ca="1" si="31"/>
        <v>45740</v>
      </c>
      <c r="B310" vm="917">
        <f ca="1"/>
        <v>45742</v>
      </c>
      <c r="C310" vm="918">
        <f ca="1"/>
        <v>85.21</v>
      </c>
      <c r="D310" vm="919">
        <f ca="1"/>
        <v>27241495</v>
      </c>
      <c r="E310">
        <f t="shared" ca="1" si="32"/>
        <v>85.997777777777785</v>
      </c>
      <c r="F310">
        <f t="shared" ca="1" si="33"/>
        <v>89.462000000000003</v>
      </c>
      <c r="G310">
        <f t="shared" ca="1" si="38"/>
        <v>94.613600000000005</v>
      </c>
      <c r="H310">
        <f t="shared" ca="1" si="37"/>
        <v>92.09871287128712</v>
      </c>
      <c r="I310">
        <f t="shared" ca="1" si="34"/>
        <v>4.9895159558502487</v>
      </c>
      <c r="J310">
        <f t="shared" ca="1" si="35"/>
        <v>79.482968088299501</v>
      </c>
      <c r="K310">
        <f t="shared" ca="1" si="36"/>
        <v>99.441031911700506</v>
      </c>
    </row>
    <row r="311" spans="1:11" x14ac:dyDescent="0.25">
      <c r="A311" s="5">
        <f t="shared" ca="1" si="31"/>
        <v>45740</v>
      </c>
      <c r="B311" vm="920">
        <f ca="1"/>
        <v>45743</v>
      </c>
      <c r="C311" vm="921">
        <f ca="1"/>
        <v>85.63</v>
      </c>
      <c r="D311" vm="922">
        <f ca="1"/>
        <v>16782807</v>
      </c>
      <c r="E311">
        <f t="shared" ca="1" si="32"/>
        <v>86.028888888888886</v>
      </c>
      <c r="F311">
        <f t="shared" ca="1" si="33"/>
        <v>88.903999999999996</v>
      </c>
      <c r="G311">
        <f t="shared" ca="1" si="38"/>
        <v>94.510400000000004</v>
      </c>
      <c r="H311">
        <f t="shared" ca="1" si="37"/>
        <v>92.137623762376222</v>
      </c>
      <c r="I311">
        <f t="shared" ca="1" si="34"/>
        <v>4.7449001986065893</v>
      </c>
      <c r="J311">
        <f t="shared" ca="1" si="35"/>
        <v>79.414199602786823</v>
      </c>
      <c r="K311">
        <f t="shared" ca="1" si="36"/>
        <v>98.39380039721317</v>
      </c>
    </row>
    <row r="312" spans="1:11" x14ac:dyDescent="0.25">
      <c r="A312" s="5">
        <f t="shared" ca="1" si="31"/>
        <v>45740</v>
      </c>
      <c r="B312" vm="923">
        <f ca="1"/>
        <v>45744</v>
      </c>
      <c r="C312" vm="924">
        <f ca="1"/>
        <v>85.15</v>
      </c>
      <c r="D312" vm="925">
        <f ca="1"/>
        <v>14790567</v>
      </c>
      <c r="E312">
        <f t="shared" ca="1" si="32"/>
        <v>85.772222222222226</v>
      </c>
      <c r="F312">
        <f t="shared" ca="1" si="33"/>
        <v>88.231000000000023</v>
      </c>
      <c r="G312">
        <f t="shared" ca="1" si="38"/>
        <v>94.386600000000001</v>
      </c>
      <c r="H312">
        <f t="shared" ca="1" si="37"/>
        <v>92.17485148514848</v>
      </c>
      <c r="I312">
        <f t="shared" ca="1" si="34"/>
        <v>4.2214675672155337</v>
      </c>
      <c r="J312">
        <f t="shared" ca="1" si="35"/>
        <v>79.788064865568955</v>
      </c>
      <c r="K312">
        <f t="shared" ca="1" si="36"/>
        <v>96.67393513443109</v>
      </c>
    </row>
    <row r="313" spans="1:11" x14ac:dyDescent="0.25">
      <c r="A313" s="5">
        <f t="shared" ca="1" si="31"/>
        <v>45747</v>
      </c>
      <c r="B313" vm="926">
        <f ca="1"/>
        <v>45747</v>
      </c>
      <c r="C313" vm="927">
        <f ca="1"/>
        <v>87.79</v>
      </c>
      <c r="D313" vm="928">
        <f ca="1"/>
        <v>30269313</v>
      </c>
      <c r="E313">
        <f t="shared" ca="1" si="32"/>
        <v>86.016666666666666</v>
      </c>
      <c r="F313">
        <f t="shared" ca="1" si="33"/>
        <v>87.741000000000014</v>
      </c>
      <c r="G313">
        <f t="shared" ca="1" si="38"/>
        <v>94.316399999999987</v>
      </c>
      <c r="H313">
        <f t="shared" ca="1" si="37"/>
        <v>92.232673267326703</v>
      </c>
      <c r="I313">
        <f t="shared" ca="1" si="34"/>
        <v>3.6011444087444731</v>
      </c>
      <c r="J313">
        <f t="shared" ca="1" si="35"/>
        <v>80.538711182511065</v>
      </c>
      <c r="K313">
        <f t="shared" ca="1" si="36"/>
        <v>94.943288817488963</v>
      </c>
    </row>
    <row r="314" spans="1:11" x14ac:dyDescent="0.25">
      <c r="A314" s="5">
        <f t="shared" ca="1" si="31"/>
        <v>45747</v>
      </c>
      <c r="B314" vm="929">
        <f ca="1"/>
        <v>45748</v>
      </c>
      <c r="C314" vm="930">
        <f ca="1"/>
        <v>88.83</v>
      </c>
      <c r="D314" vm="931">
        <f ca="1"/>
        <v>22080252</v>
      </c>
      <c r="E314">
        <f t="shared" ca="1" si="32"/>
        <v>86.294444444444437</v>
      </c>
      <c r="F314">
        <f t="shared" ca="1" si="33"/>
        <v>87.434000000000012</v>
      </c>
      <c r="G314">
        <f t="shared" ca="1" si="38"/>
        <v>94.254199999999983</v>
      </c>
      <c r="H314">
        <f t="shared" ca="1" si="37"/>
        <v>92.298415841584116</v>
      </c>
      <c r="I314">
        <f t="shared" ca="1" si="34"/>
        <v>3.1907685924438831</v>
      </c>
      <c r="J314">
        <f t="shared" ca="1" si="35"/>
        <v>81.05246281511225</v>
      </c>
      <c r="K314">
        <f t="shared" ca="1" si="36"/>
        <v>93.815537184887773</v>
      </c>
    </row>
    <row r="315" spans="1:11" x14ac:dyDescent="0.25">
      <c r="A315" s="5">
        <f t="shared" ca="1" si="31"/>
        <v>45747</v>
      </c>
      <c r="B315" vm="932">
        <f ca="1"/>
        <v>45749</v>
      </c>
      <c r="C315" vm="933">
        <f ca="1"/>
        <v>89.76</v>
      </c>
      <c r="D315" vm="934">
        <f ca="1"/>
        <v>19384137</v>
      </c>
      <c r="E315">
        <f t="shared" ca="1" si="32"/>
        <v>86.733333333333334</v>
      </c>
      <c r="F315">
        <f t="shared" ca="1" si="33"/>
        <v>87.123000000000019</v>
      </c>
      <c r="G315">
        <f t="shared" ca="1" si="38"/>
        <v>94.187799999999982</v>
      </c>
      <c r="H315">
        <f t="shared" ca="1" si="37"/>
        <v>92.370792079207874</v>
      </c>
      <c r="I315">
        <f t="shared" ca="1" si="34"/>
        <v>2.5534375179147686</v>
      </c>
      <c r="J315">
        <f t="shared" ca="1" si="35"/>
        <v>82.016124964170487</v>
      </c>
      <c r="K315">
        <f t="shared" ca="1" si="36"/>
        <v>92.229875035829551</v>
      </c>
    </row>
    <row r="316" spans="1:11" x14ac:dyDescent="0.25">
      <c r="A316" s="5">
        <f t="shared" ca="1" si="31"/>
        <v>45747</v>
      </c>
      <c r="B316" vm="935">
        <f ca="1"/>
        <v>45750</v>
      </c>
      <c r="C316" vm="936">
        <f ca="1"/>
        <v>87.26</v>
      </c>
      <c r="D316" vm="937">
        <f ca="1"/>
        <v>33012927</v>
      </c>
      <c r="E316">
        <f t="shared" ca="1" si="32"/>
        <v>86.87555555555555</v>
      </c>
      <c r="F316">
        <f t="shared" ca="1" si="33"/>
        <v>86.753999999999991</v>
      </c>
      <c r="G316">
        <f t="shared" ca="1" si="38"/>
        <v>94.068399999999997</v>
      </c>
      <c r="H316">
        <f t="shared" ca="1" si="37"/>
        <v>92.406237623762351</v>
      </c>
      <c r="I316">
        <f t="shared" ca="1" si="34"/>
        <v>1.8449230478888754</v>
      </c>
      <c r="J316">
        <f t="shared" ca="1" si="35"/>
        <v>83.064153904222238</v>
      </c>
      <c r="K316">
        <f t="shared" ca="1" si="36"/>
        <v>90.443846095777744</v>
      </c>
    </row>
    <row r="317" spans="1:11" x14ac:dyDescent="0.25">
      <c r="A317" s="5">
        <f t="shared" ca="1" si="31"/>
        <v>45747</v>
      </c>
      <c r="B317" vm="938">
        <f ca="1"/>
        <v>45751</v>
      </c>
      <c r="C317" vm="939">
        <f ca="1"/>
        <v>83.19</v>
      </c>
      <c r="D317" vm="940">
        <f ca="1"/>
        <v>36209015</v>
      </c>
      <c r="E317">
        <f t="shared" ca="1" si="32"/>
        <v>86.397777777777776</v>
      </c>
      <c r="F317">
        <f t="shared" ca="1" si="33"/>
        <v>86.327500000000015</v>
      </c>
      <c r="G317">
        <f t="shared" ca="1" si="38"/>
        <v>93.85599999999998</v>
      </c>
      <c r="H317">
        <f t="shared" ca="1" si="37"/>
        <v>92.403762376237594</v>
      </c>
      <c r="I317">
        <f t="shared" ca="1" si="34"/>
        <v>1.6071218962709968</v>
      </c>
      <c r="J317">
        <f t="shared" ca="1" si="35"/>
        <v>83.113256207458022</v>
      </c>
      <c r="K317">
        <f t="shared" ca="1" si="36"/>
        <v>89.541743792542007</v>
      </c>
    </row>
    <row r="318" spans="1:11" x14ac:dyDescent="0.25">
      <c r="A318" s="5">
        <f t="shared" ca="1" si="31"/>
        <v>45754</v>
      </c>
      <c r="B318" vm="941">
        <f ca="1"/>
        <v>45754</v>
      </c>
      <c r="C318" vm="942">
        <f ca="1"/>
        <v>83.83</v>
      </c>
      <c r="D318" vm="943">
        <f ca="1"/>
        <v>36884944</v>
      </c>
      <c r="E318">
        <f t="shared" ca="1" si="32"/>
        <v>86.294444444444437</v>
      </c>
      <c r="F318">
        <f t="shared" ca="1" si="33"/>
        <v>86.128</v>
      </c>
      <c r="G318">
        <f t="shared" ca="1" si="38"/>
        <v>93.637399999999985</v>
      </c>
      <c r="H318">
        <f t="shared" ca="1" si="37"/>
        <v>92.403564356435623</v>
      </c>
      <c r="I318">
        <f t="shared" ca="1" si="34"/>
        <v>1.6589140392056743</v>
      </c>
      <c r="J318">
        <f t="shared" ca="1" si="35"/>
        <v>82.810171921588648</v>
      </c>
      <c r="K318">
        <f t="shared" ca="1" si="36"/>
        <v>89.445828078411353</v>
      </c>
    </row>
    <row r="319" spans="1:11" x14ac:dyDescent="0.25">
      <c r="A319" s="5">
        <f t="shared" ca="1" si="31"/>
        <v>45754</v>
      </c>
      <c r="B319" vm="944">
        <f ca="1"/>
        <v>45755</v>
      </c>
      <c r="C319" vm="945">
        <f ca="1"/>
        <v>81.790000000000006</v>
      </c>
      <c r="D319" vm="946">
        <f ca="1"/>
        <v>34351744</v>
      </c>
      <c r="E319">
        <f t="shared" ca="1" si="32"/>
        <v>85.914444444444428</v>
      </c>
      <c r="F319">
        <f t="shared" ca="1" si="33"/>
        <v>85.845499999999987</v>
      </c>
      <c r="G319">
        <f t="shared" ca="1" si="38"/>
        <v>93.325200000000009</v>
      </c>
      <c r="H319">
        <f t="shared" ca="1" si="37"/>
        <v>92.37346534653463</v>
      </c>
      <c r="I319">
        <f t="shared" ca="1" si="34"/>
        <v>1.8888689876832587</v>
      </c>
      <c r="J319">
        <f t="shared" ca="1" si="35"/>
        <v>82.067762024633467</v>
      </c>
      <c r="K319">
        <f t="shared" ca="1" si="36"/>
        <v>89.623237975366507</v>
      </c>
    </row>
    <row r="320" spans="1:11" x14ac:dyDescent="0.25">
      <c r="A320" s="5">
        <f t="shared" ca="1" si="31"/>
        <v>45754</v>
      </c>
      <c r="B320" vm="947">
        <f ca="1"/>
        <v>45756</v>
      </c>
      <c r="C320" vm="948">
        <f ca="1"/>
        <v>89.6</v>
      </c>
      <c r="D320" vm="949">
        <f ca="1"/>
        <v>46632755</v>
      </c>
      <c r="E320">
        <f t="shared" ca="1" si="32"/>
        <v>86.355555555555554</v>
      </c>
      <c r="F320">
        <f t="shared" ca="1" si="33"/>
        <v>86.065499999999986</v>
      </c>
      <c r="G320">
        <f t="shared" ca="1" si="38"/>
        <v>93.171400000000006</v>
      </c>
      <c r="H320">
        <f t="shared" ca="1" si="37"/>
        <v>92.426831683168317</v>
      </c>
      <c r="I320">
        <f t="shared" ca="1" si="34"/>
        <v>2.0583628522636492</v>
      </c>
      <c r="J320">
        <f t="shared" ca="1" si="35"/>
        <v>81.948774295472688</v>
      </c>
      <c r="K320">
        <f t="shared" ca="1" si="36"/>
        <v>90.182225704527283</v>
      </c>
    </row>
    <row r="321" spans="1:11" x14ac:dyDescent="0.25">
      <c r="A321" s="5">
        <f t="shared" ca="1" si="31"/>
        <v>45754</v>
      </c>
      <c r="B321" vm="950">
        <f ca="1"/>
        <v>45757</v>
      </c>
      <c r="C321" vm="951">
        <f ca="1"/>
        <v>90.61</v>
      </c>
      <c r="D321" vm="952">
        <f ca="1"/>
        <v>34735323</v>
      </c>
      <c r="E321">
        <f t="shared" ca="1" si="32"/>
        <v>86.962222222222223</v>
      </c>
      <c r="F321">
        <f t="shared" ca="1" si="33"/>
        <v>86.370999999999981</v>
      </c>
      <c r="G321">
        <f t="shared" ca="1" si="38"/>
        <v>93.033599999999993</v>
      </c>
      <c r="H321">
        <f t="shared" ca="1" si="37"/>
        <v>92.482475247524761</v>
      </c>
      <c r="I321">
        <f t="shared" ca="1" si="34"/>
        <v>2.2575648268363011</v>
      </c>
      <c r="J321">
        <f t="shared" ca="1" si="35"/>
        <v>81.855870346327379</v>
      </c>
      <c r="K321">
        <f t="shared" ca="1" si="36"/>
        <v>90.886129653672583</v>
      </c>
    </row>
    <row r="322" spans="1:11" x14ac:dyDescent="0.25">
      <c r="A322" s="5">
        <f t="shared" ca="1" si="31"/>
        <v>45754</v>
      </c>
      <c r="B322" vm="953">
        <f ca="1"/>
        <v>45758</v>
      </c>
      <c r="C322" vm="954">
        <f ca="1"/>
        <v>92.8</v>
      </c>
      <c r="D322" vm="955">
        <f ca="1"/>
        <v>25508136</v>
      </c>
      <c r="E322">
        <f t="shared" ca="1" si="32"/>
        <v>87.518888888888881</v>
      </c>
      <c r="F322">
        <f t="shared" ca="1" si="33"/>
        <v>86.743499999999983</v>
      </c>
      <c r="G322">
        <f t="shared" ca="1" si="38"/>
        <v>92.916600000000003</v>
      </c>
      <c r="H322">
        <f t="shared" ca="1" si="37"/>
        <v>92.554752475247511</v>
      </c>
      <c r="I322">
        <f t="shared" ca="1" si="34"/>
        <v>2.6591436591504407</v>
      </c>
      <c r="J322">
        <f t="shared" ca="1" si="35"/>
        <v>81.425212681699108</v>
      </c>
      <c r="K322">
        <f t="shared" ca="1" si="36"/>
        <v>92.061787318300858</v>
      </c>
    </row>
    <row r="323" spans="1:11" x14ac:dyDescent="0.25">
      <c r="A323" s="5">
        <f t="shared" ref="A323:A386" ca="1" si="39">B323 - WEEKDAY(B323, 2) + 1</f>
        <v>45761</v>
      </c>
      <c r="B323" vm="956">
        <f ca="1"/>
        <v>45761</v>
      </c>
      <c r="C323" vm="957">
        <f ca="1"/>
        <v>94.73</v>
      </c>
      <c r="D323" vm="958">
        <f ca="1"/>
        <v>27742915</v>
      </c>
      <c r="E323">
        <f t="shared" ca="1" si="32"/>
        <v>88.174444444444447</v>
      </c>
      <c r="F323">
        <f t="shared" ca="1" si="33"/>
        <v>87.106999999999999</v>
      </c>
      <c r="G323">
        <f t="shared" ca="1" si="38"/>
        <v>92.847999999999999</v>
      </c>
      <c r="H323">
        <f t="shared" ca="1" si="37"/>
        <v>92.656336633663358</v>
      </c>
      <c r="I323">
        <f t="shared" ca="1" si="34"/>
        <v>3.2034358199644921</v>
      </c>
      <c r="J323">
        <f t="shared" ca="1" si="35"/>
        <v>80.70012836007102</v>
      </c>
      <c r="K323">
        <f t="shared" ca="1" si="36"/>
        <v>93.513871639928979</v>
      </c>
    </row>
    <row r="324" spans="1:11" x14ac:dyDescent="0.25">
      <c r="A324" s="5">
        <f t="shared" ca="1" si="39"/>
        <v>45761</v>
      </c>
      <c r="B324" vm="959">
        <f ca="1"/>
        <v>45762</v>
      </c>
      <c r="C324" vm="960">
        <f ca="1"/>
        <v>93.97</v>
      </c>
      <c r="D324" vm="961">
        <f ca="1"/>
        <v>21871213</v>
      </c>
      <c r="E324">
        <f t="shared" ca="1" si="32"/>
        <v>88.642222222222216</v>
      </c>
      <c r="F324">
        <f t="shared" ca="1" si="33"/>
        <v>87.525999999999982</v>
      </c>
      <c r="G324">
        <f t="shared" ca="1" si="38"/>
        <v>92.736599999999996</v>
      </c>
      <c r="H324">
        <f t="shared" ca="1" si="37"/>
        <v>92.752574257425721</v>
      </c>
      <c r="I324">
        <f t="shared" ca="1" si="34"/>
        <v>3.5263390886897206</v>
      </c>
      <c r="J324">
        <f t="shared" ca="1" si="35"/>
        <v>80.473321822620534</v>
      </c>
      <c r="K324">
        <f t="shared" ca="1" si="36"/>
        <v>94.57867817737943</v>
      </c>
    </row>
    <row r="325" spans="1:11" x14ac:dyDescent="0.25">
      <c r="A325" s="5">
        <f t="shared" ca="1" si="39"/>
        <v>45761</v>
      </c>
      <c r="B325" vm="962">
        <f ca="1"/>
        <v>45763</v>
      </c>
      <c r="C325" vm="963">
        <f ca="1"/>
        <v>91.19</v>
      </c>
      <c r="D325" vm="964">
        <f ca="1"/>
        <v>22229105</v>
      </c>
      <c r="E325">
        <f t="shared" ca="1" si="32"/>
        <v>89.078888888888898</v>
      </c>
      <c r="F325">
        <f t="shared" ca="1" si="33"/>
        <v>87.768999999999977</v>
      </c>
      <c r="G325">
        <f t="shared" ca="1" si="38"/>
        <v>92.545000000000002</v>
      </c>
      <c r="H325">
        <f t="shared" ca="1" si="37"/>
        <v>92.822970297029713</v>
      </c>
      <c r="I325">
        <f t="shared" ca="1" si="34"/>
        <v>3.6061335176846154</v>
      </c>
      <c r="J325">
        <f t="shared" ca="1" si="35"/>
        <v>80.55673296463074</v>
      </c>
      <c r="K325">
        <f t="shared" ca="1" si="36"/>
        <v>94.981267035369214</v>
      </c>
    </row>
    <row r="326" spans="1:11" x14ac:dyDescent="0.25">
      <c r="A326" s="5">
        <f t="shared" ca="1" si="39"/>
        <v>45761</v>
      </c>
      <c r="B326" vm="965">
        <f ca="1"/>
        <v>45764</v>
      </c>
      <c r="C326" vm="966">
        <f ca="1"/>
        <v>93.22</v>
      </c>
      <c r="D326" vm="967">
        <f ca="1"/>
        <v>21393917</v>
      </c>
      <c r="E326">
        <f t="shared" ca="1" si="32"/>
        <v>90.193333333333328</v>
      </c>
      <c r="F326">
        <f t="shared" ca="1" si="33"/>
        <v>88.139499999999984</v>
      </c>
      <c r="G326">
        <f t="shared" ca="1" si="38"/>
        <v>92.360200000000006</v>
      </c>
      <c r="H326">
        <f t="shared" ca="1" si="37"/>
        <v>92.888514851485141</v>
      </c>
      <c r="I326">
        <f t="shared" ca="1" si="34"/>
        <v>3.7711515412892673</v>
      </c>
      <c r="J326">
        <f t="shared" ca="1" si="35"/>
        <v>80.597196917421456</v>
      </c>
      <c r="K326">
        <f t="shared" ca="1" si="36"/>
        <v>95.681803082578512</v>
      </c>
    </row>
    <row r="327" spans="1:11" x14ac:dyDescent="0.25">
      <c r="A327" s="5">
        <f t="shared" ca="1" si="39"/>
        <v>45768</v>
      </c>
      <c r="B327" vm="968">
        <f ca="1"/>
        <v>45768</v>
      </c>
      <c r="C327" vm="969">
        <f ca="1"/>
        <v>92.41</v>
      </c>
      <c r="D327" vm="970">
        <f ca="1"/>
        <v>18361208</v>
      </c>
      <c r="E327">
        <f t="shared" ca="1" si="32"/>
        <v>91.146666666666675</v>
      </c>
      <c r="F327">
        <f t="shared" ca="1" si="33"/>
        <v>88.460999999999999</v>
      </c>
      <c r="G327">
        <f t="shared" ca="1" si="38"/>
        <v>92.151399999999995</v>
      </c>
      <c r="H327">
        <f t="shared" ca="1" si="37"/>
        <v>92.940297029702975</v>
      </c>
      <c r="I327">
        <f t="shared" ca="1" si="34"/>
        <v>3.8506088377102947</v>
      </c>
      <c r="J327">
        <f t="shared" ca="1" si="35"/>
        <v>80.759782324579405</v>
      </c>
      <c r="K327">
        <f t="shared" ca="1" si="36"/>
        <v>96.162217675420592</v>
      </c>
    </row>
    <row r="328" spans="1:11" x14ac:dyDescent="0.25">
      <c r="A328" s="5">
        <f t="shared" ca="1" si="39"/>
        <v>45768</v>
      </c>
      <c r="B328" vm="971">
        <f ca="1"/>
        <v>45769</v>
      </c>
      <c r="C328" vm="972">
        <f ca="1"/>
        <v>94.85</v>
      </c>
      <c r="D328" vm="973">
        <f ca="1"/>
        <v>15407774</v>
      </c>
      <c r="E328">
        <f t="shared" ca="1" si="32"/>
        <v>92.597777777777793</v>
      </c>
      <c r="F328">
        <f t="shared" ca="1" si="33"/>
        <v>88.828999999999994</v>
      </c>
      <c r="G328">
        <f t="shared" ca="1" si="38"/>
        <v>92.025400000000005</v>
      </c>
      <c r="H328">
        <f t="shared" ca="1" si="37"/>
        <v>93.00425742574258</v>
      </c>
      <c r="I328">
        <f t="shared" ca="1" si="34"/>
        <v>4.0967546847923924</v>
      </c>
      <c r="J328">
        <f t="shared" ca="1" si="35"/>
        <v>80.635490630415205</v>
      </c>
      <c r="K328">
        <f t="shared" ca="1" si="36"/>
        <v>97.022509369584782</v>
      </c>
    </row>
    <row r="329" spans="1:11" x14ac:dyDescent="0.25">
      <c r="A329" s="5">
        <f t="shared" ca="1" si="39"/>
        <v>45768</v>
      </c>
      <c r="B329" vm="974">
        <f ca="1"/>
        <v>45770</v>
      </c>
      <c r="C329" vm="709">
        <f ca="1"/>
        <v>94.96</v>
      </c>
      <c r="D329" vm="975">
        <f ca="1"/>
        <v>18046886</v>
      </c>
      <c r="E329">
        <f t="shared" ca="1" si="32"/>
        <v>93.193333333333328</v>
      </c>
      <c r="F329">
        <f t="shared" ca="1" si="33"/>
        <v>89.338999999999999</v>
      </c>
      <c r="G329">
        <f t="shared" ca="1" si="38"/>
        <v>91.866200000000021</v>
      </c>
      <c r="H329">
        <f t="shared" ca="1" si="37"/>
        <v>93.049009900990086</v>
      </c>
      <c r="I329">
        <f t="shared" ca="1" si="34"/>
        <v>4.1972107279402628</v>
      </c>
      <c r="J329">
        <f t="shared" ca="1" si="35"/>
        <v>80.94457854411948</v>
      </c>
      <c r="K329">
        <f t="shared" ca="1" si="36"/>
        <v>97.733421455880517</v>
      </c>
    </row>
    <row r="330" spans="1:11" x14ac:dyDescent="0.25">
      <c r="A330" s="5">
        <f t="shared" ca="1" si="39"/>
        <v>45768</v>
      </c>
      <c r="B330" vm="976">
        <f ca="1"/>
        <v>45771</v>
      </c>
      <c r="C330" vm="977">
        <f ca="1"/>
        <v>95.84</v>
      </c>
      <c r="D330" vm="978">
        <f ca="1"/>
        <v>13444528</v>
      </c>
      <c r="E330">
        <f t="shared" ca="1" si="32"/>
        <v>93.774444444444441</v>
      </c>
      <c r="F330">
        <f t="shared" ca="1" si="33"/>
        <v>89.870500000000007</v>
      </c>
      <c r="G330">
        <f t="shared" ca="1" si="38"/>
        <v>91.733600000000024</v>
      </c>
      <c r="H330">
        <f t="shared" ca="1" si="37"/>
        <v>93.111782178217808</v>
      </c>
      <c r="I330">
        <f t="shared" ca="1" si="34"/>
        <v>4.3181349226866805</v>
      </c>
      <c r="J330">
        <f t="shared" ca="1" si="35"/>
        <v>81.234230154626644</v>
      </c>
      <c r="K330">
        <f t="shared" ca="1" si="36"/>
        <v>98.50676984537337</v>
      </c>
    </row>
    <row r="331" spans="1:11" x14ac:dyDescent="0.25">
      <c r="A331" s="5">
        <f t="shared" ca="1" si="39"/>
        <v>45768</v>
      </c>
      <c r="B331" vm="979">
        <f ca="1"/>
        <v>45772</v>
      </c>
      <c r="C331" vm="980">
        <f ca="1"/>
        <v>95.09</v>
      </c>
      <c r="D331" vm="981">
        <f ca="1"/>
        <v>15317220</v>
      </c>
      <c r="E331">
        <f t="shared" ref="E331:E394" ca="1" si="40">AVERAGE(C323:C331)</f>
        <v>94.028888888888901</v>
      </c>
      <c r="F331">
        <f t="shared" ca="1" si="33"/>
        <v>90.343499999999992</v>
      </c>
      <c r="G331">
        <f t="shared" ca="1" si="38"/>
        <v>91.563200000000009</v>
      </c>
      <c r="H331">
        <f t="shared" ca="1" si="37"/>
        <v>93.14920792079208</v>
      </c>
      <c r="I331">
        <f t="shared" ca="1" si="34"/>
        <v>4.3472087535990731</v>
      </c>
      <c r="J331">
        <f t="shared" ca="1" si="35"/>
        <v>81.649082492801853</v>
      </c>
      <c r="K331">
        <f t="shared" ca="1" si="36"/>
        <v>99.037917507198131</v>
      </c>
    </row>
    <row r="332" spans="1:11" x14ac:dyDescent="0.25">
      <c r="A332" s="5">
        <f t="shared" ca="1" si="39"/>
        <v>45775</v>
      </c>
      <c r="B332" vm="982">
        <f ca="1"/>
        <v>45775</v>
      </c>
      <c r="C332" vm="983">
        <f ca="1"/>
        <v>95.22</v>
      </c>
      <c r="D332" vm="984">
        <f ca="1"/>
        <v>12950000</v>
      </c>
      <c r="E332">
        <f t="shared" ca="1" si="40"/>
        <v>94.083333333333343</v>
      </c>
      <c r="F332">
        <f t="shared" ca="1" si="33"/>
        <v>90.846999999999994</v>
      </c>
      <c r="G332">
        <f t="shared" ca="1" si="38"/>
        <v>91.36660000000002</v>
      </c>
      <c r="H332">
        <f t="shared" ca="1" si="37"/>
        <v>93.18227722772275</v>
      </c>
      <c r="I332">
        <f t="shared" ca="1" si="34"/>
        <v>4.2969010865236834</v>
      </c>
      <c r="J332">
        <f t="shared" ca="1" si="35"/>
        <v>82.253197826952629</v>
      </c>
      <c r="K332">
        <f t="shared" ca="1" si="36"/>
        <v>99.440802173047359</v>
      </c>
    </row>
    <row r="333" spans="1:11" x14ac:dyDescent="0.25">
      <c r="A333" s="5">
        <f t="shared" ca="1" si="39"/>
        <v>45775</v>
      </c>
      <c r="B333" vm="985">
        <f ca="1"/>
        <v>45776</v>
      </c>
      <c r="C333" vm="986">
        <f ca="1"/>
        <v>96.04</v>
      </c>
      <c r="D333" vm="987">
        <f ca="1"/>
        <v>12679025</v>
      </c>
      <c r="E333">
        <f t="shared" ca="1" si="40"/>
        <v>94.313333333333333</v>
      </c>
      <c r="F333">
        <f t="shared" ca="1" si="33"/>
        <v>91.259499999999989</v>
      </c>
      <c r="G333">
        <f t="shared" ca="1" si="38"/>
        <v>91.206600000000023</v>
      </c>
      <c r="H333">
        <f t="shared" ca="1" si="37"/>
        <v>93.217326732673243</v>
      </c>
      <c r="I333">
        <f t="shared" ca="1" si="34"/>
        <v>4.3831177019872154</v>
      </c>
      <c r="J333">
        <f t="shared" ca="1" si="35"/>
        <v>82.493264596025554</v>
      </c>
      <c r="K333">
        <f t="shared" ca="1" si="36"/>
        <v>100.02573540397442</v>
      </c>
    </row>
    <row r="334" spans="1:11" x14ac:dyDescent="0.25">
      <c r="A334" s="5">
        <f t="shared" ca="1" si="39"/>
        <v>45775</v>
      </c>
      <c r="B334" vm="988">
        <f ca="1"/>
        <v>45777</v>
      </c>
      <c r="C334" vm="989">
        <f ca="1"/>
        <v>97.25</v>
      </c>
      <c r="D334" vm="990">
        <f ca="1"/>
        <v>21639860</v>
      </c>
      <c r="E334">
        <f t="shared" ca="1" si="40"/>
        <v>94.986666666666665</v>
      </c>
      <c r="F334">
        <f t="shared" ca="1" si="33"/>
        <v>91.680499999999995</v>
      </c>
      <c r="G334">
        <f t="shared" ca="1" si="38"/>
        <v>91.076000000000008</v>
      </c>
      <c r="H334">
        <f t="shared" ca="1" si="37"/>
        <v>93.262970297029682</v>
      </c>
      <c r="I334">
        <f t="shared" ca="1" si="34"/>
        <v>4.539078824932143</v>
      </c>
      <c r="J334">
        <f t="shared" ca="1" si="35"/>
        <v>82.602342350135714</v>
      </c>
      <c r="K334">
        <f t="shared" ca="1" si="36"/>
        <v>100.75865764986428</v>
      </c>
    </row>
    <row r="335" spans="1:11" x14ac:dyDescent="0.25">
      <c r="A335" s="5">
        <f t="shared" ca="1" si="39"/>
        <v>45775</v>
      </c>
      <c r="B335" vm="991">
        <f ca="1"/>
        <v>45778</v>
      </c>
      <c r="C335" vm="992">
        <f ca="1"/>
        <v>97.41</v>
      </c>
      <c r="D335" vm="993">
        <f ca="1"/>
        <v>13171784</v>
      </c>
      <c r="E335">
        <f t="shared" ca="1" si="40"/>
        <v>95.452222222222218</v>
      </c>
      <c r="F335">
        <f t="shared" ca="1" si="33"/>
        <v>92.063000000000002</v>
      </c>
      <c r="G335">
        <f t="shared" ca="1" si="38"/>
        <v>90.944199999999995</v>
      </c>
      <c r="H335">
        <f t="shared" ca="1" si="37"/>
        <v>93.301584158415835</v>
      </c>
      <c r="I335">
        <f t="shared" ca="1" si="34"/>
        <v>4.6885876001425553</v>
      </c>
      <c r="J335">
        <f t="shared" ca="1" si="35"/>
        <v>82.685824799714894</v>
      </c>
      <c r="K335">
        <f t="shared" ca="1" si="36"/>
        <v>101.44017520028511</v>
      </c>
    </row>
    <row r="336" spans="1:11" x14ac:dyDescent="0.25">
      <c r="A336" s="5">
        <f t="shared" ca="1" si="39"/>
        <v>45775</v>
      </c>
      <c r="B336" vm="994">
        <f ca="1"/>
        <v>45779</v>
      </c>
      <c r="C336" vm="995">
        <f ca="1"/>
        <v>98.75</v>
      </c>
      <c r="D336" vm="996">
        <f ca="1"/>
        <v>16031373</v>
      </c>
      <c r="E336">
        <f t="shared" ca="1" si="40"/>
        <v>96.156666666666666</v>
      </c>
      <c r="F336">
        <f t="shared" ca="1" si="33"/>
        <v>92.637500000000003</v>
      </c>
      <c r="G336">
        <f t="shared" ca="1" si="38"/>
        <v>90.974999999999994</v>
      </c>
      <c r="H336">
        <f t="shared" ca="1" si="37"/>
        <v>93.344158415841562</v>
      </c>
      <c r="I336">
        <f t="shared" ca="1" si="34"/>
        <v>4.7722904960770522</v>
      </c>
      <c r="J336">
        <f t="shared" ca="1" si="35"/>
        <v>83.092919007845893</v>
      </c>
      <c r="K336">
        <f t="shared" ca="1" si="36"/>
        <v>102.18208099215411</v>
      </c>
    </row>
    <row r="337" spans="1:11" x14ac:dyDescent="0.25">
      <c r="A337" s="5">
        <f t="shared" ca="1" si="39"/>
        <v>45782</v>
      </c>
      <c r="B337" vm="997">
        <f ca="1"/>
        <v>45782</v>
      </c>
      <c r="C337" vm="998">
        <f ca="1"/>
        <v>99.33</v>
      </c>
      <c r="D337" vm="999">
        <f ca="1"/>
        <v>12439132</v>
      </c>
      <c r="E337">
        <f t="shared" ca="1" si="40"/>
        <v>96.654444444444451</v>
      </c>
      <c r="F337">
        <f t="shared" ca="1" si="33"/>
        <v>93.444499999999991</v>
      </c>
      <c r="G337">
        <f t="shared" ca="1" si="38"/>
        <v>91.066000000000003</v>
      </c>
      <c r="H337">
        <f t="shared" ca="1" si="37"/>
        <v>93.384059405940562</v>
      </c>
      <c r="I337">
        <f t="shared" ca="1" si="34"/>
        <v>4.4439769706637176</v>
      </c>
      <c r="J337">
        <f t="shared" ca="1" si="35"/>
        <v>84.556546058672552</v>
      </c>
      <c r="K337">
        <f t="shared" ca="1" si="36"/>
        <v>102.33245394132743</v>
      </c>
    </row>
    <row r="338" spans="1:11" x14ac:dyDescent="0.25">
      <c r="A338" s="5">
        <f t="shared" ca="1" si="39"/>
        <v>45782</v>
      </c>
      <c r="B338" vm="1000">
        <f ca="1"/>
        <v>45783</v>
      </c>
      <c r="C338" vm="1001">
        <f ca="1"/>
        <v>98.55</v>
      </c>
      <c r="D338" vm="1002">
        <f ca="1"/>
        <v>10625999</v>
      </c>
      <c r="E338">
        <f t="shared" ca="1" si="40"/>
        <v>97.053333333333342</v>
      </c>
      <c r="F338">
        <f t="shared" ca="1" si="33"/>
        <v>94.180499999999995</v>
      </c>
      <c r="G338">
        <f t="shared" ca="1" si="38"/>
        <v>91.163599999999988</v>
      </c>
      <c r="H338">
        <f t="shared" ca="1" si="37"/>
        <v>93.412277227722754</v>
      </c>
      <c r="I338">
        <f t="shared" ca="1" si="34"/>
        <v>3.9604843869086728</v>
      </c>
      <c r="J338">
        <f t="shared" ca="1" si="35"/>
        <v>86.259531226182645</v>
      </c>
      <c r="K338">
        <f t="shared" ca="1" si="36"/>
        <v>102.10146877381734</v>
      </c>
    </row>
    <row r="339" spans="1:11" x14ac:dyDescent="0.25">
      <c r="A339" s="5">
        <f t="shared" ca="1" si="39"/>
        <v>45782</v>
      </c>
      <c r="B339" vm="1003">
        <f ca="1"/>
        <v>45784</v>
      </c>
      <c r="C339" vm="1004">
        <f ca="1"/>
        <v>98.83</v>
      </c>
      <c r="D339" vm="1005">
        <f ca="1"/>
        <v>11310191</v>
      </c>
      <c r="E339">
        <f t="shared" ca="1" si="40"/>
        <v>97.385555555555555</v>
      </c>
      <c r="F339">
        <f t="shared" ca="1" si="33"/>
        <v>95.032499999999999</v>
      </c>
      <c r="G339">
        <f t="shared" ca="1" si="38"/>
        <v>91.186400000000006</v>
      </c>
      <c r="H339">
        <f t="shared" ca="1" si="37"/>
        <v>93.461782178217803</v>
      </c>
      <c r="I339">
        <f t="shared" ca="1" si="34"/>
        <v>2.8246897826878365</v>
      </c>
      <c r="J339">
        <f t="shared" ca="1" si="35"/>
        <v>89.383120434624331</v>
      </c>
      <c r="K339">
        <f t="shared" ca="1" si="36"/>
        <v>100.68187956537567</v>
      </c>
    </row>
    <row r="340" spans="1:11" x14ac:dyDescent="0.25">
      <c r="A340" s="5">
        <f t="shared" ca="1" si="39"/>
        <v>45782</v>
      </c>
      <c r="B340" vm="1006">
        <f ca="1"/>
        <v>45785</v>
      </c>
      <c r="C340" vm="1007">
        <f ca="1"/>
        <v>97.43</v>
      </c>
      <c r="D340" vm="1008">
        <f ca="1"/>
        <v>14461119</v>
      </c>
      <c r="E340">
        <f t="shared" ca="1" si="40"/>
        <v>97.645555555555546</v>
      </c>
      <c r="F340">
        <f t="shared" ca="1" si="33"/>
        <v>95.424000000000007</v>
      </c>
      <c r="G340">
        <f t="shared" ca="1" si="38"/>
        <v>91.210999999999999</v>
      </c>
      <c r="H340">
        <f t="shared" ca="1" si="37"/>
        <v>93.490297029702944</v>
      </c>
      <c r="I340">
        <f t="shared" ca="1" si="34"/>
        <v>2.5625755958040592</v>
      </c>
      <c r="J340">
        <f t="shared" ca="1" si="35"/>
        <v>90.298848808391881</v>
      </c>
      <c r="K340">
        <f t="shared" ca="1" si="36"/>
        <v>100.54915119160813</v>
      </c>
    </row>
    <row r="341" spans="1:11" x14ac:dyDescent="0.25">
      <c r="A341" s="5">
        <f t="shared" ca="1" si="39"/>
        <v>45782</v>
      </c>
      <c r="B341" vm="1009">
        <f ca="1"/>
        <v>45786</v>
      </c>
      <c r="C341" vm="1010">
        <f ca="1"/>
        <v>96.72</v>
      </c>
      <c r="D341" vm="1011">
        <f ca="1"/>
        <v>13697822</v>
      </c>
      <c r="E341">
        <f t="shared" ca="1" si="40"/>
        <v>97.812222222222246</v>
      </c>
      <c r="F341">
        <f t="shared" ca="1" si="33"/>
        <v>95.729500000000002</v>
      </c>
      <c r="G341">
        <f t="shared" ca="1" si="38"/>
        <v>91.209600000000009</v>
      </c>
      <c r="H341">
        <f t="shared" ca="1" si="37"/>
        <v>93.507722772277205</v>
      </c>
      <c r="I341">
        <f t="shared" ca="1" si="34"/>
        <v>2.310245999660506</v>
      </c>
      <c r="J341">
        <f t="shared" ca="1" si="35"/>
        <v>91.109008000678983</v>
      </c>
      <c r="K341">
        <f t="shared" ca="1" si="36"/>
        <v>100.34999199932102</v>
      </c>
    </row>
    <row r="342" spans="1:11" x14ac:dyDescent="0.25">
      <c r="A342" s="5">
        <f t="shared" ca="1" si="39"/>
        <v>45789</v>
      </c>
      <c r="B342" vm="1012">
        <f ca="1"/>
        <v>45789</v>
      </c>
      <c r="C342" vm="1013">
        <f ca="1"/>
        <v>96.75</v>
      </c>
      <c r="D342" vm="1014">
        <f ca="1"/>
        <v>26783925</v>
      </c>
      <c r="E342">
        <f t="shared" ca="1" si="40"/>
        <v>97.891111111111115</v>
      </c>
      <c r="F342">
        <f t="shared" ref="F342:F405" ca="1" si="41">AVERAGE(C323:C342)</f>
        <v>95.927000000000007</v>
      </c>
      <c r="G342">
        <f t="shared" ca="1" si="38"/>
        <v>91.172399999999996</v>
      </c>
      <c r="H342">
        <f t="shared" ca="1" si="37"/>
        <v>93.534059405940567</v>
      </c>
      <c r="I342">
        <f t="shared" ref="I342:I405" ca="1" si="42">_xlfn.STDEV.S(C323:C342)</f>
        <v>2.2134376692804061</v>
      </c>
      <c r="J342">
        <f t="shared" ref="J342:J405" ca="1" si="43">F342-2*I342</f>
        <v>91.500124661439202</v>
      </c>
      <c r="K342">
        <f t="shared" ref="K342:K405" ca="1" si="44">F342+2*I342</f>
        <v>100.35387533856081</v>
      </c>
    </row>
    <row r="343" spans="1:11" x14ac:dyDescent="0.25">
      <c r="A343" s="5">
        <f t="shared" ca="1" si="39"/>
        <v>45789</v>
      </c>
      <c r="B343" vm="1015">
        <f ca="1"/>
        <v>45790</v>
      </c>
      <c r="C343" vm="1016">
        <f ca="1"/>
        <v>95.88</v>
      </c>
      <c r="D343" vm="1017">
        <f ca="1"/>
        <v>19746658</v>
      </c>
      <c r="E343">
        <f t="shared" ca="1" si="40"/>
        <v>97.73888888888888</v>
      </c>
      <c r="F343">
        <f t="shared" ca="1" si="41"/>
        <v>95.984499999999997</v>
      </c>
      <c r="G343">
        <f t="shared" ca="1" si="38"/>
        <v>91.138200000000012</v>
      </c>
      <c r="H343">
        <f t="shared" ca="1" si="37"/>
        <v>93.550198019801954</v>
      </c>
      <c r="I343">
        <f t="shared" ca="1" si="42"/>
        <v>2.1955708405308805</v>
      </c>
      <c r="J343">
        <f t="shared" ca="1" si="43"/>
        <v>91.593358318938243</v>
      </c>
      <c r="K343">
        <f t="shared" ca="1" si="44"/>
        <v>100.37564168106175</v>
      </c>
    </row>
    <row r="344" spans="1:11" x14ac:dyDescent="0.25">
      <c r="A344" s="5">
        <f t="shared" ca="1" si="39"/>
        <v>45789</v>
      </c>
      <c r="B344" vm="1018">
        <f ca="1"/>
        <v>45791</v>
      </c>
      <c r="C344" vm="1019">
        <f ca="1"/>
        <v>96.83</v>
      </c>
      <c r="D344" vm="1020">
        <f ca="1"/>
        <v>25620110</v>
      </c>
      <c r="E344">
        <f t="shared" ca="1" si="40"/>
        <v>97.674444444444447</v>
      </c>
      <c r="F344">
        <f t="shared" ca="1" si="41"/>
        <v>96.127499999999984</v>
      </c>
      <c r="G344">
        <f t="shared" ca="1" si="38"/>
        <v>91.17540000000001</v>
      </c>
      <c r="H344">
        <f t="shared" ca="1" si="37"/>
        <v>93.569603960396009</v>
      </c>
      <c r="I344">
        <f t="shared" ca="1" si="42"/>
        <v>2.1501257613157625</v>
      </c>
      <c r="J344">
        <f t="shared" ca="1" si="43"/>
        <v>91.827248477368457</v>
      </c>
      <c r="K344">
        <f t="shared" ca="1" si="44"/>
        <v>100.42775152263151</v>
      </c>
    </row>
    <row r="345" spans="1:11" x14ac:dyDescent="0.25">
      <c r="A345" s="5">
        <f t="shared" ca="1" si="39"/>
        <v>45789</v>
      </c>
      <c r="B345" vm="1021">
        <f ca="1"/>
        <v>45792</v>
      </c>
      <c r="C345" vm="1022">
        <f ca="1"/>
        <v>96.35</v>
      </c>
      <c r="D345" vm="1023">
        <f ca="1"/>
        <v>44026125</v>
      </c>
      <c r="E345">
        <f t="shared" ca="1" si="40"/>
        <v>97.407777777777781</v>
      </c>
      <c r="F345">
        <f t="shared" ca="1" si="41"/>
        <v>96.385499999999979</v>
      </c>
      <c r="G345">
        <f t="shared" ca="1" si="38"/>
        <v>91.1828</v>
      </c>
      <c r="H345">
        <f t="shared" ca="1" si="37"/>
        <v>93.578811881188116</v>
      </c>
      <c r="I345">
        <f t="shared" ca="1" si="42"/>
        <v>1.8089993599254059</v>
      </c>
      <c r="J345">
        <f t="shared" ca="1" si="43"/>
        <v>92.767501280149162</v>
      </c>
      <c r="K345">
        <f t="shared" ca="1" si="44"/>
        <v>100.0034987198508</v>
      </c>
    </row>
    <row r="346" spans="1:11" x14ac:dyDescent="0.25">
      <c r="A346" s="5">
        <f t="shared" ca="1" si="39"/>
        <v>45789</v>
      </c>
      <c r="B346" vm="1024">
        <f ca="1"/>
        <v>45793</v>
      </c>
      <c r="C346" vm="1025">
        <f ca="1"/>
        <v>98.24</v>
      </c>
      <c r="D346" vm="1026">
        <f ca="1"/>
        <v>33746187</v>
      </c>
      <c r="E346">
        <f t="shared" ca="1" si="40"/>
        <v>97.286666666666676</v>
      </c>
      <c r="F346">
        <f t="shared" ca="1" si="41"/>
        <v>96.636499999999984</v>
      </c>
      <c r="G346">
        <f t="shared" ca="1" si="38"/>
        <v>91.254799999999975</v>
      </c>
      <c r="H346">
        <f t="shared" ca="1" si="37"/>
        <v>93.625247524752453</v>
      </c>
      <c r="I346">
        <f t="shared" ca="1" si="42"/>
        <v>1.691088951565016</v>
      </c>
      <c r="J346">
        <f t="shared" ca="1" si="43"/>
        <v>93.254322096869956</v>
      </c>
      <c r="K346">
        <f t="shared" ca="1" si="44"/>
        <v>100.01867790313001</v>
      </c>
    </row>
    <row r="347" spans="1:11" x14ac:dyDescent="0.25">
      <c r="A347" s="5">
        <f t="shared" ca="1" si="39"/>
        <v>45796</v>
      </c>
      <c r="B347" vm="1027">
        <f ca="1"/>
        <v>45796</v>
      </c>
      <c r="C347" vm="1028">
        <f ca="1"/>
        <v>98.12</v>
      </c>
      <c r="D347" vm="1029">
        <f ca="1"/>
        <v>20041573</v>
      </c>
      <c r="E347">
        <f t="shared" ca="1" si="40"/>
        <v>97.238888888888894</v>
      </c>
      <c r="F347">
        <f t="shared" ca="1" si="41"/>
        <v>96.921999999999997</v>
      </c>
      <c r="G347">
        <f t="shared" ca="1" si="38"/>
        <v>91.382799999999989</v>
      </c>
      <c r="H347">
        <f t="shared" ca="1" si="37"/>
        <v>93.671980198019796</v>
      </c>
      <c r="I347">
        <f t="shared" ca="1" si="42"/>
        <v>1.3962943438748303</v>
      </c>
      <c r="J347">
        <f t="shared" ca="1" si="43"/>
        <v>94.12941131225034</v>
      </c>
      <c r="K347">
        <f t="shared" ca="1" si="44"/>
        <v>99.714588687749654</v>
      </c>
    </row>
    <row r="348" spans="1:11" x14ac:dyDescent="0.25">
      <c r="A348" s="5">
        <f t="shared" ca="1" si="39"/>
        <v>45796</v>
      </c>
      <c r="B348" vm="1030">
        <f ca="1"/>
        <v>45797</v>
      </c>
      <c r="C348" vm="1031">
        <f ca="1"/>
        <v>97.8</v>
      </c>
      <c r="D348" vm="1032">
        <f ca="1"/>
        <v>15609610</v>
      </c>
      <c r="E348">
        <f t="shared" ca="1" si="40"/>
        <v>97.124444444444435</v>
      </c>
      <c r="F348">
        <f t="shared" ca="1" si="41"/>
        <v>97.069500000000005</v>
      </c>
      <c r="G348">
        <f t="shared" ca="1" si="38"/>
        <v>91.582399999999978</v>
      </c>
      <c r="H348">
        <f t="shared" ca="1" si="37"/>
        <v>93.727029702970285</v>
      </c>
      <c r="I348">
        <f t="shared" ca="1" si="42"/>
        <v>1.3196031101892158</v>
      </c>
      <c r="J348">
        <f t="shared" ca="1" si="43"/>
        <v>94.430293779621579</v>
      </c>
      <c r="K348">
        <f t="shared" ca="1" si="44"/>
        <v>99.708706220378431</v>
      </c>
    </row>
    <row r="349" spans="1:11" x14ac:dyDescent="0.25">
      <c r="A349" s="5">
        <f t="shared" ca="1" si="39"/>
        <v>45796</v>
      </c>
      <c r="B349" vm="1033">
        <f ca="1"/>
        <v>45798</v>
      </c>
      <c r="C349" vm="1034">
        <f ca="1"/>
        <v>96.43</v>
      </c>
      <c r="D349" vm="1035">
        <f ca="1"/>
        <v>15742336</v>
      </c>
      <c r="E349">
        <f t="shared" ca="1" si="40"/>
        <v>97.013333333333321</v>
      </c>
      <c r="F349">
        <f t="shared" ca="1" si="41"/>
        <v>97.143000000000001</v>
      </c>
      <c r="G349">
        <f t="shared" ca="1" si="38"/>
        <v>91.762199999999993</v>
      </c>
      <c r="H349">
        <f t="shared" ca="1" si="37"/>
        <v>93.787227722772258</v>
      </c>
      <c r="I349">
        <f t="shared" ca="1" si="42"/>
        <v>1.2340907584128478</v>
      </c>
      <c r="J349">
        <f t="shared" ca="1" si="43"/>
        <v>94.674818483174306</v>
      </c>
      <c r="K349">
        <f t="shared" ca="1" si="44"/>
        <v>99.611181516825695</v>
      </c>
    </row>
    <row r="350" spans="1:11" x14ac:dyDescent="0.25">
      <c r="A350" s="5">
        <f t="shared" ca="1" si="39"/>
        <v>45796</v>
      </c>
      <c r="B350" vm="1036">
        <f ca="1"/>
        <v>45799</v>
      </c>
      <c r="C350" vm="1037">
        <f ca="1"/>
        <v>95.93</v>
      </c>
      <c r="D350" vm="1038">
        <f ca="1"/>
        <v>13712163</v>
      </c>
      <c r="E350">
        <f t="shared" ca="1" si="40"/>
        <v>96.925555555555547</v>
      </c>
      <c r="F350">
        <f t="shared" ca="1" si="41"/>
        <v>97.147500000000008</v>
      </c>
      <c r="G350">
        <f t="shared" ca="1" si="38"/>
        <v>91.976799999999983</v>
      </c>
      <c r="H350">
        <f t="shared" ca="1" si="37"/>
        <v>93.819405940594038</v>
      </c>
      <c r="I350">
        <f t="shared" ca="1" si="42"/>
        <v>1.2292439910260622</v>
      </c>
      <c r="J350">
        <f t="shared" ca="1" si="43"/>
        <v>94.689012017947888</v>
      </c>
      <c r="K350">
        <f t="shared" ca="1" si="44"/>
        <v>99.605987982052127</v>
      </c>
    </row>
    <row r="351" spans="1:11" x14ac:dyDescent="0.25">
      <c r="A351" s="5">
        <f t="shared" ca="1" si="39"/>
        <v>45796</v>
      </c>
      <c r="B351" vm="1039">
        <f ca="1"/>
        <v>45800</v>
      </c>
      <c r="C351" vm="1040">
        <f ca="1"/>
        <v>96.34</v>
      </c>
      <c r="D351" vm="1041">
        <f ca="1"/>
        <v>13668621</v>
      </c>
      <c r="E351">
        <f t="shared" ca="1" si="40"/>
        <v>96.88</v>
      </c>
      <c r="F351">
        <f t="shared" ca="1" si="41"/>
        <v>97.21</v>
      </c>
      <c r="G351">
        <f t="shared" ca="1" si="38"/>
        <v>92.213599999999985</v>
      </c>
      <c r="H351">
        <f t="shared" ca="1" si="37"/>
        <v>93.854554455445538</v>
      </c>
      <c r="I351">
        <f t="shared" ca="1" si="42"/>
        <v>1.1482343424855204</v>
      </c>
      <c r="J351">
        <f t="shared" ca="1" si="43"/>
        <v>94.913531315028948</v>
      </c>
      <c r="K351">
        <f t="shared" ca="1" si="44"/>
        <v>99.50646868497104</v>
      </c>
    </row>
    <row r="352" spans="1:11" x14ac:dyDescent="0.25">
      <c r="A352" s="5">
        <f t="shared" ca="1" si="39"/>
        <v>45803</v>
      </c>
      <c r="B352" vm="1042">
        <f ca="1"/>
        <v>45804</v>
      </c>
      <c r="C352" vm="1043">
        <f ca="1"/>
        <v>97.58</v>
      </c>
      <c r="D352" vm="1044">
        <f ca="1"/>
        <v>17180937</v>
      </c>
      <c r="E352">
        <f t="shared" ca="1" si="40"/>
        <v>97.068888888888907</v>
      </c>
      <c r="F352">
        <f t="shared" ca="1" si="41"/>
        <v>97.328000000000003</v>
      </c>
      <c r="G352">
        <f t="shared" ca="1" si="38"/>
        <v>92.458199999999991</v>
      </c>
      <c r="H352">
        <f t="shared" ca="1" si="37"/>
        <v>93.913168316831701</v>
      </c>
      <c r="I352">
        <f t="shared" ca="1" si="42"/>
        <v>1.0500305759959152</v>
      </c>
      <c r="J352">
        <f t="shared" ca="1" si="43"/>
        <v>95.227938848008179</v>
      </c>
      <c r="K352">
        <f t="shared" ca="1" si="44"/>
        <v>99.428061151991827</v>
      </c>
    </row>
    <row r="353" spans="1:11" x14ac:dyDescent="0.25">
      <c r="A353" s="5">
        <f t="shared" ca="1" si="39"/>
        <v>45803</v>
      </c>
      <c r="B353" vm="1045">
        <f ca="1"/>
        <v>45805</v>
      </c>
      <c r="C353" vm="1046">
        <f ca="1"/>
        <v>97.24</v>
      </c>
      <c r="D353" vm="1047">
        <f ca="1"/>
        <v>11220098</v>
      </c>
      <c r="E353">
        <f t="shared" ca="1" si="40"/>
        <v>97.114444444444459</v>
      </c>
      <c r="F353">
        <f t="shared" ca="1" si="41"/>
        <v>97.388000000000005</v>
      </c>
      <c r="G353">
        <f t="shared" ca="1" si="38"/>
        <v>92.65379999999999</v>
      </c>
      <c r="H353">
        <f t="shared" ca="1" si="37"/>
        <v>93.979207920792078</v>
      </c>
      <c r="I353">
        <f t="shared" ca="1" si="42"/>
        <v>1.0059172300364523</v>
      </c>
      <c r="J353">
        <f t="shared" ca="1" si="43"/>
        <v>95.376165539927101</v>
      </c>
      <c r="K353">
        <f t="shared" ca="1" si="44"/>
        <v>99.39983446007291</v>
      </c>
    </row>
    <row r="354" spans="1:11" x14ac:dyDescent="0.25">
      <c r="A354" s="5">
        <f t="shared" ca="1" si="39"/>
        <v>45803</v>
      </c>
      <c r="B354" vm="1048">
        <f ca="1"/>
        <v>45806</v>
      </c>
      <c r="C354" vm="1049">
        <f ca="1"/>
        <v>97.1</v>
      </c>
      <c r="D354" vm="1050">
        <f ca="1"/>
        <v>14343738</v>
      </c>
      <c r="E354">
        <f t="shared" ca="1" si="40"/>
        <v>97.197777777777787</v>
      </c>
      <c r="F354">
        <f t="shared" ca="1" si="41"/>
        <v>97.380499999999998</v>
      </c>
      <c r="G354">
        <f t="shared" ca="1" si="38"/>
        <v>92.884</v>
      </c>
      <c r="H354">
        <f t="shared" ca="1" si="37"/>
        <v>94.046039603960409</v>
      </c>
      <c r="I354">
        <f t="shared" ca="1" si="42"/>
        <v>1.0075581477277775</v>
      </c>
      <c r="J354">
        <f t="shared" ca="1" si="43"/>
        <v>95.365383704544442</v>
      </c>
      <c r="K354">
        <f t="shared" ca="1" si="44"/>
        <v>99.395616295455554</v>
      </c>
    </row>
    <row r="355" spans="1:11" x14ac:dyDescent="0.25">
      <c r="A355" s="5">
        <f t="shared" ca="1" si="39"/>
        <v>45803</v>
      </c>
      <c r="B355" vm="1051">
        <f ca="1"/>
        <v>45807</v>
      </c>
      <c r="C355" vm="1052">
        <f ca="1"/>
        <v>98.72</v>
      </c>
      <c r="D355" vm="1053">
        <f ca="1"/>
        <v>29980069</v>
      </c>
      <c r="E355">
        <f t="shared" ca="1" si="40"/>
        <v>97.251111111111129</v>
      </c>
      <c r="F355">
        <f t="shared" ca="1" si="41"/>
        <v>97.445999999999998</v>
      </c>
      <c r="G355">
        <f t="shared" ca="1" si="38"/>
        <v>93.131799999999984</v>
      </c>
      <c r="H355">
        <f t="shared" ca="1" si="37"/>
        <v>94.132376237623774</v>
      </c>
      <c r="I355">
        <f t="shared" ca="1" si="42"/>
        <v>1.051211832025055</v>
      </c>
      <c r="J355">
        <f t="shared" ca="1" si="43"/>
        <v>95.343576335949891</v>
      </c>
      <c r="K355">
        <f t="shared" ca="1" si="44"/>
        <v>99.548423664050105</v>
      </c>
    </row>
    <row r="356" spans="1:11" x14ac:dyDescent="0.25">
      <c r="A356" s="5">
        <f t="shared" ca="1" si="39"/>
        <v>45810</v>
      </c>
      <c r="B356" vm="1054">
        <f ca="1"/>
        <v>45810</v>
      </c>
      <c r="C356" vm="1055">
        <f ca="1"/>
        <v>99.77</v>
      </c>
      <c r="D356" vm="1056">
        <f ca="1"/>
        <v>16999205</v>
      </c>
      <c r="E356">
        <f t="shared" ca="1" si="40"/>
        <v>97.434444444444438</v>
      </c>
      <c r="F356">
        <f t="shared" ca="1" si="41"/>
        <v>97.497</v>
      </c>
      <c r="G356">
        <f t="shared" ca="1" si="38"/>
        <v>93.410999999999987</v>
      </c>
      <c r="H356">
        <f t="shared" ca="1" si="37"/>
        <v>94.22138613861388</v>
      </c>
      <c r="I356">
        <f t="shared" ca="1" si="42"/>
        <v>1.1388918898833651</v>
      </c>
      <c r="J356">
        <f t="shared" ca="1" si="43"/>
        <v>95.219216220233264</v>
      </c>
      <c r="K356">
        <f t="shared" ca="1" si="44"/>
        <v>99.774783779766736</v>
      </c>
    </row>
    <row r="357" spans="1:11" x14ac:dyDescent="0.25">
      <c r="A357" s="5">
        <f t="shared" ca="1" si="39"/>
        <v>45810</v>
      </c>
      <c r="B357" vm="1057">
        <f ca="1"/>
        <v>45811</v>
      </c>
      <c r="C357" vm="1058">
        <f ca="1"/>
        <v>99.98</v>
      </c>
      <c r="D357" vm="1059">
        <f ca="1"/>
        <v>15598643</v>
      </c>
      <c r="E357">
        <f t="shared" ca="1" si="40"/>
        <v>97.676666666666677</v>
      </c>
      <c r="F357">
        <f t="shared" ca="1" si="41"/>
        <v>97.529499999999999</v>
      </c>
      <c r="G357">
        <f t="shared" ca="1" si="38"/>
        <v>93.690999999999988</v>
      </c>
      <c r="H357">
        <f t="shared" ca="1" si="37"/>
        <v>94.306039603960414</v>
      </c>
      <c r="I357">
        <f t="shared" ca="1" si="42"/>
        <v>1.2015055248794275</v>
      </c>
      <c r="J357">
        <f t="shared" ca="1" si="43"/>
        <v>95.126488950241139</v>
      </c>
      <c r="K357">
        <f t="shared" ca="1" si="44"/>
        <v>99.932511049758858</v>
      </c>
    </row>
    <row r="358" spans="1:11" x14ac:dyDescent="0.25">
      <c r="A358" s="5">
        <f t="shared" ca="1" si="39"/>
        <v>45810</v>
      </c>
      <c r="B358" vm="1060">
        <f ca="1"/>
        <v>45812</v>
      </c>
      <c r="C358" vm="1061">
        <f ca="1"/>
        <v>99.35</v>
      </c>
      <c r="D358" vm="1062">
        <f ca="1"/>
        <v>11115649</v>
      </c>
      <c r="E358">
        <f t="shared" ca="1" si="40"/>
        <v>98.001111111111129</v>
      </c>
      <c r="F358">
        <f t="shared" ca="1" si="41"/>
        <v>97.569499999999991</v>
      </c>
      <c r="G358">
        <f t="shared" ca="1" si="38"/>
        <v>93.928200000000004</v>
      </c>
      <c r="H358">
        <f t="shared" ref="H358:H421" ca="1" si="45">AVERAGE(C258:C358)</f>
        <v>94.39059405940597</v>
      </c>
      <c r="I358">
        <f t="shared" ca="1" si="42"/>
        <v>1.2496208898786267</v>
      </c>
      <c r="J358">
        <f t="shared" ca="1" si="43"/>
        <v>95.070258220242735</v>
      </c>
      <c r="K358">
        <f t="shared" ca="1" si="44"/>
        <v>100.06874177975725</v>
      </c>
    </row>
    <row r="359" spans="1:11" x14ac:dyDescent="0.25">
      <c r="A359" s="5">
        <f t="shared" ca="1" si="39"/>
        <v>45810</v>
      </c>
      <c r="B359" vm="1063">
        <f ca="1"/>
        <v>45813</v>
      </c>
      <c r="C359" vm="1064">
        <f ca="1"/>
        <v>97.96</v>
      </c>
      <c r="D359" vm="1065">
        <f ca="1"/>
        <v>15825276</v>
      </c>
      <c r="E359">
        <f t="shared" ca="1" si="40"/>
        <v>98.226666666666674</v>
      </c>
      <c r="F359">
        <f t="shared" ca="1" si="41"/>
        <v>97.525999999999982</v>
      </c>
      <c r="G359">
        <f t="shared" ca="1" si="38"/>
        <v>94.1922</v>
      </c>
      <c r="H359">
        <f t="shared" ca="1" si="45"/>
        <v>94.451584158415869</v>
      </c>
      <c r="I359">
        <f t="shared" ca="1" si="42"/>
        <v>1.2181798328913329</v>
      </c>
      <c r="J359">
        <f t="shared" ca="1" si="43"/>
        <v>95.089640334217322</v>
      </c>
      <c r="K359">
        <f t="shared" ca="1" si="44"/>
        <v>99.962359665782643</v>
      </c>
    </row>
    <row r="360" spans="1:11" x14ac:dyDescent="0.25">
      <c r="A360" s="5">
        <f t="shared" ca="1" si="39"/>
        <v>45810</v>
      </c>
      <c r="B360" vm="1066">
        <f ca="1"/>
        <v>45814</v>
      </c>
      <c r="C360" vm="1067">
        <f ca="1"/>
        <v>97.47</v>
      </c>
      <c r="D360" vm="1068">
        <f ca="1"/>
        <v>15599294</v>
      </c>
      <c r="E360">
        <f t="shared" ca="1" si="40"/>
        <v>98.352222222222224</v>
      </c>
      <c r="F360">
        <f t="shared" ca="1" si="41"/>
        <v>97.527999999999992</v>
      </c>
      <c r="G360">
        <f t="shared" ca="1" si="38"/>
        <v>94.437399999999997</v>
      </c>
      <c r="H360">
        <f t="shared" ca="1" si="45"/>
        <v>94.495841584158413</v>
      </c>
      <c r="I360">
        <f t="shared" ca="1" si="42"/>
        <v>1.2180467539207351</v>
      </c>
      <c r="J360">
        <f t="shared" ca="1" si="43"/>
        <v>95.091906492158515</v>
      </c>
      <c r="K360">
        <f t="shared" ca="1" si="44"/>
        <v>99.964093507841469</v>
      </c>
    </row>
    <row r="361" spans="1:11" x14ac:dyDescent="0.25">
      <c r="A361" s="5">
        <f t="shared" ca="1" si="39"/>
        <v>45817</v>
      </c>
      <c r="B361" vm="1069">
        <f ca="1"/>
        <v>45817</v>
      </c>
      <c r="C361" vm="1070">
        <f ca="1"/>
        <v>97.45</v>
      </c>
      <c r="D361" vm="1071">
        <f ca="1"/>
        <v>13655700</v>
      </c>
      <c r="E361">
        <f t="shared" ca="1" si="40"/>
        <v>98.337777777777788</v>
      </c>
      <c r="F361">
        <f t="shared" ca="1" si="41"/>
        <v>97.564499999999995</v>
      </c>
      <c r="G361">
        <f t="shared" ca="1" si="38"/>
        <v>94.673799999999986</v>
      </c>
      <c r="H361">
        <f t="shared" ca="1" si="45"/>
        <v>94.554455445544548</v>
      </c>
      <c r="I361">
        <f t="shared" ca="1" si="42"/>
        <v>1.203409520356312</v>
      </c>
      <c r="J361">
        <f t="shared" ca="1" si="43"/>
        <v>95.157680959287376</v>
      </c>
      <c r="K361">
        <f t="shared" ca="1" si="44"/>
        <v>99.971319040712615</v>
      </c>
    </row>
    <row r="362" spans="1:11" x14ac:dyDescent="0.25">
      <c r="A362" s="5">
        <f t="shared" ca="1" si="39"/>
        <v>45817</v>
      </c>
      <c r="B362" vm="1072">
        <f ca="1"/>
        <v>45818</v>
      </c>
      <c r="C362" vm="1073">
        <f ca="1"/>
        <v>97.32</v>
      </c>
      <c r="D362" vm="1074">
        <f ca="1"/>
        <v>17162468</v>
      </c>
      <c r="E362">
        <f t="shared" ca="1" si="40"/>
        <v>98.346666666666678</v>
      </c>
      <c r="F362">
        <f t="shared" ca="1" si="41"/>
        <v>97.592999999999989</v>
      </c>
      <c r="G362">
        <f t="shared" ca="1" si="38"/>
        <v>94.91719999999998</v>
      </c>
      <c r="H362">
        <f t="shared" ca="1" si="45"/>
        <v>94.6191089108911</v>
      </c>
      <c r="I362">
        <f t="shared" ca="1" si="42"/>
        <v>1.1897770689016531</v>
      </c>
      <c r="J362">
        <f t="shared" ca="1" si="43"/>
        <v>95.213445862196679</v>
      </c>
      <c r="K362">
        <f t="shared" ca="1" si="44"/>
        <v>99.9725541378033</v>
      </c>
    </row>
    <row r="363" spans="1:11" x14ac:dyDescent="0.25">
      <c r="A363" s="5">
        <f t="shared" ca="1" si="39"/>
        <v>45817</v>
      </c>
      <c r="B363" vm="1075">
        <f ca="1"/>
        <v>45819</v>
      </c>
      <c r="C363" vm="1076">
        <f ca="1"/>
        <v>95.8</v>
      </c>
      <c r="D363" vm="1077">
        <f ca="1"/>
        <v>16389620</v>
      </c>
      <c r="E363">
        <f t="shared" ca="1" si="40"/>
        <v>98.202222222222218</v>
      </c>
      <c r="F363">
        <f t="shared" ca="1" si="41"/>
        <v>97.588999999999999</v>
      </c>
      <c r="G363">
        <f t="shared" ca="1" si="38"/>
        <v>95.077399999999983</v>
      </c>
      <c r="H363">
        <f t="shared" ca="1" si="45"/>
        <v>94.663267326732665</v>
      </c>
      <c r="I363">
        <f t="shared" ca="1" si="42"/>
        <v>1.1959576651546255</v>
      </c>
      <c r="J363">
        <f t="shared" ca="1" si="43"/>
        <v>95.197084669690753</v>
      </c>
      <c r="K363">
        <f t="shared" ca="1" si="44"/>
        <v>99.980915330309244</v>
      </c>
    </row>
    <row r="364" spans="1:11" x14ac:dyDescent="0.25">
      <c r="A364" s="5">
        <f t="shared" ca="1" si="39"/>
        <v>45817</v>
      </c>
      <c r="B364" vm="1078">
        <f ca="1"/>
        <v>45820</v>
      </c>
      <c r="C364" vm="1079">
        <f ca="1"/>
        <v>94.83</v>
      </c>
      <c r="D364" vm="1080">
        <f ca="1"/>
        <v>17845704</v>
      </c>
      <c r="E364">
        <f t="shared" ca="1" si="40"/>
        <v>97.77</v>
      </c>
      <c r="F364">
        <f t="shared" ca="1" si="41"/>
        <v>97.489000000000004</v>
      </c>
      <c r="G364">
        <f t="shared" ca="1" si="38"/>
        <v>95.197399999999973</v>
      </c>
      <c r="H364">
        <f t="shared" ca="1" si="45"/>
        <v>94.698217821782166</v>
      </c>
      <c r="I364">
        <f t="shared" ca="1" si="42"/>
        <v>1.3379477607613512</v>
      </c>
      <c r="J364">
        <f t="shared" ca="1" si="43"/>
        <v>94.8131044784773</v>
      </c>
      <c r="K364">
        <f t="shared" ca="1" si="44"/>
        <v>100.16489552152271</v>
      </c>
    </row>
    <row r="365" spans="1:11" x14ac:dyDescent="0.25">
      <c r="A365" s="5">
        <f t="shared" ca="1" si="39"/>
        <v>45817</v>
      </c>
      <c r="B365" vm="1081">
        <f ca="1"/>
        <v>45821</v>
      </c>
      <c r="C365" vm="1082">
        <f ca="1"/>
        <v>94.44</v>
      </c>
      <c r="D365" vm="1083">
        <f ca="1"/>
        <v>18694739</v>
      </c>
      <c r="E365">
        <f t="shared" ca="1" si="40"/>
        <v>97.177777777777763</v>
      </c>
      <c r="F365">
        <f t="shared" ca="1" si="41"/>
        <v>97.393500000000003</v>
      </c>
      <c r="G365">
        <f t="shared" ca="1" si="38"/>
        <v>95.290999999999954</v>
      </c>
      <c r="H365">
        <f t="shared" ca="1" si="45"/>
        <v>94.72297029702969</v>
      </c>
      <c r="I365">
        <f t="shared" ca="1" si="42"/>
        <v>1.4837480102412048</v>
      </c>
      <c r="J365">
        <f t="shared" ca="1" si="43"/>
        <v>94.426003979517589</v>
      </c>
      <c r="K365">
        <f t="shared" ca="1" si="44"/>
        <v>100.36099602048242</v>
      </c>
    </row>
    <row r="366" spans="1:11" x14ac:dyDescent="0.25">
      <c r="A366" s="5">
        <f t="shared" ca="1" si="39"/>
        <v>45824</v>
      </c>
      <c r="B366" vm="1084">
        <f ca="1"/>
        <v>45824</v>
      </c>
      <c r="C366" vm="1085">
        <f ca="1"/>
        <v>94.29</v>
      </c>
      <c r="D366" vm="1086">
        <f ca="1"/>
        <v>14881663</v>
      </c>
      <c r="E366">
        <f t="shared" ca="1" si="40"/>
        <v>96.545555555555538</v>
      </c>
      <c r="F366">
        <f t="shared" ca="1" si="41"/>
        <v>97.195999999999998</v>
      </c>
      <c r="G366">
        <f t="shared" ca="1" si="38"/>
        <v>95.43159999999996</v>
      </c>
      <c r="H366">
        <f t="shared" ca="1" si="45"/>
        <v>94.734950495049517</v>
      </c>
      <c r="I366">
        <f t="shared" ca="1" si="42"/>
        <v>1.6216249160706211</v>
      </c>
      <c r="J366">
        <f t="shared" ca="1" si="43"/>
        <v>93.952750167858753</v>
      </c>
      <c r="K366">
        <f t="shared" ca="1" si="44"/>
        <v>100.43924983214124</v>
      </c>
    </row>
    <row r="367" spans="1:11" x14ac:dyDescent="0.25">
      <c r="A367" s="5">
        <f t="shared" ca="1" si="39"/>
        <v>45824</v>
      </c>
      <c r="B367" vm="1087">
        <f ca="1"/>
        <v>45825</v>
      </c>
      <c r="C367" vm="715">
        <f ca="1"/>
        <v>94.25</v>
      </c>
      <c r="D367" vm="1088">
        <f ca="1"/>
        <v>14935630</v>
      </c>
      <c r="E367">
        <f t="shared" ca="1" si="40"/>
        <v>95.978888888888889</v>
      </c>
      <c r="F367">
        <f t="shared" ca="1" si="41"/>
        <v>97.002499999999998</v>
      </c>
      <c r="G367">
        <f t="shared" ca="1" si="38"/>
        <v>95.652799999999957</v>
      </c>
      <c r="H367">
        <f t="shared" ca="1" si="45"/>
        <v>94.745049504950515</v>
      </c>
      <c r="I367">
        <f t="shared" ca="1" si="42"/>
        <v>1.7326580584086455</v>
      </c>
      <c r="J367">
        <f t="shared" ca="1" si="43"/>
        <v>93.537183883182706</v>
      </c>
      <c r="K367">
        <f t="shared" ca="1" si="44"/>
        <v>100.46781611681729</v>
      </c>
    </row>
    <row r="368" spans="1:11" x14ac:dyDescent="0.25">
      <c r="A368" s="5">
        <f t="shared" ca="1" si="39"/>
        <v>45824</v>
      </c>
      <c r="B368" vm="1089">
        <f ca="1"/>
        <v>45826</v>
      </c>
      <c r="C368" vm="980">
        <f ca="1"/>
        <v>95.09</v>
      </c>
      <c r="D368" vm="1090">
        <f ca="1"/>
        <v>11333690</v>
      </c>
      <c r="E368">
        <f t="shared" ca="1" si="40"/>
        <v>95.66</v>
      </c>
      <c r="F368">
        <f t="shared" ca="1" si="41"/>
        <v>96.86699999999999</v>
      </c>
      <c r="G368">
        <f t="shared" ca="1" si="38"/>
        <v>95.877999999999957</v>
      </c>
      <c r="H368">
        <f t="shared" ca="1" si="45"/>
        <v>94.757722772277234</v>
      </c>
      <c r="I368">
        <f t="shared" ca="1" si="42"/>
        <v>1.7725156075327977</v>
      </c>
      <c r="J368">
        <f t="shared" ca="1" si="43"/>
        <v>93.321968784934398</v>
      </c>
      <c r="K368">
        <f t="shared" ca="1" si="44"/>
        <v>100.41203121506558</v>
      </c>
    </row>
    <row r="369" spans="1:11" x14ac:dyDescent="0.25">
      <c r="A369" s="5">
        <f t="shared" ca="1" si="39"/>
        <v>45824</v>
      </c>
      <c r="B369" vm="1091">
        <f ca="1"/>
        <v>45828</v>
      </c>
      <c r="C369" vm="1092">
        <f ca="1"/>
        <v>96.12</v>
      </c>
      <c r="D369" vm="1093">
        <f ca="1"/>
        <v>20604918</v>
      </c>
      <c r="E369">
        <f t="shared" ca="1" si="40"/>
        <v>95.51</v>
      </c>
      <c r="F369">
        <f t="shared" ca="1" si="41"/>
        <v>96.851499999999987</v>
      </c>
      <c r="G369">
        <f t="shared" ca="1" si="38"/>
        <v>96.16459999999995</v>
      </c>
      <c r="H369">
        <f t="shared" ca="1" si="45"/>
        <v>94.771188118811892</v>
      </c>
      <c r="I369">
        <f t="shared" ca="1" si="42"/>
        <v>1.7778854234588244</v>
      </c>
      <c r="J369">
        <f t="shared" ca="1" si="43"/>
        <v>93.295729153082334</v>
      </c>
      <c r="K369">
        <f t="shared" ca="1" si="44"/>
        <v>100.40727084691764</v>
      </c>
    </row>
    <row r="370" spans="1:11" x14ac:dyDescent="0.25">
      <c r="A370" s="5">
        <f t="shared" ca="1" si="39"/>
        <v>45831</v>
      </c>
      <c r="B370" vm="1094">
        <f ca="1"/>
        <v>45831</v>
      </c>
      <c r="C370" vm="1095">
        <f ca="1"/>
        <v>97.87</v>
      </c>
      <c r="D370" vm="1096">
        <f ca="1"/>
        <v>20432351</v>
      </c>
      <c r="E370">
        <f t="shared" ca="1" si="40"/>
        <v>95.556666666666672</v>
      </c>
      <c r="F370">
        <f t="shared" ca="1" si="41"/>
        <v>96.948499999999996</v>
      </c>
      <c r="G370">
        <f t="shared" ca="1" si="38"/>
        <v>96.32999999999997</v>
      </c>
      <c r="H370">
        <f t="shared" ca="1" si="45"/>
        <v>94.775841584158456</v>
      </c>
      <c r="I370">
        <f t="shared" ca="1" si="42"/>
        <v>1.7778854234588246</v>
      </c>
      <c r="J370">
        <f t="shared" ca="1" si="43"/>
        <v>93.392729153082342</v>
      </c>
      <c r="K370">
        <f t="shared" ca="1" si="44"/>
        <v>100.50427084691765</v>
      </c>
    </row>
    <row r="371" spans="1:11" x14ac:dyDescent="0.25">
      <c r="A371" s="5">
        <f t="shared" ca="1" si="39"/>
        <v>45831</v>
      </c>
      <c r="B371" vm="1097">
        <f ca="1"/>
        <v>45832</v>
      </c>
      <c r="C371" vm="1098">
        <f ca="1"/>
        <v>98</v>
      </c>
      <c r="D371" vm="1099">
        <f ca="1"/>
        <v>22403655</v>
      </c>
      <c r="E371">
        <f t="shared" ca="1" si="40"/>
        <v>95.632222222222225</v>
      </c>
      <c r="F371">
        <f t="shared" ca="1" si="41"/>
        <v>97.03149999999998</v>
      </c>
      <c r="G371">
        <f t="shared" ca="1" si="38"/>
        <v>96.477799999999974</v>
      </c>
      <c r="H371">
        <f t="shared" ca="1" si="45"/>
        <v>94.782871287128771</v>
      </c>
      <c r="I371">
        <f t="shared" ca="1" si="42"/>
        <v>1.7867090447317693</v>
      </c>
      <c r="J371">
        <f t="shared" ca="1" si="43"/>
        <v>93.458081910536436</v>
      </c>
      <c r="K371">
        <f t="shared" ca="1" si="44"/>
        <v>100.60491808946352</v>
      </c>
    </row>
    <row r="372" spans="1:11" x14ac:dyDescent="0.25">
      <c r="A372" s="5">
        <f t="shared" ca="1" si="39"/>
        <v>45831</v>
      </c>
      <c r="B372" vm="1100">
        <f ca="1"/>
        <v>45833</v>
      </c>
      <c r="C372" vm="1101">
        <f ca="1"/>
        <v>97.26</v>
      </c>
      <c r="D372" vm="1102">
        <f ca="1"/>
        <v>11154676</v>
      </c>
      <c r="E372">
        <f t="shared" ca="1" si="40"/>
        <v>95.794444444444437</v>
      </c>
      <c r="F372">
        <f t="shared" ca="1" si="41"/>
        <v>97.015499999999989</v>
      </c>
      <c r="G372">
        <f t="shared" ref="G372:G435" ca="1" si="46">AVERAGE(C323:C372)</f>
        <v>96.566999999999965</v>
      </c>
      <c r="H372">
        <f t="shared" ca="1" si="45"/>
        <v>94.780495049504992</v>
      </c>
      <c r="I372">
        <f t="shared" ca="1" si="42"/>
        <v>1.7829675883348604</v>
      </c>
      <c r="J372">
        <f t="shared" ca="1" si="43"/>
        <v>93.449564823330263</v>
      </c>
      <c r="K372">
        <f t="shared" ca="1" si="44"/>
        <v>100.58143517666971</v>
      </c>
    </row>
    <row r="373" spans="1:11" x14ac:dyDescent="0.25">
      <c r="A373" s="5">
        <f t="shared" ca="1" si="39"/>
        <v>45831</v>
      </c>
      <c r="B373" vm="1103">
        <f ca="1"/>
        <v>45834</v>
      </c>
      <c r="C373" vm="1104">
        <f ca="1"/>
        <v>96.02</v>
      </c>
      <c r="D373" vm="1105">
        <f ca="1"/>
        <v>19361417</v>
      </c>
      <c r="E373">
        <f t="shared" ca="1" si="40"/>
        <v>95.926666666666677</v>
      </c>
      <c r="F373">
        <f t="shared" ca="1" si="41"/>
        <v>96.954499999999996</v>
      </c>
      <c r="G373">
        <f t="shared" ca="1" si="46"/>
        <v>96.592799999999983</v>
      </c>
      <c r="H373">
        <f t="shared" ca="1" si="45"/>
        <v>94.754455445544593</v>
      </c>
      <c r="I373">
        <f t="shared" ca="1" si="42"/>
        <v>1.7957067953139898</v>
      </c>
      <c r="J373">
        <f t="shared" ca="1" si="43"/>
        <v>93.363086409372016</v>
      </c>
      <c r="K373">
        <f t="shared" ca="1" si="44"/>
        <v>100.54591359062798</v>
      </c>
    </row>
    <row r="374" spans="1:11" x14ac:dyDescent="0.25">
      <c r="A374" s="5">
        <f t="shared" ca="1" si="39"/>
        <v>45831</v>
      </c>
      <c r="B374" vm="1106">
        <f ca="1"/>
        <v>45835</v>
      </c>
      <c r="C374" vm="1107">
        <f ca="1"/>
        <v>97.27</v>
      </c>
      <c r="D374" vm="1108">
        <f ca="1"/>
        <v>31431912</v>
      </c>
      <c r="E374">
        <f t="shared" ca="1" si="40"/>
        <v>96.24111111111111</v>
      </c>
      <c r="F374">
        <f t="shared" ca="1" si="41"/>
        <v>96.96299999999998</v>
      </c>
      <c r="G374">
        <f t="shared" ca="1" si="46"/>
        <v>96.658799999999985</v>
      </c>
      <c r="H374">
        <f t="shared" ca="1" si="45"/>
        <v>94.745643564356499</v>
      </c>
      <c r="I374">
        <f t="shared" ca="1" si="42"/>
        <v>1.796833764973089</v>
      </c>
      <c r="J374">
        <f t="shared" ca="1" si="43"/>
        <v>93.369332470053806</v>
      </c>
      <c r="K374">
        <f t="shared" ca="1" si="44"/>
        <v>100.55666752994615</v>
      </c>
    </row>
    <row r="375" spans="1:11" x14ac:dyDescent="0.25">
      <c r="A375" s="5">
        <f t="shared" ca="1" si="39"/>
        <v>45838</v>
      </c>
      <c r="B375" vm="1109">
        <f ca="1"/>
        <v>45838</v>
      </c>
      <c r="C375" vm="1110">
        <f ca="1"/>
        <v>97.78</v>
      </c>
      <c r="D375" vm="1111">
        <f ca="1"/>
        <v>17803030</v>
      </c>
      <c r="E375">
        <f t="shared" ca="1" si="40"/>
        <v>96.628888888888881</v>
      </c>
      <c r="F375">
        <f t="shared" ca="1" si="41"/>
        <v>96.915999999999983</v>
      </c>
      <c r="G375">
        <f t="shared" ca="1" si="46"/>
        <v>96.790599999999998</v>
      </c>
      <c r="H375">
        <f t="shared" ca="1" si="45"/>
        <v>94.728217821782238</v>
      </c>
      <c r="I375">
        <f t="shared" ca="1" si="42"/>
        <v>1.7603809396353896</v>
      </c>
      <c r="J375">
        <f t="shared" ca="1" si="43"/>
        <v>93.395238120729204</v>
      </c>
      <c r="K375">
        <f t="shared" ca="1" si="44"/>
        <v>100.43676187927076</v>
      </c>
    </row>
    <row r="376" spans="1:11" x14ac:dyDescent="0.25">
      <c r="A376" s="5">
        <f t="shared" ca="1" si="39"/>
        <v>45838</v>
      </c>
      <c r="B376" vm="1112">
        <f ca="1"/>
        <v>45839</v>
      </c>
      <c r="C376" vm="1025">
        <f ca="1"/>
        <v>98.24</v>
      </c>
      <c r="D376" vm="1113">
        <f ca="1"/>
        <v>15635847</v>
      </c>
      <c r="E376">
        <f t="shared" ca="1" si="40"/>
        <v>97.072222222222223</v>
      </c>
      <c r="F376">
        <f t="shared" ca="1" si="41"/>
        <v>96.839499999999987</v>
      </c>
      <c r="G376">
        <f t="shared" ca="1" si="46"/>
        <v>96.891000000000005</v>
      </c>
      <c r="H376">
        <f t="shared" ca="1" si="45"/>
        <v>94.703168316831764</v>
      </c>
      <c r="I376">
        <f t="shared" ca="1" si="42"/>
        <v>1.6602234313806263</v>
      </c>
      <c r="J376">
        <f t="shared" ca="1" si="43"/>
        <v>93.519053137238728</v>
      </c>
      <c r="K376">
        <f t="shared" ca="1" si="44"/>
        <v>100.15994686276125</v>
      </c>
    </row>
    <row r="377" spans="1:11" x14ac:dyDescent="0.25">
      <c r="A377" s="5">
        <f t="shared" ca="1" si="39"/>
        <v>45838</v>
      </c>
      <c r="B377" vm="1114">
        <f ca="1"/>
        <v>45840</v>
      </c>
      <c r="C377" vm="1115">
        <f ca="1"/>
        <v>97.61</v>
      </c>
      <c r="D377" vm="1116">
        <f ca="1"/>
        <v>12501965</v>
      </c>
      <c r="E377">
        <f t="shared" ca="1" si="40"/>
        <v>97.352222222222224</v>
      </c>
      <c r="F377">
        <f t="shared" ca="1" si="41"/>
        <v>96.720999999999975</v>
      </c>
      <c r="G377">
        <f t="shared" ca="1" si="46"/>
        <v>96.995000000000005</v>
      </c>
      <c r="H377">
        <f t="shared" ca="1" si="45"/>
        <v>94.655148514851561</v>
      </c>
      <c r="I377">
        <f t="shared" ca="1" si="42"/>
        <v>1.5012377349514303</v>
      </c>
      <c r="J377">
        <f t="shared" ca="1" si="43"/>
        <v>93.718524530097113</v>
      </c>
      <c r="K377">
        <f t="shared" ca="1" si="44"/>
        <v>99.723475469902837</v>
      </c>
    </row>
    <row r="378" spans="1:11" x14ac:dyDescent="0.25">
      <c r="A378" s="5">
        <f t="shared" ca="1" si="39"/>
        <v>45838</v>
      </c>
      <c r="B378" vm="1117">
        <f ca="1"/>
        <v>45841</v>
      </c>
      <c r="C378" vm="1118">
        <f ca="1"/>
        <v>98.36</v>
      </c>
      <c r="D378" vm="1119">
        <f ca="1"/>
        <v>7686204</v>
      </c>
      <c r="E378">
        <f t="shared" ca="1" si="40"/>
        <v>97.601111111111109</v>
      </c>
      <c r="F378">
        <f t="shared" ca="1" si="41"/>
        <v>96.67149999999998</v>
      </c>
      <c r="G378">
        <f t="shared" ca="1" si="46"/>
        <v>97.06519999999999</v>
      </c>
      <c r="H378">
        <f t="shared" ca="1" si="45"/>
        <v>94.610693069307018</v>
      </c>
      <c r="I378">
        <f t="shared" ca="1" si="42"/>
        <v>1.4243420457031706</v>
      </c>
      <c r="J378">
        <f t="shared" ca="1" si="43"/>
        <v>93.82281590859364</v>
      </c>
      <c r="K378">
        <f t="shared" ca="1" si="44"/>
        <v>99.520184091406321</v>
      </c>
    </row>
    <row r="379" spans="1:11" x14ac:dyDescent="0.25">
      <c r="A379" s="5">
        <f t="shared" ca="1" si="39"/>
        <v>45845</v>
      </c>
      <c r="B379" vm="1120">
        <f ca="1"/>
        <v>45845</v>
      </c>
      <c r="C379" vm="1061">
        <f ca="1"/>
        <v>99.35</v>
      </c>
      <c r="D379" vm="1121">
        <f ca="1"/>
        <v>12930913</v>
      </c>
      <c r="E379">
        <f t="shared" ca="1" si="40"/>
        <v>97.765555555555551</v>
      </c>
      <c r="F379">
        <f t="shared" ca="1" si="41"/>
        <v>96.740999999999971</v>
      </c>
      <c r="G379">
        <f t="shared" ca="1" si="46"/>
        <v>97.152999999999992</v>
      </c>
      <c r="H379">
        <f t="shared" ca="1" si="45"/>
        <v>94.592871287128801</v>
      </c>
      <c r="I379">
        <f t="shared" ca="1" si="42"/>
        <v>1.5211453441057938</v>
      </c>
      <c r="J379">
        <f t="shared" ca="1" si="43"/>
        <v>93.698709311788377</v>
      </c>
      <c r="K379">
        <f t="shared" ca="1" si="44"/>
        <v>99.783290688211565</v>
      </c>
    </row>
    <row r="380" spans="1:11" x14ac:dyDescent="0.25">
      <c r="A380" s="5">
        <f t="shared" ca="1" si="39"/>
        <v>45845</v>
      </c>
      <c r="B380" vm="1122">
        <f ca="1"/>
        <v>45846</v>
      </c>
      <c r="C380" vm="1123">
        <f ca="1"/>
        <v>97.09</v>
      </c>
      <c r="D380" vm="1124">
        <f ca="1"/>
        <v>16874954</v>
      </c>
      <c r="E380">
        <f t="shared" ca="1" si="40"/>
        <v>97.664444444444456</v>
      </c>
      <c r="F380">
        <f t="shared" ca="1" si="41"/>
        <v>96.72199999999998</v>
      </c>
      <c r="G380">
        <f t="shared" ca="1" si="46"/>
        <v>97.177999999999997</v>
      </c>
      <c r="H380">
        <f t="shared" ca="1" si="45"/>
        <v>94.535148514851571</v>
      </c>
      <c r="I380">
        <f t="shared" ca="1" si="42"/>
        <v>1.5139164963414375</v>
      </c>
      <c r="J380">
        <f t="shared" ca="1" si="43"/>
        <v>93.694167007317105</v>
      </c>
      <c r="K380">
        <f t="shared" ca="1" si="44"/>
        <v>99.749832992682855</v>
      </c>
    </row>
    <row r="381" spans="1:11" x14ac:dyDescent="0.25">
      <c r="A381" s="5">
        <f t="shared" ca="1" si="39"/>
        <v>45845</v>
      </c>
      <c r="B381" vm="1125">
        <f ca="1"/>
        <v>45847</v>
      </c>
      <c r="C381" vm="1126">
        <f ca="1"/>
        <v>96.81</v>
      </c>
      <c r="D381" vm="1127">
        <f ca="1"/>
        <v>13702615</v>
      </c>
      <c r="E381">
        <f t="shared" ca="1" si="40"/>
        <v>97.614444444444445</v>
      </c>
      <c r="F381">
        <f t="shared" ca="1" si="41"/>
        <v>96.689999999999984</v>
      </c>
      <c r="G381">
        <f t="shared" ca="1" si="46"/>
        <v>97.212399999999974</v>
      </c>
      <c r="H381">
        <f t="shared" ca="1" si="45"/>
        <v>94.479108910891156</v>
      </c>
      <c r="I381">
        <f t="shared" ca="1" si="42"/>
        <v>1.5044530392698929</v>
      </c>
      <c r="J381">
        <f t="shared" ca="1" si="43"/>
        <v>93.681093921460203</v>
      </c>
      <c r="K381">
        <f t="shared" ca="1" si="44"/>
        <v>99.698906078539764</v>
      </c>
    </row>
    <row r="382" spans="1:11" x14ac:dyDescent="0.25">
      <c r="A382" s="5">
        <f t="shared" ca="1" si="39"/>
        <v>45845</v>
      </c>
      <c r="B382" vm="1128">
        <f ca="1"/>
        <v>45848</v>
      </c>
      <c r="C382" vm="1129">
        <f ca="1"/>
        <v>94.86</v>
      </c>
      <c r="D382" vm="1130">
        <f ca="1"/>
        <v>18894787</v>
      </c>
      <c r="E382">
        <f t="shared" ca="1" si="40"/>
        <v>97.48555555555555</v>
      </c>
      <c r="F382">
        <f t="shared" ca="1" si="41"/>
        <v>96.566999999999979</v>
      </c>
      <c r="G382">
        <f t="shared" ca="1" si="46"/>
        <v>97.205199999999991</v>
      </c>
      <c r="H382">
        <f t="shared" ca="1" si="45"/>
        <v>94.392475247524814</v>
      </c>
      <c r="I382">
        <f t="shared" ca="1" si="42"/>
        <v>1.5501039014411759</v>
      </c>
      <c r="J382">
        <f t="shared" ca="1" si="43"/>
        <v>93.466792197117627</v>
      </c>
      <c r="K382">
        <f t="shared" ca="1" si="44"/>
        <v>99.667207802882331</v>
      </c>
    </row>
    <row r="383" spans="1:11" x14ac:dyDescent="0.25">
      <c r="A383" s="5">
        <f t="shared" ca="1" si="39"/>
        <v>45845</v>
      </c>
      <c r="B383" vm="1131">
        <f ca="1"/>
        <v>45849</v>
      </c>
      <c r="C383" vm="1132">
        <f ca="1"/>
        <v>94.4</v>
      </c>
      <c r="D383" vm="1133">
        <f ca="1"/>
        <v>14595047</v>
      </c>
      <c r="E383">
        <f t="shared" ca="1" si="40"/>
        <v>97.166666666666671</v>
      </c>
      <c r="F383">
        <f t="shared" ca="1" si="41"/>
        <v>96.496999999999986</v>
      </c>
      <c r="G383">
        <f t="shared" ca="1" si="46"/>
        <v>97.172399999999996</v>
      </c>
      <c r="H383">
        <f t="shared" ca="1" si="45"/>
        <v>94.287029702970344</v>
      </c>
      <c r="I383">
        <f t="shared" ca="1" si="42"/>
        <v>1.6167416875340732</v>
      </c>
      <c r="J383">
        <f t="shared" ca="1" si="43"/>
        <v>93.263516624931839</v>
      </c>
      <c r="K383">
        <f t="shared" ca="1" si="44"/>
        <v>99.730483375068133</v>
      </c>
    </row>
    <row r="384" spans="1:11" x14ac:dyDescent="0.25">
      <c r="A384" s="5">
        <f t="shared" ca="1" si="39"/>
        <v>45852</v>
      </c>
      <c r="B384" vm="1134">
        <f ca="1"/>
        <v>45852</v>
      </c>
      <c r="C384" vm="1135">
        <f ca="1"/>
        <v>95.78</v>
      </c>
      <c r="D384" vm="1136">
        <f ca="1"/>
        <v>13779084</v>
      </c>
      <c r="E384">
        <f t="shared" ca="1" si="40"/>
        <v>96.944444444444443</v>
      </c>
      <c r="F384">
        <f t="shared" ca="1" si="41"/>
        <v>96.544499999999985</v>
      </c>
      <c r="G384">
        <f t="shared" ca="1" si="46"/>
        <v>97.142999999999986</v>
      </c>
      <c r="H384">
        <f t="shared" ca="1" si="45"/>
        <v>94.205247524752522</v>
      </c>
      <c r="I384">
        <f t="shared" ca="1" si="42"/>
        <v>1.5786952474149409</v>
      </c>
      <c r="J384">
        <f t="shared" ca="1" si="43"/>
        <v>93.387109505170102</v>
      </c>
      <c r="K384">
        <f t="shared" ca="1" si="44"/>
        <v>99.701890494829868</v>
      </c>
    </row>
    <row r="385" spans="1:11" x14ac:dyDescent="0.25">
      <c r="A385" s="5">
        <f t="shared" ca="1" si="39"/>
        <v>45852</v>
      </c>
      <c r="B385" vm="1137">
        <f ca="1"/>
        <v>45853</v>
      </c>
      <c r="C385" vm="1138">
        <f ca="1"/>
        <v>95.39</v>
      </c>
      <c r="D385" vm="1139">
        <f ca="1"/>
        <v>10450759</v>
      </c>
      <c r="E385">
        <f t="shared" ca="1" si="40"/>
        <v>96.627777777777766</v>
      </c>
      <c r="F385">
        <f t="shared" ca="1" si="41"/>
        <v>96.59199999999997</v>
      </c>
      <c r="G385">
        <f t="shared" ca="1" si="46"/>
        <v>97.102599999999995</v>
      </c>
      <c r="H385">
        <f t="shared" ca="1" si="45"/>
        <v>94.122178217821826</v>
      </c>
      <c r="I385">
        <f t="shared" ca="1" si="42"/>
        <v>1.5254355719631429</v>
      </c>
      <c r="J385">
        <f t="shared" ca="1" si="43"/>
        <v>93.541128856073684</v>
      </c>
      <c r="K385">
        <f t="shared" ca="1" si="44"/>
        <v>99.642871143926257</v>
      </c>
    </row>
    <row r="386" spans="1:11" x14ac:dyDescent="0.25">
      <c r="A386" s="5">
        <f t="shared" ca="1" si="39"/>
        <v>45852</v>
      </c>
      <c r="B386" vm="1140">
        <f ca="1"/>
        <v>45854</v>
      </c>
      <c r="C386" vm="1141">
        <f ca="1"/>
        <v>95.15</v>
      </c>
      <c r="D386" vm="1142">
        <f ca="1"/>
        <v>11181552</v>
      </c>
      <c r="E386">
        <f t="shared" ca="1" si="40"/>
        <v>96.354444444444439</v>
      </c>
      <c r="F386">
        <f t="shared" ca="1" si="41"/>
        <v>96.634999999999991</v>
      </c>
      <c r="G386">
        <f t="shared" ca="1" si="46"/>
        <v>97.030599999999993</v>
      </c>
      <c r="H386">
        <f t="shared" ca="1" si="45"/>
        <v>94.034554455445573</v>
      </c>
      <c r="I386">
        <f t="shared" ca="1" si="42"/>
        <v>1.4681764557651622</v>
      </c>
      <c r="J386">
        <f t="shared" ca="1" si="43"/>
        <v>93.69864708846967</v>
      </c>
      <c r="K386">
        <f t="shared" ca="1" si="44"/>
        <v>99.571352911530312</v>
      </c>
    </row>
    <row r="387" spans="1:11" x14ac:dyDescent="0.25">
      <c r="A387" s="5">
        <f t="shared" ref="A387:A450" ca="1" si="47">B387 - WEEKDAY(B387, 2) + 1</f>
        <v>45852</v>
      </c>
      <c r="B387" vm="1143">
        <f ca="1"/>
        <v>45855</v>
      </c>
      <c r="C387" vm="980">
        <f ca="1"/>
        <v>95.09</v>
      </c>
      <c r="D387" vm="1144">
        <f ca="1"/>
        <v>11165126</v>
      </c>
      <c r="E387">
        <f t="shared" ca="1" si="40"/>
        <v>95.99111111111111</v>
      </c>
      <c r="F387">
        <f t="shared" ca="1" si="41"/>
        <v>96.676999999999992</v>
      </c>
      <c r="G387">
        <f t="shared" ca="1" si="46"/>
        <v>96.945800000000006</v>
      </c>
      <c r="H387">
        <f t="shared" ca="1" si="45"/>
        <v>94.013564356435694</v>
      </c>
      <c r="I387">
        <f t="shared" ca="1" si="42"/>
        <v>1.4071026596296508</v>
      </c>
      <c r="J387">
        <f t="shared" ca="1" si="43"/>
        <v>93.862794680740691</v>
      </c>
      <c r="K387">
        <f t="shared" ca="1" si="44"/>
        <v>99.491205319259294</v>
      </c>
    </row>
    <row r="388" spans="1:11" x14ac:dyDescent="0.25">
      <c r="A388" s="5">
        <f t="shared" ca="1" si="47"/>
        <v>45852</v>
      </c>
      <c r="B388" vm="1145">
        <f ca="1"/>
        <v>45856</v>
      </c>
      <c r="C388" vm="1146">
        <f ca="1"/>
        <v>95.05</v>
      </c>
      <c r="D388" vm="1147">
        <f ca="1"/>
        <v>14636294</v>
      </c>
      <c r="E388">
        <f t="shared" ca="1" si="40"/>
        <v>95.513333333333321</v>
      </c>
      <c r="F388">
        <f t="shared" ca="1" si="41"/>
        <v>96.674999999999983</v>
      </c>
      <c r="G388">
        <f t="shared" ca="1" si="46"/>
        <v>96.875799999999998</v>
      </c>
      <c r="H388">
        <f t="shared" ca="1" si="45"/>
        <v>94.016237623762407</v>
      </c>
      <c r="I388">
        <f t="shared" ca="1" si="42"/>
        <v>1.4095034586690436</v>
      </c>
      <c r="J388">
        <f t="shared" ca="1" si="43"/>
        <v>93.855993082661897</v>
      </c>
      <c r="K388">
        <f t="shared" ca="1" si="44"/>
        <v>99.494006917338069</v>
      </c>
    </row>
    <row r="389" spans="1:11" x14ac:dyDescent="0.25">
      <c r="A389" s="5">
        <f t="shared" ca="1" si="47"/>
        <v>45859</v>
      </c>
      <c r="B389" vm="1148">
        <f ca="1"/>
        <v>45859</v>
      </c>
      <c r="C389" vm="1149">
        <f ca="1"/>
        <v>95.67</v>
      </c>
      <c r="D389" vm="1150">
        <f ca="1"/>
        <v>13450359</v>
      </c>
      <c r="E389">
        <f t="shared" ca="1" si="40"/>
        <v>95.355555555555554</v>
      </c>
      <c r="F389">
        <f t="shared" ca="1" si="41"/>
        <v>96.652500000000003</v>
      </c>
      <c r="G389">
        <f t="shared" ca="1" si="46"/>
        <v>96.812600000000003</v>
      </c>
      <c r="H389">
        <f t="shared" ca="1" si="45"/>
        <v>94.036039603960432</v>
      </c>
      <c r="I389">
        <f t="shared" ca="1" si="42"/>
        <v>1.4223622863687742</v>
      </c>
      <c r="J389">
        <f t="shared" ca="1" si="43"/>
        <v>93.807775427262456</v>
      </c>
      <c r="K389">
        <f t="shared" ca="1" si="44"/>
        <v>99.497224572737551</v>
      </c>
    </row>
    <row r="390" spans="1:11" x14ac:dyDescent="0.25">
      <c r="A390" s="5">
        <f t="shared" ca="1" si="47"/>
        <v>45859</v>
      </c>
      <c r="B390" vm="1151">
        <f ca="1"/>
        <v>45860</v>
      </c>
      <c r="C390" vm="1152">
        <f ca="1"/>
        <v>95.85</v>
      </c>
      <c r="D390" vm="1153">
        <f ca="1"/>
        <v>9049130</v>
      </c>
      <c r="E390">
        <f t="shared" ca="1" si="40"/>
        <v>95.248888888888871</v>
      </c>
      <c r="F390">
        <f t="shared" ca="1" si="41"/>
        <v>96.551500000000004</v>
      </c>
      <c r="G390">
        <f t="shared" ca="1" si="46"/>
        <v>96.78100000000002</v>
      </c>
      <c r="H390">
        <f t="shared" ca="1" si="45"/>
        <v>94.017821782178245</v>
      </c>
      <c r="I390">
        <f t="shared" ca="1" si="42"/>
        <v>1.4029453041069655</v>
      </c>
      <c r="J390">
        <f t="shared" ca="1" si="43"/>
        <v>93.745609391786076</v>
      </c>
      <c r="K390">
        <f t="shared" ca="1" si="44"/>
        <v>99.357390608213933</v>
      </c>
    </row>
    <row r="391" spans="1:11" x14ac:dyDescent="0.25">
      <c r="A391" s="5">
        <f t="shared" ca="1" si="47"/>
        <v>45859</v>
      </c>
      <c r="B391" vm="1154">
        <f ca="1"/>
        <v>45861</v>
      </c>
      <c r="C391" vm="1155">
        <f ca="1"/>
        <v>95.68</v>
      </c>
      <c r="D391" vm="1156">
        <f ca="1"/>
        <v>9729672</v>
      </c>
      <c r="E391">
        <f t="shared" ca="1" si="40"/>
        <v>95.339999999999989</v>
      </c>
      <c r="F391">
        <f t="shared" ca="1" si="41"/>
        <v>96.435500000000019</v>
      </c>
      <c r="G391">
        <f t="shared" ca="1" si="46"/>
        <v>96.76020000000004</v>
      </c>
      <c r="H391">
        <f t="shared" ca="1" si="45"/>
        <v>94.012673267326761</v>
      </c>
      <c r="I391">
        <f t="shared" ca="1" si="42"/>
        <v>1.3724564032956983</v>
      </c>
      <c r="J391">
        <f t="shared" ca="1" si="43"/>
        <v>93.690587193408618</v>
      </c>
      <c r="K391">
        <f t="shared" ca="1" si="44"/>
        <v>99.18041280659142</v>
      </c>
    </row>
    <row r="392" spans="1:11" x14ac:dyDescent="0.25">
      <c r="A392" s="5">
        <f t="shared" ca="1" si="47"/>
        <v>45859</v>
      </c>
      <c r="B392" vm="1157">
        <f ca="1"/>
        <v>45862</v>
      </c>
      <c r="C392" vm="1158">
        <f ca="1"/>
        <v>96.6</v>
      </c>
      <c r="D392" vm="1159">
        <f ca="1"/>
        <v>14991517</v>
      </c>
      <c r="E392">
        <f t="shared" ca="1" si="40"/>
        <v>95.584444444444458</v>
      </c>
      <c r="F392">
        <f t="shared" ca="1" si="41"/>
        <v>96.402500000000003</v>
      </c>
      <c r="G392">
        <f t="shared" ca="1" si="46"/>
        <v>96.757200000000026</v>
      </c>
      <c r="H392">
        <f t="shared" ca="1" si="45"/>
        <v>94.010792079207945</v>
      </c>
      <c r="I392">
        <f t="shared" ca="1" si="42"/>
        <v>1.3594614839397934</v>
      </c>
      <c r="J392">
        <f t="shared" ca="1" si="43"/>
        <v>93.683577032120411</v>
      </c>
      <c r="K392">
        <f t="shared" ca="1" si="44"/>
        <v>99.121422967879596</v>
      </c>
    </row>
    <row r="393" spans="1:11" x14ac:dyDescent="0.25">
      <c r="A393" s="5">
        <f t="shared" ca="1" si="47"/>
        <v>45859</v>
      </c>
      <c r="B393" vm="1160">
        <f ca="1"/>
        <v>45863</v>
      </c>
      <c r="C393" vm="1067">
        <f ca="1"/>
        <v>97.47</v>
      </c>
      <c r="D393" vm="1161">
        <f ca="1"/>
        <v>12868466</v>
      </c>
      <c r="E393">
        <f t="shared" ca="1" si="40"/>
        <v>95.77222222222224</v>
      </c>
      <c r="F393">
        <f t="shared" ca="1" si="41"/>
        <v>96.474999999999994</v>
      </c>
      <c r="G393">
        <f t="shared" ca="1" si="46"/>
        <v>96.78900000000003</v>
      </c>
      <c r="H393">
        <f t="shared" ca="1" si="45"/>
        <v>93.999504950495052</v>
      </c>
      <c r="I393">
        <f t="shared" ca="1" si="42"/>
        <v>1.3765460207956781</v>
      </c>
      <c r="J393">
        <f t="shared" ca="1" si="43"/>
        <v>93.721907958408636</v>
      </c>
      <c r="K393">
        <f t="shared" ca="1" si="44"/>
        <v>99.228092041591353</v>
      </c>
    </row>
    <row r="394" spans="1:11" x14ac:dyDescent="0.25">
      <c r="A394" s="5">
        <f t="shared" ca="1" si="47"/>
        <v>45866</v>
      </c>
      <c r="B394" vm="1162">
        <f ca="1"/>
        <v>45866</v>
      </c>
      <c r="C394" vm="1115">
        <f ca="1"/>
        <v>97.61</v>
      </c>
      <c r="D394" vm="1163">
        <f ca="1"/>
        <v>12293060</v>
      </c>
      <c r="E394">
        <f t="shared" ca="1" si="40"/>
        <v>96.018888888888895</v>
      </c>
      <c r="F394">
        <f t="shared" ca="1" si="41"/>
        <v>96.49199999999999</v>
      </c>
      <c r="G394">
        <f t="shared" ca="1" si="46"/>
        <v>96.80460000000005</v>
      </c>
      <c r="H394">
        <f t="shared" ca="1" si="45"/>
        <v>93.999702970297065</v>
      </c>
      <c r="I394">
        <f t="shared" ca="1" si="42"/>
        <v>1.3889246124060743</v>
      </c>
      <c r="J394">
        <f t="shared" ca="1" si="43"/>
        <v>93.714150775187846</v>
      </c>
      <c r="K394">
        <f t="shared" ca="1" si="44"/>
        <v>99.269849224812134</v>
      </c>
    </row>
    <row r="395" spans="1:11" x14ac:dyDescent="0.25">
      <c r="A395" s="5">
        <f t="shared" ca="1" si="47"/>
        <v>45866</v>
      </c>
      <c r="B395" vm="1164">
        <f ca="1"/>
        <v>45867</v>
      </c>
      <c r="C395" vm="1165">
        <f ca="1"/>
        <v>98.33</v>
      </c>
      <c r="D395" vm="1166">
        <f ca="1"/>
        <v>14034265</v>
      </c>
      <c r="E395">
        <f t="shared" ref="E395:E458" ca="1" si="48">AVERAGE(C387:C395)</f>
        <v>96.37222222222222</v>
      </c>
      <c r="F395">
        <f t="shared" ca="1" si="41"/>
        <v>96.519499999999979</v>
      </c>
      <c r="G395">
        <f t="shared" ca="1" si="46"/>
        <v>96.844200000000043</v>
      </c>
      <c r="H395">
        <f t="shared" ca="1" si="45"/>
        <v>94.032970297029721</v>
      </c>
      <c r="I395">
        <f t="shared" ca="1" si="42"/>
        <v>1.4208465786283875</v>
      </c>
      <c r="J395">
        <f t="shared" ca="1" si="43"/>
        <v>93.677806842743209</v>
      </c>
      <c r="K395">
        <f t="shared" ca="1" si="44"/>
        <v>99.36119315725675</v>
      </c>
    </row>
    <row r="396" spans="1:11" x14ac:dyDescent="0.25">
      <c r="A396" s="5">
        <f t="shared" ca="1" si="47"/>
        <v>45866</v>
      </c>
      <c r="B396" vm="1167">
        <f ca="1"/>
        <v>45868</v>
      </c>
      <c r="C396" vm="867">
        <f ca="1"/>
        <v>97.59</v>
      </c>
      <c r="D396" vm="1168">
        <f ca="1"/>
        <v>13864096</v>
      </c>
      <c r="E396">
        <f t="shared" ca="1" si="48"/>
        <v>96.65000000000002</v>
      </c>
      <c r="F396">
        <f t="shared" ca="1" si="41"/>
        <v>96.486999999999981</v>
      </c>
      <c r="G396">
        <f t="shared" ca="1" si="46"/>
        <v>96.831200000000024</v>
      </c>
      <c r="H396">
        <f t="shared" ca="1" si="45"/>
        <v>94.048910891089136</v>
      </c>
      <c r="I396">
        <f t="shared" ca="1" si="42"/>
        <v>1.3864384511933314</v>
      </c>
      <c r="J396">
        <f t="shared" ca="1" si="43"/>
        <v>93.714123097613324</v>
      </c>
      <c r="K396">
        <f t="shared" ca="1" si="44"/>
        <v>99.259876902386637</v>
      </c>
    </row>
    <row r="397" spans="1:11" x14ac:dyDescent="0.25">
      <c r="A397" s="5">
        <f t="shared" ca="1" si="47"/>
        <v>45866</v>
      </c>
      <c r="B397" vm="1169">
        <f ca="1"/>
        <v>45869</v>
      </c>
      <c r="C397" vm="1170">
        <f ca="1"/>
        <v>97.98</v>
      </c>
      <c r="D397" vm="1171">
        <f ca="1"/>
        <v>15651348</v>
      </c>
      <c r="E397">
        <f t="shared" ca="1" si="48"/>
        <v>96.975555555555559</v>
      </c>
      <c r="F397">
        <f t="shared" ca="1" si="41"/>
        <v>96.505499999999984</v>
      </c>
      <c r="G397">
        <f t="shared" ca="1" si="46"/>
        <v>96.828400000000016</v>
      </c>
      <c r="H397">
        <f t="shared" ca="1" si="45"/>
        <v>94.081980198019792</v>
      </c>
      <c r="I397">
        <f t="shared" ca="1" si="42"/>
        <v>1.4045620220140538</v>
      </c>
      <c r="J397">
        <f t="shared" ca="1" si="43"/>
        <v>93.696375955971874</v>
      </c>
      <c r="K397">
        <f t="shared" ca="1" si="44"/>
        <v>99.314624044028093</v>
      </c>
    </row>
    <row r="398" spans="1:11" x14ac:dyDescent="0.25">
      <c r="A398" s="5">
        <f t="shared" ca="1" si="47"/>
        <v>45866</v>
      </c>
      <c r="B398" vm="1172">
        <f ca="1"/>
        <v>45870</v>
      </c>
      <c r="C398" vm="1173">
        <f ca="1"/>
        <v>98.49</v>
      </c>
      <c r="D398" vm="1174">
        <f ca="1"/>
        <v>16750407</v>
      </c>
      <c r="E398">
        <f t="shared" ca="1" si="48"/>
        <v>97.288888888888906</v>
      </c>
      <c r="F398">
        <f t="shared" ca="1" si="41"/>
        <v>96.511999999999972</v>
      </c>
      <c r="G398">
        <f t="shared" ca="1" si="46"/>
        <v>96.842200000000005</v>
      </c>
      <c r="H398">
        <f t="shared" ca="1" si="45"/>
        <v>94.149009900990094</v>
      </c>
      <c r="I398">
        <f t="shared" ca="1" si="42"/>
        <v>1.4138659208373539</v>
      </c>
      <c r="J398">
        <f t="shared" ca="1" si="43"/>
        <v>93.684268158325267</v>
      </c>
      <c r="K398">
        <f t="shared" ca="1" si="44"/>
        <v>99.339731841674677</v>
      </c>
    </row>
    <row r="399" spans="1:11" x14ac:dyDescent="0.25">
      <c r="A399" s="5">
        <f t="shared" ca="1" si="47"/>
        <v>45873</v>
      </c>
      <c r="B399" vm="1175">
        <f ca="1"/>
        <v>45873</v>
      </c>
      <c r="C399" vm="1176">
        <f ca="1"/>
        <v>99.59</v>
      </c>
      <c r="D399" vm="1177">
        <f ca="1"/>
        <v>19050206</v>
      </c>
      <c r="E399">
        <f t="shared" ca="1" si="48"/>
        <v>97.704444444444448</v>
      </c>
      <c r="F399">
        <f t="shared" ca="1" si="41"/>
        <v>96.523999999999972</v>
      </c>
      <c r="G399">
        <f t="shared" ca="1" si="46"/>
        <v>96.905400000000014</v>
      </c>
      <c r="H399">
        <f t="shared" ca="1" si="45"/>
        <v>94.265544554455445</v>
      </c>
      <c r="I399">
        <f t="shared" ca="1" si="42"/>
        <v>1.4399978070158734</v>
      </c>
      <c r="J399">
        <f t="shared" ca="1" si="43"/>
        <v>93.644004385968231</v>
      </c>
      <c r="K399">
        <f t="shared" ca="1" si="44"/>
        <v>99.403995614031714</v>
      </c>
    </row>
    <row r="400" spans="1:11" x14ac:dyDescent="0.25">
      <c r="A400" s="5">
        <f t="shared" ca="1" si="47"/>
        <v>45873</v>
      </c>
      <c r="B400" vm="1178">
        <f ca="1"/>
        <v>45874</v>
      </c>
      <c r="C400" vm="1179">
        <f ca="1"/>
        <v>99.31</v>
      </c>
      <c r="D400" vm="1180">
        <f ca="1"/>
        <v>17977008</v>
      </c>
      <c r="E400">
        <f t="shared" ca="1" si="48"/>
        <v>98.107777777777784</v>
      </c>
      <c r="F400">
        <f t="shared" ca="1" si="41"/>
        <v>96.634999999999977</v>
      </c>
      <c r="G400">
        <f t="shared" ca="1" si="46"/>
        <v>96.973000000000013</v>
      </c>
      <c r="H400">
        <f t="shared" ca="1" si="45"/>
        <v>94.383069306930679</v>
      </c>
      <c r="I400">
        <f t="shared" ca="1" si="42"/>
        <v>1.5659753980725302</v>
      </c>
      <c r="J400">
        <f t="shared" ca="1" si="43"/>
        <v>93.503049203854914</v>
      </c>
      <c r="K400">
        <f t="shared" ca="1" si="44"/>
        <v>99.766950796145039</v>
      </c>
    </row>
    <row r="401" spans="1:11" x14ac:dyDescent="0.25">
      <c r="A401" s="5">
        <f t="shared" ca="1" si="47"/>
        <v>45873</v>
      </c>
      <c r="B401" vm="1181">
        <f ca="1"/>
        <v>45875</v>
      </c>
      <c r="C401" vm="1182">
        <f ca="1"/>
        <v>103.36</v>
      </c>
      <c r="D401" vm="1183">
        <f ca="1"/>
        <v>23738420</v>
      </c>
      <c r="E401">
        <f t="shared" ca="1" si="48"/>
        <v>98.858888888888899</v>
      </c>
      <c r="F401">
        <f t="shared" ca="1" si="41"/>
        <v>96.962499999999963</v>
      </c>
      <c r="G401">
        <f t="shared" ca="1" si="46"/>
        <v>97.113399999999999</v>
      </c>
      <c r="H401">
        <f t="shared" ca="1" si="45"/>
        <v>94.562871287128715</v>
      </c>
      <c r="I401">
        <f t="shared" ca="1" si="42"/>
        <v>2.1721099976993017</v>
      </c>
      <c r="J401">
        <f t="shared" ca="1" si="43"/>
        <v>92.61828000460136</v>
      </c>
      <c r="K401">
        <f t="shared" ca="1" si="44"/>
        <v>101.30671999539857</v>
      </c>
    </row>
    <row r="402" spans="1:11" x14ac:dyDescent="0.25">
      <c r="A402" s="5">
        <f t="shared" ca="1" si="47"/>
        <v>45873</v>
      </c>
      <c r="B402" vm="1184">
        <f ca="1"/>
        <v>45876</v>
      </c>
      <c r="C402" vm="1185">
        <f ca="1"/>
        <v>103.12</v>
      </c>
      <c r="D402" vm="1186">
        <f ca="1"/>
        <v>12509479</v>
      </c>
      <c r="E402">
        <f t="shared" ca="1" si="48"/>
        <v>99.486666666666679</v>
      </c>
      <c r="F402">
        <f t="shared" ca="1" si="41"/>
        <v>97.37549999999996</v>
      </c>
      <c r="G402">
        <f t="shared" ca="1" si="46"/>
        <v>97.224199999999996</v>
      </c>
      <c r="H402">
        <f t="shared" ca="1" si="45"/>
        <v>94.747227722772294</v>
      </c>
      <c r="I402">
        <f t="shared" ca="1" si="42"/>
        <v>2.5102536567153191</v>
      </c>
      <c r="J402">
        <f t="shared" ca="1" si="43"/>
        <v>92.354992686569318</v>
      </c>
      <c r="K402">
        <f t="shared" ca="1" si="44"/>
        <v>102.3960073134306</v>
      </c>
    </row>
    <row r="403" spans="1:11" x14ac:dyDescent="0.25">
      <c r="A403" s="5">
        <f t="shared" ca="1" si="47"/>
        <v>45873</v>
      </c>
      <c r="B403" vm="1187">
        <f ca="1"/>
        <v>45877</v>
      </c>
      <c r="C403" vm="1188">
        <f ca="1"/>
        <v>103.73</v>
      </c>
      <c r="D403" vm="1189">
        <f ca="1"/>
        <v>12394722</v>
      </c>
      <c r="E403">
        <f t="shared" ca="1" si="48"/>
        <v>100.16666666666667</v>
      </c>
      <c r="F403">
        <f t="shared" ca="1" si="41"/>
        <v>97.841999999999985</v>
      </c>
      <c r="G403">
        <f t="shared" ca="1" si="46"/>
        <v>97.353999999999985</v>
      </c>
      <c r="H403">
        <f t="shared" ca="1" si="45"/>
        <v>94.929207920792081</v>
      </c>
      <c r="I403">
        <f t="shared" ca="1" si="42"/>
        <v>2.780569044373169</v>
      </c>
      <c r="J403">
        <f t="shared" ca="1" si="43"/>
        <v>92.280861911253652</v>
      </c>
      <c r="K403">
        <f t="shared" ca="1" si="44"/>
        <v>103.40313808874632</v>
      </c>
    </row>
    <row r="404" spans="1:11" x14ac:dyDescent="0.25">
      <c r="A404" s="5">
        <f t="shared" ca="1" si="47"/>
        <v>45880</v>
      </c>
      <c r="B404" vm="1190">
        <f ca="1"/>
        <v>45880</v>
      </c>
      <c r="C404" vm="1191">
        <f ca="1"/>
        <v>103.93</v>
      </c>
      <c r="D404" vm="1192">
        <f ca="1"/>
        <v>12856706</v>
      </c>
      <c r="E404">
        <f t="shared" ca="1" si="48"/>
        <v>100.78888888888888</v>
      </c>
      <c r="F404">
        <f t="shared" ca="1" si="41"/>
        <v>98.249499999999998</v>
      </c>
      <c r="G404">
        <f t="shared" ca="1" si="46"/>
        <v>97.490600000000001</v>
      </c>
      <c r="H404">
        <f t="shared" ca="1" si="45"/>
        <v>95.092277227722789</v>
      </c>
      <c r="I404">
        <f t="shared" ca="1" si="42"/>
        <v>3.0469181582638387</v>
      </c>
      <c r="J404">
        <f t="shared" ca="1" si="43"/>
        <v>92.155663683472326</v>
      </c>
      <c r="K404">
        <f t="shared" ca="1" si="44"/>
        <v>104.34333631652767</v>
      </c>
    </row>
    <row r="405" spans="1:11" x14ac:dyDescent="0.25">
      <c r="A405" s="5">
        <f t="shared" ca="1" si="47"/>
        <v>45880</v>
      </c>
      <c r="B405" vm="1193">
        <f ca="1"/>
        <v>45881</v>
      </c>
      <c r="C405" vm="1194">
        <f ca="1"/>
        <v>103.62</v>
      </c>
      <c r="D405" vm="1195">
        <f ca="1"/>
        <v>17919327</v>
      </c>
      <c r="E405">
        <f t="shared" ca="1" si="48"/>
        <v>101.45888888888889</v>
      </c>
      <c r="F405">
        <f t="shared" ca="1" si="41"/>
        <v>98.661000000000016</v>
      </c>
      <c r="G405">
        <f t="shared" ca="1" si="46"/>
        <v>97.5886</v>
      </c>
      <c r="H405">
        <f t="shared" ca="1" si="45"/>
        <v>95.270792079207936</v>
      </c>
      <c r="I405">
        <f t="shared" ca="1" si="42"/>
        <v>3.1926674213199693</v>
      </c>
      <c r="J405">
        <f t="shared" ca="1" si="43"/>
        <v>92.275665157360081</v>
      </c>
      <c r="K405">
        <f t="shared" ca="1" si="44"/>
        <v>105.04633484263995</v>
      </c>
    </row>
    <row r="406" spans="1:11" x14ac:dyDescent="0.25">
      <c r="A406" s="5">
        <f t="shared" ca="1" si="47"/>
        <v>45880</v>
      </c>
      <c r="B406" vm="1196">
        <f ca="1"/>
        <v>45882</v>
      </c>
      <c r="C406" vm="1197">
        <f ca="1"/>
        <v>100.99</v>
      </c>
      <c r="D406" vm="1198">
        <f ca="1"/>
        <v>19398499</v>
      </c>
      <c r="E406">
        <f t="shared" ca="1" si="48"/>
        <v>101.79333333333334</v>
      </c>
      <c r="F406">
        <f t="shared" ref="F406:F469" ca="1" si="49">AVERAGE(C387:C406)</f>
        <v>98.953000000000003</v>
      </c>
      <c r="G406">
        <f t="shared" ca="1" si="46"/>
        <v>97.613</v>
      </c>
      <c r="H406">
        <f t="shared" ca="1" si="45"/>
        <v>95.415940594059407</v>
      </c>
      <c r="I406">
        <f t="shared" ref="I406:I469" ca="1" si="50">_xlfn.STDEV.S(C387:C406)</f>
        <v>3.1209075940383637</v>
      </c>
      <c r="J406">
        <f t="shared" ref="J406:J469" ca="1" si="51">F406-2*I406</f>
        <v>92.711184811923275</v>
      </c>
      <c r="K406">
        <f t="shared" ref="K406:K469" ca="1" si="52">F406+2*I406</f>
        <v>105.19481518807673</v>
      </c>
    </row>
    <row r="407" spans="1:11" x14ac:dyDescent="0.25">
      <c r="A407" s="5">
        <f t="shared" ca="1" si="47"/>
        <v>45880</v>
      </c>
      <c r="B407" vm="1199">
        <f ca="1"/>
        <v>45883</v>
      </c>
      <c r="C407" vm="1200">
        <f ca="1"/>
        <v>100.85</v>
      </c>
      <c r="D407" vm="1201">
        <f ca="1"/>
        <v>10858447</v>
      </c>
      <c r="E407">
        <f t="shared" ca="1" si="48"/>
        <v>102.05555555555556</v>
      </c>
      <c r="F407">
        <f t="shared" ca="1" si="49"/>
        <v>99.241</v>
      </c>
      <c r="G407">
        <f t="shared" ca="1" si="46"/>
        <v>97.630399999999995</v>
      </c>
      <c r="H407">
        <f t="shared" ca="1" si="45"/>
        <v>95.564851485148523</v>
      </c>
      <c r="I407">
        <f t="shared" ca="1" si="50"/>
        <v>3.0094428580369295</v>
      </c>
      <c r="J407">
        <f t="shared" ca="1" si="51"/>
        <v>93.222114283926146</v>
      </c>
      <c r="K407">
        <f t="shared" ca="1" si="52"/>
        <v>105.25988571607385</v>
      </c>
    </row>
    <row r="408" spans="1:11" x14ac:dyDescent="0.25">
      <c r="A408" s="5">
        <f t="shared" ca="1" si="47"/>
        <v>45880</v>
      </c>
      <c r="B408" vm="1202">
        <f ca="1"/>
        <v>45884</v>
      </c>
      <c r="C408" vm="1203">
        <f ca="1"/>
        <v>100</v>
      </c>
      <c r="D408" vm="1204">
        <f ca="1"/>
        <v>13604944</v>
      </c>
      <c r="E408">
        <f t="shared" ca="1" si="48"/>
        <v>102.10111111111112</v>
      </c>
      <c r="F408">
        <f t="shared" ca="1" si="49"/>
        <v>99.488500000000016</v>
      </c>
      <c r="G408">
        <f t="shared" ca="1" si="46"/>
        <v>97.643399999999986</v>
      </c>
      <c r="H408">
        <f t="shared" ca="1" si="45"/>
        <v>95.703663366336656</v>
      </c>
      <c r="I408">
        <f t="shared" ca="1" si="50"/>
        <v>2.845723060461455</v>
      </c>
      <c r="J408">
        <f t="shared" ca="1" si="51"/>
        <v>93.797053879077112</v>
      </c>
      <c r="K408">
        <f t="shared" ca="1" si="52"/>
        <v>105.17994612092292</v>
      </c>
    </row>
    <row r="409" spans="1:11" x14ac:dyDescent="0.25">
      <c r="A409" s="5">
        <f t="shared" ca="1" si="47"/>
        <v>45887</v>
      </c>
      <c r="B409" vm="1205">
        <f ca="1"/>
        <v>45887</v>
      </c>
      <c r="C409" vm="1206">
        <f ca="1"/>
        <v>100.7</v>
      </c>
      <c r="D409" vm="1207">
        <f ca="1"/>
        <v>11656135</v>
      </c>
      <c r="E409">
        <f t="shared" ca="1" si="48"/>
        <v>102.25555555555556</v>
      </c>
      <c r="F409">
        <f t="shared" ca="1" si="49"/>
        <v>99.740000000000009</v>
      </c>
      <c r="G409">
        <f t="shared" ca="1" si="46"/>
        <v>97.6982</v>
      </c>
      <c r="H409">
        <f t="shared" ca="1" si="45"/>
        <v>95.834455445544577</v>
      </c>
      <c r="I409">
        <f t="shared" ca="1" si="50"/>
        <v>2.7094998567418709</v>
      </c>
      <c r="J409">
        <f t="shared" ca="1" si="51"/>
        <v>94.321000286516266</v>
      </c>
      <c r="K409">
        <f t="shared" ca="1" si="52"/>
        <v>105.15899971348375</v>
      </c>
    </row>
    <row r="410" spans="1:11" x14ac:dyDescent="0.25">
      <c r="A410" s="5">
        <f t="shared" ca="1" si="47"/>
        <v>45887</v>
      </c>
      <c r="B410" vm="1208">
        <f ca="1"/>
        <v>45888</v>
      </c>
      <c r="C410" vm="1209">
        <f ca="1"/>
        <v>101.29</v>
      </c>
      <c r="D410" vm="1210">
        <f ca="1"/>
        <v>16999004</v>
      </c>
      <c r="E410">
        <f t="shared" ca="1" si="48"/>
        <v>102.02555555555556</v>
      </c>
      <c r="F410">
        <f t="shared" ca="1" si="49"/>
        <v>100.01200000000001</v>
      </c>
      <c r="G410">
        <f t="shared" ca="1" si="46"/>
        <v>97.774599999999992</v>
      </c>
      <c r="H410">
        <f t="shared" ca="1" si="45"/>
        <v>95.998118811881213</v>
      </c>
      <c r="I410">
        <f t="shared" ca="1" si="50"/>
        <v>2.5677874973562269</v>
      </c>
      <c r="J410">
        <f t="shared" ca="1" si="51"/>
        <v>94.876425005287558</v>
      </c>
      <c r="K410">
        <f t="shared" ca="1" si="52"/>
        <v>105.14757499471247</v>
      </c>
    </row>
    <row r="411" spans="1:11" x14ac:dyDescent="0.25">
      <c r="A411" s="5">
        <f t="shared" ca="1" si="47"/>
        <v>45887</v>
      </c>
      <c r="B411" vm="1211">
        <f ca="1"/>
        <v>45889</v>
      </c>
      <c r="C411" vm="1212">
        <f ca="1"/>
        <v>102.57</v>
      </c>
      <c r="D411" vm="1213">
        <f ca="1"/>
        <v>18655026</v>
      </c>
      <c r="E411">
        <f t="shared" ca="1" si="48"/>
        <v>101.96444444444445</v>
      </c>
      <c r="F411">
        <f t="shared" ca="1" si="49"/>
        <v>100.3565</v>
      </c>
      <c r="G411">
        <f t="shared" ca="1" si="46"/>
        <v>97.876999999999995</v>
      </c>
      <c r="H411">
        <f t="shared" ca="1" si="45"/>
        <v>96.170000000000016</v>
      </c>
      <c r="I411">
        <f t="shared" ca="1" si="50"/>
        <v>2.413565336090771</v>
      </c>
      <c r="J411">
        <f t="shared" ca="1" si="51"/>
        <v>95.529369327818458</v>
      </c>
      <c r="K411">
        <f t="shared" ca="1" si="52"/>
        <v>105.18363067218154</v>
      </c>
    </row>
    <row r="412" spans="1:11" x14ac:dyDescent="0.25">
      <c r="A412" s="5">
        <f t="shared" ca="1" si="47"/>
        <v>45887</v>
      </c>
      <c r="B412" vm="1214">
        <f ca="1"/>
        <v>45890</v>
      </c>
      <c r="C412" vm="1064">
        <f ca="1"/>
        <v>97.96</v>
      </c>
      <c r="D412" vm="1215">
        <f ca="1"/>
        <v>51825050</v>
      </c>
      <c r="E412">
        <f t="shared" ca="1" si="48"/>
        <v>101.32333333333334</v>
      </c>
      <c r="F412">
        <f t="shared" ca="1" si="49"/>
        <v>100.42449999999999</v>
      </c>
      <c r="G412">
        <f t="shared" ca="1" si="46"/>
        <v>97.88979999999998</v>
      </c>
      <c r="H412">
        <f t="shared" ca="1" si="45"/>
        <v>96.292079207920807</v>
      </c>
      <c r="I412">
        <f t="shared" ca="1" si="50"/>
        <v>2.319483778774925</v>
      </c>
      <c r="J412">
        <f t="shared" ca="1" si="51"/>
        <v>95.785532442450148</v>
      </c>
      <c r="K412">
        <f t="shared" ca="1" si="52"/>
        <v>105.06346755754984</v>
      </c>
    </row>
    <row r="413" spans="1:11" x14ac:dyDescent="0.25">
      <c r="A413" s="5">
        <f t="shared" ca="1" si="47"/>
        <v>45887</v>
      </c>
      <c r="B413" vm="1216">
        <f ca="1"/>
        <v>45891</v>
      </c>
      <c r="C413" vm="1019">
        <f ca="1"/>
        <v>96.83</v>
      </c>
      <c r="D413" vm="1217">
        <f ca="1"/>
        <v>32695177</v>
      </c>
      <c r="E413">
        <f t="shared" ca="1" si="48"/>
        <v>100.53444444444445</v>
      </c>
      <c r="F413">
        <f t="shared" ca="1" si="49"/>
        <v>100.39250000000001</v>
      </c>
      <c r="G413">
        <f t="shared" ca="1" si="46"/>
        <v>97.910399999999996</v>
      </c>
      <c r="H413">
        <f t="shared" ca="1" si="45"/>
        <v>96.407722772277253</v>
      </c>
      <c r="I413">
        <f t="shared" ca="1" si="50"/>
        <v>2.3663315490437951</v>
      </c>
      <c r="J413">
        <f t="shared" ca="1" si="51"/>
        <v>95.659836901912428</v>
      </c>
      <c r="K413">
        <f t="shared" ca="1" si="52"/>
        <v>105.1251630980876</v>
      </c>
    </row>
    <row r="414" spans="1:11" x14ac:dyDescent="0.25">
      <c r="A414" s="5">
        <f t="shared" ca="1" si="47"/>
        <v>45894</v>
      </c>
      <c r="B414" vm="1218">
        <f ca="1"/>
        <v>45894</v>
      </c>
      <c r="C414" vm="1219">
        <f ca="1"/>
        <v>96.07</v>
      </c>
      <c r="D414" vm="1220">
        <f ca="1"/>
        <v>18956143</v>
      </c>
      <c r="E414">
        <f t="shared" ca="1" si="48"/>
        <v>99.695555555555558</v>
      </c>
      <c r="F414">
        <f t="shared" ca="1" si="49"/>
        <v>100.3155</v>
      </c>
      <c r="G414">
        <f t="shared" ca="1" si="46"/>
        <v>97.93519999999998</v>
      </c>
      <c r="H414">
        <f t="shared" ca="1" si="45"/>
        <v>96.489702970297046</v>
      </c>
      <c r="I414">
        <f t="shared" ca="1" si="50"/>
        <v>2.4837799610144318</v>
      </c>
      <c r="J414">
        <f t="shared" ca="1" si="51"/>
        <v>95.347940077971131</v>
      </c>
      <c r="K414">
        <f t="shared" ca="1" si="52"/>
        <v>105.28305992202887</v>
      </c>
    </row>
    <row r="415" spans="1:11" x14ac:dyDescent="0.25">
      <c r="A415" s="5">
        <f t="shared" ca="1" si="47"/>
        <v>45894</v>
      </c>
      <c r="B415" vm="1221">
        <f ca="1"/>
        <v>45895</v>
      </c>
      <c r="C415" vm="1222">
        <f ca="1"/>
        <v>96.05</v>
      </c>
      <c r="D415" vm="1223">
        <f ca="1"/>
        <v>22270353</v>
      </c>
      <c r="E415">
        <f t="shared" ca="1" si="48"/>
        <v>99.146666666666661</v>
      </c>
      <c r="F415">
        <f t="shared" ca="1" si="49"/>
        <v>100.20149999999998</v>
      </c>
      <c r="G415">
        <f t="shared" ca="1" si="46"/>
        <v>97.967399999999955</v>
      </c>
      <c r="H415">
        <f t="shared" ca="1" si="45"/>
        <v>96.561188118811884</v>
      </c>
      <c r="I415">
        <f t="shared" ca="1" si="50"/>
        <v>2.6278513836853201</v>
      </c>
      <c r="J415">
        <f t="shared" ca="1" si="51"/>
        <v>94.945797232629346</v>
      </c>
      <c r="K415">
        <f t="shared" ca="1" si="52"/>
        <v>105.45720276737062</v>
      </c>
    </row>
    <row r="416" spans="1:11" x14ac:dyDescent="0.25">
      <c r="A416" s="5">
        <f t="shared" ca="1" si="47"/>
        <v>45894</v>
      </c>
      <c r="B416" vm="1224">
        <f ca="1"/>
        <v>45896</v>
      </c>
      <c r="C416" vm="1225">
        <f ca="1"/>
        <v>96.08</v>
      </c>
      <c r="D416" vm="1226">
        <f ca="1"/>
        <v>12925656</v>
      </c>
      <c r="E416">
        <f t="shared" ca="1" si="48"/>
        <v>98.616666666666674</v>
      </c>
      <c r="F416">
        <f t="shared" ca="1" si="49"/>
        <v>100.12599999999999</v>
      </c>
      <c r="G416">
        <f t="shared" ca="1" si="46"/>
        <v>98.003199999999964</v>
      </c>
      <c r="H416">
        <f t="shared" ca="1" si="45"/>
        <v>96.623762376237622</v>
      </c>
      <c r="I416">
        <f t="shared" ca="1" si="50"/>
        <v>2.7266644361505934</v>
      </c>
      <c r="J416">
        <f t="shared" ca="1" si="51"/>
        <v>94.672671127698806</v>
      </c>
      <c r="K416">
        <f t="shared" ca="1" si="52"/>
        <v>105.57932887230118</v>
      </c>
    </row>
    <row r="417" spans="1:11" x14ac:dyDescent="0.25">
      <c r="A417" s="5">
        <f t="shared" ca="1" si="47"/>
        <v>45894</v>
      </c>
      <c r="B417" vm="1227">
        <f ca="1"/>
        <v>45897</v>
      </c>
      <c r="C417" vm="1228">
        <f ca="1"/>
        <v>96.11</v>
      </c>
      <c r="D417" vm="1229">
        <f ca="1"/>
        <v>19241634</v>
      </c>
      <c r="E417">
        <f t="shared" ca="1" si="48"/>
        <v>98.184444444444438</v>
      </c>
      <c r="F417">
        <f t="shared" ca="1" si="49"/>
        <v>100.03249999999998</v>
      </c>
      <c r="G417">
        <f t="shared" ca="1" si="46"/>
        <v>98.040399999999948</v>
      </c>
      <c r="H417">
        <f t="shared" ca="1" si="45"/>
        <v>96.711386138613861</v>
      </c>
      <c r="I417">
        <f t="shared" ca="1" si="50"/>
        <v>2.8340725299933962</v>
      </c>
      <c r="J417">
        <f t="shared" ca="1" si="51"/>
        <v>94.364354940013186</v>
      </c>
      <c r="K417">
        <f t="shared" ca="1" si="52"/>
        <v>105.70064505998678</v>
      </c>
    </row>
    <row r="418" spans="1:11" x14ac:dyDescent="0.25">
      <c r="A418" s="5">
        <f t="shared" ca="1" si="47"/>
        <v>45894</v>
      </c>
      <c r="B418" vm="1230">
        <f ca="1"/>
        <v>45898</v>
      </c>
      <c r="C418" vm="1231">
        <f ca="1"/>
        <v>96.98</v>
      </c>
      <c r="D418" vm="1232">
        <f ca="1"/>
        <v>15600269</v>
      </c>
      <c r="E418">
        <f t="shared" ca="1" si="48"/>
        <v>97.771111111111111</v>
      </c>
      <c r="F418">
        <f t="shared" ca="1" si="49"/>
        <v>99.956999999999979</v>
      </c>
      <c r="G418">
        <f t="shared" ca="1" si="46"/>
        <v>98.078199999999967</v>
      </c>
      <c r="H418">
        <f t="shared" ca="1" si="45"/>
        <v>96.847920792079208</v>
      </c>
      <c r="I418">
        <f t="shared" ca="1" si="50"/>
        <v>2.8967479042976185</v>
      </c>
      <c r="J418">
        <f t="shared" ca="1" si="51"/>
        <v>94.163504191404741</v>
      </c>
      <c r="K418">
        <f t="shared" ca="1" si="52"/>
        <v>105.75049580859522</v>
      </c>
    </row>
    <row r="419" spans="1:11" x14ac:dyDescent="0.25">
      <c r="A419" s="5">
        <f t="shared" ca="1" si="47"/>
        <v>45901</v>
      </c>
      <c r="B419" vm="1233">
        <f ca="1"/>
        <v>45902</v>
      </c>
      <c r="C419" vm="1234">
        <f ca="1"/>
        <v>97.85</v>
      </c>
      <c r="D419" vm="1235">
        <f ca="1"/>
        <v>15351293</v>
      </c>
      <c r="E419">
        <f t="shared" ca="1" si="48"/>
        <v>97.388888888888886</v>
      </c>
      <c r="F419">
        <f t="shared" ca="1" si="49"/>
        <v>99.869999999999976</v>
      </c>
      <c r="G419">
        <f t="shared" ca="1" si="46"/>
        <v>98.112799999999964</v>
      </c>
      <c r="H419">
        <f t="shared" ca="1" si="45"/>
        <v>96.986732673267326</v>
      </c>
      <c r="I419">
        <f t="shared" ca="1" si="50"/>
        <v>2.9342371016025721</v>
      </c>
      <c r="J419">
        <f t="shared" ca="1" si="51"/>
        <v>94.001525796794837</v>
      </c>
      <c r="K419">
        <f t="shared" ca="1" si="52"/>
        <v>105.73847420320512</v>
      </c>
    </row>
    <row r="420" spans="1:11" x14ac:dyDescent="0.25">
      <c r="A420" s="5">
        <f t="shared" ca="1" si="47"/>
        <v>45901</v>
      </c>
      <c r="B420" vm="1236">
        <f ca="1"/>
        <v>45903</v>
      </c>
      <c r="C420" vm="1237">
        <f ca="1"/>
        <v>99.44</v>
      </c>
      <c r="D420" vm="1238">
        <f ca="1"/>
        <v>18995914</v>
      </c>
      <c r="E420">
        <f t="shared" ca="1" si="48"/>
        <v>97.041111111111121</v>
      </c>
      <c r="F420">
        <f t="shared" ca="1" si="49"/>
        <v>99.876499999999993</v>
      </c>
      <c r="G420">
        <f t="shared" ca="1" si="46"/>
        <v>98.144199999999969</v>
      </c>
      <c r="H420">
        <f t="shared" ca="1" si="45"/>
        <v>97.161485148514842</v>
      </c>
      <c r="I420">
        <f t="shared" ca="1" si="50"/>
        <v>2.9330750434529165</v>
      </c>
      <c r="J420">
        <f t="shared" ca="1" si="51"/>
        <v>94.01034991309416</v>
      </c>
      <c r="K420">
        <f t="shared" ca="1" si="52"/>
        <v>105.74265008690583</v>
      </c>
    </row>
    <row r="421" spans="1:11" x14ac:dyDescent="0.25">
      <c r="A421" s="5">
        <f t="shared" ca="1" si="47"/>
        <v>45901</v>
      </c>
      <c r="B421" vm="1239">
        <f ca="1"/>
        <v>45904</v>
      </c>
      <c r="C421" vm="1240">
        <f ca="1"/>
        <v>100.93</v>
      </c>
      <c r="D421" vm="1241">
        <f ca="1"/>
        <v>15640895</v>
      </c>
      <c r="E421">
        <f t="shared" ca="1" si="48"/>
        <v>97.371111111111134</v>
      </c>
      <c r="F421">
        <f t="shared" ca="1" si="49"/>
        <v>99.754999999999981</v>
      </c>
      <c r="G421">
        <f t="shared" ca="1" si="46"/>
        <v>98.202799999999982</v>
      </c>
      <c r="H421">
        <f t="shared" ca="1" si="45"/>
        <v>97.273663366336635</v>
      </c>
      <c r="I421">
        <f t="shared" ca="1" si="50"/>
        <v>2.8296875408686697</v>
      </c>
      <c r="J421">
        <f t="shared" ca="1" si="51"/>
        <v>94.095624918262644</v>
      </c>
      <c r="K421">
        <f t="shared" ca="1" si="52"/>
        <v>105.41437508173732</v>
      </c>
    </row>
    <row r="422" spans="1:11" x14ac:dyDescent="0.25">
      <c r="A422" s="5">
        <f t="shared" ca="1" si="47"/>
        <v>45901</v>
      </c>
      <c r="B422" vm="1242">
        <f ca="1"/>
        <v>45905</v>
      </c>
      <c r="C422" vm="1243">
        <f ca="1"/>
        <v>100.51</v>
      </c>
      <c r="D422" vm="1244">
        <f ca="1"/>
        <v>13748454</v>
      </c>
      <c r="E422">
        <f t="shared" ca="1" si="48"/>
        <v>97.78</v>
      </c>
      <c r="F422">
        <f t="shared" ca="1" si="49"/>
        <v>99.624499999999983</v>
      </c>
      <c r="G422">
        <f t="shared" ca="1" si="46"/>
        <v>98.267799999999994</v>
      </c>
      <c r="H422">
        <f t="shared" ref="H422:H485" ca="1" si="53">AVERAGE(C322:C422)</f>
        <v>97.371683168316835</v>
      </c>
      <c r="I422">
        <f t="shared" ca="1" si="50"/>
        <v>2.7245636541037483</v>
      </c>
      <c r="J422">
        <f t="shared" ca="1" si="51"/>
        <v>94.175372691792489</v>
      </c>
      <c r="K422">
        <f t="shared" ca="1" si="52"/>
        <v>105.07362730820748</v>
      </c>
    </row>
    <row r="423" spans="1:11" x14ac:dyDescent="0.25">
      <c r="A423" s="5">
        <f t="shared" ca="1" si="47"/>
        <v>45908</v>
      </c>
      <c r="B423" vm="1245">
        <f ca="1"/>
        <v>45908</v>
      </c>
      <c r="C423" vm="1246">
        <f ca="1"/>
        <v>102.28</v>
      </c>
      <c r="D423" vm="1247">
        <f ca="1"/>
        <v>13685735</v>
      </c>
      <c r="E423">
        <f t="shared" ca="1" si="48"/>
        <v>98.47</v>
      </c>
      <c r="F423">
        <f t="shared" ca="1" si="49"/>
        <v>99.551999999999992</v>
      </c>
      <c r="G423">
        <f t="shared" ca="1" si="46"/>
        <v>98.392999999999972</v>
      </c>
      <c r="H423">
        <f t="shared" ca="1" si="53"/>
        <v>97.465544554455448</v>
      </c>
      <c r="I423">
        <f t="shared" ca="1" si="50"/>
        <v>2.6271168907939266</v>
      </c>
      <c r="J423">
        <f t="shared" ca="1" si="51"/>
        <v>94.297766218412136</v>
      </c>
      <c r="K423">
        <f t="shared" ca="1" si="52"/>
        <v>104.80623378158785</v>
      </c>
    </row>
    <row r="424" spans="1:11" x14ac:dyDescent="0.25">
      <c r="A424" s="5">
        <f t="shared" ca="1" si="47"/>
        <v>45908</v>
      </c>
      <c r="B424" vm="1248">
        <f ca="1"/>
        <v>45909</v>
      </c>
      <c r="C424" vm="1249">
        <f ca="1"/>
        <v>102.29</v>
      </c>
      <c r="D424" vm="1250">
        <f ca="1"/>
        <v>11819663</v>
      </c>
      <c r="E424">
        <f t="shared" ca="1" si="48"/>
        <v>99.163333333333327</v>
      </c>
      <c r="F424">
        <f t="shared" ca="1" si="49"/>
        <v>99.47</v>
      </c>
      <c r="G424">
        <f t="shared" ca="1" si="46"/>
        <v>98.49339999999998</v>
      </c>
      <c r="H424">
        <f t="shared" ca="1" si="53"/>
        <v>97.540396039603976</v>
      </c>
      <c r="I424">
        <f t="shared" ca="1" si="50"/>
        <v>2.5060810252789447</v>
      </c>
      <c r="J424">
        <f t="shared" ca="1" si="51"/>
        <v>94.457837949442109</v>
      </c>
      <c r="K424">
        <f t="shared" ca="1" si="52"/>
        <v>104.48216205055789</v>
      </c>
    </row>
    <row r="425" spans="1:11" x14ac:dyDescent="0.25">
      <c r="A425" s="5">
        <f t="shared" ca="1" si="47"/>
        <v>45908</v>
      </c>
      <c r="B425" vm="1251">
        <f ca="1"/>
        <v>45910</v>
      </c>
      <c r="C425" vm="1252">
        <f ca="1"/>
        <v>100.41</v>
      </c>
      <c r="D425" vm="1253">
        <f ca="1"/>
        <v>17934871</v>
      </c>
      <c r="E425">
        <f t="shared" ca="1" si="48"/>
        <v>99.644444444444446</v>
      </c>
      <c r="F425">
        <f t="shared" ca="1" si="49"/>
        <v>99.309499999999986</v>
      </c>
      <c r="G425">
        <f t="shared" ca="1" si="46"/>
        <v>98.545999999999964</v>
      </c>
      <c r="H425">
        <f t="shared" ca="1" si="53"/>
        <v>97.604158415841582</v>
      </c>
      <c r="I425">
        <f t="shared" ca="1" si="50"/>
        <v>2.3223660235562411</v>
      </c>
      <c r="J425">
        <f t="shared" ca="1" si="51"/>
        <v>94.664767952887502</v>
      </c>
      <c r="K425">
        <f t="shared" ca="1" si="52"/>
        <v>103.95423204711247</v>
      </c>
    </row>
    <row r="426" spans="1:11" x14ac:dyDescent="0.25">
      <c r="A426" s="5">
        <f t="shared" ca="1" si="47"/>
        <v>45908</v>
      </c>
      <c r="B426" vm="1254">
        <f ca="1"/>
        <v>45911</v>
      </c>
      <c r="C426" vm="1255">
        <f ca="1"/>
        <v>102.65</v>
      </c>
      <c r="D426" vm="1256">
        <f ca="1"/>
        <v>15900790</v>
      </c>
      <c r="E426">
        <f t="shared" ca="1" si="48"/>
        <v>100.37111111111111</v>
      </c>
      <c r="F426">
        <f t="shared" ca="1" si="49"/>
        <v>99.392500000000013</v>
      </c>
      <c r="G426">
        <f t="shared" ca="1" si="46"/>
        <v>98.634199999999979</v>
      </c>
      <c r="H426">
        <f t="shared" ca="1" si="53"/>
        <v>97.717623762376235</v>
      </c>
      <c r="I426">
        <f t="shared" ca="1" si="50"/>
        <v>2.413464151489789</v>
      </c>
      <c r="J426">
        <f t="shared" ca="1" si="51"/>
        <v>94.565571697020431</v>
      </c>
      <c r="K426">
        <f t="shared" ca="1" si="52"/>
        <v>104.21942830297959</v>
      </c>
    </row>
    <row r="427" spans="1:11" x14ac:dyDescent="0.25">
      <c r="A427" s="5">
        <f t="shared" ca="1" si="47"/>
        <v>45908</v>
      </c>
      <c r="B427" vm="1257">
        <f ca="1"/>
        <v>45912</v>
      </c>
      <c r="C427" vm="1258">
        <f ca="1"/>
        <v>103.49</v>
      </c>
      <c r="D427" vm="1259">
        <f ca="1"/>
        <v>11641926</v>
      </c>
      <c r="E427">
        <f t="shared" ca="1" si="48"/>
        <v>101.09444444444443</v>
      </c>
      <c r="F427">
        <f t="shared" ca="1" si="49"/>
        <v>99.524500000000018</v>
      </c>
      <c r="G427">
        <f t="shared" ca="1" si="46"/>
        <v>98.75179999999996</v>
      </c>
      <c r="H427">
        <f t="shared" ca="1" si="53"/>
        <v>97.819306930693074</v>
      </c>
      <c r="I427">
        <f t="shared" ca="1" si="50"/>
        <v>2.5648237345817142</v>
      </c>
      <c r="J427">
        <f t="shared" ca="1" si="51"/>
        <v>94.394852530836587</v>
      </c>
      <c r="K427">
        <f t="shared" ca="1" si="52"/>
        <v>104.65414746916345</v>
      </c>
    </row>
    <row r="428" spans="1:11" x14ac:dyDescent="0.25">
      <c r="A428" s="5">
        <f t="shared" ca="1" si="47"/>
        <v>45915</v>
      </c>
      <c r="B428" vm="1260">
        <f ca="1"/>
        <v>45915</v>
      </c>
      <c r="C428" vm="1261">
        <f ca="1"/>
        <v>103.69</v>
      </c>
      <c r="D428" vm="1262">
        <f ca="1"/>
        <v>10756876</v>
      </c>
      <c r="E428">
        <f t="shared" ca="1" si="48"/>
        <v>101.74333333333334</v>
      </c>
      <c r="F428">
        <f t="shared" ca="1" si="49"/>
        <v>99.709000000000017</v>
      </c>
      <c r="G428">
        <f t="shared" ca="1" si="46"/>
        <v>98.858399999999961</v>
      </c>
      <c r="H428">
        <f t="shared" ca="1" si="53"/>
        <v>97.930990099009904</v>
      </c>
      <c r="I428">
        <f t="shared" ca="1" si="50"/>
        <v>2.7283364895115128</v>
      </c>
      <c r="J428">
        <f t="shared" ca="1" si="51"/>
        <v>94.252327020976992</v>
      </c>
      <c r="K428">
        <f t="shared" ca="1" si="52"/>
        <v>105.16567297902304</v>
      </c>
    </row>
    <row r="429" spans="1:11" x14ac:dyDescent="0.25">
      <c r="A429" s="5">
        <f t="shared" ca="1" si="47"/>
        <v>45915</v>
      </c>
      <c r="B429" vm="1263">
        <f ca="1"/>
        <v>45916</v>
      </c>
      <c r="C429" vm="1264">
        <f ca="1"/>
        <v>103.42</v>
      </c>
      <c r="D429" vm="1265">
        <f ca="1"/>
        <v>14481863</v>
      </c>
      <c r="E429">
        <f t="shared" ca="1" si="48"/>
        <v>102.18555555555555</v>
      </c>
      <c r="F429">
        <f t="shared" ca="1" si="49"/>
        <v>99.845000000000013</v>
      </c>
      <c r="G429">
        <f t="shared" ca="1" si="46"/>
        <v>98.939799999999963</v>
      </c>
      <c r="H429">
        <f t="shared" ca="1" si="53"/>
        <v>98.015841584158423</v>
      </c>
      <c r="I429">
        <f t="shared" ca="1" si="50"/>
        <v>2.8456069558827743</v>
      </c>
      <c r="J429">
        <f t="shared" ca="1" si="51"/>
        <v>94.153786088234469</v>
      </c>
      <c r="K429">
        <f t="shared" ca="1" si="52"/>
        <v>105.53621391176556</v>
      </c>
    </row>
    <row r="430" spans="1:11" x14ac:dyDescent="0.25">
      <c r="A430" s="5">
        <f t="shared" ca="1" si="47"/>
        <v>45915</v>
      </c>
      <c r="B430" vm="1266">
        <f ca="1"/>
        <v>45917</v>
      </c>
      <c r="C430" vm="1267">
        <f ca="1"/>
        <v>104.27</v>
      </c>
      <c r="D430" vm="1268">
        <f ca="1"/>
        <v>25382015</v>
      </c>
      <c r="E430">
        <f t="shared" ca="1" si="48"/>
        <v>102.55666666666666</v>
      </c>
      <c r="F430">
        <f t="shared" ca="1" si="49"/>
        <v>99.994000000000014</v>
      </c>
      <c r="G430">
        <f t="shared" ca="1" si="46"/>
        <v>99.083399999999969</v>
      </c>
      <c r="H430">
        <f t="shared" ca="1" si="53"/>
        <v>98.10801980198022</v>
      </c>
      <c r="I430">
        <f t="shared" ca="1" si="50"/>
        <v>2.9991286453866817</v>
      </c>
      <c r="J430">
        <f t="shared" ca="1" si="51"/>
        <v>93.995742709226647</v>
      </c>
      <c r="K430">
        <f t="shared" ca="1" si="52"/>
        <v>105.99225729077338</v>
      </c>
    </row>
    <row r="431" spans="1:11" x14ac:dyDescent="0.25">
      <c r="A431" s="5">
        <f t="shared" ca="1" si="47"/>
        <v>45915</v>
      </c>
      <c r="B431" vm="1269">
        <f ca="1"/>
        <v>45918</v>
      </c>
      <c r="C431" vm="1270">
        <f ca="1"/>
        <v>103.6</v>
      </c>
      <c r="D431" vm="1271">
        <f ca="1"/>
        <v>14869387</v>
      </c>
      <c r="E431">
        <f t="shared" ca="1" si="48"/>
        <v>102.89999999999999</v>
      </c>
      <c r="F431">
        <f t="shared" ca="1" si="49"/>
        <v>100.04550000000002</v>
      </c>
      <c r="G431">
        <f t="shared" ca="1" si="46"/>
        <v>99.219199999999987</v>
      </c>
      <c r="H431">
        <f t="shared" ca="1" si="53"/>
        <v>98.184851485148528</v>
      </c>
      <c r="I431">
        <f t="shared" ca="1" si="50"/>
        <v>3.0540318045426278</v>
      </c>
      <c r="J431">
        <f t="shared" ca="1" si="51"/>
        <v>93.937436390914769</v>
      </c>
      <c r="K431">
        <f t="shared" ca="1" si="52"/>
        <v>106.15356360908527</v>
      </c>
    </row>
    <row r="432" spans="1:11" x14ac:dyDescent="0.25">
      <c r="A432" s="5">
        <f t="shared" ca="1" si="47"/>
        <v>45915</v>
      </c>
      <c r="B432" vm="1272">
        <f ca="1"/>
        <v>45919</v>
      </c>
      <c r="C432" vm="1273">
        <f ca="1"/>
        <v>102.33</v>
      </c>
      <c r="D432" vm="1274">
        <f ca="1"/>
        <v>34791573</v>
      </c>
      <c r="E432">
        <f t="shared" ca="1" si="48"/>
        <v>102.90555555555555</v>
      </c>
      <c r="F432">
        <f t="shared" ca="1" si="49"/>
        <v>100.26400000000001</v>
      </c>
      <c r="G432">
        <f t="shared" ca="1" si="46"/>
        <v>99.368599999999986</v>
      </c>
      <c r="H432">
        <f t="shared" ca="1" si="53"/>
        <v>98.256534653465366</v>
      </c>
      <c r="I432">
        <f t="shared" ca="1" si="50"/>
        <v>3.0532974409902973</v>
      </c>
      <c r="J432">
        <f t="shared" ca="1" si="51"/>
        <v>94.157405118019412</v>
      </c>
      <c r="K432">
        <f t="shared" ca="1" si="52"/>
        <v>106.37059488198061</v>
      </c>
    </row>
    <row r="433" spans="1:11" x14ac:dyDescent="0.25">
      <c r="A433" s="5">
        <f t="shared" ca="1" si="47"/>
        <v>45922</v>
      </c>
      <c r="B433" vm="1275">
        <f ca="1"/>
        <v>45922</v>
      </c>
      <c r="C433" vm="1276">
        <f ca="1"/>
        <v>102.82</v>
      </c>
      <c r="D433" vm="1277">
        <f ca="1"/>
        <v>12861946</v>
      </c>
      <c r="E433">
        <f t="shared" ca="1" si="48"/>
        <v>102.96444444444445</v>
      </c>
      <c r="F433">
        <f t="shared" ca="1" si="49"/>
        <v>100.5635</v>
      </c>
      <c r="G433">
        <f t="shared" ca="1" si="46"/>
        <v>99.536999999999992</v>
      </c>
      <c r="H433">
        <f t="shared" ca="1" si="53"/>
        <v>98.331782178217836</v>
      </c>
      <c r="I433">
        <f t="shared" ca="1" si="50"/>
        <v>2.9918895191395087</v>
      </c>
      <c r="J433">
        <f t="shared" ca="1" si="51"/>
        <v>94.579720961720994</v>
      </c>
      <c r="K433">
        <f t="shared" ca="1" si="52"/>
        <v>106.54727903827902</v>
      </c>
    </row>
    <row r="434" spans="1:11" x14ac:dyDescent="0.25">
      <c r="A434" s="5">
        <f t="shared" ca="1" si="47"/>
        <v>45922</v>
      </c>
      <c r="B434" vm="1278">
        <f ca="1"/>
        <v>45923</v>
      </c>
      <c r="C434" vm="1279">
        <f ca="1"/>
        <v>102.52</v>
      </c>
      <c r="D434" vm="1280">
        <f ca="1"/>
        <v>13158658</v>
      </c>
      <c r="E434">
        <f t="shared" ca="1" si="48"/>
        <v>103.19888888888889</v>
      </c>
      <c r="F434">
        <f t="shared" ca="1" si="49"/>
        <v>100.886</v>
      </c>
      <c r="G434">
        <f t="shared" ca="1" si="46"/>
        <v>99.671800000000005</v>
      </c>
      <c r="H434">
        <f t="shared" ca="1" si="53"/>
        <v>98.395940594059439</v>
      </c>
      <c r="I434">
        <f t="shared" ca="1" si="50"/>
        <v>2.8250093618848133</v>
      </c>
      <c r="J434">
        <f t="shared" ca="1" si="51"/>
        <v>95.235981276230376</v>
      </c>
      <c r="K434">
        <f t="shared" ca="1" si="52"/>
        <v>106.53601872376962</v>
      </c>
    </row>
    <row r="435" spans="1:11" x14ac:dyDescent="0.25">
      <c r="A435" s="5">
        <f t="shared" ca="1" si="47"/>
        <v>45922</v>
      </c>
      <c r="B435" vm="1281">
        <f ca="1"/>
        <v>45924</v>
      </c>
      <c r="C435" vm="1282">
        <f ca="1"/>
        <v>102.73</v>
      </c>
      <c r="D435" vm="1283">
        <f ca="1"/>
        <v>11391834</v>
      </c>
      <c r="E435">
        <f t="shared" ca="1" si="48"/>
        <v>103.20777777777779</v>
      </c>
      <c r="F435">
        <f t="shared" ca="1" si="49"/>
        <v>101.22</v>
      </c>
      <c r="G435">
        <f t="shared" ca="1" si="46"/>
        <v>99.818600000000004</v>
      </c>
      <c r="H435">
        <f t="shared" ca="1" si="53"/>
        <v>98.450198019802016</v>
      </c>
      <c r="I435">
        <f t="shared" ca="1" si="50"/>
        <v>2.60985178042537</v>
      </c>
      <c r="J435">
        <f t="shared" ca="1" si="51"/>
        <v>96.000296439149253</v>
      </c>
      <c r="K435">
        <f t="shared" ca="1" si="52"/>
        <v>106.43970356085075</v>
      </c>
    </row>
    <row r="436" spans="1:11" x14ac:dyDescent="0.25">
      <c r="A436" s="5">
        <f t="shared" ca="1" si="47"/>
        <v>45922</v>
      </c>
      <c r="B436" vm="1284">
        <f ca="1"/>
        <v>45925</v>
      </c>
      <c r="C436" vm="1285">
        <f ca="1"/>
        <v>103.05</v>
      </c>
      <c r="D436" vm="1286">
        <f ca="1"/>
        <v>13366747</v>
      </c>
      <c r="E436">
        <f t="shared" ca="1" si="48"/>
        <v>103.1588888888889</v>
      </c>
      <c r="F436">
        <f t="shared" ca="1" si="49"/>
        <v>101.56849999999999</v>
      </c>
      <c r="G436">
        <f t="shared" ref="G436:G499" ca="1" si="54">AVERAGE(C387:C436)</f>
        <v>99.976600000000019</v>
      </c>
      <c r="H436">
        <f t="shared" ca="1" si="53"/>
        <v>98.506039603960403</v>
      </c>
      <c r="I436">
        <f t="shared" ca="1" si="50"/>
        <v>2.3386394492704956</v>
      </c>
      <c r="J436">
        <f t="shared" ca="1" si="51"/>
        <v>96.891221101458996</v>
      </c>
      <c r="K436">
        <f t="shared" ca="1" si="52"/>
        <v>106.24577889854098</v>
      </c>
    </row>
    <row r="437" spans="1:11" x14ac:dyDescent="0.25">
      <c r="A437" s="5">
        <f t="shared" ca="1" si="47"/>
        <v>45922</v>
      </c>
      <c r="B437" vm="1287">
        <f ca="1"/>
        <v>45926</v>
      </c>
      <c r="C437" vm="1288">
        <f ca="1"/>
        <v>103.16</v>
      </c>
      <c r="D437" vm="1289">
        <f ca="1"/>
        <v>11859265</v>
      </c>
      <c r="E437">
        <f t="shared" ca="1" si="48"/>
        <v>103.09999999999998</v>
      </c>
      <c r="F437">
        <f t="shared" ca="1" si="49"/>
        <v>101.92099999999999</v>
      </c>
      <c r="G437">
        <f t="shared" ca="1" si="54"/>
        <v>100.13800000000001</v>
      </c>
      <c r="H437">
        <f t="shared" ca="1" si="53"/>
        <v>98.549702970297034</v>
      </c>
      <c r="I437">
        <f t="shared" ca="1" si="50"/>
        <v>1.97574742685821</v>
      </c>
      <c r="J437">
        <f t="shared" ca="1" si="51"/>
        <v>97.969505146283566</v>
      </c>
      <c r="K437">
        <f t="shared" ca="1" si="52"/>
        <v>105.87249485371642</v>
      </c>
    </row>
    <row r="438" spans="1:11" x14ac:dyDescent="0.25">
      <c r="A438" s="5">
        <f t="shared" ca="1" si="47"/>
        <v>45929</v>
      </c>
      <c r="B438" vm="1290">
        <f ca="1"/>
        <v>45929</v>
      </c>
      <c r="C438" vm="1291">
        <f ca="1"/>
        <v>103.08</v>
      </c>
      <c r="D438" vm="1292">
        <f ca="1"/>
        <v>15477159</v>
      </c>
      <c r="E438">
        <f t="shared" ca="1" si="48"/>
        <v>103.06222222222222</v>
      </c>
      <c r="F438">
        <f t="shared" ca="1" si="49"/>
        <v>102.22599999999998</v>
      </c>
      <c r="G438">
        <f t="shared" ca="1" si="54"/>
        <v>100.29860000000002</v>
      </c>
      <c r="H438">
        <f t="shared" ca="1" si="53"/>
        <v>98.586831683168327</v>
      </c>
      <c r="I438">
        <f t="shared" ca="1" si="50"/>
        <v>1.6097937102230471</v>
      </c>
      <c r="J438">
        <f t="shared" ca="1" si="51"/>
        <v>99.006412579553896</v>
      </c>
      <c r="K438">
        <f t="shared" ca="1" si="52"/>
        <v>105.44558742044607</v>
      </c>
    </row>
    <row r="439" spans="1:11" x14ac:dyDescent="0.25">
      <c r="A439" s="5">
        <f t="shared" ca="1" si="47"/>
        <v>45929</v>
      </c>
      <c r="B439" vm="1293">
        <f ca="1"/>
        <v>45930</v>
      </c>
      <c r="C439" vm="1294">
        <f ca="1"/>
        <v>103.06</v>
      </c>
      <c r="D439" vm="1295">
        <f ca="1"/>
        <v>13873389</v>
      </c>
      <c r="E439">
        <f t="shared" ca="1" si="48"/>
        <v>102.92777777777776</v>
      </c>
      <c r="F439">
        <f t="shared" ca="1" si="49"/>
        <v>102.48650000000001</v>
      </c>
      <c r="G439">
        <f t="shared" ca="1" si="54"/>
        <v>100.44640000000001</v>
      </c>
      <c r="H439">
        <f t="shared" ca="1" si="53"/>
        <v>98.631485148514841</v>
      </c>
      <c r="I439">
        <f t="shared" ca="1" si="50"/>
        <v>1.2444879521947536</v>
      </c>
      <c r="J439">
        <f t="shared" ca="1" si="51"/>
        <v>99.997524095610501</v>
      </c>
      <c r="K439">
        <f t="shared" ca="1" si="52"/>
        <v>104.97547590438951</v>
      </c>
    </row>
    <row r="440" spans="1:11" x14ac:dyDescent="0.25">
      <c r="A440" s="5">
        <f t="shared" ca="1" si="47"/>
        <v>45929</v>
      </c>
      <c r="B440" vm="1296">
        <f ca="1"/>
        <v>45931</v>
      </c>
      <c r="C440" vm="1297">
        <f ca="1"/>
        <v>101.96</v>
      </c>
      <c r="D440" vm="1298">
        <f ca="1"/>
        <v>16142766</v>
      </c>
      <c r="E440">
        <f t="shared" ca="1" si="48"/>
        <v>102.74555555555555</v>
      </c>
      <c r="F440">
        <f t="shared" ca="1" si="49"/>
        <v>102.61249999999998</v>
      </c>
      <c r="G440">
        <f t="shared" ca="1" si="54"/>
        <v>100.56860000000002</v>
      </c>
      <c r="H440">
        <f t="shared" ca="1" si="53"/>
        <v>98.662475247524739</v>
      </c>
      <c r="I440">
        <f t="shared" ca="1" si="50"/>
        <v>1.0286622636373783</v>
      </c>
      <c r="J440">
        <f t="shared" ca="1" si="51"/>
        <v>100.55517547272522</v>
      </c>
      <c r="K440">
        <f t="shared" ca="1" si="52"/>
        <v>104.66982452727474</v>
      </c>
    </row>
    <row r="441" spans="1:11" x14ac:dyDescent="0.25">
      <c r="A441" s="5">
        <f t="shared" ca="1" si="47"/>
        <v>45929</v>
      </c>
      <c r="B441" vm="1299">
        <f ca="1"/>
        <v>45932</v>
      </c>
      <c r="C441" vm="1300">
        <f ca="1"/>
        <v>101.7</v>
      </c>
      <c r="D441" vm="1301">
        <f ca="1"/>
        <v>15605363</v>
      </c>
      <c r="E441">
        <f t="shared" ca="1" si="48"/>
        <v>102.67555555555558</v>
      </c>
      <c r="F441">
        <f t="shared" ca="1" si="49"/>
        <v>102.65099999999998</v>
      </c>
      <c r="G441">
        <f t="shared" ca="1" si="54"/>
        <v>100.68899999999999</v>
      </c>
      <c r="H441">
        <f t="shared" ca="1" si="53"/>
        <v>98.704752475247503</v>
      </c>
      <c r="I441">
        <f t="shared" ca="1" si="50"/>
        <v>0.97540760710586916</v>
      </c>
      <c r="J441">
        <f t="shared" ca="1" si="51"/>
        <v>100.70018478578824</v>
      </c>
      <c r="K441">
        <f t="shared" ca="1" si="52"/>
        <v>104.60181521421173</v>
      </c>
    </row>
    <row r="442" spans="1:11" x14ac:dyDescent="0.25">
      <c r="A442" s="5">
        <f t="shared" ca="1" si="47"/>
        <v>45929</v>
      </c>
      <c r="B442" vm="1302">
        <f ca="1"/>
        <v>45933</v>
      </c>
      <c r="C442" vm="1303">
        <f ca="1"/>
        <v>102.07</v>
      </c>
      <c r="D442" vm="1304">
        <f ca="1"/>
        <v>11867483</v>
      </c>
      <c r="E442">
        <f t="shared" ca="1" si="48"/>
        <v>102.59222222222223</v>
      </c>
      <c r="F442">
        <f t="shared" ca="1" si="49"/>
        <v>102.729</v>
      </c>
      <c r="G442">
        <f t="shared" ca="1" si="54"/>
        <v>100.7984</v>
      </c>
      <c r="H442">
        <f t="shared" ca="1" si="53"/>
        <v>98.757722772277219</v>
      </c>
      <c r="I442">
        <f t="shared" ca="1" si="50"/>
        <v>0.84942643186911371</v>
      </c>
      <c r="J442">
        <f t="shared" ca="1" si="51"/>
        <v>101.03014713626177</v>
      </c>
      <c r="K442">
        <f t="shared" ca="1" si="52"/>
        <v>104.42785286373822</v>
      </c>
    </row>
    <row r="443" spans="1:11" x14ac:dyDescent="0.25">
      <c r="A443" s="5">
        <f t="shared" ca="1" si="47"/>
        <v>45936</v>
      </c>
      <c r="B443" vm="1305">
        <f ca="1"/>
        <v>45936</v>
      </c>
      <c r="C443" vm="1306">
        <f ca="1"/>
        <v>102.7</v>
      </c>
      <c r="D443" vm="1307">
        <f ca="1"/>
        <v>13303560</v>
      </c>
      <c r="E443">
        <f t="shared" ca="1" si="48"/>
        <v>102.61222222222221</v>
      </c>
      <c r="F443">
        <f t="shared" ca="1" si="49"/>
        <v>102.75</v>
      </c>
      <c r="G443">
        <f t="shared" ca="1" si="54"/>
        <v>100.90299999999999</v>
      </c>
      <c r="H443">
        <f t="shared" ca="1" si="53"/>
        <v>98.816633663366332</v>
      </c>
      <c r="I443">
        <f t="shared" ca="1" si="50"/>
        <v>0.84290849849915772</v>
      </c>
      <c r="J443">
        <f t="shared" ca="1" si="51"/>
        <v>101.06418300300169</v>
      </c>
      <c r="K443">
        <f t="shared" ca="1" si="52"/>
        <v>104.43581699699831</v>
      </c>
    </row>
    <row r="444" spans="1:11" x14ac:dyDescent="0.25">
      <c r="A444" s="5">
        <f t="shared" ca="1" si="47"/>
        <v>45936</v>
      </c>
      <c r="B444" vm="1308">
        <f ca="1"/>
        <v>45937</v>
      </c>
      <c r="C444" vm="1309">
        <f ca="1"/>
        <v>103.24</v>
      </c>
      <c r="D444" vm="1310">
        <f ca="1"/>
        <v>15538855</v>
      </c>
      <c r="E444">
        <f t="shared" ca="1" si="48"/>
        <v>102.66888888888889</v>
      </c>
      <c r="F444">
        <f t="shared" ca="1" si="49"/>
        <v>102.79749999999999</v>
      </c>
      <c r="G444">
        <f t="shared" ca="1" si="54"/>
        <v>101.01559999999999</v>
      </c>
      <c r="H444">
        <f t="shared" ca="1" si="53"/>
        <v>98.889504950495038</v>
      </c>
      <c r="I444">
        <f t="shared" ca="1" si="50"/>
        <v>0.84238930242620302</v>
      </c>
      <c r="J444">
        <f t="shared" ca="1" si="51"/>
        <v>101.11272139514757</v>
      </c>
      <c r="K444">
        <f t="shared" ca="1" si="52"/>
        <v>104.4822786048524</v>
      </c>
    </row>
    <row r="445" spans="1:11" x14ac:dyDescent="0.25">
      <c r="A445" s="5">
        <f t="shared" ca="1" si="47"/>
        <v>45936</v>
      </c>
      <c r="B445" vm="1311">
        <f ca="1"/>
        <v>45938</v>
      </c>
      <c r="C445" vm="1312">
        <f ca="1"/>
        <v>102.9</v>
      </c>
      <c r="D445" vm="1313">
        <f ca="1"/>
        <v>13584084</v>
      </c>
      <c r="E445">
        <f t="shared" ca="1" si="48"/>
        <v>102.65222222222222</v>
      </c>
      <c r="F445">
        <f t="shared" ca="1" si="49"/>
        <v>102.922</v>
      </c>
      <c r="G445">
        <f t="shared" ca="1" si="54"/>
        <v>101.10699999999997</v>
      </c>
      <c r="H445">
        <f t="shared" ca="1" si="53"/>
        <v>98.949603960396018</v>
      </c>
      <c r="I445">
        <f t="shared" ca="1" si="50"/>
        <v>0.62757343877241234</v>
      </c>
      <c r="J445">
        <f t="shared" ca="1" si="51"/>
        <v>101.66685312245517</v>
      </c>
      <c r="K445">
        <f t="shared" ca="1" si="52"/>
        <v>104.17714687754483</v>
      </c>
    </row>
    <row r="446" spans="1:11" x14ac:dyDescent="0.25">
      <c r="A446" s="5">
        <f t="shared" ca="1" si="47"/>
        <v>45936</v>
      </c>
      <c r="B446" vm="1314">
        <f ca="1"/>
        <v>45939</v>
      </c>
      <c r="C446" vm="1315">
        <f ca="1"/>
        <v>101.77</v>
      </c>
      <c r="D446" vm="1316">
        <f ca="1"/>
        <v>19508017</v>
      </c>
      <c r="E446">
        <f t="shared" ca="1" si="48"/>
        <v>102.49777777777777</v>
      </c>
      <c r="F446">
        <f t="shared" ca="1" si="49"/>
        <v>102.87800000000001</v>
      </c>
      <c r="G446">
        <f t="shared" ca="1" si="54"/>
        <v>101.19059999999999</v>
      </c>
      <c r="H446">
        <f t="shared" ca="1" si="53"/>
        <v>99.003267326732654</v>
      </c>
      <c r="I446">
        <f t="shared" ca="1" si="50"/>
        <v>0.67658274477429248</v>
      </c>
      <c r="J446">
        <f t="shared" ca="1" si="51"/>
        <v>101.52483451045143</v>
      </c>
      <c r="K446">
        <f t="shared" ca="1" si="52"/>
        <v>104.2311654895486</v>
      </c>
    </row>
    <row r="447" spans="1:11" x14ac:dyDescent="0.25">
      <c r="A447" s="5">
        <f t="shared" ca="1" si="47"/>
        <v>45936</v>
      </c>
      <c r="B447" vm="1317">
        <f ca="1"/>
        <v>45940</v>
      </c>
      <c r="C447" vm="1318">
        <f ca="1"/>
        <v>101.84</v>
      </c>
      <c r="D447" vm="1319">
        <f ca="1"/>
        <v>18519435</v>
      </c>
      <c r="E447">
        <f t="shared" ca="1" si="48"/>
        <v>102.35999999999999</v>
      </c>
      <c r="F447">
        <f t="shared" ca="1" si="49"/>
        <v>102.79550000000002</v>
      </c>
      <c r="G447">
        <f t="shared" ca="1" si="54"/>
        <v>101.26779999999999</v>
      </c>
      <c r="H447">
        <f t="shared" ca="1" si="53"/>
        <v>99.038910891089074</v>
      </c>
      <c r="I447">
        <f t="shared" ca="1" si="50"/>
        <v>0.69827965292152816</v>
      </c>
      <c r="J447">
        <f t="shared" ca="1" si="51"/>
        <v>101.39894069415696</v>
      </c>
      <c r="K447">
        <f t="shared" ca="1" si="52"/>
        <v>104.19205930584307</v>
      </c>
    </row>
    <row r="448" spans="1:11" x14ac:dyDescent="0.25">
      <c r="A448" s="5">
        <f t="shared" ca="1" si="47"/>
        <v>45943</v>
      </c>
      <c r="B448" vm="1320">
        <f ca="1"/>
        <v>45943</v>
      </c>
      <c r="C448" vm="1321">
        <f ca="1"/>
        <v>102.12</v>
      </c>
      <c r="D448" vm="1322">
        <f ca="1"/>
        <v>10871182</v>
      </c>
      <c r="E448">
        <f t="shared" ca="1" si="48"/>
        <v>102.25555555555556</v>
      </c>
      <c r="F448">
        <f t="shared" ca="1" si="49"/>
        <v>102.71699999999998</v>
      </c>
      <c r="G448">
        <f t="shared" ca="1" si="54"/>
        <v>101.34039999999999</v>
      </c>
      <c r="H448">
        <f t="shared" ca="1" si="53"/>
        <v>99.078514851485139</v>
      </c>
      <c r="I448">
        <f t="shared" ca="1" si="50"/>
        <v>0.68044954180847783</v>
      </c>
      <c r="J448">
        <f t="shared" ca="1" si="51"/>
        <v>101.35610091638303</v>
      </c>
      <c r="K448">
        <f t="shared" ca="1" si="52"/>
        <v>104.07789908361694</v>
      </c>
    </row>
    <row r="449" spans="1:11" x14ac:dyDescent="0.25">
      <c r="A449" s="5">
        <f t="shared" ca="1" si="47"/>
        <v>45943</v>
      </c>
      <c r="B449" vm="1323">
        <f ca="1"/>
        <v>45944</v>
      </c>
      <c r="C449" vm="1324">
        <f ca="1"/>
        <v>107.21</v>
      </c>
      <c r="D449" vm="1325">
        <f ca="1"/>
        <v>30859504</v>
      </c>
      <c r="E449">
        <f t="shared" ca="1" si="48"/>
        <v>102.8388888888889</v>
      </c>
      <c r="F449">
        <f t="shared" ca="1" si="49"/>
        <v>102.90650000000001</v>
      </c>
      <c r="G449">
        <f t="shared" ca="1" si="54"/>
        <v>101.49279999999997</v>
      </c>
      <c r="H449">
        <f t="shared" ca="1" si="53"/>
        <v>99.171683168316818</v>
      </c>
      <c r="I449">
        <f t="shared" ca="1" si="50"/>
        <v>1.2089981716062954</v>
      </c>
      <c r="J449">
        <f t="shared" ca="1" si="51"/>
        <v>100.48850365678742</v>
      </c>
      <c r="K449">
        <f t="shared" ca="1" si="52"/>
        <v>105.3244963432126</v>
      </c>
    </row>
    <row r="450" spans="1:11" x14ac:dyDescent="0.25">
      <c r="A450" s="5">
        <f t="shared" ca="1" si="47"/>
        <v>45943</v>
      </c>
      <c r="B450" vm="1326">
        <f ca="1"/>
        <v>45945</v>
      </c>
      <c r="C450" vm="1327">
        <f ca="1"/>
        <v>109.03</v>
      </c>
      <c r="D450" vm="1328">
        <f ca="1"/>
        <v>21416294</v>
      </c>
      <c r="E450">
        <f t="shared" ca="1" si="48"/>
        <v>103.65333333333334</v>
      </c>
      <c r="F450">
        <f t="shared" ca="1" si="49"/>
        <v>103.14450000000002</v>
      </c>
      <c r="G450">
        <f t="shared" ca="1" si="54"/>
        <v>101.68719999999998</v>
      </c>
      <c r="H450">
        <f t="shared" ca="1" si="53"/>
        <v>99.296435643564337</v>
      </c>
      <c r="I450">
        <f t="shared" ca="1" si="50"/>
        <v>1.8104534907324357</v>
      </c>
      <c r="J450">
        <f t="shared" ca="1" si="51"/>
        <v>99.523593018535152</v>
      </c>
      <c r="K450">
        <f t="shared" ca="1" si="52"/>
        <v>106.76540698146489</v>
      </c>
    </row>
    <row r="451" spans="1:11" x14ac:dyDescent="0.25">
      <c r="A451" s="5">
        <f t="shared" ref="A451:A514" ca="1" si="55">B451 - WEEKDAY(B451, 2) + 1</f>
        <v>45943</v>
      </c>
      <c r="B451" vm="1329">
        <f ca="1"/>
        <v>45946</v>
      </c>
      <c r="C451" vm="1330">
        <f ca="1"/>
        <v>106.47</v>
      </c>
      <c r="D451" vm="1331">
        <f ca="1"/>
        <v>16366166</v>
      </c>
      <c r="E451">
        <f t="shared" ca="1" si="48"/>
        <v>104.14222222222223</v>
      </c>
      <c r="F451">
        <f t="shared" ca="1" si="49"/>
        <v>103.28800000000001</v>
      </c>
      <c r="G451">
        <f t="shared" ca="1" si="54"/>
        <v>101.74939999999998</v>
      </c>
      <c r="H451">
        <f t="shared" ca="1" si="53"/>
        <v>99.400792079207875</v>
      </c>
      <c r="I451">
        <f t="shared" ca="1" si="50"/>
        <v>1.9563220055690431</v>
      </c>
      <c r="J451">
        <f t="shared" ca="1" si="51"/>
        <v>99.375355988861926</v>
      </c>
      <c r="K451">
        <f t="shared" ca="1" si="52"/>
        <v>107.2006440111381</v>
      </c>
    </row>
    <row r="452" spans="1:11" x14ac:dyDescent="0.25">
      <c r="A452" s="5">
        <f t="shared" ca="1" si="55"/>
        <v>45943</v>
      </c>
      <c r="B452" vm="1332">
        <f ca="1"/>
        <v>45947</v>
      </c>
      <c r="C452" vm="1333">
        <f ca="1"/>
        <v>107.73</v>
      </c>
      <c r="D452" vm="1334">
        <f ca="1"/>
        <v>13735594</v>
      </c>
      <c r="E452">
        <f t="shared" ca="1" si="48"/>
        <v>104.70111111111112</v>
      </c>
      <c r="F452">
        <f t="shared" ca="1" si="49"/>
        <v>103.55800000000002</v>
      </c>
      <c r="G452">
        <f t="shared" ca="1" si="54"/>
        <v>101.84159999999999</v>
      </c>
      <c r="H452">
        <f t="shared" ca="1" si="53"/>
        <v>99.513564356435609</v>
      </c>
      <c r="I452">
        <f t="shared" ca="1" si="50"/>
        <v>2.1773030154419555</v>
      </c>
      <c r="J452">
        <f t="shared" ca="1" si="51"/>
        <v>99.203393969116107</v>
      </c>
      <c r="K452">
        <f t="shared" ca="1" si="52"/>
        <v>107.91260603088394</v>
      </c>
    </row>
    <row r="453" spans="1:11" x14ac:dyDescent="0.25">
      <c r="A453" s="5">
        <f t="shared" ca="1" si="55"/>
        <v>45950</v>
      </c>
      <c r="B453" vm="1335">
        <f ca="1"/>
        <v>45950</v>
      </c>
      <c r="C453" vm="1336">
        <f ca="1"/>
        <v>107.05</v>
      </c>
      <c r="D453" vm="1337">
        <f ca="1"/>
        <v>10581220</v>
      </c>
      <c r="E453">
        <f t="shared" ca="1" si="48"/>
        <v>105.12444444444445</v>
      </c>
      <c r="F453">
        <f t="shared" ca="1" si="49"/>
        <v>103.76950000000002</v>
      </c>
      <c r="G453">
        <f t="shared" ca="1" si="54"/>
        <v>101.90799999999999</v>
      </c>
      <c r="H453">
        <f t="shared" ca="1" si="53"/>
        <v>99.607326732673229</v>
      </c>
      <c r="I453">
        <f t="shared" ca="1" si="50"/>
        <v>2.3036252322212301</v>
      </c>
      <c r="J453">
        <f t="shared" ca="1" si="51"/>
        <v>99.162249535557564</v>
      </c>
      <c r="K453">
        <f t="shared" ca="1" si="52"/>
        <v>108.37675046444248</v>
      </c>
    </row>
    <row r="454" spans="1:11" x14ac:dyDescent="0.25">
      <c r="A454" s="5">
        <f t="shared" ca="1" si="55"/>
        <v>45950</v>
      </c>
      <c r="B454" vm="1338">
        <f ca="1"/>
        <v>45951</v>
      </c>
      <c r="C454" vm="1339">
        <f ca="1"/>
        <v>106.22</v>
      </c>
      <c r="D454" vm="1340">
        <f ca="1"/>
        <v>10899733</v>
      </c>
      <c r="E454">
        <f t="shared" ca="1" si="48"/>
        <v>105.49333333333334</v>
      </c>
      <c r="F454">
        <f t="shared" ca="1" si="49"/>
        <v>103.95450000000001</v>
      </c>
      <c r="G454">
        <f t="shared" ca="1" si="54"/>
        <v>101.95379999999999</v>
      </c>
      <c r="H454">
        <f t="shared" ca="1" si="53"/>
        <v>99.696237623762315</v>
      </c>
      <c r="I454">
        <f t="shared" ca="1" si="50"/>
        <v>2.3461760040766895</v>
      </c>
      <c r="J454">
        <f t="shared" ca="1" si="51"/>
        <v>99.262147991846632</v>
      </c>
      <c r="K454">
        <f t="shared" ca="1" si="52"/>
        <v>108.64685200815339</v>
      </c>
    </row>
    <row r="455" spans="1:11" x14ac:dyDescent="0.25">
      <c r="A455" s="5">
        <f t="shared" ca="1" si="55"/>
        <v>45950</v>
      </c>
      <c r="B455" vm="1341">
        <f ca="1"/>
        <v>45952</v>
      </c>
      <c r="C455" vm="1342">
        <f ca="1"/>
        <v>107.14</v>
      </c>
      <c r="D455" vm="1343">
        <f ca="1"/>
        <v>12296490</v>
      </c>
      <c r="E455">
        <f t="shared" ca="1" si="48"/>
        <v>106.09</v>
      </c>
      <c r="F455">
        <f t="shared" ca="1" si="49"/>
        <v>104.175</v>
      </c>
      <c r="G455">
        <f t="shared" ca="1" si="54"/>
        <v>102.02420000000001</v>
      </c>
      <c r="H455">
        <f t="shared" ca="1" si="53"/>
        <v>99.795643564356382</v>
      </c>
      <c r="I455">
        <f t="shared" ca="1" si="50"/>
        <v>2.4307449583680265</v>
      </c>
      <c r="J455">
        <f t="shared" ca="1" si="51"/>
        <v>99.313510083263949</v>
      </c>
      <c r="K455">
        <f t="shared" ca="1" si="52"/>
        <v>109.03648991673604</v>
      </c>
    </row>
    <row r="456" spans="1:11" x14ac:dyDescent="0.25">
      <c r="A456" s="5">
        <f t="shared" ca="1" si="55"/>
        <v>45950</v>
      </c>
      <c r="B456" vm="1344">
        <f ca="1"/>
        <v>45953</v>
      </c>
      <c r="C456" vm="1345">
        <f ca="1"/>
        <v>106.86</v>
      </c>
      <c r="D456" vm="1346">
        <f ca="1"/>
        <v>11408241</v>
      </c>
      <c r="E456">
        <f t="shared" ca="1" si="48"/>
        <v>106.64777777777778</v>
      </c>
      <c r="F456">
        <f t="shared" ca="1" si="49"/>
        <v>104.3655</v>
      </c>
      <c r="G456">
        <f t="shared" ca="1" si="54"/>
        <v>102.1416</v>
      </c>
      <c r="H456">
        <f t="shared" ca="1" si="53"/>
        <v>99.876237623762336</v>
      </c>
      <c r="I456">
        <f t="shared" ca="1" si="50"/>
        <v>2.4865924157580115</v>
      </c>
      <c r="J456">
        <f t="shared" ca="1" si="51"/>
        <v>99.392315168483975</v>
      </c>
      <c r="K456">
        <f t="shared" ca="1" si="52"/>
        <v>109.33868483151602</v>
      </c>
    </row>
    <row r="457" spans="1:11" x14ac:dyDescent="0.25">
      <c r="A457" s="5">
        <f t="shared" ca="1" si="55"/>
        <v>45950</v>
      </c>
      <c r="B457" vm="1347">
        <f ca="1"/>
        <v>45954</v>
      </c>
      <c r="C457" vm="1348">
        <f ca="1"/>
        <v>106.17</v>
      </c>
      <c r="D457" vm="1349">
        <f ca="1"/>
        <v>10317959</v>
      </c>
      <c r="E457">
        <f t="shared" ca="1" si="48"/>
        <v>107.09777777777778</v>
      </c>
      <c r="F457">
        <f t="shared" ca="1" si="49"/>
        <v>104.51600000000001</v>
      </c>
      <c r="G457">
        <f t="shared" ca="1" si="54"/>
        <v>102.248</v>
      </c>
      <c r="H457">
        <f t="shared" ca="1" si="53"/>
        <v>99.939603960395999</v>
      </c>
      <c r="I457">
        <f t="shared" ca="1" si="50"/>
        <v>2.5008385961933901</v>
      </c>
      <c r="J457">
        <f t="shared" ca="1" si="51"/>
        <v>99.514322807613226</v>
      </c>
      <c r="K457">
        <f t="shared" ca="1" si="52"/>
        <v>109.51767719238678</v>
      </c>
    </row>
    <row r="458" spans="1:11" x14ac:dyDescent="0.25">
      <c r="A458" s="5">
        <f t="shared" ca="1" si="55"/>
        <v>45957</v>
      </c>
      <c r="B458" vm="1350">
        <f ca="1"/>
        <v>45957</v>
      </c>
      <c r="C458" vm="1351">
        <f ca="1"/>
        <v>104.47</v>
      </c>
      <c r="D458" vm="1352">
        <f ca="1"/>
        <v>16375860</v>
      </c>
      <c r="E458">
        <f t="shared" ca="1" si="48"/>
        <v>106.79333333333334</v>
      </c>
      <c r="F458">
        <f t="shared" ca="1" si="49"/>
        <v>104.5855</v>
      </c>
      <c r="G458">
        <f t="shared" ca="1" si="54"/>
        <v>102.3374</v>
      </c>
      <c r="H458">
        <f t="shared" ca="1" si="53"/>
        <v>99.984059405940556</v>
      </c>
      <c r="I458">
        <f t="shared" ca="1" si="50"/>
        <v>2.4780414061363696</v>
      </c>
      <c r="J458">
        <f t="shared" ca="1" si="51"/>
        <v>99.629417187727256</v>
      </c>
      <c r="K458">
        <f t="shared" ca="1" si="52"/>
        <v>109.54158281227274</v>
      </c>
    </row>
    <row r="459" spans="1:11" x14ac:dyDescent="0.25">
      <c r="A459" s="5">
        <f t="shared" ca="1" si="55"/>
        <v>45957</v>
      </c>
      <c r="B459" vm="1353">
        <f ca="1"/>
        <v>45958</v>
      </c>
      <c r="C459" vm="1354">
        <f ca="1"/>
        <v>103.17</v>
      </c>
      <c r="D459" vm="1355">
        <f ca="1"/>
        <v>13322994</v>
      </c>
      <c r="E459">
        <f t="shared" ref="E459:E522" ca="1" si="56">AVERAGE(C451:C459)</f>
        <v>106.14222222222222</v>
      </c>
      <c r="F459">
        <f t="shared" ca="1" si="49"/>
        <v>104.59100000000001</v>
      </c>
      <c r="G459">
        <f t="shared" ca="1" si="54"/>
        <v>102.38680000000002</v>
      </c>
      <c r="H459">
        <f t="shared" ca="1" si="53"/>
        <v>100.02188118811877</v>
      </c>
      <c r="I459">
        <f t="shared" ca="1" si="50"/>
        <v>2.47459704322053</v>
      </c>
      <c r="J459">
        <f t="shared" ca="1" si="51"/>
        <v>99.641805913558954</v>
      </c>
      <c r="K459">
        <f t="shared" ca="1" si="52"/>
        <v>109.54019408644106</v>
      </c>
    </row>
    <row r="460" spans="1:11" x14ac:dyDescent="0.25">
      <c r="A460" s="5">
        <f t="shared" ca="1" si="55"/>
        <v>45957</v>
      </c>
      <c r="B460" vm="1356">
        <f ca="1"/>
        <v>45959</v>
      </c>
      <c r="C460" vm="816">
        <f ca="1"/>
        <v>102.46</v>
      </c>
      <c r="D460" vm="1357">
        <f ca="1"/>
        <v>11986407</v>
      </c>
      <c r="E460">
        <f t="shared" ca="1" si="56"/>
        <v>105.69666666666666</v>
      </c>
      <c r="F460">
        <f t="shared" ca="1" si="49"/>
        <v>104.61600000000001</v>
      </c>
      <c r="G460">
        <f t="shared" ca="1" si="54"/>
        <v>102.41020000000002</v>
      </c>
      <c r="H460">
        <f t="shared" ca="1" si="53"/>
        <v>100.06643564356432</v>
      </c>
      <c r="I460">
        <f t="shared" ca="1" si="50"/>
        <v>2.4490114009749449</v>
      </c>
      <c r="J460">
        <f t="shared" ca="1" si="51"/>
        <v>99.717977198050122</v>
      </c>
      <c r="K460">
        <f t="shared" ca="1" si="52"/>
        <v>109.51402280194991</v>
      </c>
    </row>
    <row r="461" spans="1:11" x14ac:dyDescent="0.25">
      <c r="A461" s="5">
        <f t="shared" ca="1" si="55"/>
        <v>45957</v>
      </c>
      <c r="B461" vm="1358">
        <f ca="1"/>
        <v>45960</v>
      </c>
      <c r="C461" vm="1359">
        <f ca="1"/>
        <v>102.23</v>
      </c>
      <c r="D461" vm="1360">
        <f ca="1"/>
        <v>14065077</v>
      </c>
      <c r="E461">
        <f t="shared" ca="1" si="56"/>
        <v>105.08555555555556</v>
      </c>
      <c r="F461">
        <f t="shared" ca="1" si="49"/>
        <v>104.6425</v>
      </c>
      <c r="G461">
        <f t="shared" ca="1" si="54"/>
        <v>102.4034</v>
      </c>
      <c r="H461">
        <f t="shared" ca="1" si="53"/>
        <v>100.11356435643559</v>
      </c>
      <c r="I461">
        <f t="shared" ca="1" si="50"/>
        <v>2.4184746715320595</v>
      </c>
      <c r="J461">
        <f t="shared" ca="1" si="51"/>
        <v>99.805550656935878</v>
      </c>
      <c r="K461">
        <f t="shared" ca="1" si="52"/>
        <v>109.47944934306412</v>
      </c>
    </row>
    <row r="462" spans="1:11" x14ac:dyDescent="0.25">
      <c r="A462" s="5">
        <f t="shared" ca="1" si="55"/>
        <v>45957</v>
      </c>
      <c r="B462" vm="1361">
        <f ca="1"/>
        <v>45961</v>
      </c>
      <c r="C462" vm="1362">
        <f ca="1"/>
        <v>101.18</v>
      </c>
      <c r="D462" vm="1363">
        <f ca="1"/>
        <v>20237018</v>
      </c>
      <c r="E462">
        <f t="shared" ca="1" si="56"/>
        <v>104.43333333333334</v>
      </c>
      <c r="F462">
        <f t="shared" ca="1" si="49"/>
        <v>104.598</v>
      </c>
      <c r="G462">
        <f t="shared" ca="1" si="54"/>
        <v>102.46780000000001</v>
      </c>
      <c r="H462">
        <f t="shared" ca="1" si="53"/>
        <v>100.1504950495049</v>
      </c>
      <c r="I462">
        <f t="shared" ca="1" si="50"/>
        <v>2.4758084272457448</v>
      </c>
      <c r="J462">
        <f t="shared" ca="1" si="51"/>
        <v>99.646383145508509</v>
      </c>
      <c r="K462">
        <f t="shared" ca="1" si="52"/>
        <v>109.54961685449149</v>
      </c>
    </row>
    <row r="463" spans="1:11" x14ac:dyDescent="0.25">
      <c r="A463" s="5">
        <f t="shared" ca="1" si="55"/>
        <v>45964</v>
      </c>
      <c r="B463" vm="1364">
        <f ca="1"/>
        <v>45964</v>
      </c>
      <c r="C463" vm="1365">
        <f ca="1"/>
        <v>101.59</v>
      </c>
      <c r="D463" vm="1366">
        <f ca="1"/>
        <v>14811687</v>
      </c>
      <c r="E463">
        <f t="shared" ca="1" si="56"/>
        <v>103.9188888888889</v>
      </c>
      <c r="F463">
        <f t="shared" ca="1" si="49"/>
        <v>104.54250000000002</v>
      </c>
      <c r="G463">
        <f t="shared" ca="1" si="54"/>
        <v>102.56300000000002</v>
      </c>
      <c r="H463">
        <f t="shared" ca="1" si="53"/>
        <v>100.19277227722766</v>
      </c>
      <c r="I463">
        <f t="shared" ca="1" si="50"/>
        <v>2.5323899155166689</v>
      </c>
      <c r="J463">
        <f t="shared" ca="1" si="51"/>
        <v>99.477720168966684</v>
      </c>
      <c r="K463">
        <f t="shared" ca="1" si="52"/>
        <v>109.60727983103335</v>
      </c>
    </row>
    <row r="464" spans="1:11" x14ac:dyDescent="0.25">
      <c r="A464" s="5">
        <f t="shared" ca="1" si="55"/>
        <v>45964</v>
      </c>
      <c r="B464" vm="1367">
        <f ca="1"/>
        <v>45965</v>
      </c>
      <c r="C464" vm="1368">
        <f ca="1"/>
        <v>102.27</v>
      </c>
      <c r="D464" vm="1369">
        <f ca="1"/>
        <v>12636350</v>
      </c>
      <c r="E464">
        <f t="shared" ca="1" si="56"/>
        <v>103.37777777777778</v>
      </c>
      <c r="F464">
        <f t="shared" ca="1" si="49"/>
        <v>104.494</v>
      </c>
      <c r="G464">
        <f t="shared" ca="1" si="54"/>
        <v>102.68700000000001</v>
      </c>
      <c r="H464">
        <f t="shared" ca="1" si="53"/>
        <v>100.25683168316827</v>
      </c>
      <c r="I464">
        <f t="shared" ca="1" si="50"/>
        <v>2.5676907503579316</v>
      </c>
      <c r="J464">
        <f t="shared" ca="1" si="51"/>
        <v>99.358618499284134</v>
      </c>
      <c r="K464">
        <f t="shared" ca="1" si="52"/>
        <v>109.62938150071587</v>
      </c>
    </row>
    <row r="465" spans="1:11" x14ac:dyDescent="0.25">
      <c r="A465" s="5">
        <f t="shared" ca="1" si="55"/>
        <v>45964</v>
      </c>
      <c r="B465" vm="1370">
        <f ca="1"/>
        <v>45966</v>
      </c>
      <c r="C465" vm="1371">
        <f ca="1"/>
        <v>101.47</v>
      </c>
      <c r="D465" vm="1372">
        <f ca="1"/>
        <v>13356821</v>
      </c>
      <c r="E465">
        <f t="shared" ca="1" si="56"/>
        <v>102.7788888888889</v>
      </c>
      <c r="F465">
        <f t="shared" ca="1" si="49"/>
        <v>104.42250000000001</v>
      </c>
      <c r="G465">
        <f t="shared" ca="1" si="54"/>
        <v>102.79540000000001</v>
      </c>
      <c r="H465">
        <f t="shared" ca="1" si="53"/>
        <v>100.32257425742569</v>
      </c>
      <c r="I465">
        <f t="shared" ca="1" si="50"/>
        <v>2.6334805366362786</v>
      </c>
      <c r="J465">
        <f t="shared" ca="1" si="51"/>
        <v>99.155538926727459</v>
      </c>
      <c r="K465">
        <f t="shared" ca="1" si="52"/>
        <v>109.68946107327257</v>
      </c>
    </row>
    <row r="466" spans="1:11" x14ac:dyDescent="0.25">
      <c r="A466" s="5">
        <f t="shared" ca="1" si="55"/>
        <v>45964</v>
      </c>
      <c r="B466" vm="1373">
        <f ca="1"/>
        <v>45967</v>
      </c>
      <c r="C466" vm="1374">
        <f ca="1"/>
        <v>101.68</v>
      </c>
      <c r="D466" vm="1375">
        <f ca="1"/>
        <v>14866025</v>
      </c>
      <c r="E466">
        <f t="shared" ca="1" si="56"/>
        <v>102.28</v>
      </c>
      <c r="F466">
        <f t="shared" ca="1" si="49"/>
        <v>104.41800000000001</v>
      </c>
      <c r="G466">
        <f t="shared" ca="1" si="54"/>
        <v>102.90740000000001</v>
      </c>
      <c r="H466">
        <f t="shared" ca="1" si="53"/>
        <v>100.3942574257425</v>
      </c>
      <c r="I466">
        <f t="shared" ca="1" si="50"/>
        <v>2.6383240294191537</v>
      </c>
      <c r="J466">
        <f t="shared" ca="1" si="51"/>
        <v>99.141351941161702</v>
      </c>
      <c r="K466">
        <f t="shared" ca="1" si="52"/>
        <v>109.69464805883831</v>
      </c>
    </row>
    <row r="467" spans="1:11" x14ac:dyDescent="0.25">
      <c r="A467" s="5">
        <f t="shared" ca="1" si="55"/>
        <v>45964</v>
      </c>
      <c r="B467" vm="1376">
        <f ca="1"/>
        <v>45968</v>
      </c>
      <c r="C467" vm="1377">
        <f ca="1"/>
        <v>102.59</v>
      </c>
      <c r="D467" vm="1378">
        <f ca="1"/>
        <v>17248716</v>
      </c>
      <c r="E467">
        <f t="shared" ca="1" si="56"/>
        <v>102.07111111111111</v>
      </c>
      <c r="F467">
        <f t="shared" ca="1" si="49"/>
        <v>104.4555</v>
      </c>
      <c r="G467">
        <f t="shared" ca="1" si="54"/>
        <v>103.03700000000002</v>
      </c>
      <c r="H467">
        <f t="shared" ca="1" si="53"/>
        <v>100.47643564356429</v>
      </c>
      <c r="I467">
        <f t="shared" ca="1" si="50"/>
        <v>2.6048708928507467</v>
      </c>
      <c r="J467">
        <f t="shared" ca="1" si="51"/>
        <v>99.245758214298505</v>
      </c>
      <c r="K467">
        <f t="shared" ca="1" si="52"/>
        <v>109.6652417857015</v>
      </c>
    </row>
    <row r="468" spans="1:11" x14ac:dyDescent="0.25">
      <c r="A468" s="5">
        <f t="shared" ca="1" si="55"/>
        <v>45971</v>
      </c>
      <c r="B468" vm="1379">
        <f ca="1"/>
        <v>45971</v>
      </c>
      <c r="C468" vm="1380">
        <f ca="1"/>
        <v>102.42</v>
      </c>
      <c r="D468" vm="1381">
        <f ca="1"/>
        <v>14507603</v>
      </c>
      <c r="E468">
        <f t="shared" ca="1" si="56"/>
        <v>101.98777777777779</v>
      </c>
      <c r="F468">
        <f t="shared" ca="1" si="49"/>
        <v>104.47049999999999</v>
      </c>
      <c r="G468">
        <f t="shared" ca="1" si="54"/>
        <v>103.14580000000002</v>
      </c>
      <c r="H468">
        <f t="shared" ca="1" si="53"/>
        <v>100.5573267326732</v>
      </c>
      <c r="I468">
        <f t="shared" ca="1" si="50"/>
        <v>2.5915438905876353</v>
      </c>
      <c r="J468">
        <f t="shared" ca="1" si="51"/>
        <v>99.287412218824713</v>
      </c>
      <c r="K468">
        <f t="shared" ca="1" si="52"/>
        <v>109.65358778117526</v>
      </c>
    </row>
    <row r="469" spans="1:11" x14ac:dyDescent="0.25">
      <c r="A469" s="5">
        <f t="shared" ca="1" si="55"/>
        <v>45971</v>
      </c>
      <c r="B469" vm="1382">
        <f ca="1"/>
        <v>45972</v>
      </c>
      <c r="C469" vm="1383">
        <f ca="1"/>
        <v>103.44</v>
      </c>
      <c r="D469" vm="1384">
        <f ca="1"/>
        <v>13182144</v>
      </c>
      <c r="E469">
        <f t="shared" ca="1" si="56"/>
        <v>102.09666666666668</v>
      </c>
      <c r="F469">
        <f t="shared" ca="1" si="49"/>
        <v>104.282</v>
      </c>
      <c r="G469">
        <f t="shared" ca="1" si="54"/>
        <v>103.2576</v>
      </c>
      <c r="H469">
        <f t="shared" ca="1" si="53"/>
        <v>100.63999999999994</v>
      </c>
      <c r="I469">
        <f t="shared" ca="1" si="50"/>
        <v>2.5178553948695468</v>
      </c>
      <c r="J469">
        <f t="shared" ca="1" si="51"/>
        <v>99.246289210260898</v>
      </c>
      <c r="K469">
        <f t="shared" ca="1" si="52"/>
        <v>109.3177107897391</v>
      </c>
    </row>
    <row r="470" spans="1:11" x14ac:dyDescent="0.25">
      <c r="A470" s="5">
        <f t="shared" ca="1" si="55"/>
        <v>45971</v>
      </c>
      <c r="B470" vm="1385">
        <f ca="1"/>
        <v>45973</v>
      </c>
      <c r="C470" vm="1383">
        <f ca="1"/>
        <v>103.44</v>
      </c>
      <c r="D470" vm="1386">
        <f ca="1"/>
        <v>12084407</v>
      </c>
      <c r="E470">
        <f t="shared" ca="1" si="56"/>
        <v>102.2311111111111</v>
      </c>
      <c r="F470">
        <f t="shared" ref="F470:F522" ca="1" si="57">AVERAGE(C451:C470)</f>
        <v>104.00250000000001</v>
      </c>
      <c r="G470">
        <f t="shared" ca="1" si="54"/>
        <v>103.33759999999998</v>
      </c>
      <c r="H470">
        <f t="shared" ca="1" si="53"/>
        <v>100.71247524752471</v>
      </c>
      <c r="I470">
        <f t="shared" ref="I470:I522" ca="1" si="58">_xlfn.STDEV.S(C451:C470)</f>
        <v>2.2601277909841606</v>
      </c>
      <c r="J470">
        <f t="shared" ref="J470:J522" ca="1" si="59">F470-2*I470</f>
        <v>99.482244418031684</v>
      </c>
      <c r="K470">
        <f t="shared" ref="K470:K522" ca="1" si="60">F470+2*I470</f>
        <v>108.52275558196834</v>
      </c>
    </row>
    <row r="471" spans="1:11" x14ac:dyDescent="0.25">
      <c r="A471" s="5">
        <f t="shared" ca="1" si="55"/>
        <v>45971</v>
      </c>
      <c r="B471" vm="1387">
        <f ca="1"/>
        <v>45974</v>
      </c>
      <c r="C471" vm="1388">
        <f ca="1"/>
        <v>102.54</v>
      </c>
      <c r="D471" vm="1389">
        <f ca="1"/>
        <v>18088506</v>
      </c>
      <c r="E471">
        <f t="shared" ca="1" si="56"/>
        <v>102.38222222222223</v>
      </c>
      <c r="F471">
        <f t="shared" ca="1" si="57"/>
        <v>103.80600000000001</v>
      </c>
      <c r="G471">
        <f t="shared" ca="1" si="54"/>
        <v>103.3698</v>
      </c>
      <c r="H471">
        <f t="shared" ca="1" si="53"/>
        <v>100.7587128712871</v>
      </c>
      <c r="I471">
        <f t="shared" ca="1" si="58"/>
        <v>2.2044629373398998</v>
      </c>
      <c r="J471">
        <f t="shared" ca="1" si="59"/>
        <v>99.397074125320216</v>
      </c>
      <c r="K471">
        <f t="shared" ca="1" si="60"/>
        <v>108.21492587467981</v>
      </c>
    </row>
    <row r="472" spans="1:11" x14ac:dyDescent="0.25">
      <c r="A472" s="5">
        <f t="shared" ca="1" si="55"/>
        <v>45971</v>
      </c>
      <c r="B472" vm="1390">
        <f ca="1"/>
        <v>45975</v>
      </c>
      <c r="C472" vm="1391">
        <f ca="1"/>
        <v>102.48</v>
      </c>
      <c r="D472" vm="1392">
        <f ca="1"/>
        <v>23424211</v>
      </c>
      <c r="E472">
        <f t="shared" ca="1" si="56"/>
        <v>102.4811111111111</v>
      </c>
      <c r="F472">
        <f t="shared" ca="1" si="57"/>
        <v>103.54349999999999</v>
      </c>
      <c r="G472">
        <f t="shared" ca="1" si="54"/>
        <v>103.4092</v>
      </c>
      <c r="H472">
        <f t="shared" ca="1" si="53"/>
        <v>100.80306930693067</v>
      </c>
      <c r="I472">
        <f t="shared" ca="1" si="58"/>
        <v>2.0172395807924706</v>
      </c>
      <c r="J472">
        <f t="shared" ca="1" si="59"/>
        <v>99.509020838415054</v>
      </c>
      <c r="K472">
        <f t="shared" ca="1" si="60"/>
        <v>107.57797916158493</v>
      </c>
    </row>
    <row r="473" spans="1:11" x14ac:dyDescent="0.25">
      <c r="A473" s="5">
        <f t="shared" ca="1" si="55"/>
        <v>45978</v>
      </c>
      <c r="B473" vm="1393">
        <f ca="1"/>
        <v>45978</v>
      </c>
      <c r="C473" vm="1394">
        <f ca="1"/>
        <v>102.95</v>
      </c>
      <c r="D473" vm="1395">
        <f ca="1"/>
        <v>15289373</v>
      </c>
      <c r="E473">
        <f t="shared" ca="1" si="56"/>
        <v>102.55666666666667</v>
      </c>
      <c r="F473">
        <f t="shared" ca="1" si="57"/>
        <v>103.3385</v>
      </c>
      <c r="G473">
        <f t="shared" ca="1" si="54"/>
        <v>103.42259999999999</v>
      </c>
      <c r="H473">
        <f t="shared" ca="1" si="53"/>
        <v>100.85940594059406</v>
      </c>
      <c r="I473">
        <f t="shared" ca="1" si="58"/>
        <v>1.8429389429301277</v>
      </c>
      <c r="J473">
        <f t="shared" ca="1" si="59"/>
        <v>99.652622114139746</v>
      </c>
      <c r="K473">
        <f t="shared" ca="1" si="60"/>
        <v>107.02437788586025</v>
      </c>
    </row>
    <row r="474" spans="1:11" x14ac:dyDescent="0.25">
      <c r="A474" s="5">
        <f t="shared" ca="1" si="55"/>
        <v>45978</v>
      </c>
      <c r="B474" vm="1396">
        <f ca="1"/>
        <v>45979</v>
      </c>
      <c r="C474" vm="1397">
        <f ca="1"/>
        <v>101.39</v>
      </c>
      <c r="D474" vm="1398">
        <f ca="1"/>
        <v>17604460</v>
      </c>
      <c r="E474">
        <f t="shared" ca="1" si="56"/>
        <v>102.54777777777777</v>
      </c>
      <c r="F474">
        <f t="shared" ca="1" si="57"/>
        <v>103.09700000000002</v>
      </c>
      <c r="G474">
        <f t="shared" ca="1" si="54"/>
        <v>103.40459999999999</v>
      </c>
      <c r="H474">
        <f t="shared" ca="1" si="53"/>
        <v>100.91257425742573</v>
      </c>
      <c r="I474">
        <f t="shared" ca="1" si="58"/>
        <v>1.7600720679024833</v>
      </c>
      <c r="J474">
        <f t="shared" ca="1" si="59"/>
        <v>99.576855864195053</v>
      </c>
      <c r="K474">
        <f t="shared" ca="1" si="60"/>
        <v>106.61714413580499</v>
      </c>
    </row>
    <row r="475" spans="1:11" x14ac:dyDescent="0.25">
      <c r="A475" s="5">
        <f t="shared" ca="1" si="55"/>
        <v>45978</v>
      </c>
      <c r="B475" vm="1399">
        <f ca="1"/>
        <v>45980</v>
      </c>
      <c r="C475" vm="1400">
        <f ca="1"/>
        <v>100.61</v>
      </c>
      <c r="D475" vm="1401">
        <f ca="1"/>
        <v>22157029</v>
      </c>
      <c r="E475">
        <f t="shared" ca="1" si="56"/>
        <v>102.42888888888889</v>
      </c>
      <c r="F475">
        <f t="shared" ca="1" si="57"/>
        <v>102.77050000000001</v>
      </c>
      <c r="G475">
        <f t="shared" ca="1" si="54"/>
        <v>103.40859999999999</v>
      </c>
      <c r="H475">
        <f t="shared" ca="1" si="53"/>
        <v>100.94564356435644</v>
      </c>
      <c r="I475">
        <f t="shared" ca="1" si="58"/>
        <v>1.5655248825536865</v>
      </c>
      <c r="J475">
        <f t="shared" ca="1" si="59"/>
        <v>99.639450234892635</v>
      </c>
      <c r="K475">
        <f t="shared" ca="1" si="60"/>
        <v>105.90154976510739</v>
      </c>
    </row>
    <row r="476" spans="1:11" x14ac:dyDescent="0.25">
      <c r="A476" s="5">
        <f t="shared" ca="1" si="55"/>
        <v>45978</v>
      </c>
      <c r="B476" vm="1402">
        <f ca="1"/>
        <v>45981</v>
      </c>
      <c r="C476" vm="1403">
        <f ca="1"/>
        <v>107.11</v>
      </c>
      <c r="D476" vm="1404">
        <f ca="1"/>
        <v>50375920</v>
      </c>
      <c r="E476">
        <f t="shared" ca="1" si="56"/>
        <v>102.93111111111112</v>
      </c>
      <c r="F476">
        <f t="shared" ca="1" si="57"/>
        <v>102.78300000000002</v>
      </c>
      <c r="G476">
        <f t="shared" ca="1" si="54"/>
        <v>103.49779999999997</v>
      </c>
      <c r="H476">
        <f t="shared" ca="1" si="53"/>
        <v>101.03801980198018</v>
      </c>
      <c r="I476">
        <f t="shared" ca="1" si="58"/>
        <v>1.6005035391861417</v>
      </c>
      <c r="J476">
        <f t="shared" ca="1" si="59"/>
        <v>99.58199292162773</v>
      </c>
      <c r="K476">
        <f t="shared" ca="1" si="60"/>
        <v>105.9840070783723</v>
      </c>
    </row>
    <row r="477" spans="1:11" x14ac:dyDescent="0.25">
      <c r="A477" s="5">
        <f t="shared" ca="1" si="55"/>
        <v>45978</v>
      </c>
      <c r="B477" vm="1405">
        <f ca="1"/>
        <v>45982</v>
      </c>
      <c r="C477" vm="1406">
        <f ca="1"/>
        <v>105.32</v>
      </c>
      <c r="D477" vm="1407">
        <f ca="1"/>
        <v>41420780</v>
      </c>
      <c r="E477">
        <f t="shared" ca="1" si="56"/>
        <v>103.25333333333333</v>
      </c>
      <c r="F477">
        <f t="shared" ca="1" si="57"/>
        <v>102.7405</v>
      </c>
      <c r="G477">
        <f t="shared" ca="1" si="54"/>
        <v>103.53439999999995</v>
      </c>
      <c r="H477">
        <f t="shared" ca="1" si="53"/>
        <v>101.10811881188118</v>
      </c>
      <c r="I477">
        <f t="shared" ca="1" si="58"/>
        <v>1.514823161470114</v>
      </c>
      <c r="J477">
        <f t="shared" ca="1" si="59"/>
        <v>99.710853677059774</v>
      </c>
      <c r="K477">
        <f t="shared" ca="1" si="60"/>
        <v>105.77014632294022</v>
      </c>
    </row>
    <row r="478" spans="1:11" x14ac:dyDescent="0.25">
      <c r="A478" s="5">
        <f t="shared" ca="1" si="55"/>
        <v>45985</v>
      </c>
      <c r="B478" vm="1408">
        <f ca="1"/>
        <v>45985</v>
      </c>
      <c r="C478" vm="1409">
        <f ca="1"/>
        <v>104.06</v>
      </c>
      <c r="D478" vm="1410">
        <f ca="1"/>
        <v>42519159</v>
      </c>
      <c r="E478">
        <f t="shared" ca="1" si="56"/>
        <v>103.32222222222224</v>
      </c>
      <c r="F478">
        <f t="shared" ca="1" si="57"/>
        <v>102.72</v>
      </c>
      <c r="G478">
        <f t="shared" ca="1" si="54"/>
        <v>103.54179999999995</v>
      </c>
      <c r="H478">
        <f t="shared" ca="1" si="53"/>
        <v>101.1719801980198</v>
      </c>
      <c r="I478">
        <f t="shared" ca="1" si="58"/>
        <v>1.4928002651322589</v>
      </c>
      <c r="J478">
        <f t="shared" ca="1" si="59"/>
        <v>99.734399469735479</v>
      </c>
      <c r="K478">
        <f t="shared" ca="1" si="60"/>
        <v>105.70560053026452</v>
      </c>
    </row>
    <row r="479" spans="1:11" x14ac:dyDescent="0.25">
      <c r="A479" s="5">
        <f t="shared" ca="1" si="55"/>
        <v>45985</v>
      </c>
      <c r="B479" vm="1411">
        <f ca="1"/>
        <v>45986</v>
      </c>
      <c r="C479" vm="1412">
        <f ca="1"/>
        <v>107</v>
      </c>
      <c r="D479" vm="1413">
        <f ca="1"/>
        <v>20212882</v>
      </c>
      <c r="E479">
        <f t="shared" ca="1" si="56"/>
        <v>103.71777777777778</v>
      </c>
      <c r="F479">
        <f t="shared" ca="1" si="57"/>
        <v>102.9115</v>
      </c>
      <c r="G479">
        <f t="shared" ca="1" si="54"/>
        <v>103.61339999999997</v>
      </c>
      <c r="H479">
        <f t="shared" ca="1" si="53"/>
        <v>101.25752475247525</v>
      </c>
      <c r="I479">
        <f t="shared" ca="1" si="58"/>
        <v>1.7729406882945977</v>
      </c>
      <c r="J479">
        <f t="shared" ca="1" si="59"/>
        <v>99.365618623410811</v>
      </c>
      <c r="K479">
        <f t="shared" ca="1" si="60"/>
        <v>106.4573813765892</v>
      </c>
    </row>
    <row r="480" spans="1:11" x14ac:dyDescent="0.25">
      <c r="A480" s="5">
        <f t="shared" ca="1" si="55"/>
        <v>45985</v>
      </c>
      <c r="B480" vm="1414">
        <f ca="1"/>
        <v>45987</v>
      </c>
      <c r="C480" vm="1415">
        <f ca="1"/>
        <v>109.1</v>
      </c>
      <c r="D480" vm="1416">
        <f ca="1"/>
        <v>17783281</v>
      </c>
      <c r="E480">
        <f t="shared" ca="1" si="56"/>
        <v>104.44666666666666</v>
      </c>
      <c r="F480">
        <f t="shared" ca="1" si="57"/>
        <v>103.2435</v>
      </c>
      <c r="G480">
        <f t="shared" ca="1" si="54"/>
        <v>103.70999999999998</v>
      </c>
      <c r="H480">
        <f t="shared" ca="1" si="53"/>
        <v>101.35405940594062</v>
      </c>
      <c r="I480">
        <f t="shared" ca="1" si="58"/>
        <v>2.2432618989695365</v>
      </c>
      <c r="J480">
        <f t="shared" ca="1" si="59"/>
        <v>98.756976202060926</v>
      </c>
      <c r="K480">
        <f t="shared" ca="1" si="60"/>
        <v>107.73002379793907</v>
      </c>
    </row>
    <row r="481" spans="1:11" x14ac:dyDescent="0.25">
      <c r="A481" s="5">
        <f t="shared" ca="1" si="55"/>
        <v>45985</v>
      </c>
      <c r="B481" vm="1417">
        <f ca="1"/>
        <v>45989</v>
      </c>
      <c r="C481" vm="1418">
        <f ca="1"/>
        <v>110.51</v>
      </c>
      <c r="D481" vm="1419">
        <f ca="1"/>
        <v>9846525</v>
      </c>
      <c r="E481">
        <f t="shared" ca="1" si="56"/>
        <v>105.3388888888889</v>
      </c>
      <c r="F481">
        <f t="shared" ca="1" si="57"/>
        <v>103.65749999999998</v>
      </c>
      <c r="G481">
        <f t="shared" ca="1" si="54"/>
        <v>103.84819999999999</v>
      </c>
      <c r="H481">
        <f t="shared" ca="1" si="53"/>
        <v>101.48693069306931</v>
      </c>
      <c r="I481">
        <f t="shared" ca="1" si="58"/>
        <v>2.7525985330611729</v>
      </c>
      <c r="J481">
        <f t="shared" ca="1" si="59"/>
        <v>98.152302933877635</v>
      </c>
      <c r="K481">
        <f t="shared" ca="1" si="60"/>
        <v>109.16269706612233</v>
      </c>
    </row>
    <row r="482" spans="1:11" x14ac:dyDescent="0.25">
      <c r="A482" s="5">
        <f t="shared" ca="1" si="55"/>
        <v>45992</v>
      </c>
      <c r="B482" vm="1420">
        <f ca="1"/>
        <v>45992</v>
      </c>
      <c r="C482" vm="1421">
        <f ca="1"/>
        <v>111.53</v>
      </c>
      <c r="D482" vm="1422">
        <f ca="1"/>
        <v>17236750</v>
      </c>
      <c r="E482">
        <f t="shared" ca="1" si="56"/>
        <v>106.29222222222222</v>
      </c>
      <c r="F482">
        <f t="shared" ca="1" si="57"/>
        <v>104.175</v>
      </c>
      <c r="G482">
        <f t="shared" ca="1" si="54"/>
        <v>104.03219999999999</v>
      </c>
      <c r="H482">
        <f t="shared" ca="1" si="53"/>
        <v>101.63267326732675</v>
      </c>
      <c r="I482">
        <f t="shared" ca="1" si="58"/>
        <v>3.1990236997526202</v>
      </c>
      <c r="J482">
        <f t="shared" ca="1" si="59"/>
        <v>97.776952600494752</v>
      </c>
      <c r="K482">
        <f t="shared" ca="1" si="60"/>
        <v>110.57304739950524</v>
      </c>
    </row>
    <row r="483" spans="1:11" x14ac:dyDescent="0.25">
      <c r="A483" s="5">
        <f t="shared" ca="1" si="55"/>
        <v>45992</v>
      </c>
      <c r="B483" vm="1423">
        <f ca="1"/>
        <v>45993</v>
      </c>
      <c r="C483" vm="1424">
        <f ca="1"/>
        <v>112.41</v>
      </c>
      <c r="D483" vm="1425">
        <f ca="1"/>
        <v>18711768</v>
      </c>
      <c r="E483">
        <f t="shared" ca="1" si="56"/>
        <v>107.51666666666665</v>
      </c>
      <c r="F483">
        <f t="shared" ca="1" si="57"/>
        <v>104.71599999999998</v>
      </c>
      <c r="G483">
        <f t="shared" ca="1" si="54"/>
        <v>104.22399999999999</v>
      </c>
      <c r="H483">
        <f t="shared" ca="1" si="53"/>
        <v>101.80643564356438</v>
      </c>
      <c r="I483">
        <f t="shared" ca="1" si="58"/>
        <v>3.6253542839577095</v>
      </c>
      <c r="J483">
        <f t="shared" ca="1" si="59"/>
        <v>97.465291432084555</v>
      </c>
      <c r="K483">
        <f t="shared" ca="1" si="60"/>
        <v>111.9667085679154</v>
      </c>
    </row>
    <row r="484" spans="1:11" x14ac:dyDescent="0.25">
      <c r="A484" s="5">
        <f t="shared" ca="1" si="55"/>
        <v>45992</v>
      </c>
      <c r="B484" vm="1426">
        <f ca="1"/>
        <v>45994</v>
      </c>
      <c r="C484" vm="1427">
        <f ca="1"/>
        <v>114.41</v>
      </c>
      <c r="D484" vm="1428">
        <f ca="1"/>
        <v>24478281</v>
      </c>
      <c r="E484">
        <f t="shared" ca="1" si="56"/>
        <v>109.05</v>
      </c>
      <c r="F484">
        <f t="shared" ca="1" si="57"/>
        <v>105.32299999999998</v>
      </c>
      <c r="G484">
        <f t="shared" ca="1" si="54"/>
        <v>104.46179999999998</v>
      </c>
      <c r="H484">
        <f t="shared" ca="1" si="53"/>
        <v>102.00455445544557</v>
      </c>
      <c r="I484">
        <f t="shared" ca="1" si="58"/>
        <v>4.1697054042095978</v>
      </c>
      <c r="J484">
        <f t="shared" ca="1" si="59"/>
        <v>96.983589191580791</v>
      </c>
      <c r="K484">
        <f t="shared" ca="1" si="60"/>
        <v>113.66241080841917</v>
      </c>
    </row>
    <row r="485" spans="1:11" x14ac:dyDescent="0.25">
      <c r="A485" s="5">
        <f t="shared" ca="1" si="55"/>
        <v>45992</v>
      </c>
      <c r="B485" vm="1429">
        <f ca="1"/>
        <v>45995</v>
      </c>
      <c r="C485" vm="1430">
        <f ca="1"/>
        <v>114.84</v>
      </c>
      <c r="D485" vm="1431">
        <f ca="1"/>
        <v>25905147</v>
      </c>
      <c r="E485">
        <f t="shared" ca="1" si="56"/>
        <v>109.90888888888888</v>
      </c>
      <c r="F485">
        <f t="shared" ca="1" si="57"/>
        <v>105.9915</v>
      </c>
      <c r="G485">
        <f t="shared" ca="1" si="54"/>
        <v>104.70399999999999</v>
      </c>
      <c r="H485">
        <f t="shared" ca="1" si="53"/>
        <v>102.19326732673271</v>
      </c>
      <c r="I485">
        <f t="shared" ca="1" si="58"/>
        <v>4.5718374458831033</v>
      </c>
      <c r="J485">
        <f t="shared" ca="1" si="59"/>
        <v>96.847825108233792</v>
      </c>
      <c r="K485">
        <f t="shared" ca="1" si="60"/>
        <v>115.13517489176621</v>
      </c>
    </row>
    <row r="486" spans="1:11" x14ac:dyDescent="0.25">
      <c r="A486" s="5">
        <f t="shared" ca="1" si="55"/>
        <v>45992</v>
      </c>
      <c r="B486" vm="1432">
        <f ca="1"/>
        <v>45996</v>
      </c>
      <c r="C486" vm="1433">
        <f ca="1"/>
        <v>115.11</v>
      </c>
      <c r="D486" vm="1434">
        <f ca="1"/>
        <v>23956427</v>
      </c>
      <c r="E486">
        <f t="shared" ca="1" si="56"/>
        <v>110.99666666666666</v>
      </c>
      <c r="F486">
        <f t="shared" ca="1" si="57"/>
        <v>106.66299999999998</v>
      </c>
      <c r="G486">
        <f t="shared" ca="1" si="54"/>
        <v>104.94519999999999</v>
      </c>
      <c r="H486">
        <f t="shared" ref="H486:H522" ca="1" si="61">AVERAGE(C386:C486)</f>
        <v>102.3885148514852</v>
      </c>
      <c r="I486">
        <f t="shared" ca="1" si="58"/>
        <v>4.881069878407267</v>
      </c>
      <c r="J486">
        <f t="shared" ca="1" si="59"/>
        <v>96.900860243185448</v>
      </c>
      <c r="K486">
        <f t="shared" ca="1" si="60"/>
        <v>116.42513975681452</v>
      </c>
    </row>
    <row r="487" spans="1:11" x14ac:dyDescent="0.25">
      <c r="A487" s="5">
        <f t="shared" ca="1" si="55"/>
        <v>45999</v>
      </c>
      <c r="B487" vm="1435">
        <f ca="1"/>
        <v>45999</v>
      </c>
      <c r="C487" vm="1436">
        <f ca="1"/>
        <v>113.56</v>
      </c>
      <c r="D487" vm="1437">
        <f ca="1"/>
        <v>22700747</v>
      </c>
      <c r="E487">
        <f t="shared" ca="1" si="56"/>
        <v>112.05222222222223</v>
      </c>
      <c r="F487">
        <f t="shared" ca="1" si="57"/>
        <v>107.2115</v>
      </c>
      <c r="G487">
        <f t="shared" ca="1" si="54"/>
        <v>105.15320000000001</v>
      </c>
      <c r="H487">
        <f t="shared" ca="1" si="61"/>
        <v>102.57079207920798</v>
      </c>
      <c r="I487">
        <f t="shared" ca="1" si="58"/>
        <v>5.0138453306818302</v>
      </c>
      <c r="J487">
        <f t="shared" ca="1" si="59"/>
        <v>97.183809338636337</v>
      </c>
      <c r="K487">
        <f t="shared" ca="1" si="60"/>
        <v>117.23919066136366</v>
      </c>
    </row>
    <row r="488" spans="1:11" x14ac:dyDescent="0.25">
      <c r="A488" s="5">
        <f t="shared" ca="1" si="55"/>
        <v>45999</v>
      </c>
      <c r="B488" vm="1438">
        <f ca="1"/>
        <v>46000</v>
      </c>
      <c r="C488" vm="1439">
        <f ca="1"/>
        <v>115.06</v>
      </c>
      <c r="D488" vm="1440">
        <f ca="1"/>
        <v>24326690</v>
      </c>
      <c r="E488">
        <f t="shared" ca="1" si="56"/>
        <v>112.94777777777777</v>
      </c>
      <c r="F488">
        <f t="shared" ca="1" si="57"/>
        <v>107.84349999999999</v>
      </c>
      <c r="G488">
        <f t="shared" ca="1" si="54"/>
        <v>105.39280000000002</v>
      </c>
      <c r="H488">
        <f t="shared" ca="1" si="61"/>
        <v>102.76851485148519</v>
      </c>
      <c r="I488">
        <f t="shared" ca="1" si="58"/>
        <v>5.1722246816911133</v>
      </c>
      <c r="J488">
        <f t="shared" ca="1" si="59"/>
        <v>97.499050636617767</v>
      </c>
      <c r="K488">
        <f t="shared" ca="1" si="60"/>
        <v>118.18794936338222</v>
      </c>
    </row>
    <row r="489" spans="1:11" x14ac:dyDescent="0.25">
      <c r="A489" s="5">
        <f t="shared" ca="1" si="55"/>
        <v>45999</v>
      </c>
      <c r="B489" vm="1441">
        <f ca="1"/>
        <v>46001</v>
      </c>
      <c r="C489" vm="1442">
        <f ca="1"/>
        <v>113.18</v>
      </c>
      <c r="D489" vm="1443">
        <f ca="1"/>
        <v>22859578</v>
      </c>
      <c r="E489">
        <f t="shared" ca="1" si="56"/>
        <v>113.40111111111112</v>
      </c>
      <c r="F489">
        <f t="shared" ca="1" si="57"/>
        <v>108.33049999999999</v>
      </c>
      <c r="G489">
        <f t="shared" ca="1" si="54"/>
        <v>105.59520000000002</v>
      </c>
      <c r="H489">
        <f t="shared" ca="1" si="61"/>
        <v>102.94801980198025</v>
      </c>
      <c r="I489">
        <f t="shared" ca="1" si="58"/>
        <v>5.1942797231286324</v>
      </c>
      <c r="J489">
        <f t="shared" ca="1" si="59"/>
        <v>97.941940553742725</v>
      </c>
      <c r="K489">
        <f t="shared" ca="1" si="60"/>
        <v>118.71905944625725</v>
      </c>
    </row>
    <row r="490" spans="1:11" x14ac:dyDescent="0.25">
      <c r="A490" s="5">
        <f t="shared" ca="1" si="55"/>
        <v>45999</v>
      </c>
      <c r="B490" vm="1444">
        <f ca="1"/>
        <v>46002</v>
      </c>
      <c r="C490" vm="1445">
        <f ca="1"/>
        <v>115.52</v>
      </c>
      <c r="D490" vm="1446">
        <f ca="1"/>
        <v>21586640</v>
      </c>
      <c r="E490">
        <f t="shared" ca="1" si="56"/>
        <v>113.95777777777779</v>
      </c>
      <c r="F490">
        <f t="shared" ca="1" si="57"/>
        <v>108.93449999999999</v>
      </c>
      <c r="G490">
        <f t="shared" ca="1" si="54"/>
        <v>105.86640000000003</v>
      </c>
      <c r="H490">
        <f t="shared" ca="1" si="61"/>
        <v>103.14455445544559</v>
      </c>
      <c r="I490">
        <f t="shared" ca="1" si="58"/>
        <v>5.2969996224277756</v>
      </c>
      <c r="J490">
        <f t="shared" ca="1" si="59"/>
        <v>98.340500755144433</v>
      </c>
      <c r="K490">
        <f t="shared" ca="1" si="60"/>
        <v>119.52849924485554</v>
      </c>
    </row>
    <row r="491" spans="1:11" x14ac:dyDescent="0.25">
      <c r="A491" s="5">
        <f t="shared" ca="1" si="55"/>
        <v>45999</v>
      </c>
      <c r="B491" vm="1447">
        <f ca="1"/>
        <v>46003</v>
      </c>
      <c r="C491" vm="1448">
        <f ca="1"/>
        <v>116.7</v>
      </c>
      <c r="D491" vm="1449">
        <f ca="1"/>
        <v>19092414</v>
      </c>
      <c r="E491">
        <f t="shared" ca="1" si="56"/>
        <v>114.53222222222222</v>
      </c>
      <c r="F491">
        <f t="shared" ca="1" si="57"/>
        <v>109.6425</v>
      </c>
      <c r="G491">
        <f t="shared" ca="1" si="54"/>
        <v>106.16640000000001</v>
      </c>
      <c r="H491">
        <f t="shared" ca="1" si="61"/>
        <v>103.35099009900995</v>
      </c>
      <c r="I491">
        <f t="shared" ca="1" si="58"/>
        <v>5.3434365789896132</v>
      </c>
      <c r="J491">
        <f t="shared" ca="1" si="59"/>
        <v>98.955626842020777</v>
      </c>
      <c r="K491">
        <f t="shared" ca="1" si="60"/>
        <v>120.32937315797922</v>
      </c>
    </row>
    <row r="492" spans="1:11" x14ac:dyDescent="0.25">
      <c r="A492" s="5">
        <f t="shared" ca="1" si="55"/>
        <v>46006</v>
      </c>
      <c r="B492" vm="1450">
        <f ca="1"/>
        <v>46006</v>
      </c>
      <c r="C492" vm="1451">
        <f ca="1"/>
        <v>116.79</v>
      </c>
      <c r="D492" vm="1452">
        <f ca="1"/>
        <v>18713743</v>
      </c>
      <c r="E492">
        <f t="shared" ca="1" si="56"/>
        <v>115.0188888888889</v>
      </c>
      <c r="F492">
        <f t="shared" ca="1" si="57"/>
        <v>110.35799999999999</v>
      </c>
      <c r="G492">
        <f t="shared" ca="1" si="54"/>
        <v>106.46080000000002</v>
      </c>
      <c r="H492">
        <f t="shared" ca="1" si="61"/>
        <v>103.56000000000003</v>
      </c>
      <c r="I492">
        <f t="shared" ca="1" si="58"/>
        <v>5.2917041330349299</v>
      </c>
      <c r="J492">
        <f t="shared" ca="1" si="59"/>
        <v>99.774591733930123</v>
      </c>
      <c r="K492">
        <f t="shared" ca="1" si="60"/>
        <v>120.94140826606986</v>
      </c>
    </row>
    <row r="493" spans="1:11" x14ac:dyDescent="0.25">
      <c r="A493" s="5">
        <f t="shared" ca="1" si="55"/>
        <v>46006</v>
      </c>
      <c r="B493" vm="1453">
        <f ca="1"/>
        <v>46007</v>
      </c>
      <c r="C493" vm="1454">
        <f ca="1"/>
        <v>115.42</v>
      </c>
      <c r="D493" vm="1455">
        <f ca="1"/>
        <v>19642346</v>
      </c>
      <c r="E493">
        <f t="shared" ca="1" si="56"/>
        <v>115.13111111111112</v>
      </c>
      <c r="F493">
        <f t="shared" ca="1" si="57"/>
        <v>110.98150000000001</v>
      </c>
      <c r="G493">
        <f t="shared" ca="1" si="54"/>
        <v>106.71520000000004</v>
      </c>
      <c r="H493">
        <f t="shared" ca="1" si="61"/>
        <v>103.74633663366339</v>
      </c>
      <c r="I493">
        <f t="shared" ca="1" si="58"/>
        <v>5.1042338205392648</v>
      </c>
      <c r="J493">
        <f t="shared" ca="1" si="59"/>
        <v>100.77303235892148</v>
      </c>
      <c r="K493">
        <f t="shared" ca="1" si="60"/>
        <v>121.18996764107854</v>
      </c>
    </row>
    <row r="494" spans="1:11" x14ac:dyDescent="0.25">
      <c r="A494" s="5">
        <f t="shared" ca="1" si="55"/>
        <v>46006</v>
      </c>
      <c r="B494" vm="1456">
        <f ca="1"/>
        <v>46008</v>
      </c>
      <c r="C494" vm="1457">
        <f ca="1"/>
        <v>115.66</v>
      </c>
      <c r="D494" vm="1458">
        <f ca="1"/>
        <v>16177750</v>
      </c>
      <c r="E494">
        <f t="shared" ca="1" si="56"/>
        <v>115.22222222222223</v>
      </c>
      <c r="F494">
        <f t="shared" ca="1" si="57"/>
        <v>111.69499999999998</v>
      </c>
      <c r="G494">
        <f t="shared" ca="1" si="54"/>
        <v>106.96360000000003</v>
      </c>
      <c r="H494">
        <f t="shared" ca="1" si="61"/>
        <v>103.92643564356439</v>
      </c>
      <c r="I494">
        <f t="shared" ca="1" si="58"/>
        <v>4.6719808714460616</v>
      </c>
      <c r="J494">
        <f t="shared" ca="1" si="59"/>
        <v>102.35103825710786</v>
      </c>
      <c r="K494">
        <f t="shared" ca="1" si="60"/>
        <v>121.0389617428921</v>
      </c>
    </row>
    <row r="495" spans="1:11" x14ac:dyDescent="0.25">
      <c r="A495" s="5">
        <f t="shared" ca="1" si="55"/>
        <v>46006</v>
      </c>
      <c r="B495" vm="1459">
        <f ca="1"/>
        <v>46009</v>
      </c>
      <c r="C495" vm="1460">
        <f ca="1"/>
        <v>114.83</v>
      </c>
      <c r="D495" vm="1461">
        <f ca="1"/>
        <v>21476675</v>
      </c>
      <c r="E495">
        <f t="shared" ca="1" si="56"/>
        <v>115.19111111111108</v>
      </c>
      <c r="F495">
        <f t="shared" ca="1" si="57"/>
        <v>112.40599999999999</v>
      </c>
      <c r="G495">
        <f t="shared" ca="1" si="54"/>
        <v>107.20220000000003</v>
      </c>
      <c r="H495">
        <f t="shared" ca="1" si="61"/>
        <v>104.09693069306934</v>
      </c>
      <c r="I495">
        <f t="shared" ca="1" si="58"/>
        <v>3.9173116452888705</v>
      </c>
      <c r="J495">
        <f t="shared" ca="1" si="59"/>
        <v>104.57137670942225</v>
      </c>
      <c r="K495">
        <f t="shared" ca="1" si="60"/>
        <v>120.24062329057773</v>
      </c>
    </row>
    <row r="496" spans="1:11" x14ac:dyDescent="0.25">
      <c r="A496" s="5">
        <f t="shared" ca="1" si="55"/>
        <v>46006</v>
      </c>
      <c r="B496" vm="1462">
        <f ca="1"/>
        <v>46010</v>
      </c>
      <c r="C496" vm="1463">
        <f ca="1"/>
        <v>114.36</v>
      </c>
      <c r="D496" vm="1464">
        <f ca="1"/>
        <v>50043755</v>
      </c>
      <c r="E496">
        <f t="shared" ca="1" si="56"/>
        <v>115.28</v>
      </c>
      <c r="F496">
        <f t="shared" ca="1" si="57"/>
        <v>112.76850000000002</v>
      </c>
      <c r="G496">
        <f t="shared" ca="1" si="54"/>
        <v>107.45400000000001</v>
      </c>
      <c r="H496">
        <f t="shared" ca="1" si="61"/>
        <v>104.25564356435645</v>
      </c>
      <c r="I496">
        <f t="shared" ca="1" si="58"/>
        <v>3.7325288097735396</v>
      </c>
      <c r="J496">
        <f t="shared" ca="1" si="59"/>
        <v>105.30344238045294</v>
      </c>
      <c r="K496">
        <f t="shared" ca="1" si="60"/>
        <v>120.2335576195471</v>
      </c>
    </row>
    <row r="497" spans="1:11" x14ac:dyDescent="0.25">
      <c r="A497" s="5">
        <f t="shared" ca="1" si="55"/>
        <v>46013</v>
      </c>
      <c r="B497" vm="1465">
        <f ca="1"/>
        <v>46013</v>
      </c>
      <c r="C497" vm="1466">
        <f ca="1"/>
        <v>112.6</v>
      </c>
      <c r="D497" vm="1467">
        <f ca="1"/>
        <v>21473912</v>
      </c>
      <c r="E497">
        <f t="shared" ca="1" si="56"/>
        <v>115.00666666666666</v>
      </c>
      <c r="F497">
        <f t="shared" ca="1" si="57"/>
        <v>113.13250000000001</v>
      </c>
      <c r="G497">
        <f t="shared" ca="1" si="54"/>
        <v>107.66920000000003</v>
      </c>
      <c r="H497">
        <f t="shared" ca="1" si="61"/>
        <v>104.40425742574261</v>
      </c>
      <c r="I497">
        <f t="shared" ca="1" si="58"/>
        <v>3.2975427454234367</v>
      </c>
      <c r="J497">
        <f t="shared" ca="1" si="59"/>
        <v>106.53741450915314</v>
      </c>
      <c r="K497">
        <f t="shared" ca="1" si="60"/>
        <v>119.72758549084688</v>
      </c>
    </row>
    <row r="498" spans="1:11" x14ac:dyDescent="0.25">
      <c r="A498" s="5">
        <f t="shared" ca="1" si="55"/>
        <v>46013</v>
      </c>
      <c r="B498" vm="1468">
        <f ca="1"/>
        <v>46014</v>
      </c>
      <c r="C498" vm="1469">
        <f ca="1"/>
        <v>110.9</v>
      </c>
      <c r="D498" vm="1470">
        <f ca="1"/>
        <v>20319917</v>
      </c>
      <c r="E498">
        <f t="shared" ca="1" si="56"/>
        <v>114.75333333333336</v>
      </c>
      <c r="F498">
        <f t="shared" ca="1" si="57"/>
        <v>113.47450000000001</v>
      </c>
      <c r="G498">
        <f t="shared" ca="1" si="54"/>
        <v>107.84480000000002</v>
      </c>
      <c r="H498">
        <f t="shared" ca="1" si="61"/>
        <v>104.53217821782179</v>
      </c>
      <c r="I498">
        <f t="shared" ca="1" si="58"/>
        <v>2.5847375413946265</v>
      </c>
      <c r="J498">
        <f t="shared" ca="1" si="59"/>
        <v>108.30502491721076</v>
      </c>
      <c r="K498">
        <f t="shared" ca="1" si="60"/>
        <v>118.64397508278925</v>
      </c>
    </row>
    <row r="499" spans="1:11" x14ac:dyDescent="0.25">
      <c r="A499" s="5">
        <f t="shared" ca="1" si="55"/>
        <v>46013</v>
      </c>
      <c r="B499" vm="1471">
        <f ca="1"/>
        <v>46015</v>
      </c>
      <c r="C499" vm="1472">
        <f ca="1"/>
        <v>111.61</v>
      </c>
      <c r="D499" vm="1473">
        <f ca="1"/>
        <v>9009629</v>
      </c>
      <c r="E499">
        <f t="shared" ca="1" si="56"/>
        <v>114.31888888888891</v>
      </c>
      <c r="F499">
        <f t="shared" ca="1" si="57"/>
        <v>113.70500000000001</v>
      </c>
      <c r="G499">
        <f t="shared" ca="1" si="54"/>
        <v>107.9328</v>
      </c>
      <c r="H499">
        <f t="shared" ca="1" si="61"/>
        <v>104.66207920792084</v>
      </c>
      <c r="I499">
        <f t="shared" ca="1" si="58"/>
        <v>2.1451426157962703</v>
      </c>
      <c r="J499">
        <f t="shared" ca="1" si="59"/>
        <v>109.41471476840748</v>
      </c>
      <c r="K499">
        <f t="shared" ca="1" si="60"/>
        <v>117.99528523159255</v>
      </c>
    </row>
    <row r="500" spans="1:11" x14ac:dyDescent="0.25">
      <c r="A500" s="5">
        <f t="shared" ca="1" si="55"/>
        <v>46013</v>
      </c>
      <c r="B500" vm="1474">
        <f ca="1"/>
        <v>46017</v>
      </c>
      <c r="C500" vm="1475">
        <f ca="1"/>
        <v>111.74</v>
      </c>
      <c r="D500" vm="1476">
        <f ca="1"/>
        <v>9003791</v>
      </c>
      <c r="E500">
        <f t="shared" ca="1" si="56"/>
        <v>113.76777777777778</v>
      </c>
      <c r="F500">
        <f t="shared" ca="1" si="57"/>
        <v>113.83699999999999</v>
      </c>
      <c r="G500">
        <f t="shared" ref="G500:G522" ca="1" si="62">AVERAGE(C451:C500)</f>
        <v>107.98699999999999</v>
      </c>
      <c r="H500">
        <f t="shared" ca="1" si="61"/>
        <v>104.78237623762378</v>
      </c>
      <c r="I500">
        <f t="shared" ca="1" si="58"/>
        <v>1.9158318242860901</v>
      </c>
      <c r="J500">
        <f t="shared" ca="1" si="59"/>
        <v>110.00533635142781</v>
      </c>
      <c r="K500">
        <f t="shared" ca="1" si="60"/>
        <v>117.66866364857216</v>
      </c>
    </row>
    <row r="501" spans="1:11" x14ac:dyDescent="0.25">
      <c r="A501" s="5">
        <f t="shared" ca="1" si="55"/>
        <v>46020</v>
      </c>
      <c r="B501" vm="1477">
        <f ca="1"/>
        <v>46020</v>
      </c>
      <c r="C501" vm="1478">
        <f ca="1"/>
        <v>112.53</v>
      </c>
      <c r="D501" vm="1479">
        <f ca="1"/>
        <v>12979573</v>
      </c>
      <c r="E501">
        <f t="shared" ca="1" si="56"/>
        <v>113.29444444444444</v>
      </c>
      <c r="F501">
        <f t="shared" ca="1" si="57"/>
        <v>113.93800000000002</v>
      </c>
      <c r="G501">
        <f t="shared" ca="1" si="62"/>
        <v>108.10819999999998</v>
      </c>
      <c r="H501">
        <f t="shared" ca="1" si="61"/>
        <v>104.91326732673271</v>
      </c>
      <c r="I501">
        <f t="shared" ca="1" si="58"/>
        <v>1.7796084726111738</v>
      </c>
      <c r="J501">
        <f t="shared" ca="1" si="59"/>
        <v>110.37878305477767</v>
      </c>
      <c r="K501">
        <f t="shared" ca="1" si="60"/>
        <v>117.49721694522236</v>
      </c>
    </row>
    <row r="502" spans="1:11" x14ac:dyDescent="0.25">
      <c r="A502" s="5">
        <f t="shared" ca="1" si="55"/>
        <v>46020</v>
      </c>
      <c r="B502" vm="1480">
        <f ca="1"/>
        <v>46021</v>
      </c>
      <c r="C502" vm="1481">
        <f ca="1"/>
        <v>111.92</v>
      </c>
      <c r="D502" vm="1482">
        <f ca="1"/>
        <v>11730590</v>
      </c>
      <c r="E502">
        <f t="shared" ca="1" si="56"/>
        <v>112.90555555555555</v>
      </c>
      <c r="F502">
        <f t="shared" ca="1" si="57"/>
        <v>113.95750000000001</v>
      </c>
      <c r="G502">
        <f t="shared" ca="1" si="62"/>
        <v>108.19199999999996</v>
      </c>
      <c r="H502">
        <f t="shared" ca="1" si="61"/>
        <v>104.99801980198022</v>
      </c>
      <c r="I502">
        <f t="shared" ca="1" si="58"/>
        <v>1.7537835040127872</v>
      </c>
      <c r="J502">
        <f t="shared" ca="1" si="59"/>
        <v>110.44993299197444</v>
      </c>
      <c r="K502">
        <f t="shared" ca="1" si="60"/>
        <v>117.46506700802558</v>
      </c>
    </row>
    <row r="503" spans="1:11" x14ac:dyDescent="0.25">
      <c r="A503" s="5">
        <f t="shared" ca="1" si="55"/>
        <v>46020</v>
      </c>
      <c r="B503" vm="1483">
        <f ca="1"/>
        <v>46022</v>
      </c>
      <c r="C503" vm="1484">
        <f ca="1"/>
        <v>111.41</v>
      </c>
      <c r="D503" vm="1485">
        <f ca="1"/>
        <v>11487434</v>
      </c>
      <c r="E503">
        <f t="shared" ca="1" si="56"/>
        <v>112.43333333333332</v>
      </c>
      <c r="F503">
        <f t="shared" ca="1" si="57"/>
        <v>113.9075</v>
      </c>
      <c r="G503">
        <f t="shared" ca="1" si="62"/>
        <v>108.27919999999999</v>
      </c>
      <c r="H503">
        <f t="shared" ca="1" si="61"/>
        <v>105.08009900990103</v>
      </c>
      <c r="I503">
        <f t="shared" ca="1" si="58"/>
        <v>1.8134638997756407</v>
      </c>
      <c r="J503">
        <f t="shared" ca="1" si="59"/>
        <v>110.28057220044872</v>
      </c>
      <c r="K503">
        <f t="shared" ca="1" si="60"/>
        <v>117.53442779955128</v>
      </c>
    </row>
    <row r="504" spans="1:11" x14ac:dyDescent="0.25">
      <c r="A504" s="5">
        <f t="shared" ca="1" si="55"/>
        <v>46020</v>
      </c>
      <c r="B504" vm="1486">
        <f ca="1"/>
        <v>46024</v>
      </c>
      <c r="C504" vm="1487">
        <f ca="1"/>
        <v>112.76</v>
      </c>
      <c r="D504" vm="1488">
        <f ca="1"/>
        <v>14306560</v>
      </c>
      <c r="E504">
        <f t="shared" ca="1" si="56"/>
        <v>112.20333333333332</v>
      </c>
      <c r="F504">
        <f t="shared" ca="1" si="57"/>
        <v>113.825</v>
      </c>
      <c r="G504">
        <f t="shared" ca="1" si="62"/>
        <v>108.40999999999998</v>
      </c>
      <c r="H504">
        <f t="shared" ca="1" si="61"/>
        <v>105.1695049504951</v>
      </c>
      <c r="I504">
        <f t="shared" ca="1" si="58"/>
        <v>1.8268825906445114</v>
      </c>
      <c r="J504">
        <f t="shared" ca="1" si="59"/>
        <v>110.17123481871099</v>
      </c>
      <c r="K504">
        <f t="shared" ca="1" si="60"/>
        <v>117.47876518128902</v>
      </c>
    </row>
    <row r="505" spans="1:11" x14ac:dyDescent="0.25">
      <c r="A505" s="5">
        <f t="shared" ca="1" si="55"/>
        <v>46027</v>
      </c>
      <c r="B505" vm="1489">
        <f ca="1"/>
        <v>46027</v>
      </c>
      <c r="C505" vm="1490">
        <f ca="1"/>
        <v>112.71</v>
      </c>
      <c r="D505" vm="1491">
        <f ca="1"/>
        <v>19557620</v>
      </c>
      <c r="E505">
        <f t="shared" ca="1" si="56"/>
        <v>112.02</v>
      </c>
      <c r="F505">
        <f t="shared" ca="1" si="57"/>
        <v>113.71849999999999</v>
      </c>
      <c r="G505">
        <f t="shared" ca="1" si="62"/>
        <v>108.5214</v>
      </c>
      <c r="H505">
        <f t="shared" ca="1" si="61"/>
        <v>105.25643564356439</v>
      </c>
      <c r="I505">
        <f t="shared" ca="1" si="58"/>
        <v>1.8266831459750965</v>
      </c>
      <c r="J505">
        <f t="shared" ca="1" si="59"/>
        <v>110.0651337080498</v>
      </c>
      <c r="K505">
        <f t="shared" ca="1" si="60"/>
        <v>117.37186629195018</v>
      </c>
    </row>
    <row r="506" spans="1:11" x14ac:dyDescent="0.25">
      <c r="A506" s="5">
        <f t="shared" ca="1" si="55"/>
        <v>46027</v>
      </c>
      <c r="B506" vm="1492">
        <f ca="1"/>
        <v>46028</v>
      </c>
      <c r="C506" vm="1493">
        <f ca="1"/>
        <v>114.34</v>
      </c>
      <c r="D506" vm="1494">
        <f ca="1"/>
        <v>20120817</v>
      </c>
      <c r="E506">
        <f t="shared" ca="1" si="56"/>
        <v>112.21333333333332</v>
      </c>
      <c r="F506">
        <f t="shared" ca="1" si="57"/>
        <v>113.67999999999999</v>
      </c>
      <c r="G506">
        <f t="shared" ca="1" si="62"/>
        <v>108.67099999999999</v>
      </c>
      <c r="H506">
        <f t="shared" ca="1" si="61"/>
        <v>105.36257425742576</v>
      </c>
      <c r="I506">
        <f t="shared" ca="1" si="58"/>
        <v>1.8037825752976357</v>
      </c>
      <c r="J506">
        <f t="shared" ca="1" si="59"/>
        <v>110.07243484940471</v>
      </c>
      <c r="K506">
        <f t="shared" ca="1" si="60"/>
        <v>117.28756515059527</v>
      </c>
    </row>
    <row r="507" spans="1:11" x14ac:dyDescent="0.25">
      <c r="A507" s="5">
        <f t="shared" ca="1" si="55"/>
        <v>46027</v>
      </c>
      <c r="B507" vm="1495">
        <f ca="1"/>
        <v>46029</v>
      </c>
      <c r="C507" vm="1496">
        <f ca="1"/>
        <v>112.72</v>
      </c>
      <c r="D507" vm="1497">
        <f ca="1"/>
        <v>23306003</v>
      </c>
      <c r="E507">
        <f t="shared" ca="1" si="56"/>
        <v>112.41555555555557</v>
      </c>
      <c r="F507">
        <f t="shared" ca="1" si="57"/>
        <v>113.63799999999999</v>
      </c>
      <c r="G507">
        <f t="shared" ca="1" si="62"/>
        <v>108.80199999999999</v>
      </c>
      <c r="H507">
        <f t="shared" ca="1" si="61"/>
        <v>105.47871287128714</v>
      </c>
      <c r="I507">
        <f t="shared" ca="1" si="58"/>
        <v>1.8164586714987931</v>
      </c>
      <c r="J507">
        <f t="shared" ca="1" si="59"/>
        <v>110.0050826570024</v>
      </c>
      <c r="K507">
        <f t="shared" ca="1" si="60"/>
        <v>117.27091734299758</v>
      </c>
    </row>
    <row r="508" spans="1:11" x14ac:dyDescent="0.25">
      <c r="A508" s="5">
        <f t="shared" ca="1" si="55"/>
        <v>46027</v>
      </c>
      <c r="B508" vm="1498">
        <f ca="1"/>
        <v>46030</v>
      </c>
      <c r="C508" vm="1499">
        <f ca="1"/>
        <v>113.07</v>
      </c>
      <c r="D508" vm="1500">
        <f ca="1"/>
        <v>24058262</v>
      </c>
      <c r="E508">
        <f t="shared" ca="1" si="56"/>
        <v>112.57777777777778</v>
      </c>
      <c r="F508">
        <f t="shared" ca="1" si="57"/>
        <v>113.5385</v>
      </c>
      <c r="G508">
        <f t="shared" ca="1" si="62"/>
        <v>108.97399999999998</v>
      </c>
      <c r="H508">
        <f t="shared" ca="1" si="61"/>
        <v>105.59970297029705</v>
      </c>
      <c r="I508">
        <f t="shared" ca="1" si="58"/>
        <v>1.7887580960867215</v>
      </c>
      <c r="J508">
        <f t="shared" ca="1" si="59"/>
        <v>109.96098380782655</v>
      </c>
      <c r="K508">
        <f t="shared" ca="1" si="60"/>
        <v>117.11601619217345</v>
      </c>
    </row>
    <row r="509" spans="1:11" x14ac:dyDescent="0.25">
      <c r="A509" s="5">
        <f t="shared" ca="1" si="55"/>
        <v>46027</v>
      </c>
      <c r="B509" vm="1501">
        <f ca="1"/>
        <v>46031</v>
      </c>
      <c r="C509" vm="1502">
        <f ca="1"/>
        <v>114.53</v>
      </c>
      <c r="D509" vm="1503">
        <f ca="1"/>
        <v>21902859</v>
      </c>
      <c r="E509">
        <f t="shared" ca="1" si="56"/>
        <v>112.88777777777779</v>
      </c>
      <c r="F509">
        <f t="shared" ca="1" si="57"/>
        <v>113.60600000000002</v>
      </c>
      <c r="G509">
        <f t="shared" ca="1" si="62"/>
        <v>109.20119999999997</v>
      </c>
      <c r="H509">
        <f t="shared" ca="1" si="61"/>
        <v>105.74356435643567</v>
      </c>
      <c r="I509">
        <f t="shared" ca="1" si="58"/>
        <v>1.7999543853869429</v>
      </c>
      <c r="J509">
        <f t="shared" ca="1" si="59"/>
        <v>110.00609122922614</v>
      </c>
      <c r="K509">
        <f t="shared" ca="1" si="60"/>
        <v>117.2059087707739</v>
      </c>
    </row>
    <row r="510" spans="1:11" x14ac:dyDescent="0.25">
      <c r="A510" s="5">
        <f t="shared" ca="1" si="55"/>
        <v>46034</v>
      </c>
      <c r="B510" vm="1504">
        <f ca="1"/>
        <v>46034</v>
      </c>
      <c r="C510" vm="1505">
        <f ca="1"/>
        <v>117.97</v>
      </c>
      <c r="D510" vm="1506">
        <f ca="1"/>
        <v>49182081</v>
      </c>
      <c r="E510">
        <f t="shared" ca="1" si="56"/>
        <v>113.49222222222222</v>
      </c>
      <c r="F510">
        <f t="shared" ca="1" si="57"/>
        <v>113.72850000000001</v>
      </c>
      <c r="G510">
        <f t="shared" ca="1" si="62"/>
        <v>109.51139999999998</v>
      </c>
      <c r="H510">
        <f t="shared" ca="1" si="61"/>
        <v>105.91455445544557</v>
      </c>
      <c r="I510">
        <f t="shared" ca="1" si="58"/>
        <v>2.0083752925659777</v>
      </c>
      <c r="J510">
        <f t="shared" ca="1" si="59"/>
        <v>109.71174941486805</v>
      </c>
      <c r="K510">
        <f t="shared" ca="1" si="60"/>
        <v>117.74525058513197</v>
      </c>
    </row>
    <row r="511" spans="1:11" x14ac:dyDescent="0.25">
      <c r="A511" s="5">
        <f t="shared" ca="1" si="55"/>
        <v>46034</v>
      </c>
      <c r="B511" vm="1507">
        <f ca="1"/>
        <v>46035</v>
      </c>
      <c r="C511" vm="1508">
        <f ca="1"/>
        <v>120.36</v>
      </c>
      <c r="D511" vm="1509">
        <f ca="1"/>
        <v>31222058</v>
      </c>
      <c r="E511">
        <f t="shared" ca="1" si="56"/>
        <v>114.42999999999999</v>
      </c>
      <c r="F511">
        <f t="shared" ca="1" si="57"/>
        <v>113.9115</v>
      </c>
      <c r="G511">
        <f t="shared" ca="1" si="62"/>
        <v>109.87399999999998</v>
      </c>
      <c r="H511">
        <f t="shared" ca="1" si="61"/>
        <v>106.1033663366337</v>
      </c>
      <c r="I511">
        <f t="shared" ca="1" si="58"/>
        <v>2.4182970846183656</v>
      </c>
      <c r="J511">
        <f t="shared" ca="1" si="59"/>
        <v>109.07490583076327</v>
      </c>
      <c r="K511">
        <f t="shared" ca="1" si="60"/>
        <v>118.74809416923674</v>
      </c>
    </row>
    <row r="512" spans="1:11" x14ac:dyDescent="0.25">
      <c r="A512" s="5">
        <f t="shared" ca="1" si="55"/>
        <v>46034</v>
      </c>
      <c r="B512" vm="1510">
        <f ca="1"/>
        <v>46036</v>
      </c>
      <c r="C512" vm="1511">
        <f ca="1"/>
        <v>120.04</v>
      </c>
      <c r="D512" vm="1512">
        <f ca="1"/>
        <v>32764044</v>
      </c>
      <c r="E512">
        <f t="shared" ca="1" si="56"/>
        <v>115.38888888888889</v>
      </c>
      <c r="F512">
        <f t="shared" ca="1" si="57"/>
        <v>114.074</v>
      </c>
      <c r="G512">
        <f t="shared" ca="1" si="62"/>
        <v>110.25119999999998</v>
      </c>
      <c r="H512">
        <f t="shared" ca="1" si="61"/>
        <v>106.2763366336634</v>
      </c>
      <c r="I512">
        <f t="shared" ca="1" si="58"/>
        <v>2.7131228850668911</v>
      </c>
      <c r="J512">
        <f t="shared" ca="1" si="59"/>
        <v>108.64775422986622</v>
      </c>
      <c r="K512">
        <f t="shared" ca="1" si="60"/>
        <v>119.50024577013377</v>
      </c>
    </row>
    <row r="513" spans="1:11" x14ac:dyDescent="0.25">
      <c r="A513" s="5">
        <f t="shared" ca="1" si="55"/>
        <v>46034</v>
      </c>
      <c r="B513" vm="1513">
        <f ca="1"/>
        <v>46037</v>
      </c>
      <c r="C513" vm="1514">
        <f ca="1"/>
        <v>119.2</v>
      </c>
      <c r="D513" vm="1515">
        <f ca="1"/>
        <v>34559430</v>
      </c>
      <c r="E513">
        <f t="shared" ca="1" si="56"/>
        <v>116.10444444444445</v>
      </c>
      <c r="F513">
        <f t="shared" ca="1" si="57"/>
        <v>114.26299999999999</v>
      </c>
      <c r="G513">
        <f t="shared" ca="1" si="62"/>
        <v>110.60339999999998</v>
      </c>
      <c r="H513">
        <f t="shared" ca="1" si="61"/>
        <v>106.48663366336639</v>
      </c>
      <c r="I513">
        <f t="shared" ca="1" si="58"/>
        <v>2.934454311326582</v>
      </c>
      <c r="J513">
        <f t="shared" ca="1" si="59"/>
        <v>108.39409137734683</v>
      </c>
      <c r="K513">
        <f t="shared" ca="1" si="60"/>
        <v>120.13190862265316</v>
      </c>
    </row>
    <row r="514" spans="1:11" x14ac:dyDescent="0.25">
      <c r="A514" s="5">
        <f t="shared" ca="1" si="55"/>
        <v>46034</v>
      </c>
      <c r="B514" vm="1516">
        <f ca="1"/>
        <v>46038</v>
      </c>
      <c r="C514" vm="1517">
        <f ca="1"/>
        <v>119.7</v>
      </c>
      <c r="D514" vm="1518">
        <f ca="1"/>
        <v>415144621</v>
      </c>
      <c r="E514">
        <f t="shared" ca="1" si="56"/>
        <v>116.88111111111112</v>
      </c>
      <c r="F514">
        <f t="shared" ca="1" si="57"/>
        <v>114.46499999999996</v>
      </c>
      <c r="G514">
        <f t="shared" ca="1" si="62"/>
        <v>110.95199999999997</v>
      </c>
      <c r="H514">
        <f t="shared" ca="1" si="61"/>
        <v>106.71306930693073</v>
      </c>
      <c r="I514">
        <f t="shared" ca="1" si="58"/>
        <v>3.1656270685035079</v>
      </c>
      <c r="J514">
        <f t="shared" ca="1" si="59"/>
        <v>108.13374586299294</v>
      </c>
      <c r="K514">
        <f t="shared" ca="1" si="60"/>
        <v>120.79625413700698</v>
      </c>
    </row>
    <row r="515" spans="1:11" x14ac:dyDescent="0.25">
      <c r="A515" s="5">
        <f t="shared" ref="A515:A523" ca="1" si="63">B515 - WEEKDAY(B515, 2) + 1</f>
        <v>46041</v>
      </c>
      <c r="B515" vm="1519">
        <f ca="1"/>
        <v>46042</v>
      </c>
      <c r="C515" vm="1520">
        <f ca="1"/>
        <v>118.71</v>
      </c>
      <c r="D515" vm="1521">
        <f ca="1"/>
        <v>45333984</v>
      </c>
      <c r="E515">
        <f t="shared" ca="1" si="56"/>
        <v>117.36666666666666</v>
      </c>
      <c r="F515">
        <f t="shared" ca="1" si="57"/>
        <v>114.65899999999996</v>
      </c>
      <c r="G515">
        <f t="shared" ca="1" si="62"/>
        <v>111.29679999999999</v>
      </c>
      <c r="H515">
        <f t="shared" ca="1" si="61"/>
        <v>106.93722772277229</v>
      </c>
      <c r="I515">
        <f t="shared" ca="1" si="58"/>
        <v>3.3049944661152817</v>
      </c>
      <c r="J515">
        <f t="shared" ca="1" si="59"/>
        <v>108.0490110677694</v>
      </c>
      <c r="K515">
        <f t="shared" ca="1" si="60"/>
        <v>121.26898893223053</v>
      </c>
    </row>
    <row r="516" spans="1:11" x14ac:dyDescent="0.25">
      <c r="A516" s="5">
        <f t="shared" ca="1" si="63"/>
        <v>46041</v>
      </c>
      <c r="B516" vm="1522">
        <f ca="1"/>
        <v>46043</v>
      </c>
      <c r="C516" vm="1523">
        <f ca="1"/>
        <v>119.36</v>
      </c>
      <c r="D516" vm="1524">
        <f ca="1"/>
        <v>34811697</v>
      </c>
      <c r="E516">
        <f t="shared" ca="1" si="56"/>
        <v>118.10444444444445</v>
      </c>
      <c r="F516">
        <f t="shared" ca="1" si="57"/>
        <v>114.90899999999999</v>
      </c>
      <c r="G516">
        <f t="shared" ca="1" si="62"/>
        <v>111.65039999999998</v>
      </c>
      <c r="H516">
        <f t="shared" ca="1" si="61"/>
        <v>107.16801980198022</v>
      </c>
      <c r="I516">
        <f t="shared" ca="1" si="58"/>
        <v>3.4663554347469918</v>
      </c>
      <c r="J516">
        <f t="shared" ca="1" si="59"/>
        <v>107.976289130506</v>
      </c>
      <c r="K516">
        <f t="shared" ca="1" si="60"/>
        <v>121.84171086949398</v>
      </c>
    </row>
    <row r="517" spans="1:11" x14ac:dyDescent="0.25">
      <c r="A517" s="5">
        <f t="shared" ca="1" si="63"/>
        <v>46041</v>
      </c>
      <c r="B517" vm="1525">
        <f ca="1"/>
        <v>46044</v>
      </c>
      <c r="C517" vm="1526">
        <f ca="1"/>
        <v>117.83</v>
      </c>
      <c r="D517" vm="1527">
        <f ca="1"/>
        <v>24547334</v>
      </c>
      <c r="E517">
        <f t="shared" ca="1" si="56"/>
        <v>118.63333333333334</v>
      </c>
      <c r="F517">
        <f t="shared" ca="1" si="57"/>
        <v>115.17049999999999</v>
      </c>
      <c r="G517">
        <f t="shared" ca="1" si="62"/>
        <v>111.95519999999996</v>
      </c>
      <c r="H517">
        <f t="shared" ca="1" si="61"/>
        <v>107.3833663366337</v>
      </c>
      <c r="I517">
        <f t="shared" ca="1" si="58"/>
        <v>3.4802442064950139</v>
      </c>
      <c r="J517">
        <f t="shared" ca="1" si="59"/>
        <v>108.21001158700996</v>
      </c>
      <c r="K517">
        <f t="shared" ca="1" si="60"/>
        <v>122.13098841299002</v>
      </c>
    </row>
    <row r="518" spans="1:11" x14ac:dyDescent="0.25">
      <c r="A518" s="5">
        <f t="shared" ca="1" si="63"/>
        <v>46041</v>
      </c>
      <c r="B518" vm="1528">
        <f ca="1"/>
        <v>46045</v>
      </c>
      <c r="C518" vm="1529">
        <f ca="1"/>
        <v>117.73</v>
      </c>
      <c r="D518" vm="1530">
        <f ca="1"/>
        <v>20806906</v>
      </c>
      <c r="E518">
        <f t="shared" ca="1" si="56"/>
        <v>118.98888888888889</v>
      </c>
      <c r="F518">
        <f t="shared" ca="1" si="57"/>
        <v>115.51200000000001</v>
      </c>
      <c r="G518">
        <f t="shared" ca="1" si="62"/>
        <v>112.26139999999995</v>
      </c>
      <c r="H518">
        <f t="shared" ca="1" si="61"/>
        <v>107.5974257425743</v>
      </c>
      <c r="I518">
        <f t="shared" ca="1" si="58"/>
        <v>3.3725776492172885</v>
      </c>
      <c r="J518">
        <f t="shared" ca="1" si="59"/>
        <v>108.76684470156543</v>
      </c>
      <c r="K518">
        <f t="shared" ca="1" si="60"/>
        <v>122.2571552984346</v>
      </c>
    </row>
    <row r="519" spans="1:11" x14ac:dyDescent="0.25">
      <c r="A519" s="5">
        <f t="shared" ca="1" si="63"/>
        <v>46048</v>
      </c>
      <c r="B519" vm="1531">
        <f ca="1"/>
        <v>46048</v>
      </c>
      <c r="C519" vm="1532">
        <f ca="1"/>
        <v>117.64</v>
      </c>
      <c r="D519" vm="1533">
        <f ca="1"/>
        <v>19552228</v>
      </c>
      <c r="E519">
        <f t="shared" ca="1" si="56"/>
        <v>118.95222222222225</v>
      </c>
      <c r="F519">
        <f t="shared" ca="1" si="57"/>
        <v>115.8135</v>
      </c>
      <c r="G519">
        <f t="shared" ca="1" si="62"/>
        <v>112.54539999999997</v>
      </c>
      <c r="H519">
        <f t="shared" ca="1" si="61"/>
        <v>107.80198019801982</v>
      </c>
      <c r="I519">
        <f t="shared" ca="1" si="58"/>
        <v>3.2734663343473187</v>
      </c>
      <c r="J519">
        <f t="shared" ca="1" si="59"/>
        <v>109.26656733130537</v>
      </c>
      <c r="K519">
        <f t="shared" ca="1" si="60"/>
        <v>122.36043266869464</v>
      </c>
    </row>
    <row r="520" spans="1:11" x14ac:dyDescent="0.25">
      <c r="A520" s="5">
        <f t="shared" ca="1" si="63"/>
        <v>46048</v>
      </c>
      <c r="B520" vm="1534">
        <f ca="1"/>
        <v>46049</v>
      </c>
      <c r="C520" vm="1535">
        <f ca="1"/>
        <v>116.94</v>
      </c>
      <c r="D520" vm="1536">
        <f ca="1"/>
        <v>22968630</v>
      </c>
      <c r="E520">
        <f t="shared" ca="1" si="56"/>
        <v>118.57222222222224</v>
      </c>
      <c r="F520">
        <f t="shared" ca="1" si="57"/>
        <v>116.0735</v>
      </c>
      <c r="G520">
        <f t="shared" ca="1" si="62"/>
        <v>112.81539999999995</v>
      </c>
      <c r="H520">
        <f t="shared" ca="1" si="61"/>
        <v>107.99099009900991</v>
      </c>
      <c r="I520">
        <f t="shared" ca="1" si="58"/>
        <v>3.1365389490563276</v>
      </c>
      <c r="J520">
        <f t="shared" ca="1" si="59"/>
        <v>109.80042210188734</v>
      </c>
      <c r="K520">
        <f t="shared" ca="1" si="60"/>
        <v>122.34657789811266</v>
      </c>
    </row>
    <row r="521" spans="1:11" x14ac:dyDescent="0.25">
      <c r="A521" s="5">
        <f t="shared" ca="1" si="63"/>
        <v>46048</v>
      </c>
      <c r="B521" vm="1537">
        <f ca="1"/>
        <v>46050</v>
      </c>
      <c r="C521" vm="1538">
        <f ca="1"/>
        <v>116.57</v>
      </c>
      <c r="D521" vm="1539">
        <f ca="1"/>
        <v>16341996</v>
      </c>
      <c r="E521">
        <f t="shared" ca="1" si="56"/>
        <v>118.18666666666667</v>
      </c>
      <c r="F521">
        <f t="shared" ca="1" si="57"/>
        <v>116.27550000000001</v>
      </c>
      <c r="G521">
        <f t="shared" ca="1" si="62"/>
        <v>113.09599999999996</v>
      </c>
      <c r="H521">
        <f t="shared" ca="1" si="61"/>
        <v>108.16059405940595</v>
      </c>
      <c r="I521">
        <f t="shared" ca="1" si="58"/>
        <v>3.024406814393092</v>
      </c>
      <c r="J521">
        <f t="shared" ca="1" si="59"/>
        <v>110.22668637121383</v>
      </c>
      <c r="K521">
        <f t="shared" ca="1" si="60"/>
        <v>122.32431362878619</v>
      </c>
    </row>
    <row r="522" spans="1:11" x14ac:dyDescent="0.25">
      <c r="A522" s="5">
        <f t="shared" ca="1" si="63"/>
        <v>46048</v>
      </c>
      <c r="B522" vm="1540">
        <f ca="1"/>
        <v>46051</v>
      </c>
      <c r="C522" vm="1541">
        <f ca="1"/>
        <v>117.41</v>
      </c>
      <c r="D522" vm="1542">
        <f ca="1"/>
        <v>16381111</v>
      </c>
      <c r="E522">
        <f t="shared" ca="1" si="56"/>
        <v>117.98777777777777</v>
      </c>
      <c r="F522">
        <f t="shared" ca="1" si="57"/>
        <v>116.55</v>
      </c>
      <c r="G522">
        <f t="shared" ca="1" si="62"/>
        <v>113.39459999999997</v>
      </c>
      <c r="H522">
        <f t="shared" ca="1" si="61"/>
        <v>108.32376237623762</v>
      </c>
      <c r="I522">
        <f t="shared" ca="1" si="58"/>
        <v>2.8525464155087095</v>
      </c>
      <c r="J522">
        <f t="shared" ca="1" si="59"/>
        <v>110.84490716898257</v>
      </c>
      <c r="K522">
        <f t="shared" ca="1" si="60"/>
        <v>122.25509283101742</v>
      </c>
    </row>
    <row r="523" spans="1:11" x14ac:dyDescent="0.25">
      <c r="A523" s="5">
        <f t="shared" ca="1" si="63"/>
        <v>46048</v>
      </c>
      <c r="B523" vm="1543">
        <f ca="1"/>
        <v>46052</v>
      </c>
      <c r="C523" vm="1544">
        <f ca="1"/>
        <v>119.14</v>
      </c>
      <c r="D523" vm="1545">
        <f ca="1"/>
        <v>22215386</v>
      </c>
      <c r="E523">
        <f t="shared" ref="E523" ca="1" si="64">AVERAGE(C515:C523)</f>
        <v>117.92555555555555</v>
      </c>
      <c r="F523">
        <f t="shared" ref="F523" ca="1" si="65">AVERAGE(C504:C523)</f>
        <v>116.9365</v>
      </c>
      <c r="G523">
        <f t="shared" ref="G523" ca="1" si="66">AVERAGE(C474:C523)</f>
        <v>113.71839999999999</v>
      </c>
      <c r="H523">
        <f t="shared" ref="H523" ca="1" si="67">AVERAGE(C423:C523)</f>
        <v>108.50821782178218</v>
      </c>
      <c r="I523">
        <f t="shared" ref="I523" ca="1" si="68">_xlfn.STDEV.S(C504:C523)</f>
        <v>2.6348300154898645</v>
      </c>
      <c r="J523">
        <f t="shared" ref="J523" ca="1" si="69">F523-2*I523</f>
        <v>111.66683996902026</v>
      </c>
      <c r="K523">
        <f t="shared" ref="K523" ca="1" si="70">F523+2*I523</f>
        <v>122.20616003097973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A7CF-2086-44BB-BA7D-4AD617693DAD}">
  <dimension ref="A1:G120"/>
  <sheetViews>
    <sheetView workbookViewId="0">
      <selection activeCell="R9" sqref="R9"/>
    </sheetView>
  </sheetViews>
  <sheetFormatPr defaultRowHeight="15" x14ac:dyDescent="0.25"/>
  <cols>
    <col min="1" max="2" width="10.42578125" bestFit="1" customWidth="1"/>
  </cols>
  <sheetData>
    <row r="1" spans="1:7" x14ac:dyDescent="0.25">
      <c r="A1" t="s">
        <v>8</v>
      </c>
      <c r="B1" t="s">
        <v>15</v>
      </c>
      <c r="C1" t="s">
        <v>22</v>
      </c>
      <c r="D1" t="s">
        <v>23</v>
      </c>
      <c r="E1" t="s">
        <v>10</v>
      </c>
      <c r="F1" t="s">
        <v>6</v>
      </c>
      <c r="G1" t="s">
        <v>5</v>
      </c>
    </row>
    <row r="2" spans="1:7" x14ac:dyDescent="0.25">
      <c r="A2" s="5">
        <v>45292</v>
      </c>
      <c r="B2">
        <v>52.754449999999999</v>
      </c>
    </row>
    <row r="3" spans="1:7" x14ac:dyDescent="0.25">
      <c r="A3" s="5">
        <v>45299</v>
      </c>
      <c r="B3">
        <v>53.418140000000001</v>
      </c>
    </row>
    <row r="4" spans="1:7" x14ac:dyDescent="0.25">
      <c r="A4" s="5">
        <v>45306</v>
      </c>
      <c r="B4">
        <v>54.0428</v>
      </c>
    </row>
    <row r="5" spans="1:7" x14ac:dyDescent="0.25">
      <c r="A5" s="5">
        <v>45313</v>
      </c>
      <c r="B5">
        <v>54.186140000000002</v>
      </c>
    </row>
    <row r="6" spans="1:7" x14ac:dyDescent="0.25">
      <c r="A6" s="5">
        <v>45320</v>
      </c>
      <c r="B6">
        <v>55.583460000000002</v>
      </c>
    </row>
    <row r="7" spans="1:7" x14ac:dyDescent="0.25">
      <c r="A7" s="5">
        <v>45327</v>
      </c>
      <c r="B7">
        <v>56.432760000000002</v>
      </c>
    </row>
    <row r="8" spans="1:7" x14ac:dyDescent="0.25">
      <c r="A8" s="5">
        <v>45334</v>
      </c>
      <c r="B8">
        <v>56.512079999999997</v>
      </c>
    </row>
    <row r="9" spans="1:7" x14ac:dyDescent="0.25">
      <c r="A9" s="5">
        <v>45341</v>
      </c>
      <c r="B9">
        <v>58.376899999999999</v>
      </c>
    </row>
    <row r="10" spans="1:7" x14ac:dyDescent="0.25">
      <c r="A10" s="5">
        <v>45348</v>
      </c>
      <c r="B10">
        <v>59.235999999999997</v>
      </c>
    </row>
    <row r="11" spans="1:7" x14ac:dyDescent="0.25">
      <c r="A11" s="5">
        <v>45355</v>
      </c>
      <c r="B11">
        <v>60.077999999999996</v>
      </c>
    </row>
    <row r="12" spans="1:7" x14ac:dyDescent="0.25">
      <c r="A12" s="5">
        <v>45362</v>
      </c>
      <c r="B12">
        <v>61.01</v>
      </c>
    </row>
    <row r="13" spans="1:7" x14ac:dyDescent="0.25">
      <c r="A13" s="5">
        <v>45369</v>
      </c>
      <c r="B13">
        <v>61.06</v>
      </c>
    </row>
    <row r="14" spans="1:7" x14ac:dyDescent="0.25">
      <c r="A14" s="5">
        <v>45376</v>
      </c>
      <c r="B14">
        <v>60.4925</v>
      </c>
    </row>
    <row r="15" spans="1:7" x14ac:dyDescent="0.25">
      <c r="A15" s="5">
        <v>45383</v>
      </c>
      <c r="B15">
        <v>59.588000000000001</v>
      </c>
    </row>
    <row r="16" spans="1:7" x14ac:dyDescent="0.25">
      <c r="A16" s="5">
        <v>45390</v>
      </c>
      <c r="B16">
        <v>60.084000000000003</v>
      </c>
    </row>
    <row r="17" spans="1:2" x14ac:dyDescent="0.25">
      <c r="A17" s="5">
        <v>45397</v>
      </c>
      <c r="B17">
        <v>59.642000000000003</v>
      </c>
    </row>
    <row r="18" spans="1:2" x14ac:dyDescent="0.25">
      <c r="A18" s="5">
        <v>45404</v>
      </c>
      <c r="B18">
        <v>59.893999999999998</v>
      </c>
    </row>
    <row r="19" spans="1:2" x14ac:dyDescent="0.25">
      <c r="A19" s="5">
        <v>45411</v>
      </c>
      <c r="B19">
        <v>59.594000000000001</v>
      </c>
    </row>
    <row r="20" spans="1:2" x14ac:dyDescent="0.25">
      <c r="A20" s="5">
        <v>45418</v>
      </c>
      <c r="B20">
        <v>60.341999999999999</v>
      </c>
    </row>
    <row r="21" spans="1:2" x14ac:dyDescent="0.25">
      <c r="A21" s="5">
        <v>45425</v>
      </c>
      <c r="B21">
        <v>61.752000000000002</v>
      </c>
    </row>
    <row r="22" spans="1:2" x14ac:dyDescent="0.25">
      <c r="A22" s="5">
        <v>45432</v>
      </c>
      <c r="B22">
        <v>64.960000000000008</v>
      </c>
    </row>
    <row r="23" spans="1:2" x14ac:dyDescent="0.25">
      <c r="A23" s="5">
        <v>45439</v>
      </c>
      <c r="B23">
        <v>65.152500000000003</v>
      </c>
    </row>
    <row r="24" spans="1:2" x14ac:dyDescent="0.25">
      <c r="A24" s="5">
        <v>45446</v>
      </c>
      <c r="B24">
        <v>66.507999999999996</v>
      </c>
    </row>
    <row r="25" spans="1:2" x14ac:dyDescent="0.25">
      <c r="A25" s="5">
        <v>45453</v>
      </c>
      <c r="B25">
        <v>66.744</v>
      </c>
    </row>
    <row r="26" spans="1:2" x14ac:dyDescent="0.25">
      <c r="A26" s="5">
        <v>45460</v>
      </c>
      <c r="B26">
        <v>67.734999999999999</v>
      </c>
    </row>
    <row r="27" spans="1:2" x14ac:dyDescent="0.25">
      <c r="A27" s="5">
        <v>45467</v>
      </c>
      <c r="B27">
        <v>68.040000000000006</v>
      </c>
    </row>
    <row r="28" spans="1:2" x14ac:dyDescent="0.25">
      <c r="A28" s="5">
        <v>45474</v>
      </c>
      <c r="B28">
        <v>68.457499999999996</v>
      </c>
    </row>
    <row r="29" spans="1:2" x14ac:dyDescent="0.25">
      <c r="A29" s="5">
        <v>45481</v>
      </c>
      <c r="B29">
        <v>69.805999999999997</v>
      </c>
    </row>
    <row r="30" spans="1:2" x14ac:dyDescent="0.25">
      <c r="A30" s="5">
        <v>45488</v>
      </c>
      <c r="B30">
        <v>70.44</v>
      </c>
    </row>
    <row r="31" spans="1:2" x14ac:dyDescent="0.25">
      <c r="A31" s="5">
        <v>45495</v>
      </c>
      <c r="B31">
        <v>70.286000000000001</v>
      </c>
    </row>
    <row r="32" spans="1:2" x14ac:dyDescent="0.25">
      <c r="A32" s="5">
        <v>45502</v>
      </c>
      <c r="B32">
        <v>69.14</v>
      </c>
    </row>
    <row r="33" spans="1:2" x14ac:dyDescent="0.25">
      <c r="A33" s="5">
        <v>45509</v>
      </c>
      <c r="B33">
        <v>67.569999999999993</v>
      </c>
    </row>
    <row r="34" spans="1:2" x14ac:dyDescent="0.25">
      <c r="A34" s="5">
        <v>45516</v>
      </c>
      <c r="B34">
        <v>70.424000000000007</v>
      </c>
    </row>
    <row r="35" spans="1:2" x14ac:dyDescent="0.25">
      <c r="A35" s="5">
        <v>45523</v>
      </c>
      <c r="B35">
        <v>74.956000000000003</v>
      </c>
    </row>
    <row r="36" spans="1:2" x14ac:dyDescent="0.25">
      <c r="A36" s="5">
        <v>45530</v>
      </c>
      <c r="B36">
        <v>76.378</v>
      </c>
    </row>
    <row r="37" spans="1:2" x14ac:dyDescent="0.25">
      <c r="A37" s="5">
        <v>45537</v>
      </c>
      <c r="B37">
        <v>77.002499999999998</v>
      </c>
    </row>
    <row r="38" spans="1:2" x14ac:dyDescent="0.25">
      <c r="A38" s="5">
        <v>45544</v>
      </c>
      <c r="B38">
        <v>79.05</v>
      </c>
    </row>
    <row r="39" spans="1:2" x14ac:dyDescent="0.25">
      <c r="A39" s="5">
        <v>45551</v>
      </c>
      <c r="B39">
        <v>79.058000000000007</v>
      </c>
    </row>
    <row r="40" spans="1:2" x14ac:dyDescent="0.25">
      <c r="A40" s="5">
        <v>45558</v>
      </c>
      <c r="B40">
        <v>80.42</v>
      </c>
    </row>
    <row r="41" spans="1:2" x14ac:dyDescent="0.25">
      <c r="A41" s="5">
        <v>45565</v>
      </c>
      <c r="B41">
        <v>80.763999999999996</v>
      </c>
    </row>
    <row r="42" spans="1:2" x14ac:dyDescent="0.25">
      <c r="A42" s="5">
        <v>45572</v>
      </c>
      <c r="B42">
        <v>79.783999999999992</v>
      </c>
    </row>
    <row r="43" spans="1:2" x14ac:dyDescent="0.25">
      <c r="A43" s="5">
        <v>45579</v>
      </c>
      <c r="B43">
        <v>81.072000000000003</v>
      </c>
    </row>
    <row r="44" spans="1:2" x14ac:dyDescent="0.25">
      <c r="A44" s="5">
        <v>45586</v>
      </c>
      <c r="B44">
        <v>82.33</v>
      </c>
    </row>
    <row r="45" spans="1:2" x14ac:dyDescent="0.25">
      <c r="A45" s="5">
        <v>45593</v>
      </c>
      <c r="B45">
        <v>81.995999999999995</v>
      </c>
    </row>
    <row r="46" spans="1:2" x14ac:dyDescent="0.25">
      <c r="A46" s="5">
        <v>45600</v>
      </c>
      <c r="B46">
        <v>83.65</v>
      </c>
    </row>
    <row r="47" spans="1:2" x14ac:dyDescent="0.25">
      <c r="A47" s="5">
        <v>45607</v>
      </c>
      <c r="B47">
        <v>84.683999999999997</v>
      </c>
    </row>
    <row r="48" spans="1:2" x14ac:dyDescent="0.25">
      <c r="A48" s="5">
        <v>45614</v>
      </c>
      <c r="B48">
        <v>87.337999999999994</v>
      </c>
    </row>
    <row r="49" spans="1:2" x14ac:dyDescent="0.25">
      <c r="A49" s="5">
        <v>45621</v>
      </c>
      <c r="B49">
        <v>91.297499999999999</v>
      </c>
    </row>
    <row r="50" spans="1:2" x14ac:dyDescent="0.25">
      <c r="A50" s="5">
        <v>45628</v>
      </c>
      <c r="B50">
        <v>94.320000000000007</v>
      </c>
    </row>
    <row r="51" spans="1:2" x14ac:dyDescent="0.25">
      <c r="A51" s="5">
        <v>45635</v>
      </c>
      <c r="B51">
        <v>94.335999999999999</v>
      </c>
    </row>
    <row r="52" spans="1:2" x14ac:dyDescent="0.25">
      <c r="A52" s="5">
        <v>45642</v>
      </c>
      <c r="B52">
        <v>93.896000000000001</v>
      </c>
    </row>
    <row r="53" spans="1:2" x14ac:dyDescent="0.25">
      <c r="A53" s="5">
        <v>45649</v>
      </c>
      <c r="B53">
        <v>91.87</v>
      </c>
    </row>
    <row r="54" spans="1:2" x14ac:dyDescent="0.25">
      <c r="A54" s="5">
        <v>45656</v>
      </c>
      <c r="B54">
        <v>90.424999999999997</v>
      </c>
    </row>
    <row r="55" spans="1:2" x14ac:dyDescent="0.25">
      <c r="A55" s="5">
        <v>45663</v>
      </c>
      <c r="B55">
        <v>91.76</v>
      </c>
    </row>
    <row r="56" spans="1:2" x14ac:dyDescent="0.25">
      <c r="A56" s="5">
        <v>45670</v>
      </c>
      <c r="B56">
        <v>91.38</v>
      </c>
    </row>
    <row r="57" spans="1:2" x14ac:dyDescent="0.25">
      <c r="A57" s="5">
        <v>45677</v>
      </c>
      <c r="B57">
        <v>93.72</v>
      </c>
    </row>
    <row r="58" spans="1:2" x14ac:dyDescent="0.25">
      <c r="A58" s="5">
        <v>45684</v>
      </c>
      <c r="B58">
        <v>97.8</v>
      </c>
    </row>
    <row r="59" spans="1:2" x14ac:dyDescent="0.25">
      <c r="A59" s="5">
        <v>45691</v>
      </c>
      <c r="B59">
        <v>101.354</v>
      </c>
    </row>
    <row r="60" spans="1:2" x14ac:dyDescent="0.25">
      <c r="A60" s="5">
        <v>45698</v>
      </c>
      <c r="B60">
        <v>103.61799999999999</v>
      </c>
    </row>
    <row r="61" spans="1:2" x14ac:dyDescent="0.25">
      <c r="A61" s="5">
        <v>45705</v>
      </c>
      <c r="B61">
        <v>99.942499999999995</v>
      </c>
    </row>
    <row r="62" spans="1:2" x14ac:dyDescent="0.25">
      <c r="A62" s="5">
        <v>45712</v>
      </c>
      <c r="B62">
        <v>96.591999999999999</v>
      </c>
    </row>
    <row r="63" spans="1:2" x14ac:dyDescent="0.25">
      <c r="A63" s="5">
        <v>45719</v>
      </c>
      <c r="B63">
        <v>94.98</v>
      </c>
    </row>
    <row r="64" spans="1:2" x14ac:dyDescent="0.25">
      <c r="A64" s="5">
        <v>45726</v>
      </c>
      <c r="B64">
        <v>86.061999999999998</v>
      </c>
    </row>
    <row r="65" spans="1:2" x14ac:dyDescent="0.25">
      <c r="A65" s="5">
        <v>45733</v>
      </c>
      <c r="B65">
        <v>86.233999999999995</v>
      </c>
    </row>
    <row r="66" spans="1:2" x14ac:dyDescent="0.25">
      <c r="A66" s="5">
        <v>45740</v>
      </c>
      <c r="B66">
        <v>85.647999999999996</v>
      </c>
    </row>
    <row r="67" spans="1:2" x14ac:dyDescent="0.25">
      <c r="A67" s="5">
        <v>45747</v>
      </c>
      <c r="B67">
        <v>87.366</v>
      </c>
    </row>
    <row r="68" spans="1:2" x14ac:dyDescent="0.25">
      <c r="A68" s="5">
        <v>45754</v>
      </c>
      <c r="B68">
        <v>87.725999999999999</v>
      </c>
    </row>
    <row r="69" spans="1:2" x14ac:dyDescent="0.25">
      <c r="A69" s="5">
        <v>45761</v>
      </c>
      <c r="B69">
        <v>93.277500000000003</v>
      </c>
    </row>
    <row r="70" spans="1:2" x14ac:dyDescent="0.25">
      <c r="A70" s="5">
        <v>45768</v>
      </c>
      <c r="B70">
        <v>94.63</v>
      </c>
    </row>
    <row r="71" spans="1:2" x14ac:dyDescent="0.25">
      <c r="A71" s="5">
        <v>45775</v>
      </c>
      <c r="B71">
        <v>96.933999999999997</v>
      </c>
    </row>
    <row r="72" spans="1:2" x14ac:dyDescent="0.25">
      <c r="A72" s="5">
        <v>45782</v>
      </c>
      <c r="B72">
        <v>98.171999999999997</v>
      </c>
    </row>
    <row r="73" spans="1:2" x14ac:dyDescent="0.25">
      <c r="A73" s="5">
        <v>45789</v>
      </c>
      <c r="B73">
        <v>96.81</v>
      </c>
    </row>
    <row r="74" spans="1:2" x14ac:dyDescent="0.25">
      <c r="A74" s="5">
        <v>45796</v>
      </c>
      <c r="B74">
        <v>96.924000000000007</v>
      </c>
    </row>
    <row r="75" spans="1:2" x14ac:dyDescent="0.25">
      <c r="A75" s="5">
        <v>45803</v>
      </c>
      <c r="B75">
        <v>97.66</v>
      </c>
    </row>
    <row r="76" spans="1:2" x14ac:dyDescent="0.25">
      <c r="A76" s="5">
        <v>45810</v>
      </c>
      <c r="B76">
        <v>98.905999999999992</v>
      </c>
    </row>
    <row r="77" spans="1:2" x14ac:dyDescent="0.25">
      <c r="A77" s="5">
        <v>45817</v>
      </c>
      <c r="B77">
        <v>95.968000000000004</v>
      </c>
    </row>
    <row r="78" spans="1:2" x14ac:dyDescent="0.25">
      <c r="A78" s="5">
        <v>45824</v>
      </c>
      <c r="B78">
        <v>94.9375</v>
      </c>
    </row>
    <row r="79" spans="1:2" x14ac:dyDescent="0.25">
      <c r="A79" s="5">
        <v>45831</v>
      </c>
      <c r="B79">
        <v>97.284000000000006</v>
      </c>
    </row>
    <row r="80" spans="1:2" x14ac:dyDescent="0.25">
      <c r="A80" s="5">
        <v>45838</v>
      </c>
      <c r="B80">
        <v>97.997500000000002</v>
      </c>
    </row>
    <row r="81" spans="1:2" x14ac:dyDescent="0.25">
      <c r="A81" s="5">
        <v>45845</v>
      </c>
      <c r="B81">
        <v>96.501999999999995</v>
      </c>
    </row>
    <row r="82" spans="1:2" x14ac:dyDescent="0.25">
      <c r="A82" s="5">
        <v>45852</v>
      </c>
      <c r="B82">
        <v>95.292000000000002</v>
      </c>
    </row>
    <row r="83" spans="1:2" x14ac:dyDescent="0.25">
      <c r="A83" s="5">
        <v>45859</v>
      </c>
      <c r="B83">
        <v>96.254000000000005</v>
      </c>
    </row>
    <row r="84" spans="1:2" x14ac:dyDescent="0.25">
      <c r="A84" s="5">
        <v>45866</v>
      </c>
      <c r="B84">
        <v>98</v>
      </c>
    </row>
    <row r="85" spans="1:2" x14ac:dyDescent="0.25">
      <c r="A85" s="5">
        <v>45873</v>
      </c>
      <c r="B85">
        <v>101.822</v>
      </c>
    </row>
    <row r="86" spans="1:2" x14ac:dyDescent="0.25">
      <c r="A86" s="5">
        <v>45880</v>
      </c>
      <c r="B86">
        <v>101.878</v>
      </c>
    </row>
    <row r="87" spans="1:2" x14ac:dyDescent="0.25">
      <c r="A87" s="5">
        <v>45887</v>
      </c>
      <c r="B87">
        <v>99.87</v>
      </c>
    </row>
    <row r="88" spans="1:2" x14ac:dyDescent="0.25">
      <c r="A88" s="5">
        <v>45894</v>
      </c>
      <c r="B88">
        <v>96.257999999999996</v>
      </c>
    </row>
    <row r="89" spans="1:2" x14ac:dyDescent="0.25">
      <c r="A89" s="5">
        <v>45901</v>
      </c>
      <c r="B89">
        <v>99.682500000000005</v>
      </c>
    </row>
    <row r="90" spans="1:2" x14ac:dyDescent="0.25">
      <c r="A90" s="5">
        <v>45908</v>
      </c>
      <c r="B90">
        <v>102.224</v>
      </c>
    </row>
    <row r="91" spans="1:2" x14ac:dyDescent="0.25">
      <c r="A91" s="5">
        <v>45915</v>
      </c>
      <c r="B91">
        <v>103.462</v>
      </c>
    </row>
    <row r="92" spans="1:2" x14ac:dyDescent="0.25">
      <c r="A92" s="5">
        <v>45922</v>
      </c>
      <c r="B92">
        <v>102.85599999999999</v>
      </c>
    </row>
    <row r="93" spans="1:2" x14ac:dyDescent="0.25">
      <c r="A93" s="5">
        <v>45929</v>
      </c>
      <c r="B93">
        <v>102.374</v>
      </c>
    </row>
    <row r="94" spans="1:2" x14ac:dyDescent="0.25">
      <c r="A94" s="5">
        <v>45936</v>
      </c>
      <c r="B94">
        <v>102.49</v>
      </c>
    </row>
    <row r="95" spans="1:2" x14ac:dyDescent="0.25">
      <c r="A95" s="5">
        <v>45943</v>
      </c>
      <c r="B95">
        <v>106.512</v>
      </c>
    </row>
    <row r="96" spans="1:2" x14ac:dyDescent="0.25">
      <c r="A96" s="5">
        <v>45950</v>
      </c>
      <c r="B96">
        <v>106.688</v>
      </c>
    </row>
    <row r="97" spans="1:7" x14ac:dyDescent="0.25">
      <c r="A97" s="5">
        <v>45957</v>
      </c>
      <c r="B97">
        <v>102.702</v>
      </c>
    </row>
    <row r="98" spans="1:7" x14ac:dyDescent="0.25">
      <c r="A98" s="5">
        <v>45964</v>
      </c>
      <c r="B98">
        <v>101.92</v>
      </c>
    </row>
    <row r="99" spans="1:7" x14ac:dyDescent="0.25">
      <c r="A99" s="5">
        <v>45971</v>
      </c>
      <c r="B99">
        <v>102.864</v>
      </c>
    </row>
    <row r="100" spans="1:7" x14ac:dyDescent="0.25">
      <c r="A100" s="5">
        <v>45978</v>
      </c>
      <c r="B100">
        <v>103.476</v>
      </c>
    </row>
    <row r="101" spans="1:7" x14ac:dyDescent="0.25">
      <c r="A101" s="5">
        <v>45985</v>
      </c>
      <c r="B101">
        <v>107.6675</v>
      </c>
    </row>
    <row r="102" spans="1:7" x14ac:dyDescent="0.25">
      <c r="A102" s="5">
        <v>45992</v>
      </c>
      <c r="B102">
        <v>113.66</v>
      </c>
    </row>
    <row r="103" spans="1:7" x14ac:dyDescent="0.25">
      <c r="A103" s="5">
        <v>45999</v>
      </c>
      <c r="B103">
        <v>114.804</v>
      </c>
    </row>
    <row r="104" spans="1:7" x14ac:dyDescent="0.25">
      <c r="A104" s="5">
        <v>46006</v>
      </c>
      <c r="B104">
        <v>115.41200000000001</v>
      </c>
    </row>
    <row r="105" spans="1:7" x14ac:dyDescent="0.25">
      <c r="A105" s="5">
        <v>46013</v>
      </c>
      <c r="B105">
        <v>111.71250000000001</v>
      </c>
    </row>
    <row r="106" spans="1:7" x14ac:dyDescent="0.25">
      <c r="A106" s="5">
        <v>46020</v>
      </c>
      <c r="C106">
        <v>112.155</v>
      </c>
      <c r="D106">
        <f>_xlfn.FORECAST.ETS(MondayStart[[#This Row],[Week ]],B2:B105,A2:A105,1,1,1)</f>
        <v>112.93713185259743</v>
      </c>
      <c r="E106">
        <f>_xlfn.FORECAST.ETS.CONFINT(MondayStart[[#This Row],[Week ]],B2:B105,A2:A105,0.95,1,1,1)</f>
        <v>4.3356989892087547</v>
      </c>
      <c r="F106">
        <f t="shared" ref="F106:F120" si="0">D106-E106</f>
        <v>108.60143286338868</v>
      </c>
      <c r="G106">
        <f>MondayStart[[#This Row],[Forecast]]+MondayStart[[#This Row],[CI/PI]]</f>
        <v>117.27283084180618</v>
      </c>
    </row>
    <row r="107" spans="1:7" x14ac:dyDescent="0.25">
      <c r="A107" s="5">
        <v>46027</v>
      </c>
      <c r="C107">
        <v>113.474</v>
      </c>
      <c r="D107">
        <f>_xlfn.FORECAST.ETS(MondayStart[[#This Row],[Week ]],B3:B106,A3:A106,1,1,1)</f>
        <v>113.13473761150379</v>
      </c>
      <c r="E107">
        <f>_xlfn.FORECAST.ETS.CONFINT(MondayStart[[#This Row],[Week ]],B3:B106,A3:A106,0.95,1,1,1)</f>
        <v>6.1913577430414497</v>
      </c>
      <c r="F107">
        <f t="shared" si="0"/>
        <v>106.94337986846234</v>
      </c>
      <c r="G107">
        <f>MondayStart[[#This Row],[Forecast]]+MondayStart[[#This Row],[CI/PI]]</f>
        <v>119.32609535454525</v>
      </c>
    </row>
    <row r="108" spans="1:7" x14ac:dyDescent="0.25">
      <c r="A108" s="5">
        <v>46034</v>
      </c>
      <c r="C108">
        <v>119.45400000000001</v>
      </c>
      <c r="D108">
        <f>_xlfn.FORECAST.ETS(MondayStart[[#This Row],[Week ]],B4:B107,A4:A107,1,1,1)</f>
        <v>113.36758660713444</v>
      </c>
      <c r="E108">
        <f>_xlfn.FORECAST.ETS.CONFINT(MondayStart[[#This Row],[Week ]],B4:B107,A4:A107,0.95,1,1,1)</f>
        <v>7.5632649195731467</v>
      </c>
      <c r="F108">
        <f t="shared" si="0"/>
        <v>105.8043216875613</v>
      </c>
      <c r="G108">
        <f>MondayStart[[#This Row],[Forecast]]+MondayStart[[#This Row],[CI/PI]]</f>
        <v>120.93085152670758</v>
      </c>
    </row>
    <row r="109" spans="1:7" x14ac:dyDescent="0.25">
      <c r="A109" s="5">
        <v>46041</v>
      </c>
      <c r="C109">
        <v>118.4075</v>
      </c>
      <c r="D109">
        <f>_xlfn.FORECAST.ETS(MondayStart[[#This Row],[Week ]],B5:B108,A5:A108,1,1,1)</f>
        <v>114.26202566219585</v>
      </c>
      <c r="E109">
        <f>_xlfn.FORECAST.ETS.CONFINT(MondayStart[[#This Row],[Week ]],B5:B108,A5:A108,0.95,1,1,1)</f>
        <v>8.6186151069491199</v>
      </c>
      <c r="F109">
        <f t="shared" si="0"/>
        <v>105.64341055524673</v>
      </c>
      <c r="G109">
        <f>MondayStart[[#This Row],[Forecast]]+MondayStart[[#This Row],[CI/PI]]</f>
        <v>122.88064076914497</v>
      </c>
    </row>
    <row r="110" spans="1:7" x14ac:dyDescent="0.25">
      <c r="A110" s="5">
        <v>46048</v>
      </c>
      <c r="C110">
        <v>117.53999999999999</v>
      </c>
      <c r="D110">
        <f>_xlfn.FORECAST.ETS(MondayStart[[#This Row],[Week ]],B6:B109,A6:A109,1,1,1)</f>
        <v>115.9561471383491</v>
      </c>
      <c r="E110">
        <f>_xlfn.FORECAST.ETS.CONFINT(MondayStart[[#This Row],[Week ]],B6:B109,A6:A109,0.95,1,1,1)</f>
        <v>8.2839809878839166</v>
      </c>
      <c r="F110">
        <f t="shared" si="0"/>
        <v>107.67216615046517</v>
      </c>
      <c r="G110">
        <f>MondayStart[[#This Row],[Forecast]]+MondayStart[[#This Row],[CI/PI]]</f>
        <v>124.24012812623302</v>
      </c>
    </row>
    <row r="111" spans="1:7" x14ac:dyDescent="0.25">
      <c r="A111" s="5">
        <v>46055</v>
      </c>
      <c r="D111">
        <f>_xlfn.FORECAST.ETS(MondayStart[[#This Row],[Week ]],B7:B110,A7:A110,1,1,1)</f>
        <v>116.43985181567326</v>
      </c>
      <c r="E111">
        <f>_xlfn.FORECAST.ETS.CONFINT(MondayStart[[#This Row],[Week ]],B7:B110,A7:A110,0.95,1,1,1)</f>
        <v>9.2081239840604656</v>
      </c>
      <c r="F111">
        <f t="shared" si="0"/>
        <v>107.2317278316128</v>
      </c>
      <c r="G111">
        <f>MondayStart[[#This Row],[Forecast]]+MondayStart[[#This Row],[CI/PI]]</f>
        <v>125.64797579973373</v>
      </c>
    </row>
    <row r="112" spans="1:7" x14ac:dyDescent="0.25">
      <c r="A112" s="5">
        <v>46062</v>
      </c>
      <c r="D112">
        <f>_xlfn.FORECAST.ETS(MondayStart[[#This Row],[Week ]],B8:B111,A8:A111,1,1,1)</f>
        <v>115.96424727692512</v>
      </c>
      <c r="E112">
        <f>_xlfn.FORECAST.ETS.CONFINT(MondayStart[[#This Row],[Week ]],B8:B111,A8:A111,0.95,1,1,1)</f>
        <v>10.636410676577604</v>
      </c>
      <c r="F112">
        <f t="shared" si="0"/>
        <v>105.32783660034752</v>
      </c>
      <c r="G112">
        <f>MondayStart[[#This Row],[Forecast]]+MondayStart[[#This Row],[CI/PI]]</f>
        <v>126.60065795350272</v>
      </c>
    </row>
    <row r="113" spans="1:7" x14ac:dyDescent="0.25">
      <c r="A113" s="5">
        <v>46069</v>
      </c>
      <c r="D113">
        <f>_xlfn.FORECAST.ETS(MondayStart[[#This Row],[Week ]],B9:B112,A9:A112,1,1,1)</f>
        <v>116.48449767458024</v>
      </c>
      <c r="E113">
        <f>_xlfn.FORECAST.ETS.CONFINT(MondayStart[[#This Row],[Week ]],B9:B112,A9:A112,0.95,1,1,1)</f>
        <v>11.390875730136658</v>
      </c>
      <c r="F113">
        <f t="shared" si="0"/>
        <v>105.09362194444358</v>
      </c>
      <c r="G113">
        <f>MondayStart[[#This Row],[Forecast]]+MondayStart[[#This Row],[CI/PI]]</f>
        <v>127.8753734047169</v>
      </c>
    </row>
    <row r="114" spans="1:7" x14ac:dyDescent="0.25">
      <c r="A114" s="5">
        <v>46076</v>
      </c>
      <c r="D114">
        <f>_xlfn.FORECAST.ETS(MondayStart[[#This Row],[Week ]],B10:B113,A10:A113,1,1,1)</f>
        <v>117.0132721383017</v>
      </c>
      <c r="E114">
        <f>_xlfn.FORECAST.ETS.CONFINT(MondayStart[[#This Row],[Week ]],B10:B113,A10:A113,0.95,1,1,1)</f>
        <v>12.130615845445449</v>
      </c>
      <c r="F114">
        <f t="shared" si="0"/>
        <v>104.88265629285625</v>
      </c>
      <c r="G114">
        <f>MondayStart[[#This Row],[Forecast]]+MondayStart[[#This Row],[CI/PI]]</f>
        <v>129.14388798374716</v>
      </c>
    </row>
    <row r="115" spans="1:7" x14ac:dyDescent="0.25">
      <c r="A115" s="5">
        <v>46083</v>
      </c>
      <c r="D115">
        <f>_xlfn.FORECAST.ETS(MondayStart[[#This Row],[Week ]],B11:B114,A11:A114,1,1,1)</f>
        <v>117.5400179297917</v>
      </c>
      <c r="E115">
        <f>_xlfn.FORECAST.ETS.CONFINT(MondayStart[[#This Row],[Week ]],B11:B114,A11:A114,0.95,1,1,1)</f>
        <v>12.843259048971277</v>
      </c>
      <c r="F115">
        <f t="shared" si="0"/>
        <v>104.69675888082043</v>
      </c>
      <c r="G115">
        <f>MondayStart[[#This Row],[Forecast]]+MondayStart[[#This Row],[CI/PI]]</f>
        <v>130.38327697876298</v>
      </c>
    </row>
    <row r="116" spans="1:7" x14ac:dyDescent="0.25">
      <c r="A116" s="5">
        <v>46090</v>
      </c>
      <c r="D116">
        <f>_xlfn.FORECAST.ETS(MondayStart[[#This Row],[Week ]],B12:B115,A12:A115,1,1,1)</f>
        <v>118.063918264394</v>
      </c>
      <c r="E116">
        <f>_xlfn.FORECAST.ETS.CONFINT(MondayStart[[#This Row],[Week ]],B12:B115,A12:A115,0.95,1,1,1)</f>
        <v>13.533513031348587</v>
      </c>
      <c r="F116">
        <f t="shared" si="0"/>
        <v>104.53040523304541</v>
      </c>
      <c r="G116">
        <f>MondayStart[[#This Row],[Forecast]]+MondayStart[[#This Row],[CI/PI]]</f>
        <v>131.59743129574258</v>
      </c>
    </row>
    <row r="117" spans="1:7" x14ac:dyDescent="0.25">
      <c r="A117" s="5">
        <v>46097</v>
      </c>
      <c r="D117">
        <f>_xlfn.FORECAST.ETS(MondayStart[[#This Row],[Week ]],B13:B116,A13:A116,1,1,1)</f>
        <v>118.59765795109075</v>
      </c>
      <c r="E117">
        <f>_xlfn.FORECAST.ETS.CONFINT(MondayStart[[#This Row],[Week ]],B13:B116,A13:A116,0.95,1,1,1)</f>
        <v>14.201284930051951</v>
      </c>
      <c r="F117">
        <f t="shared" si="0"/>
        <v>104.3963730210388</v>
      </c>
      <c r="G117">
        <f>MondayStart[[#This Row],[Forecast]]+MondayStart[[#This Row],[CI/PI]]</f>
        <v>132.79894288114269</v>
      </c>
    </row>
    <row r="118" spans="1:7" x14ac:dyDescent="0.25">
      <c r="A118" s="5">
        <v>46104</v>
      </c>
      <c r="D118">
        <f>_xlfn.FORECAST.ETS(MondayStart[[#This Row],[Week ]],B14:B117,A14:A117,1,1,1)</f>
        <v>119.13369791710195</v>
      </c>
      <c r="E118">
        <f>_xlfn.FORECAST.ETS.CONFINT(MondayStart[[#This Row],[Week ]],B14:B117,A14:A117,0.95,1,1,1)</f>
        <v>14.834767916565271</v>
      </c>
      <c r="F118">
        <f t="shared" si="0"/>
        <v>104.29893000053669</v>
      </c>
      <c r="G118">
        <f>MondayStart[[#This Row],[Forecast]]+MondayStart[[#This Row],[CI/PI]]</f>
        <v>133.96846583366724</v>
      </c>
    </row>
    <row r="119" spans="1:7" x14ac:dyDescent="0.25">
      <c r="A119" s="5">
        <v>46111</v>
      </c>
      <c r="D119">
        <f>_xlfn.FORECAST.ETS(MondayStart[[#This Row],[Week ]],B15:B118,A15:A118,1,1,1)</f>
        <v>119.66255383117998</v>
      </c>
      <c r="E119">
        <f>_xlfn.FORECAST.ETS.CONFINT(MondayStart[[#This Row],[Week ]],B15:B118,A15:A118,0.95,1,1,1)</f>
        <v>15.443901679921003</v>
      </c>
      <c r="F119">
        <f t="shared" si="0"/>
        <v>104.21865215125898</v>
      </c>
      <c r="G119">
        <f>MondayStart[[#This Row],[Forecast]]+MondayStart[[#This Row],[CI/PI]]</f>
        <v>135.10645551110099</v>
      </c>
    </row>
    <row r="120" spans="1:7" x14ac:dyDescent="0.25">
      <c r="A120" s="5">
        <v>46118</v>
      </c>
      <c r="D120">
        <f>_xlfn.FORECAST.ETS(MondayStart[[#This Row],[Week ]],B16:B119,A16:A119,1,1,1)</f>
        <v>120.15177943346544</v>
      </c>
      <c r="E120">
        <f>_xlfn.FORECAST.ETS.CONFINT(MondayStart[[#This Row],[Week ]],B16:B119,A16:A119,0.95,1,1,1)</f>
        <v>16.075060392706636</v>
      </c>
      <c r="F120">
        <f t="shared" si="0"/>
        <v>104.0767190407588</v>
      </c>
      <c r="G120">
        <f>MondayStart[[#This Row],[Forecast]]+MondayStart[[#This Row],[CI/PI]]</f>
        <v>136.22683982617207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733C-C268-4194-B48D-4218A1DB9067}">
  <dimension ref="A1:B523"/>
  <sheetViews>
    <sheetView workbookViewId="0">
      <selection sqref="A1:B523"/>
    </sheetView>
  </sheetViews>
  <sheetFormatPr defaultRowHeight="15" x14ac:dyDescent="0.25"/>
  <cols>
    <col min="1" max="1" width="10.42578125" style="7" bestFit="1" customWidth="1"/>
  </cols>
  <sheetData>
    <row r="1" spans="1:2" x14ac:dyDescent="0.25">
      <c r="A1" s="7" t="s">
        <v>8</v>
      </c>
      <c r="B1" t="s">
        <v>9</v>
      </c>
    </row>
    <row r="2" spans="1:2" x14ac:dyDescent="0.25">
      <c r="A2" s="7">
        <v>45292</v>
      </c>
      <c r="B2" vm="2">
        <v>53.0961</v>
      </c>
    </row>
    <row r="3" spans="1:2" x14ac:dyDescent="0.25">
      <c r="A3" s="7">
        <v>45292</v>
      </c>
      <c r="B3" vm="5">
        <v>53.099499999999999</v>
      </c>
    </row>
    <row r="4" spans="1:2" x14ac:dyDescent="0.25">
      <c r="A4" s="7">
        <v>45292</v>
      </c>
      <c r="B4" vm="8">
        <v>52.586100000000002</v>
      </c>
    </row>
    <row r="5" spans="1:2" x14ac:dyDescent="0.25">
      <c r="A5" s="7">
        <v>45292</v>
      </c>
      <c r="B5" vm="11">
        <v>52.2361</v>
      </c>
    </row>
    <row r="6" spans="1:2" x14ac:dyDescent="0.25">
      <c r="A6" s="7">
        <v>45299</v>
      </c>
      <c r="B6" vm="14">
        <v>52.749499999999998</v>
      </c>
    </row>
    <row r="7" spans="1:2" x14ac:dyDescent="0.25">
      <c r="A7" s="7">
        <v>45299</v>
      </c>
      <c r="B7" vm="17">
        <v>53.102800000000002</v>
      </c>
    </row>
    <row r="8" spans="1:2" x14ac:dyDescent="0.25">
      <c r="A8" s="7">
        <v>45299</v>
      </c>
      <c r="B8" vm="20">
        <v>53.762799999999999</v>
      </c>
    </row>
    <row r="9" spans="1:2" x14ac:dyDescent="0.25">
      <c r="A9" s="7">
        <v>45299</v>
      </c>
      <c r="B9" vm="23">
        <v>53.702800000000003</v>
      </c>
    </row>
    <row r="10" spans="1:2" x14ac:dyDescent="0.25">
      <c r="A10" s="7">
        <v>45299</v>
      </c>
      <c r="B10" vm="26">
        <v>53.772799999999997</v>
      </c>
    </row>
    <row r="11" spans="1:2" x14ac:dyDescent="0.25">
      <c r="A11" s="7">
        <v>45306</v>
      </c>
      <c r="B11" vm="29">
        <v>53.942799999999998</v>
      </c>
    </row>
    <row r="12" spans="1:2" x14ac:dyDescent="0.25">
      <c r="A12" s="7">
        <v>45306</v>
      </c>
      <c r="B12" vm="32">
        <v>53.689500000000002</v>
      </c>
    </row>
    <row r="13" spans="1:2" x14ac:dyDescent="0.25">
      <c r="A13" s="7">
        <v>45306</v>
      </c>
      <c r="B13" vm="35">
        <v>54.412799999999997</v>
      </c>
    </row>
    <row r="14" spans="1:2" x14ac:dyDescent="0.25">
      <c r="A14" s="7">
        <v>45306</v>
      </c>
      <c r="B14" vm="38">
        <v>54.126100000000001</v>
      </c>
    </row>
    <row r="15" spans="1:2" x14ac:dyDescent="0.25">
      <c r="A15" s="7">
        <v>45313</v>
      </c>
      <c r="B15" vm="41">
        <v>54.1295</v>
      </c>
    </row>
    <row r="16" spans="1:2" x14ac:dyDescent="0.25">
      <c r="A16" s="7">
        <v>45313</v>
      </c>
      <c r="B16" vm="44">
        <v>54.266100000000002</v>
      </c>
    </row>
    <row r="17" spans="1:2" x14ac:dyDescent="0.25">
      <c r="A17" s="7">
        <v>45313</v>
      </c>
      <c r="B17" vm="47">
        <v>53.499499999999998</v>
      </c>
    </row>
    <row r="18" spans="1:2" x14ac:dyDescent="0.25">
      <c r="A18" s="7">
        <v>45313</v>
      </c>
      <c r="B18" vm="50">
        <v>54.279499999999999</v>
      </c>
    </row>
    <row r="19" spans="1:2" x14ac:dyDescent="0.25">
      <c r="A19" s="7">
        <v>45313</v>
      </c>
      <c r="B19" vm="53">
        <v>54.756100000000004</v>
      </c>
    </row>
    <row r="20" spans="1:2" x14ac:dyDescent="0.25">
      <c r="A20" s="7">
        <v>45320</v>
      </c>
      <c r="B20" vm="56">
        <v>55.012799999999999</v>
      </c>
    </row>
    <row r="21" spans="1:2" x14ac:dyDescent="0.25">
      <c r="A21" s="7">
        <v>45320</v>
      </c>
      <c r="B21" vm="59">
        <v>55.196100000000001</v>
      </c>
    </row>
    <row r="22" spans="1:2" x14ac:dyDescent="0.25">
      <c r="A22" s="7">
        <v>45320</v>
      </c>
      <c r="B22" vm="62">
        <v>55.082799999999999</v>
      </c>
    </row>
    <row r="23" spans="1:2" x14ac:dyDescent="0.25">
      <c r="A23" s="7">
        <v>45320</v>
      </c>
      <c r="B23" vm="65">
        <v>56.102800000000002</v>
      </c>
    </row>
    <row r="24" spans="1:2" x14ac:dyDescent="0.25">
      <c r="A24" s="7">
        <v>45320</v>
      </c>
      <c r="B24" vm="68">
        <v>56.522799999999997</v>
      </c>
    </row>
    <row r="25" spans="1:2" x14ac:dyDescent="0.25">
      <c r="A25" s="7">
        <v>45327</v>
      </c>
      <c r="B25" vm="71">
        <v>56.2194</v>
      </c>
    </row>
    <row r="26" spans="1:2" x14ac:dyDescent="0.25">
      <c r="A26" s="7">
        <v>45327</v>
      </c>
      <c r="B26" vm="74">
        <v>56.602800000000002</v>
      </c>
    </row>
    <row r="27" spans="1:2" x14ac:dyDescent="0.25">
      <c r="A27" s="7">
        <v>45327</v>
      </c>
      <c r="B27" vm="77">
        <v>56.459400000000002</v>
      </c>
    </row>
    <row r="28" spans="1:2" x14ac:dyDescent="0.25">
      <c r="A28" s="7">
        <v>45327</v>
      </c>
      <c r="B28" vm="80">
        <v>56.456099999999999</v>
      </c>
    </row>
    <row r="29" spans="1:2" x14ac:dyDescent="0.25">
      <c r="A29" s="7">
        <v>45327</v>
      </c>
      <c r="B29" vm="83">
        <v>56.426099999999998</v>
      </c>
    </row>
    <row r="30" spans="1:2" x14ac:dyDescent="0.25">
      <c r="A30" s="7">
        <v>45334</v>
      </c>
      <c r="B30" vm="86">
        <v>56.766100000000002</v>
      </c>
    </row>
    <row r="31" spans="1:2" x14ac:dyDescent="0.25">
      <c r="A31" s="7">
        <v>45334</v>
      </c>
      <c r="B31" vm="89">
        <v>56.379399999999997</v>
      </c>
    </row>
    <row r="32" spans="1:2" x14ac:dyDescent="0.25">
      <c r="A32" s="7">
        <v>45334</v>
      </c>
      <c r="B32" vm="92">
        <v>56.199399999999997</v>
      </c>
    </row>
    <row r="33" spans="1:2" x14ac:dyDescent="0.25">
      <c r="A33" s="7">
        <v>45334</v>
      </c>
      <c r="B33" vm="95">
        <v>56.429400000000001</v>
      </c>
    </row>
    <row r="34" spans="1:2" x14ac:dyDescent="0.25">
      <c r="A34" s="7">
        <v>45334</v>
      </c>
      <c r="B34" vm="98">
        <v>56.786099999999998</v>
      </c>
    </row>
    <row r="35" spans="1:2" x14ac:dyDescent="0.25">
      <c r="A35" s="7">
        <v>45341</v>
      </c>
      <c r="B35" vm="101">
        <v>58.619399999999999</v>
      </c>
    </row>
    <row r="36" spans="1:2" x14ac:dyDescent="0.25">
      <c r="A36" s="7">
        <v>45341</v>
      </c>
      <c r="B36" vm="104">
        <v>57.8994</v>
      </c>
    </row>
    <row r="37" spans="1:2" x14ac:dyDescent="0.25">
      <c r="A37" s="7">
        <v>45341</v>
      </c>
      <c r="B37" vm="107">
        <v>58.4694</v>
      </c>
    </row>
    <row r="38" spans="1:2" x14ac:dyDescent="0.25">
      <c r="A38" s="7">
        <v>45341</v>
      </c>
      <c r="B38" vm="110">
        <v>58.519399999999997</v>
      </c>
    </row>
    <row r="39" spans="1:2" x14ac:dyDescent="0.25">
      <c r="A39" s="7">
        <v>45348</v>
      </c>
      <c r="B39" vm="113">
        <v>59.6</v>
      </c>
    </row>
    <row r="40" spans="1:2" x14ac:dyDescent="0.25">
      <c r="A40" s="7">
        <v>45348</v>
      </c>
      <c r="B40" vm="116">
        <v>59.59</v>
      </c>
    </row>
    <row r="41" spans="1:2" x14ac:dyDescent="0.25">
      <c r="A41" s="7">
        <v>45348</v>
      </c>
      <c r="B41" vm="119">
        <v>59.62</v>
      </c>
    </row>
    <row r="42" spans="1:2" x14ac:dyDescent="0.25">
      <c r="A42" s="7">
        <v>45348</v>
      </c>
      <c r="B42" vm="122">
        <v>58.61</v>
      </c>
    </row>
    <row r="43" spans="1:2" x14ac:dyDescent="0.25">
      <c r="A43" s="7">
        <v>45348</v>
      </c>
      <c r="B43" vm="125">
        <v>58.76</v>
      </c>
    </row>
    <row r="44" spans="1:2" x14ac:dyDescent="0.25">
      <c r="A44" s="7">
        <v>45355</v>
      </c>
      <c r="B44" vm="128">
        <v>59.3</v>
      </c>
    </row>
    <row r="45" spans="1:2" x14ac:dyDescent="0.25">
      <c r="A45" s="7">
        <v>45355</v>
      </c>
      <c r="B45" vm="131">
        <v>60.04</v>
      </c>
    </row>
    <row r="46" spans="1:2" x14ac:dyDescent="0.25">
      <c r="A46" s="7">
        <v>45355</v>
      </c>
      <c r="B46" vm="134">
        <v>60.57</v>
      </c>
    </row>
    <row r="47" spans="1:2" x14ac:dyDescent="0.25">
      <c r="A47" s="7">
        <v>45355</v>
      </c>
      <c r="B47" vm="137">
        <v>60.36</v>
      </c>
    </row>
    <row r="48" spans="1:2" x14ac:dyDescent="0.25">
      <c r="A48" s="7">
        <v>45355</v>
      </c>
      <c r="B48" vm="140">
        <v>60.12</v>
      </c>
    </row>
    <row r="49" spans="1:2" x14ac:dyDescent="0.25">
      <c r="A49" s="7">
        <v>45362</v>
      </c>
      <c r="B49" vm="143">
        <v>60.66</v>
      </c>
    </row>
    <row r="50" spans="1:2" x14ac:dyDescent="0.25">
      <c r="A50" s="7">
        <v>45362</v>
      </c>
      <c r="B50" vm="146">
        <v>61.41</v>
      </c>
    </row>
    <row r="51" spans="1:2" x14ac:dyDescent="0.25">
      <c r="A51" s="7">
        <v>45362</v>
      </c>
      <c r="B51" vm="149">
        <v>61.28</v>
      </c>
    </row>
    <row r="52" spans="1:2" x14ac:dyDescent="0.25">
      <c r="A52" s="7">
        <v>45362</v>
      </c>
      <c r="B52" vm="152">
        <v>61.02</v>
      </c>
    </row>
    <row r="53" spans="1:2" x14ac:dyDescent="0.25">
      <c r="A53" s="7">
        <v>45362</v>
      </c>
      <c r="B53" vm="155">
        <v>60.68</v>
      </c>
    </row>
    <row r="54" spans="1:2" x14ac:dyDescent="0.25">
      <c r="A54" s="7">
        <v>45369</v>
      </c>
      <c r="B54" vm="158">
        <v>60.86</v>
      </c>
    </row>
    <row r="55" spans="1:2" x14ac:dyDescent="0.25">
      <c r="A55" s="7">
        <v>45369</v>
      </c>
      <c r="B55" vm="161">
        <v>60.87</v>
      </c>
    </row>
    <row r="56" spans="1:2" x14ac:dyDescent="0.25">
      <c r="A56" s="7">
        <v>45369</v>
      </c>
      <c r="B56" vm="164">
        <v>61.25</v>
      </c>
    </row>
    <row r="57" spans="1:2" x14ac:dyDescent="0.25">
      <c r="A57" s="7">
        <v>45369</v>
      </c>
      <c r="B57" vm="167">
        <v>61.45</v>
      </c>
    </row>
    <row r="58" spans="1:2" x14ac:dyDescent="0.25">
      <c r="A58" s="7">
        <v>45369</v>
      </c>
      <c r="B58" vm="161">
        <v>60.87</v>
      </c>
    </row>
    <row r="59" spans="1:2" x14ac:dyDescent="0.25">
      <c r="A59" s="7">
        <v>45376</v>
      </c>
      <c r="B59" vm="134">
        <v>60.57</v>
      </c>
    </row>
    <row r="60" spans="1:2" x14ac:dyDescent="0.25">
      <c r="A60" s="7">
        <v>45376</v>
      </c>
      <c r="B60" vm="174">
        <v>60.51</v>
      </c>
    </row>
    <row r="61" spans="1:2" x14ac:dyDescent="0.25">
      <c r="A61" s="7">
        <v>45376</v>
      </c>
      <c r="B61" vm="177">
        <v>60.72</v>
      </c>
    </row>
    <row r="62" spans="1:2" x14ac:dyDescent="0.25">
      <c r="A62" s="7">
        <v>45376</v>
      </c>
      <c r="B62" vm="180">
        <v>60.17</v>
      </c>
    </row>
    <row r="63" spans="1:2" x14ac:dyDescent="0.25">
      <c r="A63" s="7">
        <v>45383</v>
      </c>
      <c r="B63" vm="183">
        <v>60</v>
      </c>
    </row>
    <row r="64" spans="1:2" x14ac:dyDescent="0.25">
      <c r="A64" s="7">
        <v>45383</v>
      </c>
      <c r="B64" vm="186">
        <v>59.16</v>
      </c>
    </row>
    <row r="65" spans="1:2" x14ac:dyDescent="0.25">
      <c r="A65" s="7">
        <v>45383</v>
      </c>
      <c r="B65" vm="189">
        <v>59.43</v>
      </c>
    </row>
    <row r="66" spans="1:2" x14ac:dyDescent="0.25">
      <c r="A66" s="7">
        <v>45383</v>
      </c>
      <c r="B66" vm="192">
        <v>59.5</v>
      </c>
    </row>
    <row r="67" spans="1:2" x14ac:dyDescent="0.25">
      <c r="A67" s="7">
        <v>45383</v>
      </c>
      <c r="B67" vm="195">
        <v>59.85</v>
      </c>
    </row>
    <row r="68" spans="1:2" x14ac:dyDescent="0.25">
      <c r="A68" s="7">
        <v>45390</v>
      </c>
      <c r="B68" vm="198">
        <v>59.78</v>
      </c>
    </row>
    <row r="69" spans="1:2" x14ac:dyDescent="0.25">
      <c r="A69" s="7">
        <v>45390</v>
      </c>
      <c r="B69" vm="201">
        <v>59.79</v>
      </c>
    </row>
    <row r="70" spans="1:2" x14ac:dyDescent="0.25">
      <c r="A70" s="7">
        <v>45390</v>
      </c>
      <c r="B70" vm="204">
        <v>60.62</v>
      </c>
    </row>
    <row r="71" spans="1:2" x14ac:dyDescent="0.25">
      <c r="A71" s="7">
        <v>45390</v>
      </c>
      <c r="B71" vm="207">
        <v>60.09</v>
      </c>
    </row>
    <row r="72" spans="1:2" x14ac:dyDescent="0.25">
      <c r="A72" s="7">
        <v>45390</v>
      </c>
      <c r="B72" vm="210">
        <v>60.14</v>
      </c>
    </row>
    <row r="73" spans="1:2" x14ac:dyDescent="0.25">
      <c r="A73" s="7">
        <v>45397</v>
      </c>
      <c r="B73" vm="213">
        <v>59.93</v>
      </c>
    </row>
    <row r="74" spans="1:2" x14ac:dyDescent="0.25">
      <c r="A74" s="7">
        <v>45397</v>
      </c>
      <c r="B74" vm="216">
        <v>59.84</v>
      </c>
    </row>
    <row r="75" spans="1:2" x14ac:dyDescent="0.25">
      <c r="A75" s="7">
        <v>45397</v>
      </c>
      <c r="B75" vm="219">
        <v>59.65</v>
      </c>
    </row>
    <row r="76" spans="1:2" x14ac:dyDescent="0.25">
      <c r="A76" s="7">
        <v>45397</v>
      </c>
      <c r="B76" vm="222">
        <v>59.26</v>
      </c>
    </row>
    <row r="77" spans="1:2" x14ac:dyDescent="0.25">
      <c r="A77" s="7">
        <v>45397</v>
      </c>
      <c r="B77" vm="225">
        <v>59.53</v>
      </c>
    </row>
    <row r="78" spans="1:2" x14ac:dyDescent="0.25">
      <c r="A78" s="7">
        <v>45404</v>
      </c>
      <c r="B78" vm="210">
        <v>60.14</v>
      </c>
    </row>
    <row r="79" spans="1:2" x14ac:dyDescent="0.25">
      <c r="A79" s="7">
        <v>45404</v>
      </c>
      <c r="B79" vm="230">
        <v>59.09</v>
      </c>
    </row>
    <row r="80" spans="1:2" x14ac:dyDescent="0.25">
      <c r="A80" s="7">
        <v>45404</v>
      </c>
      <c r="B80" vm="233">
        <v>59.87</v>
      </c>
    </row>
    <row r="81" spans="1:2" x14ac:dyDescent="0.25">
      <c r="A81" s="7">
        <v>45404</v>
      </c>
      <c r="B81" vm="236">
        <v>60.21</v>
      </c>
    </row>
    <row r="82" spans="1:2" x14ac:dyDescent="0.25">
      <c r="A82" s="7">
        <v>45404</v>
      </c>
      <c r="B82" vm="239">
        <v>60.16</v>
      </c>
    </row>
    <row r="83" spans="1:2" x14ac:dyDescent="0.25">
      <c r="A83" s="7">
        <v>45411</v>
      </c>
      <c r="B83" vm="242">
        <v>60.24</v>
      </c>
    </row>
    <row r="84" spans="1:2" x14ac:dyDescent="0.25">
      <c r="A84" s="7">
        <v>45411</v>
      </c>
      <c r="B84" vm="245">
        <v>59.35</v>
      </c>
    </row>
    <row r="85" spans="1:2" x14ac:dyDescent="0.25">
      <c r="A85" s="7">
        <v>45411</v>
      </c>
      <c r="B85" vm="248">
        <v>58.85</v>
      </c>
    </row>
    <row r="86" spans="1:2" x14ac:dyDescent="0.25">
      <c r="A86" s="7">
        <v>45411</v>
      </c>
      <c r="B86" vm="251">
        <v>59.71</v>
      </c>
    </row>
    <row r="87" spans="1:2" x14ac:dyDescent="0.25">
      <c r="A87" s="7">
        <v>45411</v>
      </c>
      <c r="B87" vm="254">
        <v>59.82</v>
      </c>
    </row>
    <row r="88" spans="1:2" x14ac:dyDescent="0.25">
      <c r="A88" s="7">
        <v>45418</v>
      </c>
      <c r="B88" vm="233">
        <v>59.87</v>
      </c>
    </row>
    <row r="89" spans="1:2" x14ac:dyDescent="0.25">
      <c r="A89" s="7">
        <v>45418</v>
      </c>
      <c r="B89" vm="204">
        <v>60.62</v>
      </c>
    </row>
    <row r="90" spans="1:2" x14ac:dyDescent="0.25">
      <c r="A90" s="7">
        <v>45418</v>
      </c>
      <c r="B90" vm="261">
        <v>60.3</v>
      </c>
    </row>
    <row r="91" spans="1:2" x14ac:dyDescent="0.25">
      <c r="A91" s="7">
        <v>45418</v>
      </c>
      <c r="B91" vm="264">
        <v>60.44</v>
      </c>
    </row>
    <row r="92" spans="1:2" x14ac:dyDescent="0.25">
      <c r="A92" s="7">
        <v>45418</v>
      </c>
      <c r="B92" vm="267">
        <v>60.48</v>
      </c>
    </row>
    <row r="93" spans="1:2" x14ac:dyDescent="0.25">
      <c r="A93" s="7">
        <v>45425</v>
      </c>
      <c r="B93" vm="270">
        <v>60.41</v>
      </c>
    </row>
    <row r="94" spans="1:2" x14ac:dyDescent="0.25">
      <c r="A94" s="7">
        <v>45425</v>
      </c>
      <c r="B94" vm="273">
        <v>59.86</v>
      </c>
    </row>
    <row r="95" spans="1:2" x14ac:dyDescent="0.25">
      <c r="A95" s="7">
        <v>45425</v>
      </c>
      <c r="B95" vm="276">
        <v>59.83</v>
      </c>
    </row>
    <row r="96" spans="1:2" x14ac:dyDescent="0.25">
      <c r="A96" s="7">
        <v>45425</v>
      </c>
      <c r="B96" vm="279">
        <v>64.010000000000005</v>
      </c>
    </row>
    <row r="97" spans="1:2" x14ac:dyDescent="0.25">
      <c r="A97" s="7">
        <v>45425</v>
      </c>
      <c r="B97" vm="282">
        <v>64.650000000000006</v>
      </c>
    </row>
    <row r="98" spans="1:2" x14ac:dyDescent="0.25">
      <c r="A98" s="7">
        <v>45432</v>
      </c>
      <c r="B98" vm="285">
        <v>64.180000000000007</v>
      </c>
    </row>
    <row r="99" spans="1:2" x14ac:dyDescent="0.25">
      <c r="A99" s="7">
        <v>45432</v>
      </c>
      <c r="B99" vm="288">
        <v>65.150000000000006</v>
      </c>
    </row>
    <row r="100" spans="1:2" x14ac:dyDescent="0.25">
      <c r="A100" s="7">
        <v>45432</v>
      </c>
      <c r="B100" vm="291">
        <v>65.25</v>
      </c>
    </row>
    <row r="101" spans="1:2" x14ac:dyDescent="0.25">
      <c r="A101" s="7">
        <v>45432</v>
      </c>
      <c r="B101" vm="294">
        <v>64.84</v>
      </c>
    </row>
    <row r="102" spans="1:2" x14ac:dyDescent="0.25">
      <c r="A102" s="7">
        <v>45432</v>
      </c>
      <c r="B102" vm="297">
        <v>65.38</v>
      </c>
    </row>
    <row r="103" spans="1:2" x14ac:dyDescent="0.25">
      <c r="A103" s="7">
        <v>45439</v>
      </c>
      <c r="B103" vm="300">
        <v>65.040000000000006</v>
      </c>
    </row>
    <row r="104" spans="1:2" x14ac:dyDescent="0.25">
      <c r="A104" s="7">
        <v>45439</v>
      </c>
      <c r="B104" vm="303">
        <v>64.92</v>
      </c>
    </row>
    <row r="105" spans="1:2" x14ac:dyDescent="0.25">
      <c r="A105" s="7">
        <v>45439</v>
      </c>
      <c r="B105" vm="306">
        <v>64.89</v>
      </c>
    </row>
    <row r="106" spans="1:2" x14ac:dyDescent="0.25">
      <c r="A106" s="7">
        <v>45439</v>
      </c>
      <c r="B106" vm="309">
        <v>65.760000000000005</v>
      </c>
    </row>
    <row r="107" spans="1:2" x14ac:dyDescent="0.25">
      <c r="A107" s="7">
        <v>45446</v>
      </c>
      <c r="B107" vm="312">
        <v>65.819999999999993</v>
      </c>
    </row>
    <row r="108" spans="1:2" x14ac:dyDescent="0.25">
      <c r="A108" s="7">
        <v>45446</v>
      </c>
      <c r="B108" vm="315">
        <v>66.599999999999994</v>
      </c>
    </row>
    <row r="109" spans="1:2" x14ac:dyDescent="0.25">
      <c r="A109" s="7">
        <v>45446</v>
      </c>
      <c r="B109" vm="318">
        <v>67.09</v>
      </c>
    </row>
    <row r="110" spans="1:2" x14ac:dyDescent="0.25">
      <c r="A110" s="7">
        <v>45446</v>
      </c>
      <c r="B110" vm="321">
        <v>67.150000000000006</v>
      </c>
    </row>
    <row r="111" spans="1:2" x14ac:dyDescent="0.25">
      <c r="A111" s="7">
        <v>45446</v>
      </c>
      <c r="B111" vm="324">
        <v>65.88</v>
      </c>
    </row>
    <row r="112" spans="1:2" x14ac:dyDescent="0.25">
      <c r="A112" s="7">
        <v>45453</v>
      </c>
      <c r="B112" vm="327">
        <v>66.959999999999994</v>
      </c>
    </row>
    <row r="113" spans="1:2" x14ac:dyDescent="0.25">
      <c r="A113" s="7">
        <v>45453</v>
      </c>
      <c r="B113" vm="330">
        <v>66.73</v>
      </c>
    </row>
    <row r="114" spans="1:2" x14ac:dyDescent="0.25">
      <c r="A114" s="7">
        <v>45453</v>
      </c>
      <c r="B114" vm="333">
        <v>66.31</v>
      </c>
    </row>
    <row r="115" spans="1:2" x14ac:dyDescent="0.25">
      <c r="A115" s="7">
        <v>45453</v>
      </c>
      <c r="B115" vm="336">
        <v>66.7</v>
      </c>
    </row>
    <row r="116" spans="1:2" x14ac:dyDescent="0.25">
      <c r="A116" s="7">
        <v>45453</v>
      </c>
      <c r="B116" vm="339">
        <v>67.02</v>
      </c>
    </row>
    <row r="117" spans="1:2" x14ac:dyDescent="0.25">
      <c r="A117" s="7">
        <v>45460</v>
      </c>
      <c r="B117" vm="342">
        <v>67.42</v>
      </c>
    </row>
    <row r="118" spans="1:2" x14ac:dyDescent="0.25">
      <c r="A118" s="7">
        <v>45460</v>
      </c>
      <c r="B118" vm="345">
        <v>67.599999999999994</v>
      </c>
    </row>
    <row r="119" spans="1:2" x14ac:dyDescent="0.25">
      <c r="A119" s="7">
        <v>45460</v>
      </c>
      <c r="B119" vm="348">
        <v>68.010000000000005</v>
      </c>
    </row>
    <row r="120" spans="1:2" x14ac:dyDescent="0.25">
      <c r="A120" s="7">
        <v>45460</v>
      </c>
      <c r="B120" vm="351">
        <v>67.91</v>
      </c>
    </row>
    <row r="121" spans="1:2" x14ac:dyDescent="0.25">
      <c r="A121" s="7">
        <v>45467</v>
      </c>
      <c r="B121" vm="354">
        <v>68.900000000000006</v>
      </c>
    </row>
    <row r="122" spans="1:2" x14ac:dyDescent="0.25">
      <c r="A122" s="7">
        <v>45467</v>
      </c>
      <c r="B122" vm="342">
        <v>67.42</v>
      </c>
    </row>
    <row r="123" spans="1:2" x14ac:dyDescent="0.25">
      <c r="A123" s="7">
        <v>45467</v>
      </c>
      <c r="B123" vm="359">
        <v>68.290000000000006</v>
      </c>
    </row>
    <row r="124" spans="1:2" x14ac:dyDescent="0.25">
      <c r="A124" s="7">
        <v>45467</v>
      </c>
      <c r="B124" vm="362">
        <v>67.88</v>
      </c>
    </row>
    <row r="125" spans="1:2" x14ac:dyDescent="0.25">
      <c r="A125" s="7">
        <v>45467</v>
      </c>
      <c r="B125" vm="365">
        <v>67.709999999999994</v>
      </c>
    </row>
    <row r="126" spans="1:2" x14ac:dyDescent="0.25">
      <c r="A126" s="7">
        <v>45474</v>
      </c>
      <c r="B126" vm="368">
        <v>67.48</v>
      </c>
    </row>
    <row r="127" spans="1:2" x14ac:dyDescent="0.25">
      <c r="A127" s="7">
        <v>45474</v>
      </c>
      <c r="B127" vm="371">
        <v>68.069999999999993</v>
      </c>
    </row>
    <row r="128" spans="1:2" x14ac:dyDescent="0.25">
      <c r="A128" s="7">
        <v>45474</v>
      </c>
      <c r="B128" vm="374">
        <v>68.239999999999995</v>
      </c>
    </row>
    <row r="129" spans="1:2" x14ac:dyDescent="0.25">
      <c r="A129" s="7">
        <v>45474</v>
      </c>
      <c r="B129" vm="377">
        <v>70.040000000000006</v>
      </c>
    </row>
    <row r="130" spans="1:2" x14ac:dyDescent="0.25">
      <c r="A130" s="7">
        <v>45481</v>
      </c>
      <c r="B130" vm="380">
        <v>69.680000000000007</v>
      </c>
    </row>
    <row r="131" spans="1:2" x14ac:dyDescent="0.25">
      <c r="A131" s="7">
        <v>45481</v>
      </c>
      <c r="B131" vm="383">
        <v>69.900000000000006</v>
      </c>
    </row>
    <row r="132" spans="1:2" x14ac:dyDescent="0.25">
      <c r="A132" s="7">
        <v>45481</v>
      </c>
      <c r="B132" vm="386">
        <v>70.41</v>
      </c>
    </row>
    <row r="133" spans="1:2" x14ac:dyDescent="0.25">
      <c r="A133" s="7">
        <v>45481</v>
      </c>
      <c r="B133" vm="389">
        <v>69.8</v>
      </c>
    </row>
    <row r="134" spans="1:2" x14ac:dyDescent="0.25">
      <c r="A134" s="7">
        <v>45481</v>
      </c>
      <c r="B134" vm="392">
        <v>69.239999999999995</v>
      </c>
    </row>
    <row r="135" spans="1:2" x14ac:dyDescent="0.25">
      <c r="A135" s="7">
        <v>45488</v>
      </c>
      <c r="B135" vm="395">
        <v>69.61</v>
      </c>
    </row>
    <row r="136" spans="1:2" x14ac:dyDescent="0.25">
      <c r="A136" s="7">
        <v>45488</v>
      </c>
      <c r="B136" vm="398">
        <v>69.989999999999995</v>
      </c>
    </row>
    <row r="137" spans="1:2" x14ac:dyDescent="0.25">
      <c r="A137" s="7">
        <v>45488</v>
      </c>
      <c r="B137" vm="401">
        <v>71.03</v>
      </c>
    </row>
    <row r="138" spans="1:2" x14ac:dyDescent="0.25">
      <c r="A138" s="7">
        <v>45488</v>
      </c>
      <c r="B138" vm="404">
        <v>70.819999999999993</v>
      </c>
    </row>
    <row r="139" spans="1:2" x14ac:dyDescent="0.25">
      <c r="A139" s="7">
        <v>45488</v>
      </c>
      <c r="B139" vm="407">
        <v>70.75</v>
      </c>
    </row>
    <row r="140" spans="1:2" x14ac:dyDescent="0.25">
      <c r="A140" s="7">
        <v>45495</v>
      </c>
      <c r="B140" vm="410">
        <v>70.38</v>
      </c>
    </row>
    <row r="141" spans="1:2" x14ac:dyDescent="0.25">
      <c r="A141" s="7">
        <v>45495</v>
      </c>
      <c r="B141" vm="413">
        <v>70.650000000000006</v>
      </c>
    </row>
    <row r="142" spans="1:2" x14ac:dyDescent="0.25">
      <c r="A142" s="7">
        <v>45495</v>
      </c>
      <c r="B142" vm="416">
        <v>70.599999999999994</v>
      </c>
    </row>
    <row r="143" spans="1:2" x14ac:dyDescent="0.25">
      <c r="A143" s="7">
        <v>45495</v>
      </c>
      <c r="B143" vm="419">
        <v>70.02</v>
      </c>
    </row>
    <row r="144" spans="1:2" x14ac:dyDescent="0.25">
      <c r="A144" s="7">
        <v>45495</v>
      </c>
      <c r="B144" vm="422">
        <v>69.78</v>
      </c>
    </row>
    <row r="145" spans="1:2" x14ac:dyDescent="0.25">
      <c r="A145" s="7">
        <v>45502</v>
      </c>
      <c r="B145" vm="425">
        <v>69.62</v>
      </c>
    </row>
    <row r="146" spans="1:2" x14ac:dyDescent="0.25">
      <c r="A146" s="7">
        <v>45502</v>
      </c>
      <c r="B146" vm="428">
        <v>69.19</v>
      </c>
    </row>
    <row r="147" spans="1:2" x14ac:dyDescent="0.25">
      <c r="A147" s="7">
        <v>45502</v>
      </c>
      <c r="B147" vm="431">
        <v>68.64</v>
      </c>
    </row>
    <row r="148" spans="1:2" x14ac:dyDescent="0.25">
      <c r="A148" s="7">
        <v>45502</v>
      </c>
      <c r="B148" vm="434">
        <v>69.790000000000006</v>
      </c>
    </row>
    <row r="149" spans="1:2" x14ac:dyDescent="0.25">
      <c r="A149" s="7">
        <v>45502</v>
      </c>
      <c r="B149" vm="437">
        <v>68.459999999999994</v>
      </c>
    </row>
    <row r="150" spans="1:2" x14ac:dyDescent="0.25">
      <c r="A150" s="7">
        <v>45509</v>
      </c>
      <c r="B150" vm="440">
        <v>67.59</v>
      </c>
    </row>
    <row r="151" spans="1:2" x14ac:dyDescent="0.25">
      <c r="A151" s="7">
        <v>45509</v>
      </c>
      <c r="B151" vm="443">
        <v>67.739999999999995</v>
      </c>
    </row>
    <row r="152" spans="1:2" x14ac:dyDescent="0.25">
      <c r="A152" s="7">
        <v>45509</v>
      </c>
      <c r="B152" vm="446">
        <v>66.91</v>
      </c>
    </row>
    <row r="153" spans="1:2" x14ac:dyDescent="0.25">
      <c r="A153" s="7">
        <v>45509</v>
      </c>
      <c r="B153" vm="449">
        <v>67.66</v>
      </c>
    </row>
    <row r="154" spans="1:2" x14ac:dyDescent="0.25">
      <c r="A154" s="7">
        <v>45509</v>
      </c>
      <c r="B154" vm="452">
        <v>67.95</v>
      </c>
    </row>
    <row r="155" spans="1:2" x14ac:dyDescent="0.25">
      <c r="A155" s="7">
        <v>45516</v>
      </c>
      <c r="B155" vm="455">
        <v>68.7</v>
      </c>
    </row>
    <row r="156" spans="1:2" x14ac:dyDescent="0.25">
      <c r="A156" s="7">
        <v>45516</v>
      </c>
      <c r="B156" vm="458">
        <v>68.13</v>
      </c>
    </row>
    <row r="157" spans="1:2" x14ac:dyDescent="0.25">
      <c r="A157" s="7">
        <v>45516</v>
      </c>
      <c r="B157" vm="461">
        <v>68.66</v>
      </c>
    </row>
    <row r="158" spans="1:2" x14ac:dyDescent="0.25">
      <c r="A158" s="7">
        <v>45516</v>
      </c>
      <c r="B158" vm="464">
        <v>73.180000000000007</v>
      </c>
    </row>
    <row r="159" spans="1:2" x14ac:dyDescent="0.25">
      <c r="A159" s="7">
        <v>45516</v>
      </c>
      <c r="B159" vm="467">
        <v>73.45</v>
      </c>
    </row>
    <row r="160" spans="1:2" x14ac:dyDescent="0.25">
      <c r="A160" s="7">
        <v>45523</v>
      </c>
      <c r="B160" vm="470">
        <v>73.72</v>
      </c>
    </row>
    <row r="161" spans="1:2" x14ac:dyDescent="0.25">
      <c r="A161" s="7">
        <v>45523</v>
      </c>
      <c r="B161" vm="473">
        <v>74.540000000000006</v>
      </c>
    </row>
    <row r="162" spans="1:2" x14ac:dyDescent="0.25">
      <c r="A162" s="7">
        <v>45523</v>
      </c>
      <c r="B162" vm="476">
        <v>75.239999999999995</v>
      </c>
    </row>
    <row r="163" spans="1:2" x14ac:dyDescent="0.25">
      <c r="A163" s="7">
        <v>45523</v>
      </c>
      <c r="B163" vm="479">
        <v>75.58</v>
      </c>
    </row>
    <row r="164" spans="1:2" x14ac:dyDescent="0.25">
      <c r="A164" s="7">
        <v>45523</v>
      </c>
      <c r="B164" vm="482">
        <v>75.7</v>
      </c>
    </row>
    <row r="165" spans="1:2" x14ac:dyDescent="0.25">
      <c r="A165" s="7">
        <v>45530</v>
      </c>
      <c r="B165" vm="485">
        <v>76.03</v>
      </c>
    </row>
    <row r="166" spans="1:2" x14ac:dyDescent="0.25">
      <c r="A166" s="7">
        <v>45530</v>
      </c>
      <c r="B166" vm="488">
        <v>76.13</v>
      </c>
    </row>
    <row r="167" spans="1:2" x14ac:dyDescent="0.25">
      <c r="A167" s="7">
        <v>45530</v>
      </c>
      <c r="B167" vm="491">
        <v>76.08</v>
      </c>
    </row>
    <row r="168" spans="1:2" x14ac:dyDescent="0.25">
      <c r="A168" s="7">
        <v>45530</v>
      </c>
      <c r="B168" vm="494">
        <v>76.42</v>
      </c>
    </row>
    <row r="169" spans="1:2" x14ac:dyDescent="0.25">
      <c r="A169" s="7">
        <v>45530</v>
      </c>
      <c r="B169" vm="497">
        <v>77.23</v>
      </c>
    </row>
    <row r="170" spans="1:2" x14ac:dyDescent="0.25">
      <c r="A170" s="7">
        <v>45537</v>
      </c>
      <c r="B170" vm="500">
        <v>77.17</v>
      </c>
    </row>
    <row r="171" spans="1:2" x14ac:dyDescent="0.25">
      <c r="A171" s="7">
        <v>45537</v>
      </c>
      <c r="B171" vm="503">
        <v>77.239999999999995</v>
      </c>
    </row>
    <row r="172" spans="1:2" x14ac:dyDescent="0.25">
      <c r="A172" s="7">
        <v>45537</v>
      </c>
      <c r="B172" vm="506">
        <v>76.959999999999994</v>
      </c>
    </row>
    <row r="173" spans="1:2" x14ac:dyDescent="0.25">
      <c r="A173" s="7">
        <v>45537</v>
      </c>
      <c r="B173" vm="509">
        <v>76.64</v>
      </c>
    </row>
    <row r="174" spans="1:2" x14ac:dyDescent="0.25">
      <c r="A174" s="7">
        <v>45544</v>
      </c>
      <c r="B174" vm="512">
        <v>77.34</v>
      </c>
    </row>
    <row r="175" spans="1:2" x14ac:dyDescent="0.25">
      <c r="A175" s="7">
        <v>45544</v>
      </c>
      <c r="B175" vm="515">
        <v>78.81</v>
      </c>
    </row>
    <row r="176" spans="1:2" x14ac:dyDescent="0.25">
      <c r="A176" s="7">
        <v>45544</v>
      </c>
      <c r="B176" vm="518">
        <v>78.84</v>
      </c>
    </row>
    <row r="177" spans="1:2" x14ac:dyDescent="0.25">
      <c r="A177" s="7">
        <v>45544</v>
      </c>
      <c r="B177" vm="521">
        <v>79.66</v>
      </c>
    </row>
    <row r="178" spans="1:2" x14ac:dyDescent="0.25">
      <c r="A178" s="7">
        <v>45544</v>
      </c>
      <c r="B178" vm="524">
        <v>80.599999999999994</v>
      </c>
    </row>
    <row r="179" spans="1:2" x14ac:dyDescent="0.25">
      <c r="A179" s="7">
        <v>45551</v>
      </c>
      <c r="B179" vm="527">
        <v>80.56</v>
      </c>
    </row>
    <row r="180" spans="1:2" x14ac:dyDescent="0.25">
      <c r="A180" s="7">
        <v>45551</v>
      </c>
      <c r="B180" vm="530">
        <v>78.599999999999994</v>
      </c>
    </row>
    <row r="181" spans="1:2" x14ac:dyDescent="0.25">
      <c r="A181" s="7">
        <v>45551</v>
      </c>
      <c r="B181" vm="533">
        <v>79.03</v>
      </c>
    </row>
    <row r="182" spans="1:2" x14ac:dyDescent="0.25">
      <c r="A182" s="7">
        <v>45551</v>
      </c>
      <c r="B182" vm="536">
        <v>78.040000000000006</v>
      </c>
    </row>
    <row r="183" spans="1:2" x14ac:dyDescent="0.25">
      <c r="A183" s="7">
        <v>45551</v>
      </c>
      <c r="B183" vm="539">
        <v>79.06</v>
      </c>
    </row>
    <row r="184" spans="1:2" x14ac:dyDescent="0.25">
      <c r="A184" s="7">
        <v>45558</v>
      </c>
      <c r="B184" vm="542">
        <v>80.33</v>
      </c>
    </row>
    <row r="185" spans="1:2" x14ac:dyDescent="0.25">
      <c r="A185" s="7">
        <v>45558</v>
      </c>
      <c r="B185" vm="545">
        <v>80.67</v>
      </c>
    </row>
    <row r="186" spans="1:2" x14ac:dyDescent="0.25">
      <c r="A186" s="7">
        <v>45558</v>
      </c>
      <c r="B186" vm="548">
        <v>81.400000000000006</v>
      </c>
    </row>
    <row r="187" spans="1:2" x14ac:dyDescent="0.25">
      <c r="A187" s="7">
        <v>45558</v>
      </c>
      <c r="B187" vm="551">
        <v>79.92</v>
      </c>
    </row>
    <row r="188" spans="1:2" x14ac:dyDescent="0.25">
      <c r="A188" s="7">
        <v>45558</v>
      </c>
      <c r="B188" vm="554">
        <v>79.78</v>
      </c>
    </row>
    <row r="189" spans="1:2" x14ac:dyDescent="0.25">
      <c r="A189" s="7">
        <v>45565</v>
      </c>
      <c r="B189" vm="557">
        <v>80.75</v>
      </c>
    </row>
    <row r="190" spans="1:2" x14ac:dyDescent="0.25">
      <c r="A190" s="7">
        <v>45565</v>
      </c>
      <c r="B190" vm="560">
        <v>81.27</v>
      </c>
    </row>
    <row r="191" spans="1:2" x14ac:dyDescent="0.25">
      <c r="A191" s="7">
        <v>45565</v>
      </c>
      <c r="B191" vm="563">
        <v>80.430000000000007</v>
      </c>
    </row>
    <row r="192" spans="1:2" x14ac:dyDescent="0.25">
      <c r="A192" s="7">
        <v>45565</v>
      </c>
      <c r="B192" vm="563">
        <v>80.430000000000007</v>
      </c>
    </row>
    <row r="193" spans="1:2" x14ac:dyDescent="0.25">
      <c r="A193" s="7">
        <v>45565</v>
      </c>
      <c r="B193" vm="568">
        <v>80.94</v>
      </c>
    </row>
    <row r="194" spans="1:2" x14ac:dyDescent="0.25">
      <c r="A194" s="7">
        <v>45572</v>
      </c>
      <c r="B194" vm="571">
        <v>79.099999999999994</v>
      </c>
    </row>
    <row r="195" spans="1:2" x14ac:dyDescent="0.25">
      <c r="A195" s="7">
        <v>45572</v>
      </c>
      <c r="B195" vm="574">
        <v>79.709999999999994</v>
      </c>
    </row>
    <row r="196" spans="1:2" x14ac:dyDescent="0.25">
      <c r="A196" s="7">
        <v>45572</v>
      </c>
      <c r="B196" vm="577">
        <v>80.400000000000006</v>
      </c>
    </row>
    <row r="197" spans="1:2" x14ac:dyDescent="0.25">
      <c r="A197" s="7">
        <v>45572</v>
      </c>
      <c r="B197" vm="580">
        <v>79.61</v>
      </c>
    </row>
    <row r="198" spans="1:2" x14ac:dyDescent="0.25">
      <c r="A198" s="7">
        <v>45572</v>
      </c>
      <c r="B198" vm="583">
        <v>80.099999999999994</v>
      </c>
    </row>
    <row r="199" spans="1:2" x14ac:dyDescent="0.25">
      <c r="A199" s="7">
        <v>45579</v>
      </c>
      <c r="B199" vm="586">
        <v>80.290000000000006</v>
      </c>
    </row>
    <row r="200" spans="1:2" x14ac:dyDescent="0.25">
      <c r="A200" s="7">
        <v>45579</v>
      </c>
      <c r="B200" vm="589">
        <v>81.650000000000006</v>
      </c>
    </row>
    <row r="201" spans="1:2" x14ac:dyDescent="0.25">
      <c r="A201" s="7">
        <v>45579</v>
      </c>
      <c r="B201" vm="592">
        <v>81.22</v>
      </c>
    </row>
    <row r="202" spans="1:2" x14ac:dyDescent="0.25">
      <c r="A202" s="7">
        <v>45579</v>
      </c>
      <c r="B202" vm="595">
        <v>80.89</v>
      </c>
    </row>
    <row r="203" spans="1:2" x14ac:dyDescent="0.25">
      <c r="A203" s="7">
        <v>45579</v>
      </c>
      <c r="B203" vm="598">
        <v>81.31</v>
      </c>
    </row>
    <row r="204" spans="1:2" x14ac:dyDescent="0.25">
      <c r="A204" s="7">
        <v>45586</v>
      </c>
      <c r="B204" vm="601">
        <v>80.81</v>
      </c>
    </row>
    <row r="205" spans="1:2" x14ac:dyDescent="0.25">
      <c r="A205" s="7">
        <v>45586</v>
      </c>
      <c r="B205" vm="604">
        <v>82.02</v>
      </c>
    </row>
    <row r="206" spans="1:2" x14ac:dyDescent="0.25">
      <c r="A206" s="7">
        <v>45586</v>
      </c>
      <c r="B206" vm="607">
        <v>83.27</v>
      </c>
    </row>
    <row r="207" spans="1:2" x14ac:dyDescent="0.25">
      <c r="A207" s="7">
        <v>45586</v>
      </c>
      <c r="B207" vm="610">
        <v>83.04</v>
      </c>
    </row>
    <row r="208" spans="1:2" x14ac:dyDescent="0.25">
      <c r="A208" s="7">
        <v>45586</v>
      </c>
      <c r="B208" vm="613">
        <v>82.51</v>
      </c>
    </row>
    <row r="209" spans="1:2" x14ac:dyDescent="0.25">
      <c r="A209" s="7">
        <v>45593</v>
      </c>
      <c r="B209" vm="616">
        <v>82.75</v>
      </c>
    </row>
    <row r="210" spans="1:2" x14ac:dyDescent="0.25">
      <c r="A210" s="7">
        <v>45593</v>
      </c>
      <c r="B210" vm="619">
        <v>81.7</v>
      </c>
    </row>
    <row r="211" spans="1:2" x14ac:dyDescent="0.25">
      <c r="A211" s="7">
        <v>45593</v>
      </c>
      <c r="B211" vm="622">
        <v>81.39</v>
      </c>
    </row>
    <row r="212" spans="1:2" x14ac:dyDescent="0.25">
      <c r="A212" s="7">
        <v>45593</v>
      </c>
      <c r="B212" vm="625">
        <v>81.95</v>
      </c>
    </row>
    <row r="213" spans="1:2" x14ac:dyDescent="0.25">
      <c r="A213" s="7">
        <v>45593</v>
      </c>
      <c r="B213" vm="628">
        <v>82.19</v>
      </c>
    </row>
    <row r="214" spans="1:2" x14ac:dyDescent="0.25">
      <c r="A214" s="7">
        <v>45600</v>
      </c>
      <c r="B214" vm="631">
        <v>82.45</v>
      </c>
    </row>
    <row r="215" spans="1:2" x14ac:dyDescent="0.25">
      <c r="A215" s="7">
        <v>45600</v>
      </c>
      <c r="B215" vm="634">
        <v>83.68</v>
      </c>
    </row>
    <row r="216" spans="1:2" x14ac:dyDescent="0.25">
      <c r="A216" s="7">
        <v>45600</v>
      </c>
      <c r="B216" vm="637">
        <v>83.44</v>
      </c>
    </row>
    <row r="217" spans="1:2" x14ac:dyDescent="0.25">
      <c r="A217" s="7">
        <v>45600</v>
      </c>
      <c r="B217" vm="640">
        <v>83.85</v>
      </c>
    </row>
    <row r="218" spans="1:2" x14ac:dyDescent="0.25">
      <c r="A218" s="7">
        <v>45600</v>
      </c>
      <c r="B218" vm="643">
        <v>84.83</v>
      </c>
    </row>
    <row r="219" spans="1:2" x14ac:dyDescent="0.25">
      <c r="A219" s="7">
        <v>45607</v>
      </c>
      <c r="B219" vm="646">
        <v>84.21</v>
      </c>
    </row>
    <row r="220" spans="1:2" x14ac:dyDescent="0.25">
      <c r="A220" s="7">
        <v>45607</v>
      </c>
      <c r="B220" vm="649">
        <v>84.99</v>
      </c>
    </row>
    <row r="221" spans="1:2" x14ac:dyDescent="0.25">
      <c r="A221" s="7">
        <v>45607</v>
      </c>
      <c r="B221" vm="652">
        <v>85.5</v>
      </c>
    </row>
    <row r="222" spans="1:2" x14ac:dyDescent="0.25">
      <c r="A222" s="7">
        <v>45607</v>
      </c>
      <c r="B222" vm="655">
        <v>84.47</v>
      </c>
    </row>
    <row r="223" spans="1:2" x14ac:dyDescent="0.25">
      <c r="A223" s="7">
        <v>45607</v>
      </c>
      <c r="B223" vm="658">
        <v>84.25</v>
      </c>
    </row>
    <row r="224" spans="1:2" x14ac:dyDescent="0.25">
      <c r="A224" s="7">
        <v>45614</v>
      </c>
      <c r="B224" vm="661">
        <v>84.08</v>
      </c>
    </row>
    <row r="225" spans="1:2" x14ac:dyDescent="0.25">
      <c r="A225" s="7">
        <v>45614</v>
      </c>
      <c r="B225" vm="664">
        <v>86.6</v>
      </c>
    </row>
    <row r="226" spans="1:2" x14ac:dyDescent="0.25">
      <c r="A226" s="7">
        <v>45614</v>
      </c>
      <c r="B226" vm="667">
        <v>87.18</v>
      </c>
    </row>
    <row r="227" spans="1:2" x14ac:dyDescent="0.25">
      <c r="A227" s="7">
        <v>45614</v>
      </c>
      <c r="B227" vm="670">
        <v>88.39</v>
      </c>
    </row>
    <row r="228" spans="1:2" x14ac:dyDescent="0.25">
      <c r="A228" s="7">
        <v>45614</v>
      </c>
      <c r="B228" vm="673">
        <v>90.44</v>
      </c>
    </row>
    <row r="229" spans="1:2" x14ac:dyDescent="0.25">
      <c r="A229" s="7">
        <v>45621</v>
      </c>
      <c r="B229" vm="676">
        <v>89.5</v>
      </c>
    </row>
    <row r="230" spans="1:2" x14ac:dyDescent="0.25">
      <c r="A230" s="7">
        <v>45621</v>
      </c>
      <c r="B230" vm="679">
        <v>91.31</v>
      </c>
    </row>
    <row r="231" spans="1:2" x14ac:dyDescent="0.25">
      <c r="A231" s="7">
        <v>45621</v>
      </c>
      <c r="B231" vm="682">
        <v>91.88</v>
      </c>
    </row>
    <row r="232" spans="1:2" x14ac:dyDescent="0.25">
      <c r="A232" s="7">
        <v>45621</v>
      </c>
      <c r="B232" vm="685">
        <v>92.5</v>
      </c>
    </row>
    <row r="233" spans="1:2" x14ac:dyDescent="0.25">
      <c r="A233" s="7">
        <v>45628</v>
      </c>
      <c r="B233" vm="688">
        <v>92.64</v>
      </c>
    </row>
    <row r="234" spans="1:2" x14ac:dyDescent="0.25">
      <c r="A234" s="7">
        <v>45628</v>
      </c>
      <c r="B234" vm="691">
        <v>93.51</v>
      </c>
    </row>
    <row r="235" spans="1:2" x14ac:dyDescent="0.25">
      <c r="A235" s="7">
        <v>45628</v>
      </c>
      <c r="B235" vm="694">
        <v>94.45</v>
      </c>
    </row>
    <row r="236" spans="1:2" x14ac:dyDescent="0.25">
      <c r="A236" s="7">
        <v>45628</v>
      </c>
      <c r="B236" vm="697">
        <v>95.3</v>
      </c>
    </row>
    <row r="237" spans="1:2" x14ac:dyDescent="0.25">
      <c r="A237" s="7">
        <v>45628</v>
      </c>
      <c r="B237" vm="700">
        <v>95.7</v>
      </c>
    </row>
    <row r="238" spans="1:2" x14ac:dyDescent="0.25">
      <c r="A238" s="7">
        <v>45635</v>
      </c>
      <c r="B238" vm="703">
        <v>93.83</v>
      </c>
    </row>
    <row r="239" spans="1:2" x14ac:dyDescent="0.25">
      <c r="A239" s="7">
        <v>45635</v>
      </c>
      <c r="B239" vm="706">
        <v>94.55</v>
      </c>
    </row>
    <row r="240" spans="1:2" x14ac:dyDescent="0.25">
      <c r="A240" s="7">
        <v>45635</v>
      </c>
      <c r="B240" vm="709">
        <v>94.96</v>
      </c>
    </row>
    <row r="241" spans="1:2" x14ac:dyDescent="0.25">
      <c r="A241" s="7">
        <v>45635</v>
      </c>
      <c r="B241" vm="712">
        <v>94.09</v>
      </c>
    </row>
    <row r="242" spans="1:2" x14ac:dyDescent="0.25">
      <c r="A242" s="7">
        <v>45635</v>
      </c>
      <c r="B242" vm="715">
        <v>94.25</v>
      </c>
    </row>
    <row r="243" spans="1:2" x14ac:dyDescent="0.25">
      <c r="A243" s="7">
        <v>45642</v>
      </c>
      <c r="B243" vm="718">
        <v>94.87</v>
      </c>
    </row>
    <row r="244" spans="1:2" x14ac:dyDescent="0.25">
      <c r="A244" s="7">
        <v>45642</v>
      </c>
      <c r="B244" vm="721">
        <v>95.42</v>
      </c>
    </row>
    <row r="245" spans="1:2" x14ac:dyDescent="0.25">
      <c r="A245" s="7">
        <v>45642</v>
      </c>
      <c r="B245" vm="724">
        <v>93.55</v>
      </c>
    </row>
    <row r="246" spans="1:2" x14ac:dyDescent="0.25">
      <c r="A246" s="7">
        <v>45642</v>
      </c>
      <c r="B246" vm="727">
        <v>93.4</v>
      </c>
    </row>
    <row r="247" spans="1:2" x14ac:dyDescent="0.25">
      <c r="A247" s="7">
        <v>45642</v>
      </c>
      <c r="B247" vm="730">
        <v>92.24</v>
      </c>
    </row>
    <row r="248" spans="1:2" x14ac:dyDescent="0.25">
      <c r="A248" s="7">
        <v>45649</v>
      </c>
      <c r="B248" vm="733">
        <v>90.35</v>
      </c>
    </row>
    <row r="249" spans="1:2" x14ac:dyDescent="0.25">
      <c r="A249" s="7">
        <v>45649</v>
      </c>
      <c r="B249" vm="736">
        <v>92.68</v>
      </c>
    </row>
    <row r="250" spans="1:2" x14ac:dyDescent="0.25">
      <c r="A250" s="7">
        <v>45649</v>
      </c>
      <c r="B250" vm="739">
        <v>92.79</v>
      </c>
    </row>
    <row r="251" spans="1:2" x14ac:dyDescent="0.25">
      <c r="A251" s="7">
        <v>45649</v>
      </c>
      <c r="B251" vm="742">
        <v>91.66</v>
      </c>
    </row>
    <row r="252" spans="1:2" x14ac:dyDescent="0.25">
      <c r="A252" s="7">
        <v>45656</v>
      </c>
      <c r="B252" vm="745">
        <v>90.57</v>
      </c>
    </row>
    <row r="253" spans="1:2" x14ac:dyDescent="0.25">
      <c r="A253" s="7">
        <v>45656</v>
      </c>
      <c r="B253" vm="733">
        <v>90.35</v>
      </c>
    </row>
    <row r="254" spans="1:2" x14ac:dyDescent="0.25">
      <c r="A254" s="7">
        <v>45656</v>
      </c>
      <c r="B254" vm="750">
        <v>90</v>
      </c>
    </row>
    <row r="255" spans="1:2" x14ac:dyDescent="0.25">
      <c r="A255" s="7">
        <v>45656</v>
      </c>
      <c r="B255" vm="753">
        <v>90.78</v>
      </c>
    </row>
    <row r="256" spans="1:2" x14ac:dyDescent="0.25">
      <c r="A256" s="7">
        <v>45663</v>
      </c>
      <c r="B256" vm="756">
        <v>91.43</v>
      </c>
    </row>
    <row r="257" spans="1:2" x14ac:dyDescent="0.25">
      <c r="A257" s="7">
        <v>45663</v>
      </c>
      <c r="B257" vm="759">
        <v>90.81</v>
      </c>
    </row>
    <row r="258" spans="1:2" x14ac:dyDescent="0.25">
      <c r="A258" s="7">
        <v>45663</v>
      </c>
      <c r="B258" vm="762">
        <v>91.8</v>
      </c>
    </row>
    <row r="259" spans="1:2" x14ac:dyDescent="0.25">
      <c r="A259" s="7">
        <v>45663</v>
      </c>
      <c r="B259" vm="765">
        <v>93</v>
      </c>
    </row>
    <row r="260" spans="1:2" x14ac:dyDescent="0.25">
      <c r="A260" s="7">
        <v>45670</v>
      </c>
      <c r="B260" vm="768">
        <v>91.53</v>
      </c>
    </row>
    <row r="261" spans="1:2" x14ac:dyDescent="0.25">
      <c r="A261" s="7">
        <v>45670</v>
      </c>
      <c r="B261" vm="771">
        <v>90.79</v>
      </c>
    </row>
    <row r="262" spans="1:2" x14ac:dyDescent="0.25">
      <c r="A262" s="7">
        <v>45670</v>
      </c>
      <c r="B262" vm="774">
        <v>91.34</v>
      </c>
    </row>
    <row r="263" spans="1:2" x14ac:dyDescent="0.25">
      <c r="A263" s="7">
        <v>45670</v>
      </c>
      <c r="B263" vm="777">
        <v>91.3</v>
      </c>
    </row>
    <row r="264" spans="1:2" x14ac:dyDescent="0.25">
      <c r="A264" s="7">
        <v>45670</v>
      </c>
      <c r="B264" vm="780">
        <v>91.94</v>
      </c>
    </row>
    <row r="265" spans="1:2" x14ac:dyDescent="0.25">
      <c r="A265" s="7">
        <v>45677</v>
      </c>
      <c r="B265" vm="783">
        <v>93.08</v>
      </c>
    </row>
    <row r="266" spans="1:2" x14ac:dyDescent="0.25">
      <c r="A266" s="7">
        <v>45677</v>
      </c>
      <c r="B266" vm="786">
        <v>93.23</v>
      </c>
    </row>
    <row r="267" spans="1:2" x14ac:dyDescent="0.25">
      <c r="A267" s="7">
        <v>45677</v>
      </c>
      <c r="B267" vm="789">
        <v>93.81</v>
      </c>
    </row>
    <row r="268" spans="1:2" x14ac:dyDescent="0.25">
      <c r="A268" s="7">
        <v>45677</v>
      </c>
      <c r="B268" vm="792">
        <v>94.76</v>
      </c>
    </row>
    <row r="269" spans="1:2" x14ac:dyDescent="0.25">
      <c r="A269" s="7">
        <v>45684</v>
      </c>
      <c r="B269" vm="795">
        <v>97.4</v>
      </c>
    </row>
    <row r="270" spans="1:2" x14ac:dyDescent="0.25">
      <c r="A270" s="7">
        <v>45684</v>
      </c>
      <c r="B270" vm="798">
        <v>97.29</v>
      </c>
    </row>
    <row r="271" spans="1:2" x14ac:dyDescent="0.25">
      <c r="A271" s="7">
        <v>45684</v>
      </c>
      <c r="B271" vm="801">
        <v>97.5</v>
      </c>
    </row>
    <row r="272" spans="1:2" x14ac:dyDescent="0.25">
      <c r="A272" s="7">
        <v>45684</v>
      </c>
      <c r="B272" vm="804">
        <v>98.65</v>
      </c>
    </row>
    <row r="273" spans="1:2" x14ac:dyDescent="0.25">
      <c r="A273" s="7">
        <v>45684</v>
      </c>
      <c r="B273" vm="807">
        <v>98.16</v>
      </c>
    </row>
    <row r="274" spans="1:2" x14ac:dyDescent="0.25">
      <c r="A274" s="7">
        <v>45691</v>
      </c>
      <c r="B274" vm="810">
        <v>99.54</v>
      </c>
    </row>
    <row r="275" spans="1:2" x14ac:dyDescent="0.25">
      <c r="A275" s="7">
        <v>45691</v>
      </c>
      <c r="B275" vm="813">
        <v>100.77</v>
      </c>
    </row>
    <row r="276" spans="1:2" x14ac:dyDescent="0.25">
      <c r="A276" s="7">
        <v>45691</v>
      </c>
      <c r="B276" vm="816">
        <v>102.46</v>
      </c>
    </row>
    <row r="277" spans="1:2" x14ac:dyDescent="0.25">
      <c r="A277" s="7">
        <v>45691</v>
      </c>
      <c r="B277" vm="819">
        <v>102.85</v>
      </c>
    </row>
    <row r="278" spans="1:2" x14ac:dyDescent="0.25">
      <c r="A278" s="7">
        <v>45691</v>
      </c>
      <c r="B278" vm="822">
        <v>101.15</v>
      </c>
    </row>
    <row r="279" spans="1:2" x14ac:dyDescent="0.25">
      <c r="A279" s="7">
        <v>45698</v>
      </c>
      <c r="B279" vm="825">
        <v>102.92</v>
      </c>
    </row>
    <row r="280" spans="1:2" x14ac:dyDescent="0.25">
      <c r="A280" s="7">
        <v>45698</v>
      </c>
      <c r="B280" vm="828">
        <v>102.47</v>
      </c>
    </row>
    <row r="281" spans="1:2" x14ac:dyDescent="0.25">
      <c r="A281" s="7">
        <v>45698</v>
      </c>
      <c r="B281" vm="831">
        <v>103.61</v>
      </c>
    </row>
    <row r="282" spans="1:2" x14ac:dyDescent="0.25">
      <c r="A282" s="7">
        <v>45698</v>
      </c>
      <c r="B282" vm="834">
        <v>105.05</v>
      </c>
    </row>
    <row r="283" spans="1:2" x14ac:dyDescent="0.25">
      <c r="A283" s="7">
        <v>45698</v>
      </c>
      <c r="B283" vm="837">
        <v>104.04</v>
      </c>
    </row>
    <row r="284" spans="1:2" x14ac:dyDescent="0.25">
      <c r="A284" s="7">
        <v>45705</v>
      </c>
      <c r="B284" vm="840">
        <v>103.78</v>
      </c>
    </row>
    <row r="285" spans="1:2" x14ac:dyDescent="0.25">
      <c r="A285" s="7">
        <v>45705</v>
      </c>
      <c r="B285" vm="843">
        <v>104</v>
      </c>
    </row>
    <row r="286" spans="1:2" x14ac:dyDescent="0.25">
      <c r="A286" s="7">
        <v>45705</v>
      </c>
      <c r="B286" vm="846">
        <v>97.21</v>
      </c>
    </row>
    <row r="287" spans="1:2" x14ac:dyDescent="0.25">
      <c r="A287" s="7">
        <v>45705</v>
      </c>
      <c r="B287" vm="849">
        <v>94.78</v>
      </c>
    </row>
    <row r="288" spans="1:2" x14ac:dyDescent="0.25">
      <c r="A288" s="7">
        <v>45712</v>
      </c>
      <c r="B288" vm="852">
        <v>93.67</v>
      </c>
    </row>
    <row r="289" spans="1:2" x14ac:dyDescent="0.25">
      <c r="A289" s="7">
        <v>45712</v>
      </c>
      <c r="B289" vm="855">
        <v>97.69</v>
      </c>
    </row>
    <row r="290" spans="1:2" x14ac:dyDescent="0.25">
      <c r="A290" s="7">
        <v>45712</v>
      </c>
      <c r="B290" vm="858">
        <v>96.2</v>
      </c>
    </row>
    <row r="291" spans="1:2" x14ac:dyDescent="0.25">
      <c r="A291" s="7">
        <v>45712</v>
      </c>
      <c r="B291" vm="861">
        <v>96.79</v>
      </c>
    </row>
    <row r="292" spans="1:2" x14ac:dyDescent="0.25">
      <c r="A292" s="7">
        <v>45712</v>
      </c>
      <c r="B292" vm="864">
        <v>98.61</v>
      </c>
    </row>
    <row r="293" spans="1:2" x14ac:dyDescent="0.25">
      <c r="A293" s="7">
        <v>45719</v>
      </c>
      <c r="B293" vm="867">
        <v>97.59</v>
      </c>
    </row>
    <row r="294" spans="1:2" x14ac:dyDescent="0.25">
      <c r="A294" s="7">
        <v>45719</v>
      </c>
      <c r="B294" vm="870">
        <v>94.97</v>
      </c>
    </row>
    <row r="295" spans="1:2" x14ac:dyDescent="0.25">
      <c r="A295" s="7">
        <v>45719</v>
      </c>
      <c r="B295" vm="873">
        <v>95.98</v>
      </c>
    </row>
    <row r="296" spans="1:2" x14ac:dyDescent="0.25">
      <c r="A296" s="7">
        <v>45719</v>
      </c>
      <c r="B296" vm="876">
        <v>94.64</v>
      </c>
    </row>
    <row r="297" spans="1:2" x14ac:dyDescent="0.25">
      <c r="A297" s="7">
        <v>45719</v>
      </c>
      <c r="B297" vm="879">
        <v>91.72</v>
      </c>
    </row>
    <row r="298" spans="1:2" x14ac:dyDescent="0.25">
      <c r="A298" s="7">
        <v>45726</v>
      </c>
      <c r="B298" vm="882">
        <v>87.82</v>
      </c>
    </row>
    <row r="299" spans="1:2" x14ac:dyDescent="0.25">
      <c r="A299" s="7">
        <v>45726</v>
      </c>
      <c r="B299" vm="885">
        <v>87.44</v>
      </c>
    </row>
    <row r="300" spans="1:2" x14ac:dyDescent="0.25">
      <c r="A300" s="7">
        <v>45726</v>
      </c>
      <c r="B300" vm="888">
        <v>85.2</v>
      </c>
    </row>
    <row r="301" spans="1:2" x14ac:dyDescent="0.25">
      <c r="A301" s="7">
        <v>45726</v>
      </c>
      <c r="B301" vm="891">
        <v>84.5</v>
      </c>
    </row>
    <row r="302" spans="1:2" x14ac:dyDescent="0.25">
      <c r="A302" s="7">
        <v>45726</v>
      </c>
      <c r="B302" vm="894">
        <v>85.35</v>
      </c>
    </row>
    <row r="303" spans="1:2" x14ac:dyDescent="0.25">
      <c r="A303" s="7">
        <v>45733</v>
      </c>
      <c r="B303" vm="897">
        <v>87.46</v>
      </c>
    </row>
    <row r="304" spans="1:2" x14ac:dyDescent="0.25">
      <c r="A304" s="7">
        <v>45733</v>
      </c>
      <c r="B304" vm="900">
        <v>85.59</v>
      </c>
    </row>
    <row r="305" spans="1:2" x14ac:dyDescent="0.25">
      <c r="A305" s="7">
        <v>45733</v>
      </c>
      <c r="B305" vm="903">
        <v>86.33</v>
      </c>
    </row>
    <row r="306" spans="1:2" x14ac:dyDescent="0.25">
      <c r="A306" s="7">
        <v>45733</v>
      </c>
      <c r="B306" vm="906">
        <v>85.81</v>
      </c>
    </row>
    <row r="307" spans="1:2" x14ac:dyDescent="0.25">
      <c r="A307" s="7">
        <v>45733</v>
      </c>
      <c r="B307" vm="909">
        <v>85.98</v>
      </c>
    </row>
    <row r="308" spans="1:2" x14ac:dyDescent="0.25">
      <c r="A308" s="7">
        <v>45740</v>
      </c>
      <c r="B308" vm="912">
        <v>87.49</v>
      </c>
    </row>
    <row r="309" spans="1:2" x14ac:dyDescent="0.25">
      <c r="A309" s="7">
        <v>45740</v>
      </c>
      <c r="B309" vm="915">
        <v>84.76</v>
      </c>
    </row>
    <row r="310" spans="1:2" x14ac:dyDescent="0.25">
      <c r="A310" s="7">
        <v>45740</v>
      </c>
      <c r="B310" vm="918">
        <v>85.21</v>
      </c>
    </row>
    <row r="311" spans="1:2" x14ac:dyDescent="0.25">
      <c r="A311" s="7">
        <v>45740</v>
      </c>
      <c r="B311" vm="921">
        <v>85.63</v>
      </c>
    </row>
    <row r="312" spans="1:2" x14ac:dyDescent="0.25">
      <c r="A312" s="7">
        <v>45740</v>
      </c>
      <c r="B312" vm="924">
        <v>85.15</v>
      </c>
    </row>
    <row r="313" spans="1:2" x14ac:dyDescent="0.25">
      <c r="A313" s="7">
        <v>45747</v>
      </c>
      <c r="B313" vm="927">
        <v>87.79</v>
      </c>
    </row>
    <row r="314" spans="1:2" x14ac:dyDescent="0.25">
      <c r="A314" s="7">
        <v>45747</v>
      </c>
      <c r="B314" vm="930">
        <v>88.83</v>
      </c>
    </row>
    <row r="315" spans="1:2" x14ac:dyDescent="0.25">
      <c r="A315" s="7">
        <v>45747</v>
      </c>
      <c r="B315" vm="933">
        <v>89.76</v>
      </c>
    </row>
    <row r="316" spans="1:2" x14ac:dyDescent="0.25">
      <c r="A316" s="7">
        <v>45747</v>
      </c>
      <c r="B316" vm="936">
        <v>87.26</v>
      </c>
    </row>
    <row r="317" spans="1:2" x14ac:dyDescent="0.25">
      <c r="A317" s="7">
        <v>45747</v>
      </c>
      <c r="B317" vm="939">
        <v>83.19</v>
      </c>
    </row>
    <row r="318" spans="1:2" x14ac:dyDescent="0.25">
      <c r="A318" s="7">
        <v>45754</v>
      </c>
      <c r="B318" vm="942">
        <v>83.83</v>
      </c>
    </row>
    <row r="319" spans="1:2" x14ac:dyDescent="0.25">
      <c r="A319" s="7">
        <v>45754</v>
      </c>
      <c r="B319" vm="945">
        <v>81.790000000000006</v>
      </c>
    </row>
    <row r="320" spans="1:2" x14ac:dyDescent="0.25">
      <c r="A320" s="7">
        <v>45754</v>
      </c>
      <c r="B320" vm="948">
        <v>89.6</v>
      </c>
    </row>
    <row r="321" spans="1:2" x14ac:dyDescent="0.25">
      <c r="A321" s="7">
        <v>45754</v>
      </c>
      <c r="B321" vm="951">
        <v>90.61</v>
      </c>
    </row>
    <row r="322" spans="1:2" x14ac:dyDescent="0.25">
      <c r="A322" s="7">
        <v>45754</v>
      </c>
      <c r="B322" vm="954">
        <v>92.8</v>
      </c>
    </row>
    <row r="323" spans="1:2" x14ac:dyDescent="0.25">
      <c r="A323" s="7">
        <v>45761</v>
      </c>
      <c r="B323" vm="957">
        <v>94.73</v>
      </c>
    </row>
    <row r="324" spans="1:2" x14ac:dyDescent="0.25">
      <c r="A324" s="7">
        <v>45761</v>
      </c>
      <c r="B324" vm="960">
        <v>93.97</v>
      </c>
    </row>
    <row r="325" spans="1:2" x14ac:dyDescent="0.25">
      <c r="A325" s="7">
        <v>45761</v>
      </c>
      <c r="B325" vm="963">
        <v>91.19</v>
      </c>
    </row>
    <row r="326" spans="1:2" x14ac:dyDescent="0.25">
      <c r="A326" s="7">
        <v>45761</v>
      </c>
      <c r="B326" vm="966">
        <v>93.22</v>
      </c>
    </row>
    <row r="327" spans="1:2" x14ac:dyDescent="0.25">
      <c r="A327" s="7">
        <v>45768</v>
      </c>
      <c r="B327" vm="969">
        <v>92.41</v>
      </c>
    </row>
    <row r="328" spans="1:2" x14ac:dyDescent="0.25">
      <c r="A328" s="7">
        <v>45768</v>
      </c>
      <c r="B328" vm="972">
        <v>94.85</v>
      </c>
    </row>
    <row r="329" spans="1:2" x14ac:dyDescent="0.25">
      <c r="A329" s="7">
        <v>45768</v>
      </c>
      <c r="B329" vm="709">
        <v>94.96</v>
      </c>
    </row>
    <row r="330" spans="1:2" x14ac:dyDescent="0.25">
      <c r="A330" s="7">
        <v>45768</v>
      </c>
      <c r="B330" vm="977">
        <v>95.84</v>
      </c>
    </row>
    <row r="331" spans="1:2" x14ac:dyDescent="0.25">
      <c r="A331" s="7">
        <v>45768</v>
      </c>
      <c r="B331" vm="980">
        <v>95.09</v>
      </c>
    </row>
    <row r="332" spans="1:2" x14ac:dyDescent="0.25">
      <c r="A332" s="7">
        <v>45775</v>
      </c>
      <c r="B332" vm="983">
        <v>95.22</v>
      </c>
    </row>
    <row r="333" spans="1:2" x14ac:dyDescent="0.25">
      <c r="A333" s="7">
        <v>45775</v>
      </c>
      <c r="B333" vm="986">
        <v>96.04</v>
      </c>
    </row>
    <row r="334" spans="1:2" x14ac:dyDescent="0.25">
      <c r="A334" s="7">
        <v>45775</v>
      </c>
      <c r="B334" vm="989">
        <v>97.25</v>
      </c>
    </row>
    <row r="335" spans="1:2" x14ac:dyDescent="0.25">
      <c r="A335" s="7">
        <v>45775</v>
      </c>
      <c r="B335" vm="992">
        <v>97.41</v>
      </c>
    </row>
    <row r="336" spans="1:2" x14ac:dyDescent="0.25">
      <c r="A336" s="7">
        <v>45775</v>
      </c>
      <c r="B336" vm="995">
        <v>98.75</v>
      </c>
    </row>
    <row r="337" spans="1:2" x14ac:dyDescent="0.25">
      <c r="A337" s="7">
        <v>45782</v>
      </c>
      <c r="B337" vm="998">
        <v>99.33</v>
      </c>
    </row>
    <row r="338" spans="1:2" x14ac:dyDescent="0.25">
      <c r="A338" s="7">
        <v>45782</v>
      </c>
      <c r="B338" vm="1001">
        <v>98.55</v>
      </c>
    </row>
    <row r="339" spans="1:2" x14ac:dyDescent="0.25">
      <c r="A339" s="7">
        <v>45782</v>
      </c>
      <c r="B339" vm="1004">
        <v>98.83</v>
      </c>
    </row>
    <row r="340" spans="1:2" x14ac:dyDescent="0.25">
      <c r="A340" s="7">
        <v>45782</v>
      </c>
      <c r="B340" vm="1007">
        <v>97.43</v>
      </c>
    </row>
    <row r="341" spans="1:2" x14ac:dyDescent="0.25">
      <c r="A341" s="7">
        <v>45782</v>
      </c>
      <c r="B341" vm="1010">
        <v>96.72</v>
      </c>
    </row>
    <row r="342" spans="1:2" x14ac:dyDescent="0.25">
      <c r="A342" s="7">
        <v>45789</v>
      </c>
      <c r="B342" vm="1013">
        <v>96.75</v>
      </c>
    </row>
    <row r="343" spans="1:2" x14ac:dyDescent="0.25">
      <c r="A343" s="7">
        <v>45789</v>
      </c>
      <c r="B343" vm="1016">
        <v>95.88</v>
      </c>
    </row>
    <row r="344" spans="1:2" x14ac:dyDescent="0.25">
      <c r="A344" s="7">
        <v>45789</v>
      </c>
      <c r="B344" vm="1019">
        <v>96.83</v>
      </c>
    </row>
    <row r="345" spans="1:2" x14ac:dyDescent="0.25">
      <c r="A345" s="7">
        <v>45789</v>
      </c>
      <c r="B345" vm="1022">
        <v>96.35</v>
      </c>
    </row>
    <row r="346" spans="1:2" x14ac:dyDescent="0.25">
      <c r="A346" s="7">
        <v>45789</v>
      </c>
      <c r="B346" vm="1025">
        <v>98.24</v>
      </c>
    </row>
    <row r="347" spans="1:2" x14ac:dyDescent="0.25">
      <c r="A347" s="7">
        <v>45796</v>
      </c>
      <c r="B347" vm="1028">
        <v>98.12</v>
      </c>
    </row>
    <row r="348" spans="1:2" x14ac:dyDescent="0.25">
      <c r="A348" s="7">
        <v>45796</v>
      </c>
      <c r="B348" vm="1031">
        <v>97.8</v>
      </c>
    </row>
    <row r="349" spans="1:2" x14ac:dyDescent="0.25">
      <c r="A349" s="7">
        <v>45796</v>
      </c>
      <c r="B349" vm="1034">
        <v>96.43</v>
      </c>
    </row>
    <row r="350" spans="1:2" x14ac:dyDescent="0.25">
      <c r="A350" s="7">
        <v>45796</v>
      </c>
      <c r="B350" vm="1037">
        <v>95.93</v>
      </c>
    </row>
    <row r="351" spans="1:2" x14ac:dyDescent="0.25">
      <c r="A351" s="7">
        <v>45796</v>
      </c>
      <c r="B351" vm="1040">
        <v>96.34</v>
      </c>
    </row>
    <row r="352" spans="1:2" x14ac:dyDescent="0.25">
      <c r="A352" s="7">
        <v>45803</v>
      </c>
      <c r="B352" vm="1043">
        <v>97.58</v>
      </c>
    </row>
    <row r="353" spans="1:2" x14ac:dyDescent="0.25">
      <c r="A353" s="7">
        <v>45803</v>
      </c>
      <c r="B353" vm="1046">
        <v>97.24</v>
      </c>
    </row>
    <row r="354" spans="1:2" x14ac:dyDescent="0.25">
      <c r="A354" s="7">
        <v>45803</v>
      </c>
      <c r="B354" vm="1049">
        <v>97.1</v>
      </c>
    </row>
    <row r="355" spans="1:2" x14ac:dyDescent="0.25">
      <c r="A355" s="7">
        <v>45803</v>
      </c>
      <c r="B355" vm="1052">
        <v>98.72</v>
      </c>
    </row>
    <row r="356" spans="1:2" x14ac:dyDescent="0.25">
      <c r="A356" s="7">
        <v>45810</v>
      </c>
      <c r="B356" vm="1055">
        <v>99.77</v>
      </c>
    </row>
    <row r="357" spans="1:2" x14ac:dyDescent="0.25">
      <c r="A357" s="7">
        <v>45810</v>
      </c>
      <c r="B357" vm="1058">
        <v>99.98</v>
      </c>
    </row>
    <row r="358" spans="1:2" x14ac:dyDescent="0.25">
      <c r="A358" s="7">
        <v>45810</v>
      </c>
      <c r="B358" vm="1061">
        <v>99.35</v>
      </c>
    </row>
    <row r="359" spans="1:2" x14ac:dyDescent="0.25">
      <c r="A359" s="7">
        <v>45810</v>
      </c>
      <c r="B359" vm="1064">
        <v>97.96</v>
      </c>
    </row>
    <row r="360" spans="1:2" x14ac:dyDescent="0.25">
      <c r="A360" s="7">
        <v>45810</v>
      </c>
      <c r="B360" vm="1067">
        <v>97.47</v>
      </c>
    </row>
    <row r="361" spans="1:2" x14ac:dyDescent="0.25">
      <c r="A361" s="7">
        <v>45817</v>
      </c>
      <c r="B361" vm="1070">
        <v>97.45</v>
      </c>
    </row>
    <row r="362" spans="1:2" x14ac:dyDescent="0.25">
      <c r="A362" s="7">
        <v>45817</v>
      </c>
      <c r="B362" vm="1073">
        <v>97.32</v>
      </c>
    </row>
    <row r="363" spans="1:2" x14ac:dyDescent="0.25">
      <c r="A363" s="7">
        <v>45817</v>
      </c>
      <c r="B363" vm="1076">
        <v>95.8</v>
      </c>
    </row>
    <row r="364" spans="1:2" x14ac:dyDescent="0.25">
      <c r="A364" s="7">
        <v>45817</v>
      </c>
      <c r="B364" vm="1079">
        <v>94.83</v>
      </c>
    </row>
    <row r="365" spans="1:2" x14ac:dyDescent="0.25">
      <c r="A365" s="7">
        <v>45817</v>
      </c>
      <c r="B365" vm="1082">
        <v>94.44</v>
      </c>
    </row>
    <row r="366" spans="1:2" x14ac:dyDescent="0.25">
      <c r="A366" s="7">
        <v>45824</v>
      </c>
      <c r="B366" vm="1085">
        <v>94.29</v>
      </c>
    </row>
    <row r="367" spans="1:2" x14ac:dyDescent="0.25">
      <c r="A367" s="7">
        <v>45824</v>
      </c>
      <c r="B367" vm="715">
        <v>94.25</v>
      </c>
    </row>
    <row r="368" spans="1:2" x14ac:dyDescent="0.25">
      <c r="A368" s="7">
        <v>45824</v>
      </c>
      <c r="B368" vm="980">
        <v>95.09</v>
      </c>
    </row>
    <row r="369" spans="1:2" x14ac:dyDescent="0.25">
      <c r="A369" s="7">
        <v>45824</v>
      </c>
      <c r="B369" vm="1092">
        <v>96.12</v>
      </c>
    </row>
    <row r="370" spans="1:2" x14ac:dyDescent="0.25">
      <c r="A370" s="7">
        <v>45831</v>
      </c>
      <c r="B370" vm="1095">
        <v>97.87</v>
      </c>
    </row>
    <row r="371" spans="1:2" x14ac:dyDescent="0.25">
      <c r="A371" s="7">
        <v>45831</v>
      </c>
      <c r="B371" vm="1098">
        <v>98</v>
      </c>
    </row>
    <row r="372" spans="1:2" x14ac:dyDescent="0.25">
      <c r="A372" s="7">
        <v>45831</v>
      </c>
      <c r="B372" vm="1101">
        <v>97.26</v>
      </c>
    </row>
    <row r="373" spans="1:2" x14ac:dyDescent="0.25">
      <c r="A373" s="7">
        <v>45831</v>
      </c>
      <c r="B373" vm="1104">
        <v>96.02</v>
      </c>
    </row>
    <row r="374" spans="1:2" x14ac:dyDescent="0.25">
      <c r="A374" s="7">
        <v>45831</v>
      </c>
      <c r="B374" vm="1107">
        <v>97.27</v>
      </c>
    </row>
    <row r="375" spans="1:2" x14ac:dyDescent="0.25">
      <c r="A375" s="7">
        <v>45838</v>
      </c>
      <c r="B375" vm="1110">
        <v>97.78</v>
      </c>
    </row>
    <row r="376" spans="1:2" x14ac:dyDescent="0.25">
      <c r="A376" s="7">
        <v>45838</v>
      </c>
      <c r="B376" vm="1025">
        <v>98.24</v>
      </c>
    </row>
    <row r="377" spans="1:2" x14ac:dyDescent="0.25">
      <c r="A377" s="7">
        <v>45838</v>
      </c>
      <c r="B377" vm="1115">
        <v>97.61</v>
      </c>
    </row>
    <row r="378" spans="1:2" x14ac:dyDescent="0.25">
      <c r="A378" s="7">
        <v>45838</v>
      </c>
      <c r="B378" vm="1118">
        <v>98.36</v>
      </c>
    </row>
    <row r="379" spans="1:2" x14ac:dyDescent="0.25">
      <c r="A379" s="7">
        <v>45845</v>
      </c>
      <c r="B379" vm="1061">
        <v>99.35</v>
      </c>
    </row>
    <row r="380" spans="1:2" x14ac:dyDescent="0.25">
      <c r="A380" s="7">
        <v>45845</v>
      </c>
      <c r="B380" vm="1123">
        <v>97.09</v>
      </c>
    </row>
    <row r="381" spans="1:2" x14ac:dyDescent="0.25">
      <c r="A381" s="7">
        <v>45845</v>
      </c>
      <c r="B381" vm="1126">
        <v>96.81</v>
      </c>
    </row>
    <row r="382" spans="1:2" x14ac:dyDescent="0.25">
      <c r="A382" s="7">
        <v>45845</v>
      </c>
      <c r="B382" vm="1129">
        <v>94.86</v>
      </c>
    </row>
    <row r="383" spans="1:2" x14ac:dyDescent="0.25">
      <c r="A383" s="7">
        <v>45845</v>
      </c>
      <c r="B383" vm="1132">
        <v>94.4</v>
      </c>
    </row>
    <row r="384" spans="1:2" x14ac:dyDescent="0.25">
      <c r="A384" s="7">
        <v>45852</v>
      </c>
      <c r="B384" vm="1135">
        <v>95.78</v>
      </c>
    </row>
    <row r="385" spans="1:2" x14ac:dyDescent="0.25">
      <c r="A385" s="7">
        <v>45852</v>
      </c>
      <c r="B385" vm="1138">
        <v>95.39</v>
      </c>
    </row>
    <row r="386" spans="1:2" x14ac:dyDescent="0.25">
      <c r="A386" s="7">
        <v>45852</v>
      </c>
      <c r="B386" vm="1141">
        <v>95.15</v>
      </c>
    </row>
    <row r="387" spans="1:2" x14ac:dyDescent="0.25">
      <c r="A387" s="7">
        <v>45852</v>
      </c>
      <c r="B387" vm="980">
        <v>95.09</v>
      </c>
    </row>
    <row r="388" spans="1:2" x14ac:dyDescent="0.25">
      <c r="A388" s="7">
        <v>45852</v>
      </c>
      <c r="B388" vm="1146">
        <v>95.05</v>
      </c>
    </row>
    <row r="389" spans="1:2" x14ac:dyDescent="0.25">
      <c r="A389" s="7">
        <v>45859</v>
      </c>
      <c r="B389" vm="1149">
        <v>95.67</v>
      </c>
    </row>
    <row r="390" spans="1:2" x14ac:dyDescent="0.25">
      <c r="A390" s="7">
        <v>45859</v>
      </c>
      <c r="B390" vm="1152">
        <v>95.85</v>
      </c>
    </row>
    <row r="391" spans="1:2" x14ac:dyDescent="0.25">
      <c r="A391" s="7">
        <v>45859</v>
      </c>
      <c r="B391" vm="1155">
        <v>95.68</v>
      </c>
    </row>
    <row r="392" spans="1:2" x14ac:dyDescent="0.25">
      <c r="A392" s="7">
        <v>45859</v>
      </c>
      <c r="B392" vm="1158">
        <v>96.6</v>
      </c>
    </row>
    <row r="393" spans="1:2" x14ac:dyDescent="0.25">
      <c r="A393" s="7">
        <v>45859</v>
      </c>
      <c r="B393" vm="1067">
        <v>97.47</v>
      </c>
    </row>
    <row r="394" spans="1:2" x14ac:dyDescent="0.25">
      <c r="A394" s="7">
        <v>45866</v>
      </c>
      <c r="B394" vm="1115">
        <v>97.61</v>
      </c>
    </row>
    <row r="395" spans="1:2" x14ac:dyDescent="0.25">
      <c r="A395" s="7">
        <v>45866</v>
      </c>
      <c r="B395" vm="1165">
        <v>98.33</v>
      </c>
    </row>
    <row r="396" spans="1:2" x14ac:dyDescent="0.25">
      <c r="A396" s="7">
        <v>45866</v>
      </c>
      <c r="B396" vm="867">
        <v>97.59</v>
      </c>
    </row>
    <row r="397" spans="1:2" x14ac:dyDescent="0.25">
      <c r="A397" s="7">
        <v>45866</v>
      </c>
      <c r="B397" vm="1170">
        <v>97.98</v>
      </c>
    </row>
    <row r="398" spans="1:2" x14ac:dyDescent="0.25">
      <c r="A398" s="7">
        <v>45866</v>
      </c>
      <c r="B398" vm="1173">
        <v>98.49</v>
      </c>
    </row>
    <row r="399" spans="1:2" x14ac:dyDescent="0.25">
      <c r="A399" s="7">
        <v>45873</v>
      </c>
      <c r="B399" vm="1176">
        <v>99.59</v>
      </c>
    </row>
    <row r="400" spans="1:2" x14ac:dyDescent="0.25">
      <c r="A400" s="7">
        <v>45873</v>
      </c>
      <c r="B400" vm="1179">
        <v>99.31</v>
      </c>
    </row>
    <row r="401" spans="1:2" x14ac:dyDescent="0.25">
      <c r="A401" s="7">
        <v>45873</v>
      </c>
      <c r="B401" vm="1182">
        <v>103.36</v>
      </c>
    </row>
    <row r="402" spans="1:2" x14ac:dyDescent="0.25">
      <c r="A402" s="7">
        <v>45873</v>
      </c>
      <c r="B402" vm="1185">
        <v>103.12</v>
      </c>
    </row>
    <row r="403" spans="1:2" x14ac:dyDescent="0.25">
      <c r="A403" s="7">
        <v>45873</v>
      </c>
      <c r="B403" vm="1188">
        <v>103.73</v>
      </c>
    </row>
    <row r="404" spans="1:2" x14ac:dyDescent="0.25">
      <c r="A404" s="7">
        <v>45880</v>
      </c>
      <c r="B404" vm="1191">
        <v>103.93</v>
      </c>
    </row>
    <row r="405" spans="1:2" x14ac:dyDescent="0.25">
      <c r="A405" s="7">
        <v>45880</v>
      </c>
      <c r="B405" vm="1194">
        <v>103.62</v>
      </c>
    </row>
    <row r="406" spans="1:2" x14ac:dyDescent="0.25">
      <c r="A406" s="7">
        <v>45880</v>
      </c>
      <c r="B406" vm="1197">
        <v>100.99</v>
      </c>
    </row>
    <row r="407" spans="1:2" x14ac:dyDescent="0.25">
      <c r="A407" s="7">
        <v>45880</v>
      </c>
      <c r="B407" vm="1200">
        <v>100.85</v>
      </c>
    </row>
    <row r="408" spans="1:2" x14ac:dyDescent="0.25">
      <c r="A408" s="7">
        <v>45880</v>
      </c>
      <c r="B408" vm="1203">
        <v>100</v>
      </c>
    </row>
    <row r="409" spans="1:2" x14ac:dyDescent="0.25">
      <c r="A409" s="7">
        <v>45887</v>
      </c>
      <c r="B409" vm="1206">
        <v>100.7</v>
      </c>
    </row>
    <row r="410" spans="1:2" x14ac:dyDescent="0.25">
      <c r="A410" s="7">
        <v>45887</v>
      </c>
      <c r="B410" vm="1209">
        <v>101.29</v>
      </c>
    </row>
    <row r="411" spans="1:2" x14ac:dyDescent="0.25">
      <c r="A411" s="7">
        <v>45887</v>
      </c>
      <c r="B411" vm="1212">
        <v>102.57</v>
      </c>
    </row>
    <row r="412" spans="1:2" x14ac:dyDescent="0.25">
      <c r="A412" s="7">
        <v>45887</v>
      </c>
      <c r="B412" vm="1064">
        <v>97.96</v>
      </c>
    </row>
    <row r="413" spans="1:2" x14ac:dyDescent="0.25">
      <c r="A413" s="7">
        <v>45887</v>
      </c>
      <c r="B413" vm="1019">
        <v>96.83</v>
      </c>
    </row>
    <row r="414" spans="1:2" x14ac:dyDescent="0.25">
      <c r="A414" s="7">
        <v>45894</v>
      </c>
      <c r="B414" vm="1219">
        <v>96.07</v>
      </c>
    </row>
    <row r="415" spans="1:2" x14ac:dyDescent="0.25">
      <c r="A415" s="7">
        <v>45894</v>
      </c>
      <c r="B415" vm="1222">
        <v>96.05</v>
      </c>
    </row>
    <row r="416" spans="1:2" x14ac:dyDescent="0.25">
      <c r="A416" s="7">
        <v>45894</v>
      </c>
      <c r="B416" vm="1225">
        <v>96.08</v>
      </c>
    </row>
    <row r="417" spans="1:2" x14ac:dyDescent="0.25">
      <c r="A417" s="7">
        <v>45894</v>
      </c>
      <c r="B417" vm="1228">
        <v>96.11</v>
      </c>
    </row>
    <row r="418" spans="1:2" x14ac:dyDescent="0.25">
      <c r="A418" s="7">
        <v>45894</v>
      </c>
      <c r="B418" vm="1231">
        <v>96.98</v>
      </c>
    </row>
    <row r="419" spans="1:2" x14ac:dyDescent="0.25">
      <c r="A419" s="7">
        <v>45901</v>
      </c>
      <c r="B419" vm="1234">
        <v>97.85</v>
      </c>
    </row>
    <row r="420" spans="1:2" x14ac:dyDescent="0.25">
      <c r="A420" s="7">
        <v>45901</v>
      </c>
      <c r="B420" vm="1237">
        <v>99.44</v>
      </c>
    </row>
    <row r="421" spans="1:2" x14ac:dyDescent="0.25">
      <c r="A421" s="7">
        <v>45901</v>
      </c>
      <c r="B421" vm="1240">
        <v>100.93</v>
      </c>
    </row>
    <row r="422" spans="1:2" x14ac:dyDescent="0.25">
      <c r="A422" s="7">
        <v>45901</v>
      </c>
      <c r="B422" vm="1243">
        <v>100.51</v>
      </c>
    </row>
    <row r="423" spans="1:2" x14ac:dyDescent="0.25">
      <c r="A423" s="7">
        <v>45908</v>
      </c>
      <c r="B423" vm="1246">
        <v>102.28</v>
      </c>
    </row>
    <row r="424" spans="1:2" x14ac:dyDescent="0.25">
      <c r="A424" s="7">
        <v>45908</v>
      </c>
      <c r="B424" vm="1249">
        <v>102.29</v>
      </c>
    </row>
    <row r="425" spans="1:2" x14ac:dyDescent="0.25">
      <c r="A425" s="7">
        <v>45908</v>
      </c>
      <c r="B425" vm="1252">
        <v>100.41</v>
      </c>
    </row>
    <row r="426" spans="1:2" x14ac:dyDescent="0.25">
      <c r="A426" s="7">
        <v>45908</v>
      </c>
      <c r="B426" vm="1255">
        <v>102.65</v>
      </c>
    </row>
    <row r="427" spans="1:2" x14ac:dyDescent="0.25">
      <c r="A427" s="7">
        <v>45908</v>
      </c>
      <c r="B427" vm="1258">
        <v>103.49</v>
      </c>
    </row>
    <row r="428" spans="1:2" x14ac:dyDescent="0.25">
      <c r="A428" s="7">
        <v>45915</v>
      </c>
      <c r="B428" vm="1261">
        <v>103.69</v>
      </c>
    </row>
    <row r="429" spans="1:2" x14ac:dyDescent="0.25">
      <c r="A429" s="7">
        <v>45915</v>
      </c>
      <c r="B429" vm="1264">
        <v>103.42</v>
      </c>
    </row>
    <row r="430" spans="1:2" x14ac:dyDescent="0.25">
      <c r="A430" s="7">
        <v>45915</v>
      </c>
      <c r="B430" vm="1267">
        <v>104.27</v>
      </c>
    </row>
    <row r="431" spans="1:2" x14ac:dyDescent="0.25">
      <c r="A431" s="7">
        <v>45915</v>
      </c>
      <c r="B431" vm="1270">
        <v>103.6</v>
      </c>
    </row>
    <row r="432" spans="1:2" x14ac:dyDescent="0.25">
      <c r="A432" s="7">
        <v>45915</v>
      </c>
      <c r="B432" vm="1273">
        <v>102.33</v>
      </c>
    </row>
    <row r="433" spans="1:2" x14ac:dyDescent="0.25">
      <c r="A433" s="7">
        <v>45922</v>
      </c>
      <c r="B433" vm="1276">
        <v>102.82</v>
      </c>
    </row>
    <row r="434" spans="1:2" x14ac:dyDescent="0.25">
      <c r="A434" s="7">
        <v>45922</v>
      </c>
      <c r="B434" vm="1279">
        <v>102.52</v>
      </c>
    </row>
    <row r="435" spans="1:2" x14ac:dyDescent="0.25">
      <c r="A435" s="7">
        <v>45922</v>
      </c>
      <c r="B435" vm="1282">
        <v>102.73</v>
      </c>
    </row>
    <row r="436" spans="1:2" x14ac:dyDescent="0.25">
      <c r="A436" s="7">
        <v>45922</v>
      </c>
      <c r="B436" vm="1285">
        <v>103.05</v>
      </c>
    </row>
    <row r="437" spans="1:2" x14ac:dyDescent="0.25">
      <c r="A437" s="7">
        <v>45922</v>
      </c>
      <c r="B437" vm="1288">
        <v>103.16</v>
      </c>
    </row>
    <row r="438" spans="1:2" x14ac:dyDescent="0.25">
      <c r="A438" s="7">
        <v>45929</v>
      </c>
      <c r="B438" vm="1291">
        <v>103.08</v>
      </c>
    </row>
    <row r="439" spans="1:2" x14ac:dyDescent="0.25">
      <c r="A439" s="7">
        <v>45929</v>
      </c>
      <c r="B439" vm="1294">
        <v>103.06</v>
      </c>
    </row>
    <row r="440" spans="1:2" x14ac:dyDescent="0.25">
      <c r="A440" s="7">
        <v>45929</v>
      </c>
      <c r="B440" vm="1297">
        <v>101.96</v>
      </c>
    </row>
    <row r="441" spans="1:2" x14ac:dyDescent="0.25">
      <c r="A441" s="7">
        <v>45929</v>
      </c>
      <c r="B441" vm="1300">
        <v>101.7</v>
      </c>
    </row>
    <row r="442" spans="1:2" x14ac:dyDescent="0.25">
      <c r="A442" s="7">
        <v>45929</v>
      </c>
      <c r="B442" vm="1303">
        <v>102.07</v>
      </c>
    </row>
    <row r="443" spans="1:2" x14ac:dyDescent="0.25">
      <c r="A443" s="7">
        <v>45936</v>
      </c>
      <c r="B443" vm="1306">
        <v>102.7</v>
      </c>
    </row>
    <row r="444" spans="1:2" x14ac:dyDescent="0.25">
      <c r="A444" s="7">
        <v>45936</v>
      </c>
      <c r="B444" vm="1309">
        <v>103.24</v>
      </c>
    </row>
    <row r="445" spans="1:2" x14ac:dyDescent="0.25">
      <c r="A445" s="7">
        <v>45936</v>
      </c>
      <c r="B445" vm="1312">
        <v>102.9</v>
      </c>
    </row>
    <row r="446" spans="1:2" x14ac:dyDescent="0.25">
      <c r="A446" s="7">
        <v>45936</v>
      </c>
      <c r="B446" vm="1315">
        <v>101.77</v>
      </c>
    </row>
    <row r="447" spans="1:2" x14ac:dyDescent="0.25">
      <c r="A447" s="7">
        <v>45936</v>
      </c>
      <c r="B447" vm="1318">
        <v>101.84</v>
      </c>
    </row>
    <row r="448" spans="1:2" x14ac:dyDescent="0.25">
      <c r="A448" s="7">
        <v>45943</v>
      </c>
      <c r="B448" vm="1321">
        <v>102.12</v>
      </c>
    </row>
    <row r="449" spans="1:2" x14ac:dyDescent="0.25">
      <c r="A449" s="7">
        <v>45943</v>
      </c>
      <c r="B449" vm="1324">
        <v>107.21</v>
      </c>
    </row>
    <row r="450" spans="1:2" x14ac:dyDescent="0.25">
      <c r="A450" s="7">
        <v>45943</v>
      </c>
      <c r="B450" vm="1327">
        <v>109.03</v>
      </c>
    </row>
    <row r="451" spans="1:2" x14ac:dyDescent="0.25">
      <c r="A451" s="7">
        <v>45943</v>
      </c>
      <c r="B451" vm="1330">
        <v>106.47</v>
      </c>
    </row>
    <row r="452" spans="1:2" x14ac:dyDescent="0.25">
      <c r="A452" s="7">
        <v>45943</v>
      </c>
      <c r="B452" vm="1333">
        <v>107.73</v>
      </c>
    </row>
    <row r="453" spans="1:2" x14ac:dyDescent="0.25">
      <c r="A453" s="7">
        <v>45950</v>
      </c>
      <c r="B453" vm="1336">
        <v>107.05</v>
      </c>
    </row>
    <row r="454" spans="1:2" x14ac:dyDescent="0.25">
      <c r="A454" s="7">
        <v>45950</v>
      </c>
      <c r="B454" vm="1339">
        <v>106.22</v>
      </c>
    </row>
    <row r="455" spans="1:2" x14ac:dyDescent="0.25">
      <c r="A455" s="7">
        <v>45950</v>
      </c>
      <c r="B455" vm="1342">
        <v>107.14</v>
      </c>
    </row>
    <row r="456" spans="1:2" x14ac:dyDescent="0.25">
      <c r="A456" s="7">
        <v>45950</v>
      </c>
      <c r="B456" vm="1345">
        <v>106.86</v>
      </c>
    </row>
    <row r="457" spans="1:2" x14ac:dyDescent="0.25">
      <c r="A457" s="7">
        <v>45950</v>
      </c>
      <c r="B457" vm="1348">
        <v>106.17</v>
      </c>
    </row>
    <row r="458" spans="1:2" x14ac:dyDescent="0.25">
      <c r="A458" s="7">
        <v>45957</v>
      </c>
      <c r="B458" vm="1351">
        <v>104.47</v>
      </c>
    </row>
    <row r="459" spans="1:2" x14ac:dyDescent="0.25">
      <c r="A459" s="7">
        <v>45957</v>
      </c>
      <c r="B459" vm="1354">
        <v>103.17</v>
      </c>
    </row>
    <row r="460" spans="1:2" x14ac:dyDescent="0.25">
      <c r="A460" s="7">
        <v>45957</v>
      </c>
      <c r="B460" vm="816">
        <v>102.46</v>
      </c>
    </row>
    <row r="461" spans="1:2" x14ac:dyDescent="0.25">
      <c r="A461" s="7">
        <v>45957</v>
      </c>
      <c r="B461" vm="1359">
        <v>102.23</v>
      </c>
    </row>
    <row r="462" spans="1:2" x14ac:dyDescent="0.25">
      <c r="A462" s="7">
        <v>45957</v>
      </c>
      <c r="B462" vm="1362">
        <v>101.18</v>
      </c>
    </row>
    <row r="463" spans="1:2" x14ac:dyDescent="0.25">
      <c r="A463" s="7">
        <v>45964</v>
      </c>
      <c r="B463" vm="1365">
        <v>101.59</v>
      </c>
    </row>
    <row r="464" spans="1:2" x14ac:dyDescent="0.25">
      <c r="A464" s="7">
        <v>45964</v>
      </c>
      <c r="B464" vm="1368">
        <v>102.27</v>
      </c>
    </row>
    <row r="465" spans="1:2" x14ac:dyDescent="0.25">
      <c r="A465" s="7">
        <v>45964</v>
      </c>
      <c r="B465" vm="1371">
        <v>101.47</v>
      </c>
    </row>
    <row r="466" spans="1:2" x14ac:dyDescent="0.25">
      <c r="A466" s="7">
        <v>45964</v>
      </c>
      <c r="B466" vm="1374">
        <v>101.68</v>
      </c>
    </row>
    <row r="467" spans="1:2" x14ac:dyDescent="0.25">
      <c r="A467" s="7">
        <v>45964</v>
      </c>
      <c r="B467" vm="1377">
        <v>102.59</v>
      </c>
    </row>
    <row r="468" spans="1:2" x14ac:dyDescent="0.25">
      <c r="A468" s="7">
        <v>45971</v>
      </c>
      <c r="B468" vm="1380">
        <v>102.42</v>
      </c>
    </row>
    <row r="469" spans="1:2" x14ac:dyDescent="0.25">
      <c r="A469" s="7">
        <v>45971</v>
      </c>
      <c r="B469" vm="1383">
        <v>103.44</v>
      </c>
    </row>
    <row r="470" spans="1:2" x14ac:dyDescent="0.25">
      <c r="A470" s="7">
        <v>45971</v>
      </c>
      <c r="B470" vm="1383">
        <v>103.44</v>
      </c>
    </row>
    <row r="471" spans="1:2" x14ac:dyDescent="0.25">
      <c r="A471" s="7">
        <v>45971</v>
      </c>
      <c r="B471" vm="1388">
        <v>102.54</v>
      </c>
    </row>
    <row r="472" spans="1:2" x14ac:dyDescent="0.25">
      <c r="A472" s="7">
        <v>45971</v>
      </c>
      <c r="B472" vm="1391">
        <v>102.48</v>
      </c>
    </row>
    <row r="473" spans="1:2" x14ac:dyDescent="0.25">
      <c r="A473" s="7">
        <v>45978</v>
      </c>
      <c r="B473" vm="1394">
        <v>102.95</v>
      </c>
    </row>
    <row r="474" spans="1:2" x14ac:dyDescent="0.25">
      <c r="A474" s="7">
        <v>45978</v>
      </c>
      <c r="B474" vm="1397">
        <v>101.39</v>
      </c>
    </row>
    <row r="475" spans="1:2" x14ac:dyDescent="0.25">
      <c r="A475" s="7">
        <v>45978</v>
      </c>
      <c r="B475" vm="1400">
        <v>100.61</v>
      </c>
    </row>
    <row r="476" spans="1:2" x14ac:dyDescent="0.25">
      <c r="A476" s="7">
        <v>45978</v>
      </c>
      <c r="B476" vm="1403">
        <v>107.11</v>
      </c>
    </row>
    <row r="477" spans="1:2" x14ac:dyDescent="0.25">
      <c r="A477" s="7">
        <v>45978</v>
      </c>
      <c r="B477" vm="1406">
        <v>105.32</v>
      </c>
    </row>
    <row r="478" spans="1:2" x14ac:dyDescent="0.25">
      <c r="A478" s="7">
        <v>45985</v>
      </c>
      <c r="B478" vm="1409">
        <v>104.06</v>
      </c>
    </row>
    <row r="479" spans="1:2" x14ac:dyDescent="0.25">
      <c r="A479" s="7">
        <v>45985</v>
      </c>
      <c r="B479" vm="1412">
        <v>107</v>
      </c>
    </row>
    <row r="480" spans="1:2" x14ac:dyDescent="0.25">
      <c r="A480" s="7">
        <v>45985</v>
      </c>
      <c r="B480" vm="1415">
        <v>109.1</v>
      </c>
    </row>
    <row r="481" spans="1:2" x14ac:dyDescent="0.25">
      <c r="A481" s="7">
        <v>45985</v>
      </c>
      <c r="B481" vm="1418">
        <v>110.51</v>
      </c>
    </row>
    <row r="482" spans="1:2" x14ac:dyDescent="0.25">
      <c r="A482" s="7">
        <v>45992</v>
      </c>
      <c r="B482" vm="1421">
        <v>111.53</v>
      </c>
    </row>
    <row r="483" spans="1:2" x14ac:dyDescent="0.25">
      <c r="A483" s="7">
        <v>45992</v>
      </c>
      <c r="B483" vm="1424">
        <v>112.41</v>
      </c>
    </row>
    <row r="484" spans="1:2" x14ac:dyDescent="0.25">
      <c r="A484" s="7">
        <v>45992</v>
      </c>
      <c r="B484" vm="1427">
        <v>114.41</v>
      </c>
    </row>
    <row r="485" spans="1:2" x14ac:dyDescent="0.25">
      <c r="A485" s="7">
        <v>45992</v>
      </c>
      <c r="B485" vm="1430">
        <v>114.84</v>
      </c>
    </row>
    <row r="486" spans="1:2" x14ac:dyDescent="0.25">
      <c r="A486" s="7">
        <v>45992</v>
      </c>
      <c r="B486" vm="1433">
        <v>115.11</v>
      </c>
    </row>
    <row r="487" spans="1:2" x14ac:dyDescent="0.25">
      <c r="A487" s="7">
        <v>45999</v>
      </c>
      <c r="B487" vm="1436">
        <v>113.56</v>
      </c>
    </row>
    <row r="488" spans="1:2" x14ac:dyDescent="0.25">
      <c r="A488" s="7">
        <v>45999</v>
      </c>
      <c r="B488" vm="1439">
        <v>115.06</v>
      </c>
    </row>
    <row r="489" spans="1:2" x14ac:dyDescent="0.25">
      <c r="A489" s="7">
        <v>45999</v>
      </c>
      <c r="B489" vm="1442">
        <v>113.18</v>
      </c>
    </row>
    <row r="490" spans="1:2" x14ac:dyDescent="0.25">
      <c r="A490" s="7">
        <v>45999</v>
      </c>
      <c r="B490" vm="1445">
        <v>115.52</v>
      </c>
    </row>
    <row r="491" spans="1:2" x14ac:dyDescent="0.25">
      <c r="A491" s="7">
        <v>45999</v>
      </c>
      <c r="B491" vm="1448">
        <v>116.7</v>
      </c>
    </row>
    <row r="492" spans="1:2" x14ac:dyDescent="0.25">
      <c r="A492" s="7">
        <v>46006</v>
      </c>
      <c r="B492" vm="1451">
        <v>116.79</v>
      </c>
    </row>
    <row r="493" spans="1:2" x14ac:dyDescent="0.25">
      <c r="A493" s="7">
        <v>46006</v>
      </c>
      <c r="B493" vm="1454">
        <v>115.42</v>
      </c>
    </row>
    <row r="494" spans="1:2" x14ac:dyDescent="0.25">
      <c r="A494" s="7">
        <v>46006</v>
      </c>
      <c r="B494" vm="1457">
        <v>115.66</v>
      </c>
    </row>
    <row r="495" spans="1:2" x14ac:dyDescent="0.25">
      <c r="A495" s="7">
        <v>46006</v>
      </c>
      <c r="B495" vm="1460">
        <v>114.83</v>
      </c>
    </row>
    <row r="496" spans="1:2" x14ac:dyDescent="0.25">
      <c r="A496" s="7">
        <v>46006</v>
      </c>
      <c r="B496" vm="1463">
        <v>114.36</v>
      </c>
    </row>
    <row r="497" spans="1:2" x14ac:dyDescent="0.25">
      <c r="A497" s="7">
        <v>46013</v>
      </c>
      <c r="B497" vm="1466">
        <v>112.6</v>
      </c>
    </row>
    <row r="498" spans="1:2" x14ac:dyDescent="0.25">
      <c r="A498" s="7">
        <v>46013</v>
      </c>
      <c r="B498" vm="1469">
        <v>110.9</v>
      </c>
    </row>
    <row r="499" spans="1:2" x14ac:dyDescent="0.25">
      <c r="A499" s="7">
        <v>46013</v>
      </c>
      <c r="B499" vm="1472">
        <v>111.61</v>
      </c>
    </row>
    <row r="500" spans="1:2" x14ac:dyDescent="0.25">
      <c r="A500" s="7">
        <v>46013</v>
      </c>
      <c r="B500" vm="1475">
        <v>111.74</v>
      </c>
    </row>
    <row r="501" spans="1:2" x14ac:dyDescent="0.25">
      <c r="A501" s="7">
        <v>46020</v>
      </c>
      <c r="B501" vm="1478">
        <v>112.53</v>
      </c>
    </row>
    <row r="502" spans="1:2" x14ac:dyDescent="0.25">
      <c r="A502" s="7">
        <v>46020</v>
      </c>
      <c r="B502" vm="1481">
        <v>111.92</v>
      </c>
    </row>
    <row r="503" spans="1:2" x14ac:dyDescent="0.25">
      <c r="A503" s="7">
        <v>46020</v>
      </c>
      <c r="B503" vm="1484">
        <v>111.41</v>
      </c>
    </row>
    <row r="504" spans="1:2" x14ac:dyDescent="0.25">
      <c r="A504" s="7">
        <v>46020</v>
      </c>
      <c r="B504" vm="1487">
        <v>112.76</v>
      </c>
    </row>
    <row r="505" spans="1:2" x14ac:dyDescent="0.25">
      <c r="A505" s="7">
        <v>46027</v>
      </c>
      <c r="B505" vm="1490">
        <v>112.71</v>
      </c>
    </row>
    <row r="506" spans="1:2" x14ac:dyDescent="0.25">
      <c r="A506" s="7">
        <v>46027</v>
      </c>
      <c r="B506" vm="1493">
        <v>114.34</v>
      </c>
    </row>
    <row r="507" spans="1:2" x14ac:dyDescent="0.25">
      <c r="A507" s="7">
        <v>46027</v>
      </c>
      <c r="B507" vm="1496">
        <v>112.72</v>
      </c>
    </row>
    <row r="508" spans="1:2" x14ac:dyDescent="0.25">
      <c r="A508" s="7">
        <v>46027</v>
      </c>
      <c r="B508" vm="1499">
        <v>113.07</v>
      </c>
    </row>
    <row r="509" spans="1:2" x14ac:dyDescent="0.25">
      <c r="A509" s="7">
        <v>46027</v>
      </c>
      <c r="B509" vm="1502">
        <v>114.53</v>
      </c>
    </row>
    <row r="510" spans="1:2" x14ac:dyDescent="0.25">
      <c r="A510" s="7">
        <v>46034</v>
      </c>
      <c r="B510" vm="1505">
        <v>117.97</v>
      </c>
    </row>
    <row r="511" spans="1:2" x14ac:dyDescent="0.25">
      <c r="A511" s="7">
        <v>46034</v>
      </c>
      <c r="B511" vm="1508">
        <v>120.36</v>
      </c>
    </row>
    <row r="512" spans="1:2" x14ac:dyDescent="0.25">
      <c r="A512" s="7">
        <v>46034</v>
      </c>
      <c r="B512" vm="1511">
        <v>120.04</v>
      </c>
    </row>
    <row r="513" spans="1:2" x14ac:dyDescent="0.25">
      <c r="A513" s="7">
        <v>46034</v>
      </c>
      <c r="B513" vm="1514">
        <v>119.2</v>
      </c>
    </row>
    <row r="514" spans="1:2" x14ac:dyDescent="0.25">
      <c r="A514" s="7">
        <v>46034</v>
      </c>
      <c r="B514" vm="1517">
        <v>119.7</v>
      </c>
    </row>
    <row r="515" spans="1:2" x14ac:dyDescent="0.25">
      <c r="A515" s="7">
        <v>46041</v>
      </c>
      <c r="B515" vm="1520">
        <v>118.71</v>
      </c>
    </row>
    <row r="516" spans="1:2" x14ac:dyDescent="0.25">
      <c r="A516" s="7">
        <v>46041</v>
      </c>
      <c r="B516" vm="1523">
        <v>119.36</v>
      </c>
    </row>
    <row r="517" spans="1:2" x14ac:dyDescent="0.25">
      <c r="A517" s="7">
        <v>46041</v>
      </c>
      <c r="B517" vm="1526">
        <v>117.83</v>
      </c>
    </row>
    <row r="518" spans="1:2" x14ac:dyDescent="0.25">
      <c r="A518" s="7">
        <v>46041</v>
      </c>
      <c r="B518" vm="1529">
        <v>117.73</v>
      </c>
    </row>
    <row r="519" spans="1:2" x14ac:dyDescent="0.25">
      <c r="A519" s="7">
        <v>46048</v>
      </c>
      <c r="B519" vm="1532">
        <v>117.64</v>
      </c>
    </row>
    <row r="520" spans="1:2" x14ac:dyDescent="0.25">
      <c r="A520" s="7">
        <v>46048</v>
      </c>
      <c r="B520" vm="1535">
        <v>116.94</v>
      </c>
    </row>
    <row r="521" spans="1:2" x14ac:dyDescent="0.25">
      <c r="A521" s="7">
        <v>46048</v>
      </c>
      <c r="B521" vm="1538">
        <v>116.57</v>
      </c>
    </row>
    <row r="522" spans="1:2" x14ac:dyDescent="0.25">
      <c r="A522" s="7">
        <v>46048</v>
      </c>
      <c r="B522" vm="1541">
        <v>117.41</v>
      </c>
    </row>
    <row r="523" spans="1:2" x14ac:dyDescent="0.25">
      <c r="A523" s="7">
        <v>46048</v>
      </c>
      <c r="B523" vm="1544">
        <v>119.14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C11AD-5169-4E9F-9A83-651BD0A9C4F4}">
  <dimension ref="A1:D120"/>
  <sheetViews>
    <sheetView topLeftCell="A3" workbookViewId="0">
      <selection activeCell="J23" sqref="J23"/>
    </sheetView>
  </sheetViews>
  <sheetFormatPr defaultRowHeight="15" x14ac:dyDescent="0.25"/>
  <cols>
    <col min="1" max="2" width="10.42578125" bestFit="1" customWidth="1"/>
    <col min="4" max="4" width="11" bestFit="1" customWidth="1"/>
  </cols>
  <sheetData>
    <row r="1" spans="1:4" x14ac:dyDescent="0.25">
      <c r="A1" t="s">
        <v>4</v>
      </c>
      <c r="B1" t="s">
        <v>15</v>
      </c>
      <c r="C1" t="s">
        <v>22</v>
      </c>
      <c r="D1" t="s">
        <v>23</v>
      </c>
    </row>
    <row r="2" spans="1:4" x14ac:dyDescent="0.25">
      <c r="A2" s="5">
        <v>45291</v>
      </c>
      <c r="B2">
        <v>52.754449999999999</v>
      </c>
    </row>
    <row r="3" spans="1:4" x14ac:dyDescent="0.25">
      <c r="A3" s="5">
        <v>45298</v>
      </c>
      <c r="B3">
        <v>53.418140000000001</v>
      </c>
    </row>
    <row r="4" spans="1:4" x14ac:dyDescent="0.25">
      <c r="A4" s="5">
        <v>45305</v>
      </c>
      <c r="B4">
        <v>54.0428</v>
      </c>
    </row>
    <row r="5" spans="1:4" x14ac:dyDescent="0.25">
      <c r="A5" s="5">
        <v>45312</v>
      </c>
      <c r="B5">
        <v>54.186140000000002</v>
      </c>
    </row>
    <row r="6" spans="1:4" x14ac:dyDescent="0.25">
      <c r="A6" s="5">
        <v>45319</v>
      </c>
      <c r="B6">
        <v>55.583460000000002</v>
      </c>
    </row>
    <row r="7" spans="1:4" x14ac:dyDescent="0.25">
      <c r="A7" s="5">
        <v>45326</v>
      </c>
      <c r="B7">
        <v>56.432760000000002</v>
      </c>
    </row>
    <row r="8" spans="1:4" x14ac:dyDescent="0.25">
      <c r="A8" s="5">
        <v>45333</v>
      </c>
      <c r="B8">
        <v>56.512079999999997</v>
      </c>
    </row>
    <row r="9" spans="1:4" x14ac:dyDescent="0.25">
      <c r="A9" s="5">
        <v>45340</v>
      </c>
      <c r="B9">
        <v>58.376899999999999</v>
      </c>
    </row>
    <row r="10" spans="1:4" x14ac:dyDescent="0.25">
      <c r="A10" s="5">
        <v>45347</v>
      </c>
      <c r="B10">
        <v>59.235999999999997</v>
      </c>
    </row>
    <row r="11" spans="1:4" x14ac:dyDescent="0.25">
      <c r="A11" s="5">
        <v>45354</v>
      </c>
      <c r="B11">
        <v>60.077999999999996</v>
      </c>
    </row>
    <row r="12" spans="1:4" x14ac:dyDescent="0.25">
      <c r="A12" s="5">
        <v>45361</v>
      </c>
      <c r="B12">
        <v>61.01</v>
      </c>
    </row>
    <row r="13" spans="1:4" x14ac:dyDescent="0.25">
      <c r="A13" s="5">
        <v>45368</v>
      </c>
      <c r="B13">
        <v>61.06</v>
      </c>
    </row>
    <row r="14" spans="1:4" x14ac:dyDescent="0.25">
      <c r="A14" s="5">
        <v>45375</v>
      </c>
      <c r="B14">
        <v>60.4925</v>
      </c>
    </row>
    <row r="15" spans="1:4" x14ac:dyDescent="0.25">
      <c r="A15" s="5">
        <v>45382</v>
      </c>
      <c r="B15">
        <v>59.588000000000001</v>
      </c>
    </row>
    <row r="16" spans="1:4" x14ac:dyDescent="0.25">
      <c r="A16" s="5">
        <v>45389</v>
      </c>
      <c r="B16">
        <v>60.084000000000003</v>
      </c>
    </row>
    <row r="17" spans="1:2" x14ac:dyDescent="0.25">
      <c r="A17" s="5">
        <v>45396</v>
      </c>
      <c r="B17">
        <v>59.642000000000003</v>
      </c>
    </row>
    <row r="18" spans="1:2" x14ac:dyDescent="0.25">
      <c r="A18" s="5">
        <v>45403</v>
      </c>
      <c r="B18">
        <v>59.893999999999998</v>
      </c>
    </row>
    <row r="19" spans="1:2" x14ac:dyDescent="0.25">
      <c r="A19" s="5">
        <v>45410</v>
      </c>
      <c r="B19">
        <v>59.594000000000001</v>
      </c>
    </row>
    <row r="20" spans="1:2" x14ac:dyDescent="0.25">
      <c r="A20" s="5">
        <v>45417</v>
      </c>
      <c r="B20">
        <v>60.341999999999999</v>
      </c>
    </row>
    <row r="21" spans="1:2" x14ac:dyDescent="0.25">
      <c r="A21" s="5">
        <v>45424</v>
      </c>
      <c r="B21">
        <v>61.752000000000002</v>
      </c>
    </row>
    <row r="22" spans="1:2" x14ac:dyDescent="0.25">
      <c r="A22" s="5">
        <v>45431</v>
      </c>
      <c r="B22">
        <v>64.960000000000008</v>
      </c>
    </row>
    <row r="23" spans="1:2" x14ac:dyDescent="0.25">
      <c r="A23" s="5">
        <v>45438</v>
      </c>
      <c r="B23">
        <v>65.152500000000003</v>
      </c>
    </row>
    <row r="24" spans="1:2" x14ac:dyDescent="0.25">
      <c r="A24" s="5">
        <v>45445</v>
      </c>
      <c r="B24">
        <v>66.507999999999996</v>
      </c>
    </row>
    <row r="25" spans="1:2" x14ac:dyDescent="0.25">
      <c r="A25" s="5">
        <v>45452</v>
      </c>
      <c r="B25">
        <v>66.744</v>
      </c>
    </row>
    <row r="26" spans="1:2" x14ac:dyDescent="0.25">
      <c r="A26" s="5">
        <v>45459</v>
      </c>
      <c r="B26">
        <v>67.734999999999999</v>
      </c>
    </row>
    <row r="27" spans="1:2" x14ac:dyDescent="0.25">
      <c r="A27" s="5">
        <v>45466</v>
      </c>
      <c r="B27">
        <v>68.040000000000006</v>
      </c>
    </row>
    <row r="28" spans="1:2" x14ac:dyDescent="0.25">
      <c r="A28" s="5">
        <v>45473</v>
      </c>
      <c r="B28">
        <v>68.457499999999996</v>
      </c>
    </row>
    <row r="29" spans="1:2" x14ac:dyDescent="0.25">
      <c r="A29" s="5">
        <v>45480</v>
      </c>
      <c r="B29">
        <v>69.805999999999997</v>
      </c>
    </row>
    <row r="30" spans="1:2" x14ac:dyDescent="0.25">
      <c r="A30" s="5">
        <v>45487</v>
      </c>
      <c r="B30">
        <v>70.44</v>
      </c>
    </row>
    <row r="31" spans="1:2" x14ac:dyDescent="0.25">
      <c r="A31" s="5">
        <v>45494</v>
      </c>
      <c r="B31">
        <v>70.286000000000001</v>
      </c>
    </row>
    <row r="32" spans="1:2" x14ac:dyDescent="0.25">
      <c r="A32" s="5">
        <v>45501</v>
      </c>
      <c r="B32">
        <v>69.14</v>
      </c>
    </row>
    <row r="33" spans="1:2" x14ac:dyDescent="0.25">
      <c r="A33" s="5">
        <v>45508</v>
      </c>
      <c r="B33">
        <v>67.569999999999993</v>
      </c>
    </row>
    <row r="34" spans="1:2" x14ac:dyDescent="0.25">
      <c r="A34" s="5">
        <v>45515</v>
      </c>
      <c r="B34">
        <v>70.424000000000007</v>
      </c>
    </row>
    <row r="35" spans="1:2" x14ac:dyDescent="0.25">
      <c r="A35" s="5">
        <v>45522</v>
      </c>
      <c r="B35">
        <v>74.956000000000003</v>
      </c>
    </row>
    <row r="36" spans="1:2" x14ac:dyDescent="0.25">
      <c r="A36" s="5">
        <v>45529</v>
      </c>
      <c r="B36">
        <v>76.378</v>
      </c>
    </row>
    <row r="37" spans="1:2" x14ac:dyDescent="0.25">
      <c r="A37" s="5">
        <v>45536</v>
      </c>
      <c r="B37">
        <v>77.002499999999998</v>
      </c>
    </row>
    <row r="38" spans="1:2" x14ac:dyDescent="0.25">
      <c r="A38" s="5">
        <v>45543</v>
      </c>
      <c r="B38">
        <v>79.05</v>
      </c>
    </row>
    <row r="39" spans="1:2" x14ac:dyDescent="0.25">
      <c r="A39" s="5">
        <v>45550</v>
      </c>
      <c r="B39">
        <v>79.058000000000007</v>
      </c>
    </row>
    <row r="40" spans="1:2" x14ac:dyDescent="0.25">
      <c r="A40" s="5">
        <v>45557</v>
      </c>
      <c r="B40">
        <v>80.42</v>
      </c>
    </row>
    <row r="41" spans="1:2" x14ac:dyDescent="0.25">
      <c r="A41" s="5">
        <v>45564</v>
      </c>
      <c r="B41">
        <v>80.763999999999996</v>
      </c>
    </row>
    <row r="42" spans="1:2" x14ac:dyDescent="0.25">
      <c r="A42" s="5">
        <v>45571</v>
      </c>
      <c r="B42">
        <v>79.783999999999992</v>
      </c>
    </row>
    <row r="43" spans="1:2" x14ac:dyDescent="0.25">
      <c r="A43" s="5">
        <v>45578</v>
      </c>
      <c r="B43">
        <v>81.072000000000003</v>
      </c>
    </row>
    <row r="44" spans="1:2" x14ac:dyDescent="0.25">
      <c r="A44" s="5">
        <v>45585</v>
      </c>
      <c r="B44">
        <v>82.33</v>
      </c>
    </row>
    <row r="45" spans="1:2" x14ac:dyDescent="0.25">
      <c r="A45" s="5">
        <v>45592</v>
      </c>
      <c r="B45">
        <v>81.995999999999995</v>
      </c>
    </row>
    <row r="46" spans="1:2" x14ac:dyDescent="0.25">
      <c r="A46" s="5">
        <v>45599</v>
      </c>
      <c r="B46">
        <v>83.65</v>
      </c>
    </row>
    <row r="47" spans="1:2" x14ac:dyDescent="0.25">
      <c r="A47" s="5">
        <v>45606</v>
      </c>
      <c r="B47">
        <v>84.683999999999997</v>
      </c>
    </row>
    <row r="48" spans="1:2" x14ac:dyDescent="0.25">
      <c r="A48" s="5">
        <v>45613</v>
      </c>
      <c r="B48">
        <v>87.337999999999994</v>
      </c>
    </row>
    <row r="49" spans="1:2" x14ac:dyDescent="0.25">
      <c r="A49" s="5">
        <v>45620</v>
      </c>
      <c r="B49">
        <v>91.297499999999999</v>
      </c>
    </row>
    <row r="50" spans="1:2" x14ac:dyDescent="0.25">
      <c r="A50" s="5">
        <v>45627</v>
      </c>
      <c r="B50">
        <v>94.320000000000007</v>
      </c>
    </row>
    <row r="51" spans="1:2" x14ac:dyDescent="0.25">
      <c r="A51" s="5">
        <v>45634</v>
      </c>
      <c r="B51">
        <v>94.335999999999999</v>
      </c>
    </row>
    <row r="52" spans="1:2" x14ac:dyDescent="0.25">
      <c r="A52" s="5">
        <v>45641</v>
      </c>
      <c r="B52">
        <v>93.896000000000001</v>
      </c>
    </row>
    <row r="53" spans="1:2" x14ac:dyDescent="0.25">
      <c r="A53" s="5">
        <v>45648</v>
      </c>
      <c r="B53">
        <v>91.87</v>
      </c>
    </row>
    <row r="54" spans="1:2" x14ac:dyDescent="0.25">
      <c r="A54" s="5">
        <v>45655</v>
      </c>
      <c r="B54">
        <v>90.424999999999997</v>
      </c>
    </row>
    <row r="55" spans="1:2" x14ac:dyDescent="0.25">
      <c r="A55" s="5">
        <v>45662</v>
      </c>
      <c r="B55">
        <v>91.76</v>
      </c>
    </row>
    <row r="56" spans="1:2" x14ac:dyDescent="0.25">
      <c r="A56" s="5">
        <v>45669</v>
      </c>
      <c r="B56">
        <v>91.38</v>
      </c>
    </row>
    <row r="57" spans="1:2" x14ac:dyDescent="0.25">
      <c r="A57" s="5">
        <v>45676</v>
      </c>
      <c r="B57">
        <v>93.72</v>
      </c>
    </row>
    <row r="58" spans="1:2" x14ac:dyDescent="0.25">
      <c r="A58" s="5">
        <v>45683</v>
      </c>
      <c r="B58">
        <v>97.8</v>
      </c>
    </row>
    <row r="59" spans="1:2" x14ac:dyDescent="0.25">
      <c r="A59" s="5">
        <v>45690</v>
      </c>
      <c r="B59">
        <v>101.354</v>
      </c>
    </row>
    <row r="60" spans="1:2" x14ac:dyDescent="0.25">
      <c r="A60" s="5">
        <v>45697</v>
      </c>
      <c r="B60">
        <v>103.61799999999999</v>
      </c>
    </row>
    <row r="61" spans="1:2" x14ac:dyDescent="0.25">
      <c r="A61" s="5">
        <v>45704</v>
      </c>
      <c r="B61">
        <v>99.942499999999995</v>
      </c>
    </row>
    <row r="62" spans="1:2" x14ac:dyDescent="0.25">
      <c r="A62" s="5">
        <v>45711</v>
      </c>
      <c r="B62">
        <v>96.591999999999999</v>
      </c>
    </row>
    <row r="63" spans="1:2" x14ac:dyDescent="0.25">
      <c r="A63" s="5">
        <v>45718</v>
      </c>
      <c r="B63">
        <v>94.98</v>
      </c>
    </row>
    <row r="64" spans="1:2" x14ac:dyDescent="0.25">
      <c r="A64" s="5">
        <v>45725</v>
      </c>
      <c r="B64">
        <v>86.061999999999998</v>
      </c>
    </row>
    <row r="65" spans="1:2" x14ac:dyDescent="0.25">
      <c r="A65" s="5">
        <v>45732</v>
      </c>
      <c r="B65">
        <v>86.233999999999995</v>
      </c>
    </row>
    <row r="66" spans="1:2" x14ac:dyDescent="0.25">
      <c r="A66" s="5">
        <v>45739</v>
      </c>
      <c r="B66">
        <v>85.647999999999996</v>
      </c>
    </row>
    <row r="67" spans="1:2" x14ac:dyDescent="0.25">
      <c r="A67" s="5">
        <v>45746</v>
      </c>
      <c r="B67">
        <v>87.366</v>
      </c>
    </row>
    <row r="68" spans="1:2" x14ac:dyDescent="0.25">
      <c r="A68" s="5">
        <v>45753</v>
      </c>
      <c r="B68">
        <v>87.725999999999999</v>
      </c>
    </row>
    <row r="69" spans="1:2" x14ac:dyDescent="0.25">
      <c r="A69" s="5">
        <v>45760</v>
      </c>
      <c r="B69">
        <v>93.277500000000003</v>
      </c>
    </row>
    <row r="70" spans="1:2" x14ac:dyDescent="0.25">
      <c r="A70" s="5">
        <v>45767</v>
      </c>
      <c r="B70">
        <v>94.63</v>
      </c>
    </row>
    <row r="71" spans="1:2" x14ac:dyDescent="0.25">
      <c r="A71" s="5">
        <v>45774</v>
      </c>
      <c r="B71">
        <v>96.933999999999997</v>
      </c>
    </row>
    <row r="72" spans="1:2" x14ac:dyDescent="0.25">
      <c r="A72" s="5">
        <v>45781</v>
      </c>
      <c r="B72">
        <v>98.171999999999997</v>
      </c>
    </row>
    <row r="73" spans="1:2" x14ac:dyDescent="0.25">
      <c r="A73" s="5">
        <v>45788</v>
      </c>
      <c r="B73">
        <v>96.81</v>
      </c>
    </row>
    <row r="74" spans="1:2" x14ac:dyDescent="0.25">
      <c r="A74" s="5">
        <v>45795</v>
      </c>
      <c r="B74">
        <v>96.924000000000007</v>
      </c>
    </row>
    <row r="75" spans="1:2" x14ac:dyDescent="0.25">
      <c r="A75" s="5">
        <v>45802</v>
      </c>
      <c r="B75">
        <v>97.66</v>
      </c>
    </row>
    <row r="76" spans="1:2" x14ac:dyDescent="0.25">
      <c r="A76" s="5">
        <v>45809</v>
      </c>
      <c r="B76">
        <v>98.905999999999992</v>
      </c>
    </row>
    <row r="77" spans="1:2" x14ac:dyDescent="0.25">
      <c r="A77" s="5">
        <v>45816</v>
      </c>
      <c r="B77">
        <v>95.968000000000004</v>
      </c>
    </row>
    <row r="78" spans="1:2" x14ac:dyDescent="0.25">
      <c r="A78" s="5">
        <v>45823</v>
      </c>
      <c r="B78">
        <v>94.9375</v>
      </c>
    </row>
    <row r="79" spans="1:2" x14ac:dyDescent="0.25">
      <c r="A79" s="5">
        <v>45830</v>
      </c>
      <c r="B79">
        <v>97.284000000000006</v>
      </c>
    </row>
    <row r="80" spans="1:2" x14ac:dyDescent="0.25">
      <c r="A80" s="5">
        <v>45837</v>
      </c>
      <c r="B80">
        <v>97.997500000000002</v>
      </c>
    </row>
    <row r="81" spans="1:2" x14ac:dyDescent="0.25">
      <c r="A81" s="5">
        <v>45844</v>
      </c>
      <c r="B81">
        <v>96.501999999999995</v>
      </c>
    </row>
    <row r="82" spans="1:2" x14ac:dyDescent="0.25">
      <c r="A82" s="5">
        <v>45851</v>
      </c>
      <c r="B82">
        <v>95.292000000000002</v>
      </c>
    </row>
    <row r="83" spans="1:2" x14ac:dyDescent="0.25">
      <c r="A83" s="5">
        <v>45858</v>
      </c>
      <c r="B83">
        <v>96.254000000000005</v>
      </c>
    </row>
    <row r="84" spans="1:2" x14ac:dyDescent="0.25">
      <c r="A84" s="5">
        <v>45865</v>
      </c>
      <c r="B84">
        <v>98</v>
      </c>
    </row>
    <row r="85" spans="1:2" x14ac:dyDescent="0.25">
      <c r="A85" s="5">
        <v>45872</v>
      </c>
      <c r="B85">
        <v>101.822</v>
      </c>
    </row>
    <row r="86" spans="1:2" x14ac:dyDescent="0.25">
      <c r="A86" s="5">
        <v>45879</v>
      </c>
      <c r="B86">
        <v>101.878</v>
      </c>
    </row>
    <row r="87" spans="1:2" x14ac:dyDescent="0.25">
      <c r="A87" s="5">
        <v>45886</v>
      </c>
      <c r="B87">
        <v>99.87</v>
      </c>
    </row>
    <row r="88" spans="1:2" x14ac:dyDescent="0.25">
      <c r="A88" s="5">
        <v>45893</v>
      </c>
      <c r="B88">
        <v>96.257999999999996</v>
      </c>
    </row>
    <row r="89" spans="1:2" x14ac:dyDescent="0.25">
      <c r="A89" s="5">
        <v>45900</v>
      </c>
      <c r="B89">
        <v>99.682500000000005</v>
      </c>
    </row>
    <row r="90" spans="1:2" x14ac:dyDescent="0.25">
      <c r="A90" s="5">
        <v>45907</v>
      </c>
      <c r="B90">
        <v>102.224</v>
      </c>
    </row>
    <row r="91" spans="1:2" x14ac:dyDescent="0.25">
      <c r="A91" s="5">
        <v>45914</v>
      </c>
      <c r="B91">
        <v>103.462</v>
      </c>
    </row>
    <row r="92" spans="1:2" x14ac:dyDescent="0.25">
      <c r="A92" s="5">
        <v>45921</v>
      </c>
      <c r="B92">
        <v>102.85599999999999</v>
      </c>
    </row>
    <row r="93" spans="1:2" x14ac:dyDescent="0.25">
      <c r="A93" s="5">
        <v>45928</v>
      </c>
      <c r="B93">
        <v>102.374</v>
      </c>
    </row>
    <row r="94" spans="1:2" x14ac:dyDescent="0.25">
      <c r="A94" s="5">
        <v>45935</v>
      </c>
      <c r="B94">
        <v>102.49</v>
      </c>
    </row>
    <row r="95" spans="1:2" x14ac:dyDescent="0.25">
      <c r="A95" s="5">
        <v>45942</v>
      </c>
      <c r="B95">
        <v>106.512</v>
      </c>
    </row>
    <row r="96" spans="1:2" x14ac:dyDescent="0.25">
      <c r="A96" s="5">
        <v>45949</v>
      </c>
      <c r="B96">
        <v>106.688</v>
      </c>
    </row>
    <row r="97" spans="1:4" x14ac:dyDescent="0.25">
      <c r="A97" s="5">
        <v>45956</v>
      </c>
      <c r="B97">
        <v>102.702</v>
      </c>
    </row>
    <row r="98" spans="1:4" x14ac:dyDescent="0.25">
      <c r="A98" s="5">
        <v>45963</v>
      </c>
      <c r="B98">
        <v>101.92</v>
      </c>
    </row>
    <row r="99" spans="1:4" x14ac:dyDescent="0.25">
      <c r="A99" s="5">
        <v>45970</v>
      </c>
      <c r="B99">
        <v>102.864</v>
      </c>
    </row>
    <row r="100" spans="1:4" x14ac:dyDescent="0.25">
      <c r="A100" s="5">
        <v>45977</v>
      </c>
      <c r="B100">
        <v>103.476</v>
      </c>
    </row>
    <row r="101" spans="1:4" x14ac:dyDescent="0.25">
      <c r="A101" s="5">
        <v>45984</v>
      </c>
      <c r="B101">
        <v>107.6675</v>
      </c>
    </row>
    <row r="102" spans="1:4" x14ac:dyDescent="0.25">
      <c r="A102" s="5">
        <v>45991</v>
      </c>
      <c r="B102">
        <v>113.66</v>
      </c>
    </row>
    <row r="103" spans="1:4" x14ac:dyDescent="0.25">
      <c r="A103" s="5">
        <v>45998</v>
      </c>
      <c r="B103">
        <v>114.804</v>
      </c>
    </row>
    <row r="104" spans="1:4" x14ac:dyDescent="0.25">
      <c r="A104" s="5">
        <v>46005</v>
      </c>
      <c r="B104">
        <v>115.41200000000001</v>
      </c>
    </row>
    <row r="105" spans="1:4" x14ac:dyDescent="0.25">
      <c r="A105" s="5">
        <v>46012</v>
      </c>
      <c r="B105">
        <v>111.71250000000001</v>
      </c>
    </row>
    <row r="106" spans="1:4" x14ac:dyDescent="0.25">
      <c r="A106" s="5">
        <v>46019</v>
      </c>
      <c r="C106">
        <v>112.155</v>
      </c>
      <c r="D106">
        <f>_xlfn.FORECAST.ETS(Weekly[[#This Row],[Date]],B2:B105,A2:A105,1,1,1)</f>
        <v>112.93713185259743</v>
      </c>
    </row>
    <row r="107" spans="1:4" x14ac:dyDescent="0.25">
      <c r="A107" s="5">
        <v>46026</v>
      </c>
      <c r="C107">
        <v>113.474</v>
      </c>
      <c r="D107">
        <f>_xlfn.FORECAST.ETS(Weekly[[#This Row],[Date]],B3:B106,A3:A106,1,1,1)</f>
        <v>113.13473761150379</v>
      </c>
    </row>
    <row r="108" spans="1:4" x14ac:dyDescent="0.25">
      <c r="A108" s="5">
        <v>46033</v>
      </c>
      <c r="C108">
        <v>119.45400000000001</v>
      </c>
      <c r="D108">
        <f>_xlfn.FORECAST.ETS(Weekly[[#This Row],[Date]],B4:B107,A4:A107,1,1,1)</f>
        <v>113.36758660713444</v>
      </c>
    </row>
    <row r="109" spans="1:4" x14ac:dyDescent="0.25">
      <c r="A109" s="5">
        <v>46040</v>
      </c>
      <c r="C109">
        <v>118.4075</v>
      </c>
      <c r="D109">
        <f>_xlfn.FORECAST.ETS(Weekly[[#This Row],[Date]],B5:B108,A5:A108,1,1,1)</f>
        <v>114.26202566219585</v>
      </c>
    </row>
    <row r="110" spans="1:4" x14ac:dyDescent="0.25">
      <c r="A110" s="5">
        <v>46047</v>
      </c>
      <c r="C110">
        <v>117.53999999999999</v>
      </c>
      <c r="D110">
        <f>_xlfn.FORECAST.ETS(Weekly[[#This Row],[Date]],B6:B109,A6:A109,1,1,1)</f>
        <v>115.9561471383491</v>
      </c>
    </row>
    <row r="111" spans="1:4" x14ac:dyDescent="0.25">
      <c r="A111" s="5">
        <v>46054</v>
      </c>
      <c r="D111">
        <f>_xlfn.FORECAST.ETS(Weekly[[#This Row],[Date]],B7:B110,A7:A110,1,1,1)</f>
        <v>116.43985181567326</v>
      </c>
    </row>
    <row r="112" spans="1:4" x14ac:dyDescent="0.25">
      <c r="A112" s="5">
        <v>46061</v>
      </c>
      <c r="D112">
        <f>_xlfn.FORECAST.ETS(Weekly[[#This Row],[Date]],B8:B111,A8:A111,1,1,1)</f>
        <v>115.96424727692512</v>
      </c>
    </row>
    <row r="113" spans="1:4" x14ac:dyDescent="0.25">
      <c r="A113" s="5">
        <v>46068</v>
      </c>
      <c r="D113">
        <f>_xlfn.FORECAST.ETS(Weekly[[#This Row],[Date]],B9:B112,A9:A112,1,1,1)</f>
        <v>116.48449767458024</v>
      </c>
    </row>
    <row r="114" spans="1:4" x14ac:dyDescent="0.25">
      <c r="A114" s="5">
        <v>46075</v>
      </c>
      <c r="D114">
        <f>_xlfn.FORECAST.ETS(Weekly[[#This Row],[Date]],B10:B113,A10:A113,1,1,1)</f>
        <v>117.0132721383017</v>
      </c>
    </row>
    <row r="115" spans="1:4" x14ac:dyDescent="0.25">
      <c r="A115" s="5">
        <v>46082</v>
      </c>
      <c r="D115">
        <f>_xlfn.FORECAST.ETS(Weekly[[#This Row],[Date]],B11:B114,A11:A114,1,1,1)</f>
        <v>117.5400179297917</v>
      </c>
    </row>
    <row r="116" spans="1:4" x14ac:dyDescent="0.25">
      <c r="A116" s="5">
        <v>46089</v>
      </c>
      <c r="D116">
        <f>_xlfn.FORECAST.ETS(Weekly[[#This Row],[Date]],B12:B115,A12:A115,1,1,1)</f>
        <v>118.063918264394</v>
      </c>
    </row>
    <row r="117" spans="1:4" x14ac:dyDescent="0.25">
      <c r="A117" s="5">
        <v>46096</v>
      </c>
      <c r="D117">
        <f>_xlfn.FORECAST.ETS(Weekly[[#This Row],[Date]],B13:B116,A13:A116,1,1,1)</f>
        <v>118.59765795109075</v>
      </c>
    </row>
    <row r="118" spans="1:4" x14ac:dyDescent="0.25">
      <c r="A118" s="5">
        <v>46103</v>
      </c>
      <c r="D118">
        <f>_xlfn.FORECAST.ETS(Weekly[[#This Row],[Date]],B14:B117,A14:A117,1,1,1)</f>
        <v>119.13369791710195</v>
      </c>
    </row>
    <row r="119" spans="1:4" x14ac:dyDescent="0.25">
      <c r="A119" s="5">
        <v>46110</v>
      </c>
      <c r="D119">
        <f>_xlfn.FORECAST.ETS(Weekly[[#This Row],[Date]],B15:B118,A15:A118,1,1,1)</f>
        <v>119.66255383117998</v>
      </c>
    </row>
    <row r="120" spans="1:4" x14ac:dyDescent="0.25">
      <c r="A120" s="5">
        <v>46117</v>
      </c>
      <c r="D120">
        <f>_xlfn.FORECAST.ETS(Weekly[[#This Row],[Date]],B16:B119,A16:A119,1,1,1)</f>
        <v>120.15177943346544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85D0-8F8F-4C76-A4A2-B915CF76503E}">
  <dimension ref="F5:L9"/>
  <sheetViews>
    <sheetView tabSelected="1" topLeftCell="A73" workbookViewId="0">
      <selection activeCell="F5" sqref="F5:L5"/>
    </sheetView>
  </sheetViews>
  <sheetFormatPr defaultRowHeight="15" x14ac:dyDescent="0.25"/>
  <cols>
    <col min="1" max="4" width="9.140625" style="3"/>
    <col min="5" max="5" width="9.5703125" style="3" customWidth="1"/>
    <col min="6" max="7" width="9.140625" style="3"/>
    <col min="8" max="8" width="13.140625" style="3" customWidth="1"/>
    <col min="9" max="9" width="15.42578125" style="3" bestFit="1" customWidth="1"/>
    <col min="10" max="16384" width="9.140625" style="3"/>
  </cols>
  <sheetData>
    <row r="5" spans="6:12" ht="46.5" x14ac:dyDescent="0.7">
      <c r="F5" s="16" t="s">
        <v>11</v>
      </c>
      <c r="G5" s="16"/>
      <c r="H5" s="16"/>
      <c r="I5" s="16"/>
      <c r="J5" s="16"/>
      <c r="K5" s="16"/>
      <c r="L5" s="16"/>
    </row>
    <row r="8" spans="6:12" ht="26.25" x14ac:dyDescent="0.4">
      <c r="I8" s="4"/>
    </row>
    <row r="9" spans="6:12" ht="31.5" x14ac:dyDescent="0.5">
      <c r="I9" s="8"/>
    </row>
  </sheetData>
  <mergeCells count="1">
    <mergeCell ref="F5:L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C8F1-BF9E-427B-B65A-05BE95BED7B4}">
  <dimension ref="A1:B1000"/>
  <sheetViews>
    <sheetView workbookViewId="0">
      <selection sqref="A1:B1000"/>
    </sheetView>
  </sheetViews>
  <sheetFormatPr defaultRowHeight="15" x14ac:dyDescent="0.25"/>
  <cols>
    <col min="1" max="1" width="10.42578125" style="1" bestFit="1" customWidth="1"/>
    <col min="2" max="2" width="10.5703125" style="6" bestFit="1" customWidth="1"/>
  </cols>
  <sheetData>
    <row r="1" spans="1:2" ht="15.75" thickBot="1" x14ac:dyDescent="0.3">
      <c r="A1" s="9" t="s">
        <v>19</v>
      </c>
      <c r="B1" s="9" t="s">
        <v>20</v>
      </c>
    </row>
    <row r="2" spans="1:2" ht="15.75" thickBot="1" x14ac:dyDescent="0.3">
      <c r="A2" s="10">
        <v>36600</v>
      </c>
      <c r="B2" s="11">
        <v>0.02</v>
      </c>
    </row>
    <row r="3" spans="1:2" ht="15.75" thickBot="1" x14ac:dyDescent="0.3">
      <c r="A3" s="10">
        <v>36691</v>
      </c>
      <c r="B3" s="11">
        <v>0.02</v>
      </c>
    </row>
    <row r="4" spans="1:2" ht="15.75" thickBot="1" x14ac:dyDescent="0.3">
      <c r="A4" s="10">
        <v>36782</v>
      </c>
      <c r="B4" s="11">
        <v>0.02</v>
      </c>
    </row>
    <row r="5" spans="1:2" ht="15.75" thickBot="1" x14ac:dyDescent="0.3">
      <c r="A5" s="10">
        <v>36880</v>
      </c>
      <c r="B5" s="11">
        <v>0.02</v>
      </c>
    </row>
    <row r="6" spans="1:2" ht="15.75" thickBot="1" x14ac:dyDescent="0.3">
      <c r="A6" s="10">
        <v>36971</v>
      </c>
      <c r="B6" s="11">
        <v>0.02</v>
      </c>
    </row>
    <row r="7" spans="1:2" ht="15.75" thickBot="1" x14ac:dyDescent="0.3">
      <c r="A7" s="10">
        <v>37062</v>
      </c>
      <c r="B7" s="11">
        <v>0.02</v>
      </c>
    </row>
    <row r="8" spans="1:2" ht="15.75" thickBot="1" x14ac:dyDescent="0.3">
      <c r="A8" s="10">
        <v>37153</v>
      </c>
      <c r="B8" s="11">
        <v>0.02</v>
      </c>
    </row>
    <row r="9" spans="1:2" ht="15.75" thickBot="1" x14ac:dyDescent="0.3">
      <c r="A9" s="10">
        <v>37244</v>
      </c>
      <c r="B9" s="11">
        <v>0.02</v>
      </c>
    </row>
    <row r="10" spans="1:2" ht="15.75" thickBot="1" x14ac:dyDescent="0.3">
      <c r="A10" s="10">
        <v>37335</v>
      </c>
      <c r="B10" s="11">
        <v>0.03</v>
      </c>
    </row>
    <row r="11" spans="1:2" ht="15.75" thickBot="1" x14ac:dyDescent="0.3">
      <c r="A11" s="10">
        <v>37426</v>
      </c>
      <c r="B11" s="11">
        <v>0.03</v>
      </c>
    </row>
    <row r="12" spans="1:2" ht="15.75" thickBot="1" x14ac:dyDescent="0.3">
      <c r="A12" s="10">
        <v>37517</v>
      </c>
      <c r="B12" s="11">
        <v>0.03</v>
      </c>
    </row>
    <row r="13" spans="1:2" ht="15.75" thickBot="1" x14ac:dyDescent="0.3">
      <c r="A13" s="10">
        <v>37608</v>
      </c>
      <c r="B13" s="11">
        <v>0.03</v>
      </c>
    </row>
    <row r="14" spans="1:2" ht="15.75" thickBot="1" x14ac:dyDescent="0.3">
      <c r="A14" s="10">
        <v>37699</v>
      </c>
      <c r="B14" s="11">
        <v>0.03</v>
      </c>
    </row>
    <row r="15" spans="1:2" ht="15.75" thickBot="1" x14ac:dyDescent="0.3">
      <c r="A15" s="10">
        <v>37790</v>
      </c>
      <c r="B15" s="11">
        <v>0.03</v>
      </c>
    </row>
    <row r="16" spans="1:2" ht="15.75" thickBot="1" x14ac:dyDescent="0.3">
      <c r="A16" s="10">
        <v>37896</v>
      </c>
      <c r="B16" s="11">
        <v>0.03</v>
      </c>
    </row>
    <row r="17" spans="1:2" ht="15.75" thickBot="1" x14ac:dyDescent="0.3">
      <c r="A17" s="10">
        <v>37972</v>
      </c>
      <c r="B17" s="11">
        <v>0.03</v>
      </c>
    </row>
    <row r="18" spans="1:2" ht="15.75" thickBot="1" x14ac:dyDescent="0.3">
      <c r="A18" s="10">
        <v>38063</v>
      </c>
      <c r="B18" s="11">
        <v>0.04</v>
      </c>
    </row>
    <row r="19" spans="1:2" ht="15.75" thickBot="1" x14ac:dyDescent="0.3">
      <c r="A19" s="10">
        <v>38126</v>
      </c>
      <c r="B19" s="11">
        <v>0.04</v>
      </c>
    </row>
    <row r="20" spans="1:2" ht="15.75" thickBot="1" x14ac:dyDescent="0.3">
      <c r="A20" s="10">
        <v>38217</v>
      </c>
      <c r="B20" s="11">
        <v>0.04</v>
      </c>
    </row>
    <row r="21" spans="1:2" ht="15.75" thickBot="1" x14ac:dyDescent="0.3">
      <c r="A21" s="10">
        <v>38336</v>
      </c>
      <c r="B21" s="11">
        <v>0.04</v>
      </c>
    </row>
    <row r="22" spans="1:2" ht="15.75" thickBot="1" x14ac:dyDescent="0.3">
      <c r="A22" s="10">
        <v>38427</v>
      </c>
      <c r="B22" s="11">
        <v>0.05</v>
      </c>
    </row>
    <row r="23" spans="1:2" ht="15.75" thickBot="1" x14ac:dyDescent="0.3">
      <c r="A23" s="10">
        <v>38490</v>
      </c>
      <c r="B23" s="11">
        <v>0.05</v>
      </c>
    </row>
    <row r="24" spans="1:2" ht="15.75" thickBot="1" x14ac:dyDescent="0.3">
      <c r="A24" s="10">
        <v>38581</v>
      </c>
      <c r="B24" s="11">
        <v>0.05</v>
      </c>
    </row>
    <row r="25" spans="1:2" ht="15.75" thickBot="1" x14ac:dyDescent="0.3">
      <c r="A25" s="10">
        <v>38700</v>
      </c>
      <c r="B25" s="11">
        <v>0.05</v>
      </c>
    </row>
    <row r="26" spans="1:2" ht="15.75" thickBot="1" x14ac:dyDescent="0.3">
      <c r="A26" s="10">
        <v>38791</v>
      </c>
      <c r="B26" s="11">
        <v>0.06</v>
      </c>
    </row>
    <row r="27" spans="1:2" ht="15.75" thickBot="1" x14ac:dyDescent="0.3">
      <c r="A27" s="10">
        <v>38854</v>
      </c>
      <c r="B27" s="11">
        <v>0.06</v>
      </c>
    </row>
    <row r="28" spans="1:2" ht="15.75" thickBot="1" x14ac:dyDescent="0.3">
      <c r="A28" s="10">
        <v>38945</v>
      </c>
      <c r="B28" s="11">
        <v>0.06</v>
      </c>
    </row>
    <row r="29" spans="1:2" ht="15.75" thickBot="1" x14ac:dyDescent="0.3">
      <c r="A29" s="10">
        <v>39064</v>
      </c>
      <c r="B29" s="11">
        <v>0.06</v>
      </c>
    </row>
    <row r="30" spans="1:2" ht="15.75" thickBot="1" x14ac:dyDescent="0.3">
      <c r="A30" s="10">
        <v>39155</v>
      </c>
      <c r="B30" s="11">
        <v>7.0000000000000007E-2</v>
      </c>
    </row>
    <row r="31" spans="1:2" ht="15.75" thickBot="1" x14ac:dyDescent="0.3">
      <c r="A31" s="10">
        <v>39218</v>
      </c>
      <c r="B31" s="11">
        <v>7.0000000000000007E-2</v>
      </c>
    </row>
    <row r="32" spans="1:2" ht="15.75" thickBot="1" x14ac:dyDescent="0.3">
      <c r="A32" s="10">
        <v>39309</v>
      </c>
      <c r="B32" s="11">
        <v>7.0000000000000007E-2</v>
      </c>
    </row>
    <row r="33" spans="1:2" ht="15.75" thickBot="1" x14ac:dyDescent="0.3">
      <c r="A33" s="10">
        <v>39428</v>
      </c>
      <c r="B33" s="11">
        <v>7.0000000000000007E-2</v>
      </c>
    </row>
    <row r="34" spans="1:2" ht="15.75" thickBot="1" x14ac:dyDescent="0.3">
      <c r="A34" s="10">
        <v>39519</v>
      </c>
      <c r="B34" s="11">
        <v>0.08</v>
      </c>
    </row>
    <row r="35" spans="1:2" ht="15.75" thickBot="1" x14ac:dyDescent="0.3">
      <c r="A35" s="10">
        <v>39582</v>
      </c>
      <c r="B35" s="11">
        <v>0.08</v>
      </c>
    </row>
    <row r="36" spans="1:2" ht="15.75" thickBot="1" x14ac:dyDescent="0.3">
      <c r="A36" s="10">
        <v>39673</v>
      </c>
      <c r="B36" s="11">
        <v>0.08</v>
      </c>
    </row>
    <row r="37" spans="1:2" ht="15.75" thickBot="1" x14ac:dyDescent="0.3">
      <c r="A37" s="10">
        <v>39793</v>
      </c>
      <c r="B37" s="11">
        <v>0.08</v>
      </c>
    </row>
    <row r="38" spans="1:2" ht="15.75" thickBot="1" x14ac:dyDescent="0.3">
      <c r="A38" s="10">
        <v>39883</v>
      </c>
      <c r="B38" s="11">
        <v>0.09</v>
      </c>
    </row>
    <row r="39" spans="1:2" ht="15.75" thickBot="1" x14ac:dyDescent="0.3">
      <c r="A39" s="10">
        <v>39946</v>
      </c>
      <c r="B39" s="11">
        <v>0.09</v>
      </c>
    </row>
    <row r="40" spans="1:2" ht="15.75" thickBot="1" x14ac:dyDescent="0.3">
      <c r="A40" s="10">
        <v>40037</v>
      </c>
      <c r="B40" s="11">
        <v>0.09</v>
      </c>
    </row>
    <row r="41" spans="1:2" ht="15.75" thickBot="1" x14ac:dyDescent="0.3">
      <c r="A41" s="10">
        <v>40156</v>
      </c>
      <c r="B41" s="11">
        <v>0.09</v>
      </c>
    </row>
    <row r="42" spans="1:2" ht="15.75" thickBot="1" x14ac:dyDescent="0.3">
      <c r="A42" s="10">
        <v>40247</v>
      </c>
      <c r="B42" s="11">
        <v>0.1</v>
      </c>
    </row>
    <row r="43" spans="1:2" ht="15.75" thickBot="1" x14ac:dyDescent="0.3">
      <c r="A43" s="10">
        <v>40310</v>
      </c>
      <c r="B43" s="11">
        <v>0.1</v>
      </c>
    </row>
    <row r="44" spans="1:2" ht="15.75" thickBot="1" x14ac:dyDescent="0.3">
      <c r="A44" s="10">
        <v>40401</v>
      </c>
      <c r="B44" s="11">
        <v>0.1</v>
      </c>
    </row>
    <row r="45" spans="1:2" ht="15.75" thickBot="1" x14ac:dyDescent="0.3">
      <c r="A45" s="10">
        <v>40520</v>
      </c>
      <c r="B45" s="11">
        <v>0.1</v>
      </c>
    </row>
    <row r="46" spans="1:2" ht="15.75" thickBot="1" x14ac:dyDescent="0.3">
      <c r="A46" s="10">
        <v>40611</v>
      </c>
      <c r="B46" s="11">
        <v>0.12</v>
      </c>
    </row>
    <row r="47" spans="1:2" ht="15.75" thickBot="1" x14ac:dyDescent="0.3">
      <c r="A47" s="10">
        <v>40674</v>
      </c>
      <c r="B47" s="11">
        <v>0.12</v>
      </c>
    </row>
    <row r="48" spans="1:2" ht="15.75" thickBot="1" x14ac:dyDescent="0.3">
      <c r="A48" s="10">
        <v>40765</v>
      </c>
      <c r="B48" s="11">
        <v>0.12</v>
      </c>
    </row>
    <row r="49" spans="1:2" ht="15.75" thickBot="1" x14ac:dyDescent="0.3">
      <c r="A49" s="10">
        <v>40884</v>
      </c>
      <c r="B49" s="11">
        <v>0.12</v>
      </c>
    </row>
    <row r="50" spans="1:2" ht="15.75" thickBot="1" x14ac:dyDescent="0.3">
      <c r="A50" s="10">
        <v>40976</v>
      </c>
      <c r="B50" s="11">
        <v>0.13</v>
      </c>
    </row>
    <row r="51" spans="1:2" ht="15.75" thickBot="1" x14ac:dyDescent="0.3">
      <c r="A51" s="10">
        <v>41038</v>
      </c>
      <c r="B51" s="11">
        <v>0.13</v>
      </c>
    </row>
    <row r="52" spans="1:2" ht="15.75" thickBot="1" x14ac:dyDescent="0.3">
      <c r="A52" s="10">
        <v>41129</v>
      </c>
      <c r="B52" s="11">
        <v>0.13</v>
      </c>
    </row>
    <row r="53" spans="1:2" ht="15.75" thickBot="1" x14ac:dyDescent="0.3">
      <c r="A53" s="10">
        <v>41248</v>
      </c>
      <c r="B53" s="11">
        <v>0.13</v>
      </c>
    </row>
    <row r="54" spans="1:2" ht="15.75" thickBot="1" x14ac:dyDescent="0.3">
      <c r="A54" s="10">
        <v>41341</v>
      </c>
      <c r="B54" s="11">
        <v>0.16</v>
      </c>
    </row>
    <row r="55" spans="1:2" ht="15.75" thickBot="1" x14ac:dyDescent="0.3">
      <c r="A55" s="10">
        <v>41402</v>
      </c>
      <c r="B55" s="11">
        <v>0.16</v>
      </c>
    </row>
    <row r="56" spans="1:2" ht="15.75" thickBot="1" x14ac:dyDescent="0.3">
      <c r="A56" s="10">
        <v>41493</v>
      </c>
      <c r="B56" s="11">
        <v>0.16</v>
      </c>
    </row>
    <row r="57" spans="1:2" ht="15.75" thickBot="1" x14ac:dyDescent="0.3">
      <c r="A57" s="10">
        <v>41612</v>
      </c>
      <c r="B57" s="11">
        <v>0.16</v>
      </c>
    </row>
    <row r="58" spans="1:2" ht="15.75" thickBot="1" x14ac:dyDescent="0.3">
      <c r="A58" s="10">
        <v>41705</v>
      </c>
      <c r="B58" s="11">
        <v>0.16</v>
      </c>
    </row>
    <row r="59" spans="1:2" ht="15.75" thickBot="1" x14ac:dyDescent="0.3">
      <c r="A59" s="10">
        <v>41766</v>
      </c>
      <c r="B59" s="11">
        <v>0.16</v>
      </c>
    </row>
    <row r="60" spans="1:2" ht="15.75" thickBot="1" x14ac:dyDescent="0.3">
      <c r="A60" s="10">
        <v>41857</v>
      </c>
      <c r="B60" s="11">
        <v>0.16</v>
      </c>
    </row>
    <row r="61" spans="1:2" ht="15.75" thickBot="1" x14ac:dyDescent="0.3">
      <c r="A61" s="10">
        <v>41976</v>
      </c>
      <c r="B61" s="11">
        <v>0.16</v>
      </c>
    </row>
    <row r="62" spans="1:2" ht="15.75" thickBot="1" x14ac:dyDescent="0.3">
      <c r="A62" s="10">
        <v>42074</v>
      </c>
      <c r="B62" s="11">
        <v>0.16</v>
      </c>
    </row>
    <row r="63" spans="1:2" ht="15.75" thickBot="1" x14ac:dyDescent="0.3">
      <c r="A63" s="10">
        <v>42130</v>
      </c>
      <c r="B63" s="11">
        <v>0.16</v>
      </c>
    </row>
    <row r="64" spans="1:2" ht="15.75" thickBot="1" x14ac:dyDescent="0.3">
      <c r="A64" s="10">
        <v>42221</v>
      </c>
      <c r="B64" s="11">
        <v>0.16</v>
      </c>
    </row>
    <row r="65" spans="1:2" ht="15.75" thickBot="1" x14ac:dyDescent="0.3">
      <c r="A65" s="10">
        <v>42340</v>
      </c>
      <c r="B65" s="11">
        <v>0.16</v>
      </c>
    </row>
    <row r="66" spans="1:2" ht="15.75" thickBot="1" x14ac:dyDescent="0.3">
      <c r="A66" s="10">
        <v>42438</v>
      </c>
      <c r="B66" s="11">
        <v>0.17</v>
      </c>
    </row>
    <row r="67" spans="1:2" ht="15.75" thickBot="1" x14ac:dyDescent="0.3">
      <c r="A67" s="10">
        <v>42501</v>
      </c>
      <c r="B67" s="11">
        <v>0.17</v>
      </c>
    </row>
    <row r="68" spans="1:2" ht="15.75" thickBot="1" x14ac:dyDescent="0.3">
      <c r="A68" s="10">
        <v>42592</v>
      </c>
      <c r="B68" s="11">
        <v>0.17</v>
      </c>
    </row>
    <row r="69" spans="1:2" ht="15.75" thickBot="1" x14ac:dyDescent="0.3">
      <c r="A69" s="10">
        <v>42711</v>
      </c>
      <c r="B69" s="11">
        <v>0.17</v>
      </c>
    </row>
    <row r="70" spans="1:2" ht="15.75" thickBot="1" x14ac:dyDescent="0.3">
      <c r="A70" s="10">
        <v>42802</v>
      </c>
      <c r="B70" s="11">
        <v>0.17</v>
      </c>
    </row>
    <row r="71" spans="1:2" ht="15.75" thickBot="1" x14ac:dyDescent="0.3">
      <c r="A71" s="10">
        <v>42865</v>
      </c>
      <c r="B71" s="11">
        <v>0.17</v>
      </c>
    </row>
    <row r="72" spans="1:2" ht="15.75" thickBot="1" x14ac:dyDescent="0.3">
      <c r="A72" s="10">
        <v>42956</v>
      </c>
      <c r="B72" s="11">
        <v>0.17</v>
      </c>
    </row>
    <row r="73" spans="1:2" ht="15.75" thickBot="1" x14ac:dyDescent="0.3">
      <c r="A73" s="10">
        <v>43076</v>
      </c>
      <c r="B73" s="11">
        <v>0.17</v>
      </c>
    </row>
    <row r="74" spans="1:2" ht="15.75" thickBot="1" x14ac:dyDescent="0.3">
      <c r="A74" s="10">
        <v>43167</v>
      </c>
      <c r="B74" s="11">
        <v>0.17</v>
      </c>
    </row>
    <row r="75" spans="1:2" ht="15.75" thickBot="1" x14ac:dyDescent="0.3">
      <c r="A75" s="10">
        <v>43230</v>
      </c>
      <c r="B75" s="11">
        <v>0.17</v>
      </c>
    </row>
    <row r="76" spans="1:2" ht="15.75" thickBot="1" x14ac:dyDescent="0.3">
      <c r="A76" s="10">
        <v>43321</v>
      </c>
      <c r="B76" s="11">
        <v>0.17</v>
      </c>
    </row>
    <row r="77" spans="1:2" ht="15.75" thickBot="1" x14ac:dyDescent="0.3">
      <c r="A77" s="10">
        <v>43440</v>
      </c>
      <c r="B77" s="11">
        <v>0.17</v>
      </c>
    </row>
    <row r="78" spans="1:2" ht="15.75" thickBot="1" x14ac:dyDescent="0.3">
      <c r="A78" s="10">
        <v>43538</v>
      </c>
      <c r="B78" s="11">
        <v>0.18</v>
      </c>
    </row>
    <row r="79" spans="1:2" ht="15.75" thickBot="1" x14ac:dyDescent="0.3">
      <c r="A79" s="10">
        <v>43594</v>
      </c>
      <c r="B79" s="11">
        <v>0.18</v>
      </c>
    </row>
    <row r="80" spans="1:2" ht="15.75" thickBot="1" x14ac:dyDescent="0.3">
      <c r="A80" s="10">
        <v>43685</v>
      </c>
      <c r="B80" s="11">
        <v>0.18</v>
      </c>
    </row>
    <row r="81" spans="1:2" ht="15.75" thickBot="1" x14ac:dyDescent="0.3">
      <c r="A81" s="10">
        <v>43804</v>
      </c>
      <c r="B81" s="11">
        <v>0.18</v>
      </c>
    </row>
    <row r="82" spans="1:2" ht="15.75" thickBot="1" x14ac:dyDescent="0.3">
      <c r="A82" s="10">
        <v>43909</v>
      </c>
      <c r="B82" s="11">
        <v>0.18</v>
      </c>
    </row>
    <row r="83" spans="1:2" ht="15.75" thickBot="1" x14ac:dyDescent="0.3">
      <c r="A83" s="10">
        <v>43958</v>
      </c>
      <c r="B83" s="11">
        <v>0.18</v>
      </c>
    </row>
    <row r="84" spans="1:2" ht="15.75" thickBot="1" x14ac:dyDescent="0.3">
      <c r="A84" s="10">
        <v>44056</v>
      </c>
      <c r="B84" s="11">
        <v>0.18</v>
      </c>
    </row>
    <row r="85" spans="1:2" ht="15.75" thickBot="1" x14ac:dyDescent="0.3">
      <c r="A85" s="10">
        <v>44175</v>
      </c>
      <c r="B85" s="11">
        <v>0.18</v>
      </c>
    </row>
    <row r="86" spans="1:2" ht="15.75" thickBot="1" x14ac:dyDescent="0.3">
      <c r="A86" s="10">
        <v>44273</v>
      </c>
      <c r="B86" s="11">
        <v>0.18</v>
      </c>
    </row>
    <row r="87" spans="1:2" ht="15.75" thickBot="1" x14ac:dyDescent="0.3">
      <c r="A87" s="10">
        <v>44322</v>
      </c>
      <c r="B87" s="11">
        <v>0.18</v>
      </c>
    </row>
    <row r="88" spans="1:2" ht="15.75" thickBot="1" x14ac:dyDescent="0.3">
      <c r="A88" s="10">
        <v>44420</v>
      </c>
      <c r="B88" s="11">
        <v>0.18</v>
      </c>
    </row>
    <row r="89" spans="1:2" ht="15.75" thickBot="1" x14ac:dyDescent="0.3">
      <c r="A89" s="10">
        <v>44539</v>
      </c>
      <c r="B89" s="11">
        <v>0.18</v>
      </c>
    </row>
    <row r="90" spans="1:2" ht="15.75" thickBot="1" x14ac:dyDescent="0.3">
      <c r="A90" s="10">
        <v>44637</v>
      </c>
      <c r="B90" s="11">
        <v>0.19</v>
      </c>
    </row>
    <row r="91" spans="1:2" ht="15.75" thickBot="1" x14ac:dyDescent="0.3">
      <c r="A91" s="10">
        <v>44686</v>
      </c>
      <c r="B91" s="11">
        <v>0.19</v>
      </c>
    </row>
    <row r="92" spans="1:2" ht="15.75" thickBot="1" x14ac:dyDescent="0.3">
      <c r="A92" s="10">
        <v>44784</v>
      </c>
      <c r="B92" s="11">
        <v>0.19</v>
      </c>
    </row>
    <row r="93" spans="1:2" ht="15.75" thickBot="1" x14ac:dyDescent="0.3">
      <c r="A93" s="10">
        <v>44903</v>
      </c>
      <c r="B93" s="11">
        <v>0.19</v>
      </c>
    </row>
    <row r="94" spans="1:2" ht="15.75" thickBot="1" x14ac:dyDescent="0.3">
      <c r="A94" s="10">
        <v>45001</v>
      </c>
      <c r="B94" s="11">
        <v>0.19</v>
      </c>
    </row>
    <row r="95" spans="1:2" ht="15.75" thickBot="1" x14ac:dyDescent="0.3">
      <c r="A95" s="10">
        <v>45050</v>
      </c>
      <c r="B95" s="11">
        <v>0.19</v>
      </c>
    </row>
    <row r="96" spans="1:2" ht="15.75" thickBot="1" x14ac:dyDescent="0.3">
      <c r="A96" s="10">
        <v>45148</v>
      </c>
      <c r="B96" s="11">
        <v>0.19</v>
      </c>
    </row>
    <row r="97" spans="1:2" ht="15.75" thickBot="1" x14ac:dyDescent="0.3">
      <c r="A97" s="10">
        <v>45267</v>
      </c>
      <c r="B97" s="11">
        <v>0.19</v>
      </c>
    </row>
    <row r="98" spans="1:2" ht="15.75" thickBot="1" x14ac:dyDescent="0.3">
      <c r="A98" s="10">
        <v>45365</v>
      </c>
      <c r="B98" s="11">
        <v>0.21</v>
      </c>
    </row>
    <row r="99" spans="1:2" ht="15.75" thickBot="1" x14ac:dyDescent="0.3">
      <c r="A99" s="10">
        <v>45421</v>
      </c>
      <c r="B99" s="11">
        <v>0.21</v>
      </c>
    </row>
    <row r="100" spans="1:2" ht="15.75" thickBot="1" x14ac:dyDescent="0.3">
      <c r="A100" s="10">
        <v>45520</v>
      </c>
      <c r="B100" s="11">
        <v>0.21</v>
      </c>
    </row>
    <row r="101" spans="1:2" ht="15.75" thickBot="1" x14ac:dyDescent="0.3">
      <c r="A101" s="10">
        <v>45639</v>
      </c>
      <c r="B101" s="11">
        <v>0.21</v>
      </c>
    </row>
    <row r="102" spans="1:2" ht="15.75" thickBot="1" x14ac:dyDescent="0.3">
      <c r="A102" s="10">
        <v>45737</v>
      </c>
      <c r="B102" s="11">
        <v>0.24</v>
      </c>
    </row>
    <row r="103" spans="1:2" ht="15.75" thickBot="1" x14ac:dyDescent="0.3">
      <c r="A103" s="10">
        <v>45786</v>
      </c>
      <c r="B103" s="11">
        <v>0.24</v>
      </c>
    </row>
    <row r="104" spans="1:2" ht="15.75" thickBot="1" x14ac:dyDescent="0.3">
      <c r="A104" s="10">
        <v>45884</v>
      </c>
      <c r="B104" s="11">
        <v>0.24</v>
      </c>
    </row>
    <row r="105" spans="1:2" ht="15.75" thickBot="1" x14ac:dyDescent="0.3">
      <c r="A105" s="10">
        <v>46003</v>
      </c>
      <c r="B105" s="11">
        <v>0.24</v>
      </c>
    </row>
    <row r="106" spans="1:2" ht="15.75" thickBot="1" x14ac:dyDescent="0.3">
      <c r="A106" s="12"/>
      <c r="B106" s="12"/>
    </row>
    <row r="107" spans="1:2" ht="15.75" thickBot="1" x14ac:dyDescent="0.3">
      <c r="A107" s="12"/>
      <c r="B107" s="12"/>
    </row>
    <row r="108" spans="1:2" ht="15.75" thickBot="1" x14ac:dyDescent="0.3">
      <c r="A108" s="12"/>
      <c r="B108" s="12"/>
    </row>
    <row r="109" spans="1:2" ht="15.75" thickBot="1" x14ac:dyDescent="0.3">
      <c r="A109" s="12"/>
      <c r="B109" s="12"/>
    </row>
    <row r="110" spans="1:2" ht="15.75" thickBot="1" x14ac:dyDescent="0.3">
      <c r="A110" s="12"/>
      <c r="B110" s="12"/>
    </row>
    <row r="111" spans="1:2" ht="15.75" thickBot="1" x14ac:dyDescent="0.3">
      <c r="A111" s="12"/>
      <c r="B111" s="12"/>
    </row>
    <row r="112" spans="1:2" ht="15.75" thickBot="1" x14ac:dyDescent="0.3">
      <c r="A112" s="12"/>
      <c r="B112" s="12"/>
    </row>
    <row r="113" spans="1:2" ht="15.75" thickBot="1" x14ac:dyDescent="0.3">
      <c r="A113" s="12"/>
      <c r="B113" s="12"/>
    </row>
    <row r="114" spans="1:2" ht="15.75" thickBot="1" x14ac:dyDescent="0.3">
      <c r="A114" s="12"/>
      <c r="B114" s="12"/>
    </row>
    <row r="115" spans="1:2" ht="15.75" thickBot="1" x14ac:dyDescent="0.3">
      <c r="A115" s="12"/>
      <c r="B115" s="12"/>
    </row>
    <row r="116" spans="1:2" ht="15.75" thickBot="1" x14ac:dyDescent="0.3">
      <c r="A116" s="12"/>
      <c r="B116" s="12"/>
    </row>
    <row r="117" spans="1:2" ht="15.75" thickBot="1" x14ac:dyDescent="0.3">
      <c r="A117" s="12"/>
      <c r="B117" s="12"/>
    </row>
    <row r="118" spans="1:2" ht="15.75" thickBot="1" x14ac:dyDescent="0.3">
      <c r="A118" s="12"/>
      <c r="B118" s="12"/>
    </row>
    <row r="119" spans="1:2" ht="15.75" thickBot="1" x14ac:dyDescent="0.3">
      <c r="A119" s="12"/>
      <c r="B119" s="12"/>
    </row>
    <row r="120" spans="1:2" ht="15.75" thickBot="1" x14ac:dyDescent="0.3">
      <c r="A120" s="12"/>
      <c r="B120" s="12"/>
    </row>
    <row r="121" spans="1:2" ht="15.75" thickBot="1" x14ac:dyDescent="0.3">
      <c r="A121" s="12"/>
      <c r="B121" s="12"/>
    </row>
    <row r="122" spans="1:2" ht="15.75" thickBot="1" x14ac:dyDescent="0.3">
      <c r="A122" s="12"/>
      <c r="B122" s="12"/>
    </row>
    <row r="123" spans="1:2" ht="15.75" thickBot="1" x14ac:dyDescent="0.3">
      <c r="A123" s="12"/>
      <c r="B123" s="12"/>
    </row>
    <row r="124" spans="1:2" ht="15.75" thickBot="1" x14ac:dyDescent="0.3">
      <c r="A124" s="12"/>
      <c r="B124" s="12"/>
    </row>
    <row r="125" spans="1:2" ht="15.75" thickBot="1" x14ac:dyDescent="0.3">
      <c r="A125" s="12"/>
      <c r="B125" s="12"/>
    </row>
    <row r="126" spans="1:2" ht="15.75" thickBot="1" x14ac:dyDescent="0.3">
      <c r="A126" s="12"/>
      <c r="B126" s="12"/>
    </row>
    <row r="127" spans="1:2" ht="15.75" thickBot="1" x14ac:dyDescent="0.3">
      <c r="A127" s="12"/>
      <c r="B127" s="12"/>
    </row>
    <row r="128" spans="1:2" ht="15.75" thickBot="1" x14ac:dyDescent="0.3">
      <c r="A128" s="12"/>
      <c r="B128" s="12"/>
    </row>
    <row r="129" spans="1:2" ht="15.75" thickBot="1" x14ac:dyDescent="0.3">
      <c r="A129" s="12"/>
      <c r="B129" s="12"/>
    </row>
    <row r="130" spans="1:2" ht="15.75" thickBot="1" x14ac:dyDescent="0.3">
      <c r="A130" s="12"/>
      <c r="B130" s="12"/>
    </row>
    <row r="131" spans="1:2" ht="15.75" thickBot="1" x14ac:dyDescent="0.3">
      <c r="A131" s="12"/>
      <c r="B131" s="12"/>
    </row>
    <row r="132" spans="1:2" ht="15.75" thickBot="1" x14ac:dyDescent="0.3">
      <c r="A132" s="12"/>
      <c r="B132" s="12"/>
    </row>
    <row r="133" spans="1:2" ht="15.75" thickBot="1" x14ac:dyDescent="0.3">
      <c r="A133" s="12"/>
      <c r="B133" s="12"/>
    </row>
    <row r="134" spans="1:2" ht="15.75" thickBot="1" x14ac:dyDescent="0.3">
      <c r="A134" s="12"/>
      <c r="B134" s="12"/>
    </row>
    <row r="135" spans="1:2" ht="15.75" thickBot="1" x14ac:dyDescent="0.3">
      <c r="A135" s="12"/>
      <c r="B135" s="12"/>
    </row>
    <row r="136" spans="1:2" ht="15.75" thickBot="1" x14ac:dyDescent="0.3">
      <c r="A136" s="12"/>
      <c r="B136" s="12"/>
    </row>
    <row r="137" spans="1:2" ht="15.75" thickBot="1" x14ac:dyDescent="0.3">
      <c r="A137" s="12"/>
      <c r="B137" s="12"/>
    </row>
    <row r="138" spans="1:2" ht="15.75" thickBot="1" x14ac:dyDescent="0.3">
      <c r="A138" s="12"/>
      <c r="B138" s="12"/>
    </row>
    <row r="139" spans="1:2" ht="15.75" thickBot="1" x14ac:dyDescent="0.3">
      <c r="A139" s="12"/>
      <c r="B139" s="12"/>
    </row>
    <row r="140" spans="1:2" ht="15.75" thickBot="1" x14ac:dyDescent="0.3">
      <c r="A140" s="12"/>
      <c r="B140" s="12"/>
    </row>
    <row r="141" spans="1:2" ht="15.75" thickBot="1" x14ac:dyDescent="0.3">
      <c r="A141" s="12"/>
      <c r="B141" s="12"/>
    </row>
    <row r="142" spans="1:2" ht="15.75" thickBot="1" x14ac:dyDescent="0.3">
      <c r="A142" s="12"/>
      <c r="B142" s="12"/>
    </row>
    <row r="143" spans="1:2" ht="15.75" thickBot="1" x14ac:dyDescent="0.3">
      <c r="A143" s="12"/>
      <c r="B143" s="12"/>
    </row>
    <row r="144" spans="1:2" ht="15.75" thickBot="1" x14ac:dyDescent="0.3">
      <c r="A144" s="12"/>
      <c r="B144" s="12"/>
    </row>
    <row r="145" spans="1:2" ht="15.75" thickBot="1" x14ac:dyDescent="0.3">
      <c r="A145" s="12"/>
      <c r="B145" s="12"/>
    </row>
    <row r="146" spans="1:2" ht="15.75" thickBot="1" x14ac:dyDescent="0.3">
      <c r="A146" s="12"/>
      <c r="B146" s="12"/>
    </row>
    <row r="147" spans="1:2" ht="15.75" thickBot="1" x14ac:dyDescent="0.3">
      <c r="A147" s="12"/>
      <c r="B147" s="12"/>
    </row>
    <row r="148" spans="1:2" ht="15.75" thickBot="1" x14ac:dyDescent="0.3">
      <c r="A148" s="12"/>
      <c r="B148" s="12"/>
    </row>
    <row r="149" spans="1:2" ht="15.75" thickBot="1" x14ac:dyDescent="0.3">
      <c r="A149" s="12"/>
      <c r="B149" s="12"/>
    </row>
    <row r="150" spans="1:2" ht="15.75" thickBot="1" x14ac:dyDescent="0.3">
      <c r="A150" s="12"/>
      <c r="B150" s="12"/>
    </row>
    <row r="151" spans="1:2" ht="15.75" thickBot="1" x14ac:dyDescent="0.3">
      <c r="A151" s="12"/>
      <c r="B151" s="12"/>
    </row>
    <row r="152" spans="1:2" ht="15.75" thickBot="1" x14ac:dyDescent="0.3">
      <c r="A152" s="12"/>
      <c r="B152" s="12"/>
    </row>
    <row r="153" spans="1:2" ht="15.75" thickBot="1" x14ac:dyDescent="0.3">
      <c r="A153" s="12"/>
      <c r="B153" s="12"/>
    </row>
    <row r="154" spans="1:2" ht="15.75" thickBot="1" x14ac:dyDescent="0.3">
      <c r="A154" s="12"/>
      <c r="B154" s="12"/>
    </row>
    <row r="155" spans="1:2" ht="15.75" thickBot="1" x14ac:dyDescent="0.3">
      <c r="A155" s="12"/>
      <c r="B155" s="12"/>
    </row>
    <row r="156" spans="1:2" ht="15.75" thickBot="1" x14ac:dyDescent="0.3">
      <c r="A156" s="12"/>
      <c r="B156" s="12"/>
    </row>
    <row r="157" spans="1:2" ht="15.75" thickBot="1" x14ac:dyDescent="0.3">
      <c r="A157" s="12"/>
      <c r="B157" s="12"/>
    </row>
    <row r="158" spans="1:2" ht="15.75" thickBot="1" x14ac:dyDescent="0.3">
      <c r="A158" s="12"/>
      <c r="B158" s="12"/>
    </row>
    <row r="159" spans="1:2" ht="15.75" thickBot="1" x14ac:dyDescent="0.3">
      <c r="A159" s="12"/>
      <c r="B159" s="12"/>
    </row>
    <row r="160" spans="1:2" ht="15.75" thickBot="1" x14ac:dyDescent="0.3">
      <c r="A160" s="12"/>
      <c r="B160" s="12"/>
    </row>
    <row r="161" spans="1:2" ht="15.75" thickBot="1" x14ac:dyDescent="0.3">
      <c r="A161" s="12"/>
      <c r="B161" s="12"/>
    </row>
    <row r="162" spans="1:2" ht="15.75" thickBot="1" x14ac:dyDescent="0.3">
      <c r="A162" s="12"/>
      <c r="B162" s="12"/>
    </row>
    <row r="163" spans="1:2" ht="15.75" thickBot="1" x14ac:dyDescent="0.3">
      <c r="A163" s="12"/>
      <c r="B163" s="12"/>
    </row>
    <row r="164" spans="1:2" ht="15.75" thickBot="1" x14ac:dyDescent="0.3">
      <c r="A164" s="12"/>
      <c r="B164" s="12"/>
    </row>
    <row r="165" spans="1:2" ht="15.75" thickBot="1" x14ac:dyDescent="0.3">
      <c r="A165" s="12"/>
      <c r="B165" s="12"/>
    </row>
    <row r="166" spans="1:2" ht="15.75" thickBot="1" x14ac:dyDescent="0.3">
      <c r="A166" s="12"/>
      <c r="B166" s="12"/>
    </row>
    <row r="167" spans="1:2" ht="15.75" thickBot="1" x14ac:dyDescent="0.3">
      <c r="A167" s="12"/>
      <c r="B167" s="12"/>
    </row>
    <row r="168" spans="1:2" ht="15.75" thickBot="1" x14ac:dyDescent="0.3">
      <c r="A168" s="12"/>
      <c r="B168" s="12"/>
    </row>
    <row r="169" spans="1:2" ht="15.75" thickBot="1" x14ac:dyDescent="0.3">
      <c r="A169" s="12"/>
      <c r="B169" s="12"/>
    </row>
    <row r="170" spans="1:2" ht="15.75" thickBot="1" x14ac:dyDescent="0.3">
      <c r="A170" s="12"/>
      <c r="B170" s="12"/>
    </row>
    <row r="171" spans="1:2" ht="15.75" thickBot="1" x14ac:dyDescent="0.3">
      <c r="A171" s="12"/>
      <c r="B171" s="12"/>
    </row>
    <row r="172" spans="1:2" ht="15.75" thickBot="1" x14ac:dyDescent="0.3">
      <c r="A172" s="12"/>
      <c r="B172" s="12"/>
    </row>
    <row r="173" spans="1:2" ht="15.75" thickBot="1" x14ac:dyDescent="0.3">
      <c r="A173" s="12"/>
      <c r="B173" s="12"/>
    </row>
    <row r="174" spans="1:2" ht="15.75" thickBot="1" x14ac:dyDescent="0.3">
      <c r="A174" s="12"/>
      <c r="B174" s="12"/>
    </row>
    <row r="175" spans="1:2" ht="15.75" thickBot="1" x14ac:dyDescent="0.3">
      <c r="A175" s="12"/>
      <c r="B175" s="12"/>
    </row>
    <row r="176" spans="1:2" ht="15.75" thickBot="1" x14ac:dyDescent="0.3">
      <c r="A176" s="12"/>
      <c r="B176" s="12"/>
    </row>
    <row r="177" spans="1:2" ht="15.75" thickBot="1" x14ac:dyDescent="0.3">
      <c r="A177" s="12"/>
      <c r="B177" s="12"/>
    </row>
    <row r="178" spans="1:2" ht="15.75" thickBot="1" x14ac:dyDescent="0.3">
      <c r="A178" s="12"/>
      <c r="B178" s="12"/>
    </row>
    <row r="179" spans="1:2" ht="15.75" thickBot="1" x14ac:dyDescent="0.3">
      <c r="A179" s="12"/>
      <c r="B179" s="12"/>
    </row>
    <row r="180" spans="1:2" ht="15.75" thickBot="1" x14ac:dyDescent="0.3">
      <c r="A180" s="12"/>
      <c r="B180" s="12"/>
    </row>
    <row r="181" spans="1:2" ht="15.75" thickBot="1" x14ac:dyDescent="0.3">
      <c r="A181" s="12"/>
      <c r="B181" s="12"/>
    </row>
    <row r="182" spans="1:2" ht="15.75" thickBot="1" x14ac:dyDescent="0.3">
      <c r="A182" s="12"/>
      <c r="B182" s="12"/>
    </row>
    <row r="183" spans="1:2" ht="15.75" thickBot="1" x14ac:dyDescent="0.3">
      <c r="A183" s="12"/>
      <c r="B183" s="12"/>
    </row>
    <row r="184" spans="1:2" ht="15.75" thickBot="1" x14ac:dyDescent="0.3">
      <c r="A184" s="12"/>
      <c r="B184" s="12"/>
    </row>
    <row r="185" spans="1:2" ht="15.75" thickBot="1" x14ac:dyDescent="0.3">
      <c r="A185" s="12"/>
      <c r="B185" s="12"/>
    </row>
    <row r="186" spans="1:2" ht="15.75" thickBot="1" x14ac:dyDescent="0.3">
      <c r="A186" s="12"/>
      <c r="B186" s="12"/>
    </row>
    <row r="187" spans="1:2" ht="15.75" thickBot="1" x14ac:dyDescent="0.3">
      <c r="A187" s="12"/>
      <c r="B187" s="12"/>
    </row>
    <row r="188" spans="1:2" ht="15.75" thickBot="1" x14ac:dyDescent="0.3">
      <c r="A188" s="12"/>
      <c r="B188" s="12"/>
    </row>
    <row r="189" spans="1:2" ht="15.75" thickBot="1" x14ac:dyDescent="0.3">
      <c r="A189" s="12"/>
      <c r="B189" s="12"/>
    </row>
    <row r="190" spans="1:2" ht="15.75" thickBot="1" x14ac:dyDescent="0.3">
      <c r="A190" s="12"/>
      <c r="B190" s="12"/>
    </row>
    <row r="191" spans="1:2" ht="15.75" thickBot="1" x14ac:dyDescent="0.3">
      <c r="A191" s="12"/>
      <c r="B191" s="12"/>
    </row>
    <row r="192" spans="1:2" ht="15.75" thickBot="1" x14ac:dyDescent="0.3">
      <c r="A192" s="12"/>
      <c r="B192" s="12"/>
    </row>
    <row r="193" spans="1:2" ht="15.75" thickBot="1" x14ac:dyDescent="0.3">
      <c r="A193" s="12"/>
      <c r="B193" s="12"/>
    </row>
    <row r="194" spans="1:2" ht="15.75" thickBot="1" x14ac:dyDescent="0.3">
      <c r="A194" s="12"/>
      <c r="B194" s="12"/>
    </row>
    <row r="195" spans="1:2" ht="15.75" thickBot="1" x14ac:dyDescent="0.3">
      <c r="A195" s="12"/>
      <c r="B195" s="12"/>
    </row>
    <row r="196" spans="1:2" ht="15.75" thickBot="1" x14ac:dyDescent="0.3">
      <c r="A196" s="12"/>
      <c r="B196" s="12"/>
    </row>
    <row r="197" spans="1:2" ht="15.75" thickBot="1" x14ac:dyDescent="0.3">
      <c r="A197" s="12"/>
      <c r="B197" s="12"/>
    </row>
    <row r="198" spans="1:2" ht="15.75" thickBot="1" x14ac:dyDescent="0.3">
      <c r="A198" s="12"/>
      <c r="B198" s="12"/>
    </row>
    <row r="199" spans="1:2" ht="15.75" thickBot="1" x14ac:dyDescent="0.3">
      <c r="A199" s="12"/>
      <c r="B199" s="12"/>
    </row>
    <row r="200" spans="1:2" ht="15.75" thickBot="1" x14ac:dyDescent="0.3">
      <c r="A200" s="12"/>
      <c r="B200" s="12"/>
    </row>
    <row r="201" spans="1:2" ht="15.75" thickBot="1" x14ac:dyDescent="0.3">
      <c r="A201" s="12"/>
      <c r="B201" s="12"/>
    </row>
    <row r="202" spans="1:2" ht="15.75" thickBot="1" x14ac:dyDescent="0.3">
      <c r="A202" s="12"/>
      <c r="B202" s="12"/>
    </row>
    <row r="203" spans="1:2" ht="15.75" thickBot="1" x14ac:dyDescent="0.3">
      <c r="A203" s="12"/>
      <c r="B203" s="12"/>
    </row>
    <row r="204" spans="1:2" ht="15.75" thickBot="1" x14ac:dyDescent="0.3">
      <c r="A204" s="12"/>
      <c r="B204" s="12"/>
    </row>
    <row r="205" spans="1:2" ht="15.75" thickBot="1" x14ac:dyDescent="0.3">
      <c r="A205" s="12"/>
      <c r="B205" s="12"/>
    </row>
    <row r="206" spans="1:2" ht="15.75" thickBot="1" x14ac:dyDescent="0.3">
      <c r="A206" s="12"/>
      <c r="B206" s="12"/>
    </row>
    <row r="207" spans="1:2" ht="15.75" thickBot="1" x14ac:dyDescent="0.3">
      <c r="A207" s="12"/>
      <c r="B207" s="12"/>
    </row>
    <row r="208" spans="1:2" ht="15.75" thickBot="1" x14ac:dyDescent="0.3">
      <c r="A208" s="12"/>
      <c r="B208" s="12"/>
    </row>
    <row r="209" spans="1:2" ht="15.75" thickBot="1" x14ac:dyDescent="0.3">
      <c r="A209" s="12"/>
      <c r="B209" s="12"/>
    </row>
    <row r="210" spans="1:2" ht="15.75" thickBot="1" x14ac:dyDescent="0.3">
      <c r="A210" s="12"/>
      <c r="B210" s="12"/>
    </row>
    <row r="211" spans="1:2" ht="15.75" thickBot="1" x14ac:dyDescent="0.3">
      <c r="A211" s="12"/>
      <c r="B211" s="12"/>
    </row>
    <row r="212" spans="1:2" ht="15.75" thickBot="1" x14ac:dyDescent="0.3">
      <c r="A212" s="12"/>
      <c r="B212" s="12"/>
    </row>
    <row r="213" spans="1:2" ht="15.75" thickBot="1" x14ac:dyDescent="0.3">
      <c r="A213" s="12"/>
      <c r="B213" s="12"/>
    </row>
    <row r="214" spans="1:2" ht="15.75" thickBot="1" x14ac:dyDescent="0.3">
      <c r="A214" s="12"/>
      <c r="B214" s="12"/>
    </row>
    <row r="215" spans="1:2" ht="15.75" thickBot="1" x14ac:dyDescent="0.3">
      <c r="A215" s="12"/>
      <c r="B215" s="12"/>
    </row>
    <row r="216" spans="1:2" ht="15.75" thickBot="1" x14ac:dyDescent="0.3">
      <c r="A216" s="12"/>
      <c r="B216" s="12"/>
    </row>
    <row r="217" spans="1:2" ht="15.75" thickBot="1" x14ac:dyDescent="0.3">
      <c r="A217" s="12"/>
      <c r="B217" s="12"/>
    </row>
    <row r="218" spans="1:2" ht="15.75" thickBot="1" x14ac:dyDescent="0.3">
      <c r="A218" s="12"/>
      <c r="B218" s="12"/>
    </row>
    <row r="219" spans="1:2" ht="15.75" thickBot="1" x14ac:dyDescent="0.3">
      <c r="A219" s="12"/>
      <c r="B219" s="12"/>
    </row>
    <row r="220" spans="1:2" ht="15.75" thickBot="1" x14ac:dyDescent="0.3">
      <c r="A220" s="12"/>
      <c r="B220" s="12"/>
    </row>
    <row r="221" spans="1:2" ht="15.75" thickBot="1" x14ac:dyDescent="0.3">
      <c r="A221" s="12"/>
      <c r="B221" s="12"/>
    </row>
    <row r="222" spans="1:2" ht="15.75" thickBot="1" x14ac:dyDescent="0.3">
      <c r="A222" s="12"/>
      <c r="B222" s="12"/>
    </row>
    <row r="223" spans="1:2" ht="15.75" thickBot="1" x14ac:dyDescent="0.3">
      <c r="A223" s="12"/>
      <c r="B223" s="12"/>
    </row>
    <row r="224" spans="1:2" ht="15.75" thickBot="1" x14ac:dyDescent="0.3">
      <c r="A224" s="12"/>
      <c r="B224" s="12"/>
    </row>
    <row r="225" spans="1:2" ht="15.75" thickBot="1" x14ac:dyDescent="0.3">
      <c r="A225" s="12"/>
      <c r="B225" s="12"/>
    </row>
    <row r="226" spans="1:2" ht="15.75" thickBot="1" x14ac:dyDescent="0.3">
      <c r="A226" s="12"/>
      <c r="B226" s="12"/>
    </row>
    <row r="227" spans="1:2" ht="15.75" thickBot="1" x14ac:dyDescent="0.3">
      <c r="A227" s="12"/>
      <c r="B227" s="12"/>
    </row>
    <row r="228" spans="1:2" ht="15.75" thickBot="1" x14ac:dyDescent="0.3">
      <c r="A228" s="12"/>
      <c r="B228" s="12"/>
    </row>
    <row r="229" spans="1:2" ht="15.75" thickBot="1" x14ac:dyDescent="0.3">
      <c r="A229" s="12"/>
      <c r="B229" s="12"/>
    </row>
    <row r="230" spans="1:2" ht="15.75" thickBot="1" x14ac:dyDescent="0.3">
      <c r="A230" s="12"/>
      <c r="B230" s="12"/>
    </row>
    <row r="231" spans="1:2" ht="15.75" thickBot="1" x14ac:dyDescent="0.3">
      <c r="A231" s="12"/>
      <c r="B231" s="12"/>
    </row>
    <row r="232" spans="1:2" ht="15.75" thickBot="1" x14ac:dyDescent="0.3">
      <c r="A232" s="12"/>
      <c r="B232" s="12"/>
    </row>
    <row r="233" spans="1:2" ht="15.75" thickBot="1" x14ac:dyDescent="0.3">
      <c r="A233" s="12"/>
      <c r="B233" s="12"/>
    </row>
    <row r="234" spans="1:2" ht="15.75" thickBot="1" x14ac:dyDescent="0.3">
      <c r="A234" s="12"/>
      <c r="B234" s="12"/>
    </row>
    <row r="235" spans="1:2" ht="15.75" thickBot="1" x14ac:dyDescent="0.3">
      <c r="A235" s="12"/>
      <c r="B235" s="12"/>
    </row>
    <row r="236" spans="1:2" ht="15.75" thickBot="1" x14ac:dyDescent="0.3">
      <c r="A236" s="12"/>
      <c r="B236" s="12"/>
    </row>
    <row r="237" spans="1:2" ht="15.75" thickBot="1" x14ac:dyDescent="0.3">
      <c r="A237" s="12"/>
      <c r="B237" s="12"/>
    </row>
    <row r="238" spans="1:2" ht="15.75" thickBot="1" x14ac:dyDescent="0.3">
      <c r="A238" s="12"/>
      <c r="B238" s="12"/>
    </row>
    <row r="239" spans="1:2" ht="15.75" thickBot="1" x14ac:dyDescent="0.3">
      <c r="A239" s="12"/>
      <c r="B239" s="12"/>
    </row>
    <row r="240" spans="1:2" ht="15.75" thickBot="1" x14ac:dyDescent="0.3">
      <c r="A240" s="12"/>
      <c r="B240" s="12"/>
    </row>
    <row r="241" spans="1:2" ht="15.75" thickBot="1" x14ac:dyDescent="0.3">
      <c r="A241" s="12"/>
      <c r="B241" s="12"/>
    </row>
    <row r="242" spans="1:2" ht="15.75" thickBot="1" x14ac:dyDescent="0.3">
      <c r="A242" s="12"/>
      <c r="B242" s="12"/>
    </row>
    <row r="243" spans="1:2" ht="15.75" thickBot="1" x14ac:dyDescent="0.3">
      <c r="A243" s="12"/>
      <c r="B243" s="12"/>
    </row>
    <row r="244" spans="1:2" ht="15.75" thickBot="1" x14ac:dyDescent="0.3">
      <c r="A244" s="12"/>
      <c r="B244" s="12"/>
    </row>
    <row r="245" spans="1:2" ht="15.75" thickBot="1" x14ac:dyDescent="0.3">
      <c r="A245" s="12"/>
      <c r="B245" s="12"/>
    </row>
    <row r="246" spans="1:2" ht="15.75" thickBot="1" x14ac:dyDescent="0.3">
      <c r="A246" s="12"/>
      <c r="B246" s="12"/>
    </row>
    <row r="247" spans="1:2" ht="15.75" thickBot="1" x14ac:dyDescent="0.3">
      <c r="A247" s="12"/>
      <c r="B247" s="12"/>
    </row>
    <row r="248" spans="1:2" ht="15.75" thickBot="1" x14ac:dyDescent="0.3">
      <c r="A248" s="12"/>
      <c r="B248" s="12"/>
    </row>
    <row r="249" spans="1:2" ht="15.75" thickBot="1" x14ac:dyDescent="0.3">
      <c r="A249" s="12"/>
      <c r="B249" s="12"/>
    </row>
    <row r="250" spans="1:2" ht="15.75" thickBot="1" x14ac:dyDescent="0.3">
      <c r="A250" s="12"/>
      <c r="B250" s="12"/>
    </row>
    <row r="251" spans="1:2" ht="15.75" thickBot="1" x14ac:dyDescent="0.3">
      <c r="A251" s="12"/>
      <c r="B251" s="12"/>
    </row>
    <row r="252" spans="1:2" ht="15.75" thickBot="1" x14ac:dyDescent="0.3">
      <c r="A252" s="12"/>
      <c r="B252" s="12"/>
    </row>
    <row r="253" spans="1:2" ht="15.75" thickBot="1" x14ac:dyDescent="0.3">
      <c r="A253" s="12"/>
      <c r="B253" s="12"/>
    </row>
    <row r="254" spans="1:2" ht="15.75" thickBot="1" x14ac:dyDescent="0.3">
      <c r="A254" s="12"/>
      <c r="B254" s="12"/>
    </row>
    <row r="255" spans="1:2" ht="15.75" thickBot="1" x14ac:dyDescent="0.3">
      <c r="A255" s="12"/>
      <c r="B255" s="12"/>
    </row>
    <row r="256" spans="1:2" ht="15.75" thickBot="1" x14ac:dyDescent="0.3">
      <c r="A256" s="12"/>
      <c r="B256" s="12"/>
    </row>
    <row r="257" spans="1:2" ht="15.75" thickBot="1" x14ac:dyDescent="0.3">
      <c r="A257" s="12"/>
      <c r="B257" s="12"/>
    </row>
    <row r="258" spans="1:2" ht="15.75" thickBot="1" x14ac:dyDescent="0.3">
      <c r="A258" s="12"/>
      <c r="B258" s="12"/>
    </row>
    <row r="259" spans="1:2" ht="15.75" thickBot="1" x14ac:dyDescent="0.3">
      <c r="A259" s="12"/>
      <c r="B259" s="12"/>
    </row>
    <row r="260" spans="1:2" ht="15.75" thickBot="1" x14ac:dyDescent="0.3">
      <c r="A260" s="12"/>
      <c r="B260" s="12"/>
    </row>
    <row r="261" spans="1:2" ht="15.75" thickBot="1" x14ac:dyDescent="0.3">
      <c r="A261" s="12"/>
      <c r="B261" s="12"/>
    </row>
    <row r="262" spans="1:2" ht="15.75" thickBot="1" x14ac:dyDescent="0.3">
      <c r="A262" s="12"/>
      <c r="B262" s="12"/>
    </row>
    <row r="263" spans="1:2" ht="15.75" thickBot="1" x14ac:dyDescent="0.3">
      <c r="A263" s="12"/>
      <c r="B263" s="12"/>
    </row>
    <row r="264" spans="1:2" ht="15.75" thickBot="1" x14ac:dyDescent="0.3">
      <c r="A264" s="12"/>
      <c r="B264" s="12"/>
    </row>
    <row r="265" spans="1:2" ht="15.75" thickBot="1" x14ac:dyDescent="0.3">
      <c r="A265" s="12"/>
      <c r="B265" s="12"/>
    </row>
    <row r="266" spans="1:2" ht="15.75" thickBot="1" x14ac:dyDescent="0.3">
      <c r="A266" s="12"/>
      <c r="B266" s="12"/>
    </row>
    <row r="267" spans="1:2" ht="15.75" thickBot="1" x14ac:dyDescent="0.3">
      <c r="A267" s="12"/>
      <c r="B267" s="12"/>
    </row>
    <row r="268" spans="1:2" ht="15.75" thickBot="1" x14ac:dyDescent="0.3">
      <c r="A268" s="12"/>
      <c r="B268" s="12"/>
    </row>
    <row r="269" spans="1:2" ht="15.75" thickBot="1" x14ac:dyDescent="0.3">
      <c r="A269" s="12"/>
      <c r="B269" s="12"/>
    </row>
    <row r="270" spans="1:2" ht="15.75" thickBot="1" x14ac:dyDescent="0.3">
      <c r="A270" s="12"/>
      <c r="B270" s="12"/>
    </row>
    <row r="271" spans="1:2" ht="15.75" thickBot="1" x14ac:dyDescent="0.3">
      <c r="A271" s="12"/>
      <c r="B271" s="12"/>
    </row>
    <row r="272" spans="1:2" ht="15.75" thickBot="1" x14ac:dyDescent="0.3">
      <c r="A272" s="12"/>
      <c r="B272" s="12"/>
    </row>
    <row r="273" spans="1:2" ht="15.75" thickBot="1" x14ac:dyDescent="0.3">
      <c r="A273" s="12"/>
      <c r="B273" s="12"/>
    </row>
    <row r="274" spans="1:2" ht="15.75" thickBot="1" x14ac:dyDescent="0.3">
      <c r="A274" s="12"/>
      <c r="B274" s="12"/>
    </row>
    <row r="275" spans="1:2" ht="15.75" thickBot="1" x14ac:dyDescent="0.3">
      <c r="A275" s="12"/>
      <c r="B275" s="12"/>
    </row>
    <row r="276" spans="1:2" ht="15.75" thickBot="1" x14ac:dyDescent="0.3">
      <c r="A276" s="12"/>
      <c r="B276" s="12"/>
    </row>
    <row r="277" spans="1:2" ht="15.75" thickBot="1" x14ac:dyDescent="0.3">
      <c r="A277" s="12"/>
      <c r="B277" s="12"/>
    </row>
    <row r="278" spans="1:2" ht="15.75" thickBot="1" x14ac:dyDescent="0.3">
      <c r="A278" s="12"/>
      <c r="B278" s="12"/>
    </row>
    <row r="279" spans="1:2" ht="15.75" thickBot="1" x14ac:dyDescent="0.3">
      <c r="A279" s="12"/>
      <c r="B279" s="12"/>
    </row>
    <row r="280" spans="1:2" ht="15.75" thickBot="1" x14ac:dyDescent="0.3">
      <c r="A280" s="12"/>
      <c r="B280" s="12"/>
    </row>
    <row r="281" spans="1:2" ht="15.75" thickBot="1" x14ac:dyDescent="0.3">
      <c r="A281" s="12"/>
      <c r="B281" s="12"/>
    </row>
    <row r="282" spans="1:2" ht="15.75" thickBot="1" x14ac:dyDescent="0.3">
      <c r="A282" s="12"/>
      <c r="B282" s="12"/>
    </row>
    <row r="283" spans="1:2" ht="15.75" thickBot="1" x14ac:dyDescent="0.3">
      <c r="A283" s="12"/>
      <c r="B283" s="12"/>
    </row>
    <row r="284" spans="1:2" ht="15.75" thickBot="1" x14ac:dyDescent="0.3">
      <c r="A284" s="12"/>
      <c r="B284" s="12"/>
    </row>
    <row r="285" spans="1:2" ht="15.75" thickBot="1" x14ac:dyDescent="0.3">
      <c r="A285" s="12"/>
      <c r="B285" s="12"/>
    </row>
    <row r="286" spans="1:2" ht="15.75" thickBot="1" x14ac:dyDescent="0.3">
      <c r="A286" s="12"/>
      <c r="B286" s="12"/>
    </row>
    <row r="287" spans="1:2" ht="15.75" thickBot="1" x14ac:dyDescent="0.3">
      <c r="A287" s="12"/>
      <c r="B287" s="12"/>
    </row>
    <row r="288" spans="1:2" ht="15.75" thickBot="1" x14ac:dyDescent="0.3">
      <c r="A288" s="12"/>
      <c r="B288" s="12"/>
    </row>
    <row r="289" spans="1:2" ht="15.75" thickBot="1" x14ac:dyDescent="0.3">
      <c r="A289" s="12"/>
      <c r="B289" s="12"/>
    </row>
    <row r="290" spans="1:2" ht="15.75" thickBot="1" x14ac:dyDescent="0.3">
      <c r="A290" s="12"/>
      <c r="B290" s="12"/>
    </row>
    <row r="291" spans="1:2" ht="15.75" thickBot="1" x14ac:dyDescent="0.3">
      <c r="A291" s="12"/>
      <c r="B291" s="12"/>
    </row>
    <row r="292" spans="1:2" ht="15.75" thickBot="1" x14ac:dyDescent="0.3">
      <c r="A292" s="12"/>
      <c r="B292" s="12"/>
    </row>
    <row r="293" spans="1:2" ht="15.75" thickBot="1" x14ac:dyDescent="0.3">
      <c r="A293" s="12"/>
      <c r="B293" s="12"/>
    </row>
    <row r="294" spans="1:2" ht="15.75" thickBot="1" x14ac:dyDescent="0.3">
      <c r="A294" s="12"/>
      <c r="B294" s="12"/>
    </row>
    <row r="295" spans="1:2" ht="15.75" thickBot="1" x14ac:dyDescent="0.3">
      <c r="A295" s="12"/>
      <c r="B295" s="12"/>
    </row>
    <row r="296" spans="1:2" ht="15.75" thickBot="1" x14ac:dyDescent="0.3">
      <c r="A296" s="12"/>
      <c r="B296" s="12"/>
    </row>
    <row r="297" spans="1:2" ht="15.75" thickBot="1" x14ac:dyDescent="0.3">
      <c r="A297" s="12"/>
      <c r="B297" s="12"/>
    </row>
    <row r="298" spans="1:2" ht="15.75" thickBot="1" x14ac:dyDescent="0.3">
      <c r="A298" s="12"/>
      <c r="B298" s="12"/>
    </row>
    <row r="299" spans="1:2" ht="15.75" thickBot="1" x14ac:dyDescent="0.3">
      <c r="A299" s="12"/>
      <c r="B299" s="12"/>
    </row>
    <row r="300" spans="1:2" ht="15.75" thickBot="1" x14ac:dyDescent="0.3">
      <c r="A300" s="12"/>
      <c r="B300" s="12"/>
    </row>
    <row r="301" spans="1:2" ht="15.75" thickBot="1" x14ac:dyDescent="0.3">
      <c r="A301" s="12"/>
      <c r="B301" s="12"/>
    </row>
    <row r="302" spans="1:2" ht="15.75" thickBot="1" x14ac:dyDescent="0.3">
      <c r="A302" s="12"/>
      <c r="B302" s="12"/>
    </row>
    <row r="303" spans="1:2" ht="15.75" thickBot="1" x14ac:dyDescent="0.3">
      <c r="A303" s="12"/>
      <c r="B303" s="12"/>
    </row>
    <row r="304" spans="1:2" ht="15.75" thickBot="1" x14ac:dyDescent="0.3">
      <c r="A304" s="12"/>
      <c r="B304" s="12"/>
    </row>
    <row r="305" spans="1:2" ht="15.75" thickBot="1" x14ac:dyDescent="0.3">
      <c r="A305" s="12"/>
      <c r="B305" s="12"/>
    </row>
    <row r="306" spans="1:2" ht="15.75" thickBot="1" x14ac:dyDescent="0.3">
      <c r="A306" s="12"/>
      <c r="B306" s="12"/>
    </row>
    <row r="307" spans="1:2" ht="15.75" thickBot="1" x14ac:dyDescent="0.3">
      <c r="A307" s="12"/>
      <c r="B307" s="12"/>
    </row>
    <row r="308" spans="1:2" ht="15.75" thickBot="1" x14ac:dyDescent="0.3">
      <c r="A308" s="12"/>
      <c r="B308" s="12"/>
    </row>
    <row r="309" spans="1:2" ht="15.75" thickBot="1" x14ac:dyDescent="0.3">
      <c r="A309" s="12"/>
      <c r="B309" s="12"/>
    </row>
    <row r="310" spans="1:2" ht="15.75" thickBot="1" x14ac:dyDescent="0.3">
      <c r="A310" s="12"/>
      <c r="B310" s="12"/>
    </row>
    <row r="311" spans="1:2" ht="15.75" thickBot="1" x14ac:dyDescent="0.3">
      <c r="A311" s="12"/>
      <c r="B311" s="12"/>
    </row>
    <row r="312" spans="1:2" ht="15.75" thickBot="1" x14ac:dyDescent="0.3">
      <c r="A312" s="12"/>
      <c r="B312" s="12"/>
    </row>
    <row r="313" spans="1:2" ht="15.75" thickBot="1" x14ac:dyDescent="0.3">
      <c r="A313" s="12"/>
      <c r="B313" s="12"/>
    </row>
    <row r="314" spans="1:2" ht="15.75" thickBot="1" x14ac:dyDescent="0.3">
      <c r="A314" s="12"/>
      <c r="B314" s="12"/>
    </row>
    <row r="315" spans="1:2" ht="15.75" thickBot="1" x14ac:dyDescent="0.3">
      <c r="A315" s="12"/>
      <c r="B315" s="12"/>
    </row>
    <row r="316" spans="1:2" ht="15.75" thickBot="1" x14ac:dyDescent="0.3">
      <c r="A316" s="12"/>
      <c r="B316" s="12"/>
    </row>
    <row r="317" spans="1:2" ht="15.75" thickBot="1" x14ac:dyDescent="0.3">
      <c r="A317" s="12"/>
      <c r="B317" s="12"/>
    </row>
    <row r="318" spans="1:2" ht="15.75" thickBot="1" x14ac:dyDescent="0.3">
      <c r="A318" s="12"/>
      <c r="B318" s="12"/>
    </row>
    <row r="319" spans="1:2" ht="15.75" thickBot="1" x14ac:dyDescent="0.3">
      <c r="A319" s="12"/>
      <c r="B319" s="12"/>
    </row>
    <row r="320" spans="1:2" ht="15.75" thickBot="1" x14ac:dyDescent="0.3">
      <c r="A320" s="12"/>
      <c r="B320" s="12"/>
    </row>
    <row r="321" spans="1:2" ht="15.75" thickBot="1" x14ac:dyDescent="0.3">
      <c r="A321" s="12"/>
      <c r="B321" s="12"/>
    </row>
    <row r="322" spans="1:2" ht="15.75" thickBot="1" x14ac:dyDescent="0.3">
      <c r="A322" s="12"/>
      <c r="B322" s="12"/>
    </row>
    <row r="323" spans="1:2" ht="15.75" thickBot="1" x14ac:dyDescent="0.3">
      <c r="A323" s="12"/>
      <c r="B323" s="12"/>
    </row>
    <row r="324" spans="1:2" ht="15.75" thickBot="1" x14ac:dyDescent="0.3">
      <c r="A324" s="12"/>
      <c r="B324" s="12"/>
    </row>
    <row r="325" spans="1:2" ht="15.75" thickBot="1" x14ac:dyDescent="0.3">
      <c r="A325" s="12"/>
      <c r="B325" s="12"/>
    </row>
    <row r="326" spans="1:2" ht="15.75" thickBot="1" x14ac:dyDescent="0.3">
      <c r="A326" s="12"/>
      <c r="B326" s="12"/>
    </row>
    <row r="327" spans="1:2" ht="15.75" thickBot="1" x14ac:dyDescent="0.3">
      <c r="A327" s="12"/>
      <c r="B327" s="12"/>
    </row>
    <row r="328" spans="1:2" ht="15.75" thickBot="1" x14ac:dyDescent="0.3">
      <c r="A328" s="12"/>
      <c r="B328" s="12"/>
    </row>
    <row r="329" spans="1:2" ht="15.75" thickBot="1" x14ac:dyDescent="0.3">
      <c r="A329" s="12"/>
      <c r="B329" s="12"/>
    </row>
    <row r="330" spans="1:2" ht="15.75" thickBot="1" x14ac:dyDescent="0.3">
      <c r="A330" s="12"/>
      <c r="B330" s="12"/>
    </row>
    <row r="331" spans="1:2" ht="15.75" thickBot="1" x14ac:dyDescent="0.3">
      <c r="A331" s="12"/>
      <c r="B331" s="12"/>
    </row>
    <row r="332" spans="1:2" ht="15.75" thickBot="1" x14ac:dyDescent="0.3">
      <c r="A332" s="12"/>
      <c r="B332" s="12"/>
    </row>
    <row r="333" spans="1:2" ht="15.75" thickBot="1" x14ac:dyDescent="0.3">
      <c r="A333" s="12"/>
      <c r="B333" s="12"/>
    </row>
    <row r="334" spans="1:2" ht="15.75" thickBot="1" x14ac:dyDescent="0.3">
      <c r="A334" s="12"/>
      <c r="B334" s="12"/>
    </row>
    <row r="335" spans="1:2" ht="15.75" thickBot="1" x14ac:dyDescent="0.3">
      <c r="A335" s="12"/>
      <c r="B335" s="12"/>
    </row>
    <row r="336" spans="1:2" ht="15.75" thickBot="1" x14ac:dyDescent="0.3">
      <c r="A336" s="12"/>
      <c r="B336" s="12"/>
    </row>
    <row r="337" spans="1:2" ht="15.75" thickBot="1" x14ac:dyDescent="0.3">
      <c r="A337" s="12"/>
      <c r="B337" s="12"/>
    </row>
    <row r="338" spans="1:2" ht="15.75" thickBot="1" x14ac:dyDescent="0.3">
      <c r="A338" s="12"/>
      <c r="B338" s="12"/>
    </row>
    <row r="339" spans="1:2" ht="15.75" thickBot="1" x14ac:dyDescent="0.3">
      <c r="A339" s="12"/>
      <c r="B339" s="12"/>
    </row>
    <row r="340" spans="1:2" ht="15.75" thickBot="1" x14ac:dyDescent="0.3">
      <c r="A340" s="12"/>
      <c r="B340" s="12"/>
    </row>
    <row r="341" spans="1:2" ht="15.75" thickBot="1" x14ac:dyDescent="0.3">
      <c r="A341" s="12"/>
      <c r="B341" s="12"/>
    </row>
    <row r="342" spans="1:2" ht="15.75" thickBot="1" x14ac:dyDescent="0.3">
      <c r="A342" s="12"/>
      <c r="B342" s="12"/>
    </row>
    <row r="343" spans="1:2" ht="15.75" thickBot="1" x14ac:dyDescent="0.3">
      <c r="A343" s="12"/>
      <c r="B343" s="12"/>
    </row>
    <row r="344" spans="1:2" ht="15.75" thickBot="1" x14ac:dyDescent="0.3">
      <c r="A344" s="12"/>
      <c r="B344" s="12"/>
    </row>
    <row r="345" spans="1:2" ht="15.75" thickBot="1" x14ac:dyDescent="0.3">
      <c r="A345" s="12"/>
      <c r="B345" s="12"/>
    </row>
    <row r="346" spans="1:2" ht="15.75" thickBot="1" x14ac:dyDescent="0.3">
      <c r="A346" s="12"/>
      <c r="B346" s="12"/>
    </row>
    <row r="347" spans="1:2" ht="15.75" thickBot="1" x14ac:dyDescent="0.3">
      <c r="A347" s="12"/>
      <c r="B347" s="12"/>
    </row>
    <row r="348" spans="1:2" ht="15.75" thickBot="1" x14ac:dyDescent="0.3">
      <c r="A348" s="12"/>
      <c r="B348" s="12"/>
    </row>
    <row r="349" spans="1:2" ht="15.75" thickBot="1" x14ac:dyDescent="0.3">
      <c r="A349" s="12"/>
      <c r="B349" s="12"/>
    </row>
    <row r="350" spans="1:2" ht="15.75" thickBot="1" x14ac:dyDescent="0.3">
      <c r="A350" s="12"/>
      <c r="B350" s="12"/>
    </row>
    <row r="351" spans="1:2" ht="15.75" thickBot="1" x14ac:dyDescent="0.3">
      <c r="A351" s="12"/>
      <c r="B351" s="12"/>
    </row>
    <row r="352" spans="1:2" ht="15.75" thickBot="1" x14ac:dyDescent="0.3">
      <c r="A352" s="12"/>
      <c r="B352" s="12"/>
    </row>
    <row r="353" spans="1:2" ht="15.75" thickBot="1" x14ac:dyDescent="0.3">
      <c r="A353" s="12"/>
      <c r="B353" s="12"/>
    </row>
    <row r="354" spans="1:2" ht="15.75" thickBot="1" x14ac:dyDescent="0.3">
      <c r="A354" s="12"/>
      <c r="B354" s="12"/>
    </row>
    <row r="355" spans="1:2" ht="15.75" thickBot="1" x14ac:dyDescent="0.3">
      <c r="A355" s="12"/>
      <c r="B355" s="12"/>
    </row>
    <row r="356" spans="1:2" ht="15.75" thickBot="1" x14ac:dyDescent="0.3">
      <c r="A356" s="12"/>
      <c r="B356" s="12"/>
    </row>
    <row r="357" spans="1:2" ht="15.75" thickBot="1" x14ac:dyDescent="0.3">
      <c r="A357" s="12"/>
      <c r="B357" s="12"/>
    </row>
    <row r="358" spans="1:2" ht="15.75" thickBot="1" x14ac:dyDescent="0.3">
      <c r="A358" s="12"/>
      <c r="B358" s="12"/>
    </row>
    <row r="359" spans="1:2" ht="15.75" thickBot="1" x14ac:dyDescent="0.3">
      <c r="A359" s="12"/>
      <c r="B359" s="12"/>
    </row>
    <row r="360" spans="1:2" ht="15.75" thickBot="1" x14ac:dyDescent="0.3">
      <c r="A360" s="12"/>
      <c r="B360" s="12"/>
    </row>
    <row r="361" spans="1:2" ht="15.75" thickBot="1" x14ac:dyDescent="0.3">
      <c r="A361" s="12"/>
      <c r="B361" s="12"/>
    </row>
    <row r="362" spans="1:2" ht="15.75" thickBot="1" x14ac:dyDescent="0.3">
      <c r="A362" s="12"/>
      <c r="B362" s="12"/>
    </row>
    <row r="363" spans="1:2" ht="15.75" thickBot="1" x14ac:dyDescent="0.3">
      <c r="A363" s="12"/>
      <c r="B363" s="12"/>
    </row>
    <row r="364" spans="1:2" ht="15.75" thickBot="1" x14ac:dyDescent="0.3">
      <c r="A364" s="12"/>
      <c r="B364" s="12"/>
    </row>
    <row r="365" spans="1:2" ht="15.75" thickBot="1" x14ac:dyDescent="0.3">
      <c r="A365" s="12"/>
      <c r="B365" s="12"/>
    </row>
    <row r="366" spans="1:2" ht="15.75" thickBot="1" x14ac:dyDescent="0.3">
      <c r="A366" s="12"/>
      <c r="B366" s="12"/>
    </row>
    <row r="367" spans="1:2" ht="15.75" thickBot="1" x14ac:dyDescent="0.3">
      <c r="A367" s="12"/>
      <c r="B367" s="12"/>
    </row>
    <row r="368" spans="1:2" ht="15.75" thickBot="1" x14ac:dyDescent="0.3">
      <c r="A368" s="12"/>
      <c r="B368" s="12"/>
    </row>
    <row r="369" spans="1:2" ht="15.75" thickBot="1" x14ac:dyDescent="0.3">
      <c r="A369" s="12"/>
      <c r="B369" s="12"/>
    </row>
    <row r="370" spans="1:2" ht="15.75" thickBot="1" x14ac:dyDescent="0.3">
      <c r="A370" s="12"/>
      <c r="B370" s="12"/>
    </row>
    <row r="371" spans="1:2" ht="15.75" thickBot="1" x14ac:dyDescent="0.3">
      <c r="A371" s="12"/>
      <c r="B371" s="12"/>
    </row>
    <row r="372" spans="1:2" ht="15.75" thickBot="1" x14ac:dyDescent="0.3">
      <c r="A372" s="12"/>
      <c r="B372" s="12"/>
    </row>
    <row r="373" spans="1:2" ht="15.75" thickBot="1" x14ac:dyDescent="0.3">
      <c r="A373" s="12"/>
      <c r="B373" s="12"/>
    </row>
    <row r="374" spans="1:2" ht="15.75" thickBot="1" x14ac:dyDescent="0.3">
      <c r="A374" s="12"/>
      <c r="B374" s="12"/>
    </row>
    <row r="375" spans="1:2" ht="15.75" thickBot="1" x14ac:dyDescent="0.3">
      <c r="A375" s="12"/>
      <c r="B375" s="12"/>
    </row>
    <row r="376" spans="1:2" ht="15.75" thickBot="1" x14ac:dyDescent="0.3">
      <c r="A376" s="12"/>
      <c r="B376" s="12"/>
    </row>
    <row r="377" spans="1:2" ht="15.75" thickBot="1" x14ac:dyDescent="0.3">
      <c r="A377" s="12"/>
      <c r="B377" s="12"/>
    </row>
    <row r="378" spans="1:2" ht="15.75" thickBot="1" x14ac:dyDescent="0.3">
      <c r="A378" s="12"/>
      <c r="B378" s="12"/>
    </row>
    <row r="379" spans="1:2" ht="15.75" thickBot="1" x14ac:dyDescent="0.3">
      <c r="A379" s="12"/>
      <c r="B379" s="12"/>
    </row>
    <row r="380" spans="1:2" ht="15.75" thickBot="1" x14ac:dyDescent="0.3">
      <c r="A380" s="12"/>
      <c r="B380" s="12"/>
    </row>
    <row r="381" spans="1:2" ht="15.75" thickBot="1" x14ac:dyDescent="0.3">
      <c r="A381" s="12"/>
      <c r="B381" s="12"/>
    </row>
    <row r="382" spans="1:2" ht="15.75" thickBot="1" x14ac:dyDescent="0.3">
      <c r="A382" s="12"/>
      <c r="B382" s="12"/>
    </row>
    <row r="383" spans="1:2" ht="15.75" thickBot="1" x14ac:dyDescent="0.3">
      <c r="A383" s="12"/>
      <c r="B383" s="12"/>
    </row>
    <row r="384" spans="1:2" ht="15.75" thickBot="1" x14ac:dyDescent="0.3">
      <c r="A384" s="12"/>
      <c r="B384" s="12"/>
    </row>
    <row r="385" spans="1:2" ht="15.75" thickBot="1" x14ac:dyDescent="0.3">
      <c r="A385" s="12"/>
      <c r="B385" s="12"/>
    </row>
    <row r="386" spans="1:2" ht="15.75" thickBot="1" x14ac:dyDescent="0.3">
      <c r="A386" s="12"/>
      <c r="B386" s="12"/>
    </row>
    <row r="387" spans="1:2" ht="15.75" thickBot="1" x14ac:dyDescent="0.3">
      <c r="A387" s="12"/>
      <c r="B387" s="12"/>
    </row>
    <row r="388" spans="1:2" ht="15.75" thickBot="1" x14ac:dyDescent="0.3">
      <c r="A388" s="12"/>
      <c r="B388" s="12"/>
    </row>
    <row r="389" spans="1:2" ht="15.75" thickBot="1" x14ac:dyDescent="0.3">
      <c r="A389" s="12"/>
      <c r="B389" s="12"/>
    </row>
    <row r="390" spans="1:2" ht="15.75" thickBot="1" x14ac:dyDescent="0.3">
      <c r="A390" s="12"/>
      <c r="B390" s="12"/>
    </row>
    <row r="391" spans="1:2" ht="15.75" thickBot="1" x14ac:dyDescent="0.3">
      <c r="A391" s="12"/>
      <c r="B391" s="12"/>
    </row>
    <row r="392" spans="1:2" ht="15.75" thickBot="1" x14ac:dyDescent="0.3">
      <c r="A392" s="12"/>
      <c r="B392" s="12"/>
    </row>
    <row r="393" spans="1:2" ht="15.75" thickBot="1" x14ac:dyDescent="0.3">
      <c r="A393" s="12"/>
      <c r="B393" s="12"/>
    </row>
    <row r="394" spans="1:2" ht="15.75" thickBot="1" x14ac:dyDescent="0.3">
      <c r="A394" s="12"/>
      <c r="B394" s="12"/>
    </row>
    <row r="395" spans="1:2" ht="15.75" thickBot="1" x14ac:dyDescent="0.3">
      <c r="A395" s="12"/>
      <c r="B395" s="12"/>
    </row>
    <row r="396" spans="1:2" ht="15.75" thickBot="1" x14ac:dyDescent="0.3">
      <c r="A396" s="12"/>
      <c r="B396" s="12"/>
    </row>
    <row r="397" spans="1:2" ht="15.75" thickBot="1" x14ac:dyDescent="0.3">
      <c r="A397" s="12"/>
      <c r="B397" s="12"/>
    </row>
    <row r="398" spans="1:2" ht="15.75" thickBot="1" x14ac:dyDescent="0.3">
      <c r="A398" s="12"/>
      <c r="B398" s="12"/>
    </row>
    <row r="399" spans="1:2" ht="15.75" thickBot="1" x14ac:dyDescent="0.3">
      <c r="A399" s="12"/>
      <c r="B399" s="12"/>
    </row>
    <row r="400" spans="1:2" ht="15.75" thickBot="1" x14ac:dyDescent="0.3">
      <c r="A400" s="12"/>
      <c r="B400" s="12"/>
    </row>
    <row r="401" spans="1:2" ht="15.75" thickBot="1" x14ac:dyDescent="0.3">
      <c r="A401" s="12"/>
      <c r="B401" s="12"/>
    </row>
    <row r="402" spans="1:2" ht="15.75" thickBot="1" x14ac:dyDescent="0.3">
      <c r="A402" s="12"/>
      <c r="B402" s="12"/>
    </row>
    <row r="403" spans="1:2" ht="15.75" thickBot="1" x14ac:dyDescent="0.3">
      <c r="A403" s="12"/>
      <c r="B403" s="12"/>
    </row>
    <row r="404" spans="1:2" ht="15.75" thickBot="1" x14ac:dyDescent="0.3">
      <c r="A404" s="12"/>
      <c r="B404" s="12"/>
    </row>
    <row r="405" spans="1:2" ht="15.75" thickBot="1" x14ac:dyDescent="0.3">
      <c r="A405" s="12"/>
      <c r="B405" s="12"/>
    </row>
    <row r="406" spans="1:2" ht="15.75" thickBot="1" x14ac:dyDescent="0.3">
      <c r="A406" s="12"/>
      <c r="B406" s="12"/>
    </row>
    <row r="407" spans="1:2" ht="15.75" thickBot="1" x14ac:dyDescent="0.3">
      <c r="A407" s="12"/>
      <c r="B407" s="12"/>
    </row>
    <row r="408" spans="1:2" ht="15.75" thickBot="1" x14ac:dyDescent="0.3">
      <c r="A408" s="12"/>
      <c r="B408" s="12"/>
    </row>
    <row r="409" spans="1:2" ht="15.75" thickBot="1" x14ac:dyDescent="0.3">
      <c r="A409" s="12"/>
      <c r="B409" s="12"/>
    </row>
    <row r="410" spans="1:2" ht="15.75" thickBot="1" x14ac:dyDescent="0.3">
      <c r="A410" s="12"/>
      <c r="B410" s="12"/>
    </row>
    <row r="411" spans="1:2" ht="15.75" thickBot="1" x14ac:dyDescent="0.3">
      <c r="A411" s="12"/>
      <c r="B411" s="12"/>
    </row>
    <row r="412" spans="1:2" ht="15.75" thickBot="1" x14ac:dyDescent="0.3">
      <c r="A412" s="12"/>
      <c r="B412" s="12"/>
    </row>
    <row r="413" spans="1:2" ht="15.75" thickBot="1" x14ac:dyDescent="0.3">
      <c r="A413" s="12"/>
      <c r="B413" s="12"/>
    </row>
    <row r="414" spans="1:2" ht="15.75" thickBot="1" x14ac:dyDescent="0.3">
      <c r="A414" s="12"/>
      <c r="B414" s="12"/>
    </row>
    <row r="415" spans="1:2" ht="15.75" thickBot="1" x14ac:dyDescent="0.3">
      <c r="A415" s="12"/>
      <c r="B415" s="12"/>
    </row>
    <row r="416" spans="1:2" ht="15.75" thickBot="1" x14ac:dyDescent="0.3">
      <c r="A416" s="12"/>
      <c r="B416" s="12"/>
    </row>
    <row r="417" spans="1:2" ht="15.75" thickBot="1" x14ac:dyDescent="0.3">
      <c r="A417" s="12"/>
      <c r="B417" s="12"/>
    </row>
    <row r="418" spans="1:2" ht="15.75" thickBot="1" x14ac:dyDescent="0.3">
      <c r="A418" s="12"/>
      <c r="B418" s="12"/>
    </row>
    <row r="419" spans="1:2" ht="15.75" thickBot="1" x14ac:dyDescent="0.3">
      <c r="A419" s="12"/>
      <c r="B419" s="12"/>
    </row>
    <row r="420" spans="1:2" ht="15.75" thickBot="1" x14ac:dyDescent="0.3">
      <c r="A420" s="12"/>
      <c r="B420" s="12"/>
    </row>
    <row r="421" spans="1:2" ht="15.75" thickBot="1" x14ac:dyDescent="0.3">
      <c r="A421" s="12"/>
      <c r="B421" s="12"/>
    </row>
    <row r="422" spans="1:2" ht="15.75" thickBot="1" x14ac:dyDescent="0.3">
      <c r="A422" s="12"/>
      <c r="B422" s="12"/>
    </row>
    <row r="423" spans="1:2" ht="15.75" thickBot="1" x14ac:dyDescent="0.3">
      <c r="A423" s="12"/>
      <c r="B423" s="12"/>
    </row>
    <row r="424" spans="1:2" ht="15.75" thickBot="1" x14ac:dyDescent="0.3">
      <c r="A424" s="12"/>
      <c r="B424" s="12"/>
    </row>
    <row r="425" spans="1:2" ht="15.75" thickBot="1" x14ac:dyDescent="0.3">
      <c r="A425" s="12"/>
      <c r="B425" s="12"/>
    </row>
    <row r="426" spans="1:2" ht="15.75" thickBot="1" x14ac:dyDescent="0.3">
      <c r="A426" s="12"/>
      <c r="B426" s="12"/>
    </row>
    <row r="427" spans="1:2" ht="15.75" thickBot="1" x14ac:dyDescent="0.3">
      <c r="A427" s="12"/>
      <c r="B427" s="12"/>
    </row>
    <row r="428" spans="1:2" ht="15.75" thickBot="1" x14ac:dyDescent="0.3">
      <c r="A428" s="12"/>
      <c r="B428" s="12"/>
    </row>
    <row r="429" spans="1:2" ht="15.75" thickBot="1" x14ac:dyDescent="0.3">
      <c r="A429" s="12"/>
      <c r="B429" s="12"/>
    </row>
    <row r="430" spans="1:2" ht="15.75" thickBot="1" x14ac:dyDescent="0.3">
      <c r="A430" s="12"/>
      <c r="B430" s="12"/>
    </row>
    <row r="431" spans="1:2" ht="15.75" thickBot="1" x14ac:dyDescent="0.3">
      <c r="A431" s="12"/>
      <c r="B431" s="12"/>
    </row>
    <row r="432" spans="1:2" ht="15.75" thickBot="1" x14ac:dyDescent="0.3">
      <c r="A432" s="12"/>
      <c r="B432" s="12"/>
    </row>
    <row r="433" spans="1:2" ht="15.75" thickBot="1" x14ac:dyDescent="0.3">
      <c r="A433" s="12"/>
      <c r="B433" s="12"/>
    </row>
    <row r="434" spans="1:2" ht="15.75" thickBot="1" x14ac:dyDescent="0.3">
      <c r="A434" s="12"/>
      <c r="B434" s="12"/>
    </row>
    <row r="435" spans="1:2" ht="15.75" thickBot="1" x14ac:dyDescent="0.3">
      <c r="A435" s="12"/>
      <c r="B435" s="12"/>
    </row>
    <row r="436" spans="1:2" ht="15.75" thickBot="1" x14ac:dyDescent="0.3">
      <c r="A436" s="12"/>
      <c r="B436" s="12"/>
    </row>
    <row r="437" spans="1:2" ht="15.75" thickBot="1" x14ac:dyDescent="0.3">
      <c r="A437" s="12"/>
      <c r="B437" s="12"/>
    </row>
    <row r="438" spans="1:2" ht="15.75" thickBot="1" x14ac:dyDescent="0.3">
      <c r="A438" s="12"/>
      <c r="B438" s="12"/>
    </row>
    <row r="439" spans="1:2" ht="15.75" thickBot="1" x14ac:dyDescent="0.3">
      <c r="A439" s="12"/>
      <c r="B439" s="12"/>
    </row>
    <row r="440" spans="1:2" ht="15.75" thickBot="1" x14ac:dyDescent="0.3">
      <c r="A440" s="12"/>
      <c r="B440" s="12"/>
    </row>
    <row r="441" spans="1:2" ht="15.75" thickBot="1" x14ac:dyDescent="0.3">
      <c r="A441" s="12"/>
      <c r="B441" s="12"/>
    </row>
    <row r="442" spans="1:2" ht="15.75" thickBot="1" x14ac:dyDescent="0.3">
      <c r="A442" s="12"/>
      <c r="B442" s="12"/>
    </row>
    <row r="443" spans="1:2" ht="15.75" thickBot="1" x14ac:dyDescent="0.3">
      <c r="A443" s="12"/>
      <c r="B443" s="12"/>
    </row>
    <row r="444" spans="1:2" ht="15.75" thickBot="1" x14ac:dyDescent="0.3">
      <c r="A444" s="12"/>
      <c r="B444" s="12"/>
    </row>
    <row r="445" spans="1:2" ht="15.75" thickBot="1" x14ac:dyDescent="0.3">
      <c r="A445" s="12"/>
      <c r="B445" s="12"/>
    </row>
    <row r="446" spans="1:2" ht="15.75" thickBot="1" x14ac:dyDescent="0.3">
      <c r="A446" s="12"/>
      <c r="B446" s="12"/>
    </row>
    <row r="447" spans="1:2" ht="15.75" thickBot="1" x14ac:dyDescent="0.3">
      <c r="A447" s="12"/>
      <c r="B447" s="12"/>
    </row>
    <row r="448" spans="1:2" ht="15.75" thickBot="1" x14ac:dyDescent="0.3">
      <c r="A448" s="12"/>
      <c r="B448" s="12"/>
    </row>
    <row r="449" spans="1:2" ht="15.75" thickBot="1" x14ac:dyDescent="0.3">
      <c r="A449" s="12"/>
      <c r="B449" s="12"/>
    </row>
    <row r="450" spans="1:2" ht="15.75" thickBot="1" x14ac:dyDescent="0.3">
      <c r="A450" s="12"/>
      <c r="B450" s="12"/>
    </row>
    <row r="451" spans="1:2" ht="15.75" thickBot="1" x14ac:dyDescent="0.3">
      <c r="A451" s="12"/>
      <c r="B451" s="12"/>
    </row>
    <row r="452" spans="1:2" ht="15.75" thickBot="1" x14ac:dyDescent="0.3">
      <c r="A452" s="12"/>
      <c r="B452" s="12"/>
    </row>
    <row r="453" spans="1:2" ht="15.75" thickBot="1" x14ac:dyDescent="0.3">
      <c r="A453" s="12"/>
      <c r="B453" s="12"/>
    </row>
    <row r="454" spans="1:2" ht="15.75" thickBot="1" x14ac:dyDescent="0.3">
      <c r="A454" s="12"/>
      <c r="B454" s="12"/>
    </row>
    <row r="455" spans="1:2" ht="15.75" thickBot="1" x14ac:dyDescent="0.3">
      <c r="A455" s="12"/>
      <c r="B455" s="12"/>
    </row>
    <row r="456" spans="1:2" ht="15.75" thickBot="1" x14ac:dyDescent="0.3">
      <c r="A456" s="12"/>
      <c r="B456" s="12"/>
    </row>
    <row r="457" spans="1:2" ht="15.75" thickBot="1" x14ac:dyDescent="0.3">
      <c r="A457" s="12"/>
      <c r="B457" s="12"/>
    </row>
    <row r="458" spans="1:2" ht="15.75" thickBot="1" x14ac:dyDescent="0.3">
      <c r="A458" s="12"/>
      <c r="B458" s="12"/>
    </row>
    <row r="459" spans="1:2" ht="15.75" thickBot="1" x14ac:dyDescent="0.3">
      <c r="A459" s="12"/>
      <c r="B459" s="12"/>
    </row>
    <row r="460" spans="1:2" ht="15.75" thickBot="1" x14ac:dyDescent="0.3">
      <c r="A460" s="12"/>
      <c r="B460" s="12"/>
    </row>
    <row r="461" spans="1:2" ht="15.75" thickBot="1" x14ac:dyDescent="0.3">
      <c r="A461" s="12"/>
      <c r="B461" s="12"/>
    </row>
    <row r="462" spans="1:2" ht="15.75" thickBot="1" x14ac:dyDescent="0.3">
      <c r="A462" s="12"/>
      <c r="B462" s="12"/>
    </row>
    <row r="463" spans="1:2" ht="15.75" thickBot="1" x14ac:dyDescent="0.3">
      <c r="A463" s="12"/>
      <c r="B463" s="12"/>
    </row>
    <row r="464" spans="1:2" ht="15.75" thickBot="1" x14ac:dyDescent="0.3">
      <c r="A464" s="12"/>
      <c r="B464" s="12"/>
    </row>
    <row r="465" spans="1:2" ht="15.75" thickBot="1" x14ac:dyDescent="0.3">
      <c r="A465" s="12"/>
      <c r="B465" s="12"/>
    </row>
    <row r="466" spans="1:2" ht="15.75" thickBot="1" x14ac:dyDescent="0.3">
      <c r="A466" s="12"/>
      <c r="B466" s="12"/>
    </row>
    <row r="467" spans="1:2" ht="15.75" thickBot="1" x14ac:dyDescent="0.3">
      <c r="A467" s="12"/>
      <c r="B467" s="12"/>
    </row>
    <row r="468" spans="1:2" ht="15.75" thickBot="1" x14ac:dyDescent="0.3">
      <c r="A468" s="12"/>
      <c r="B468" s="12"/>
    </row>
    <row r="469" spans="1:2" ht="15.75" thickBot="1" x14ac:dyDescent="0.3">
      <c r="A469" s="12"/>
      <c r="B469" s="12"/>
    </row>
    <row r="470" spans="1:2" ht="15.75" thickBot="1" x14ac:dyDescent="0.3">
      <c r="A470" s="12"/>
      <c r="B470" s="12"/>
    </row>
    <row r="471" spans="1:2" ht="15.75" thickBot="1" x14ac:dyDescent="0.3">
      <c r="A471" s="12"/>
      <c r="B471" s="12"/>
    </row>
    <row r="472" spans="1:2" ht="15.75" thickBot="1" x14ac:dyDescent="0.3">
      <c r="A472" s="12"/>
      <c r="B472" s="12"/>
    </row>
    <row r="473" spans="1:2" ht="15.75" thickBot="1" x14ac:dyDescent="0.3">
      <c r="A473" s="12"/>
      <c r="B473" s="12"/>
    </row>
    <row r="474" spans="1:2" ht="15.75" thickBot="1" x14ac:dyDescent="0.3">
      <c r="A474" s="12"/>
      <c r="B474" s="12"/>
    </row>
    <row r="475" spans="1:2" ht="15.75" thickBot="1" x14ac:dyDescent="0.3">
      <c r="A475" s="12"/>
      <c r="B475" s="12"/>
    </row>
    <row r="476" spans="1:2" ht="15.75" thickBot="1" x14ac:dyDescent="0.3">
      <c r="A476" s="12"/>
      <c r="B476" s="12"/>
    </row>
    <row r="477" spans="1:2" ht="15.75" thickBot="1" x14ac:dyDescent="0.3">
      <c r="A477" s="12"/>
      <c r="B477" s="12"/>
    </row>
    <row r="478" spans="1:2" ht="15.75" thickBot="1" x14ac:dyDescent="0.3">
      <c r="A478" s="12"/>
      <c r="B478" s="12"/>
    </row>
    <row r="479" spans="1:2" ht="15.75" thickBot="1" x14ac:dyDescent="0.3">
      <c r="A479" s="12"/>
      <c r="B479" s="12"/>
    </row>
    <row r="480" spans="1:2" ht="15.75" thickBot="1" x14ac:dyDescent="0.3">
      <c r="A480" s="12"/>
      <c r="B480" s="12"/>
    </row>
    <row r="481" spans="1:2" ht="15.75" thickBot="1" x14ac:dyDescent="0.3">
      <c r="A481" s="12"/>
      <c r="B481" s="12"/>
    </row>
    <row r="482" spans="1:2" ht="15.75" thickBot="1" x14ac:dyDescent="0.3">
      <c r="A482" s="12"/>
      <c r="B482" s="12"/>
    </row>
    <row r="483" spans="1:2" ht="15.75" thickBot="1" x14ac:dyDescent="0.3">
      <c r="A483" s="12"/>
      <c r="B483" s="12"/>
    </row>
    <row r="484" spans="1:2" ht="15.75" thickBot="1" x14ac:dyDescent="0.3">
      <c r="A484" s="12"/>
      <c r="B484" s="12"/>
    </row>
    <row r="485" spans="1:2" ht="15.75" thickBot="1" x14ac:dyDescent="0.3">
      <c r="A485" s="12"/>
      <c r="B485" s="12"/>
    </row>
    <row r="486" spans="1:2" ht="15.75" thickBot="1" x14ac:dyDescent="0.3">
      <c r="A486" s="12"/>
      <c r="B486" s="12"/>
    </row>
    <row r="487" spans="1:2" ht="15.75" thickBot="1" x14ac:dyDescent="0.3">
      <c r="A487" s="12"/>
      <c r="B487" s="12"/>
    </row>
    <row r="488" spans="1:2" ht="15.75" thickBot="1" x14ac:dyDescent="0.3">
      <c r="A488" s="12"/>
      <c r="B488" s="12"/>
    </row>
    <row r="489" spans="1:2" ht="15.75" thickBot="1" x14ac:dyDescent="0.3">
      <c r="A489" s="12"/>
      <c r="B489" s="12"/>
    </row>
    <row r="490" spans="1:2" ht="15.75" thickBot="1" x14ac:dyDescent="0.3">
      <c r="A490" s="12"/>
      <c r="B490" s="12"/>
    </row>
    <row r="491" spans="1:2" ht="15.75" thickBot="1" x14ac:dyDescent="0.3">
      <c r="A491" s="12"/>
      <c r="B491" s="12"/>
    </row>
    <row r="492" spans="1:2" ht="15.75" thickBot="1" x14ac:dyDescent="0.3">
      <c r="A492" s="12"/>
      <c r="B492" s="12"/>
    </row>
    <row r="493" spans="1:2" ht="15.75" thickBot="1" x14ac:dyDescent="0.3">
      <c r="A493" s="12"/>
      <c r="B493" s="12"/>
    </row>
    <row r="494" spans="1:2" ht="15.75" thickBot="1" x14ac:dyDescent="0.3">
      <c r="A494" s="12"/>
      <c r="B494" s="12"/>
    </row>
    <row r="495" spans="1:2" ht="15.75" thickBot="1" x14ac:dyDescent="0.3">
      <c r="A495" s="12"/>
      <c r="B495" s="12"/>
    </row>
    <row r="496" spans="1:2" ht="15.75" thickBot="1" x14ac:dyDescent="0.3">
      <c r="A496" s="12"/>
      <c r="B496" s="12"/>
    </row>
    <row r="497" spans="1:2" ht="15.75" thickBot="1" x14ac:dyDescent="0.3">
      <c r="A497" s="12"/>
      <c r="B497" s="12"/>
    </row>
    <row r="498" spans="1:2" ht="15.75" thickBot="1" x14ac:dyDescent="0.3">
      <c r="A498" s="12"/>
      <c r="B498" s="12"/>
    </row>
    <row r="499" spans="1:2" ht="15.75" thickBot="1" x14ac:dyDescent="0.3">
      <c r="A499" s="12"/>
      <c r="B499" s="12"/>
    </row>
    <row r="500" spans="1:2" ht="15.75" thickBot="1" x14ac:dyDescent="0.3">
      <c r="A500" s="12"/>
      <c r="B500" s="12"/>
    </row>
    <row r="501" spans="1:2" ht="15.75" thickBot="1" x14ac:dyDescent="0.3">
      <c r="A501" s="12"/>
      <c r="B501" s="12"/>
    </row>
    <row r="502" spans="1:2" ht="15.75" thickBot="1" x14ac:dyDescent="0.3">
      <c r="A502" s="12"/>
      <c r="B502" s="12"/>
    </row>
    <row r="503" spans="1:2" ht="15.75" thickBot="1" x14ac:dyDescent="0.3">
      <c r="A503" s="12"/>
      <c r="B503" s="12"/>
    </row>
    <row r="504" spans="1:2" ht="15.75" thickBot="1" x14ac:dyDescent="0.3">
      <c r="A504" s="12"/>
      <c r="B504" s="12"/>
    </row>
    <row r="505" spans="1:2" ht="15.75" thickBot="1" x14ac:dyDescent="0.3">
      <c r="A505" s="12"/>
      <c r="B505" s="12"/>
    </row>
    <row r="506" spans="1:2" ht="15.75" thickBot="1" x14ac:dyDescent="0.3">
      <c r="A506" s="12"/>
      <c r="B506" s="12"/>
    </row>
    <row r="507" spans="1:2" ht="15.75" thickBot="1" x14ac:dyDescent="0.3">
      <c r="A507" s="12"/>
      <c r="B507" s="12"/>
    </row>
    <row r="508" spans="1:2" ht="15.75" thickBot="1" x14ac:dyDescent="0.3">
      <c r="A508" s="12"/>
      <c r="B508" s="12"/>
    </row>
    <row r="509" spans="1:2" ht="15.75" thickBot="1" x14ac:dyDescent="0.3">
      <c r="A509" s="12"/>
      <c r="B509" s="12"/>
    </row>
    <row r="510" spans="1:2" ht="15.75" thickBot="1" x14ac:dyDescent="0.3">
      <c r="A510" s="12"/>
      <c r="B510" s="12"/>
    </row>
    <row r="511" spans="1:2" ht="15.75" thickBot="1" x14ac:dyDescent="0.3">
      <c r="A511" s="12"/>
      <c r="B511" s="12"/>
    </row>
    <row r="512" spans="1:2" ht="15.75" thickBot="1" x14ac:dyDescent="0.3">
      <c r="A512" s="12"/>
      <c r="B512" s="12"/>
    </row>
    <row r="513" spans="1:2" ht="15.75" thickBot="1" x14ac:dyDescent="0.3">
      <c r="A513" s="12"/>
      <c r="B513" s="12"/>
    </row>
    <row r="514" spans="1:2" ht="15.75" thickBot="1" x14ac:dyDescent="0.3">
      <c r="A514" s="12"/>
      <c r="B514" s="12"/>
    </row>
    <row r="515" spans="1:2" ht="15.75" thickBot="1" x14ac:dyDescent="0.3">
      <c r="A515" s="12"/>
      <c r="B515" s="12"/>
    </row>
    <row r="516" spans="1:2" ht="15.75" thickBot="1" x14ac:dyDescent="0.3">
      <c r="A516" s="12"/>
      <c r="B516" s="12"/>
    </row>
    <row r="517" spans="1:2" ht="15.75" thickBot="1" x14ac:dyDescent="0.3">
      <c r="A517" s="12"/>
      <c r="B517" s="12"/>
    </row>
    <row r="518" spans="1:2" ht="15.75" thickBot="1" x14ac:dyDescent="0.3">
      <c r="A518" s="12"/>
      <c r="B518" s="12"/>
    </row>
    <row r="519" spans="1:2" ht="15.75" thickBot="1" x14ac:dyDescent="0.3">
      <c r="A519" s="12"/>
      <c r="B519" s="12"/>
    </row>
    <row r="520" spans="1:2" ht="15.75" thickBot="1" x14ac:dyDescent="0.3">
      <c r="A520" s="12"/>
      <c r="B520" s="12"/>
    </row>
    <row r="521" spans="1:2" ht="15.75" thickBot="1" x14ac:dyDescent="0.3">
      <c r="A521" s="12"/>
      <c r="B521" s="12"/>
    </row>
    <row r="522" spans="1:2" ht="15.75" thickBot="1" x14ac:dyDescent="0.3">
      <c r="A522" s="12"/>
      <c r="B522" s="12"/>
    </row>
    <row r="523" spans="1:2" ht="15.75" thickBot="1" x14ac:dyDescent="0.3">
      <c r="A523" s="12"/>
      <c r="B523" s="12"/>
    </row>
    <row r="524" spans="1:2" ht="15.75" thickBot="1" x14ac:dyDescent="0.3">
      <c r="A524" s="12"/>
      <c r="B524" s="12"/>
    </row>
    <row r="525" spans="1:2" ht="15.75" thickBot="1" x14ac:dyDescent="0.3">
      <c r="A525" s="12"/>
      <c r="B525" s="12"/>
    </row>
    <row r="526" spans="1:2" ht="15.75" thickBot="1" x14ac:dyDescent="0.3">
      <c r="A526" s="12"/>
      <c r="B526" s="12"/>
    </row>
    <row r="527" spans="1:2" ht="15.75" thickBot="1" x14ac:dyDescent="0.3">
      <c r="A527" s="12"/>
      <c r="B527" s="12"/>
    </row>
    <row r="528" spans="1:2" ht="15.75" thickBot="1" x14ac:dyDescent="0.3">
      <c r="A528" s="12"/>
      <c r="B528" s="12"/>
    </row>
    <row r="529" spans="1:2" ht="15.75" thickBot="1" x14ac:dyDescent="0.3">
      <c r="A529" s="12"/>
      <c r="B529" s="12"/>
    </row>
    <row r="530" spans="1:2" ht="15.75" thickBot="1" x14ac:dyDescent="0.3">
      <c r="A530" s="12"/>
      <c r="B530" s="12"/>
    </row>
    <row r="531" spans="1:2" ht="15.75" thickBot="1" x14ac:dyDescent="0.3">
      <c r="A531" s="12"/>
      <c r="B531" s="12"/>
    </row>
    <row r="532" spans="1:2" ht="15.75" thickBot="1" x14ac:dyDescent="0.3">
      <c r="A532" s="12"/>
      <c r="B532" s="12"/>
    </row>
    <row r="533" spans="1:2" ht="15.75" thickBot="1" x14ac:dyDescent="0.3">
      <c r="A533" s="12"/>
      <c r="B533" s="12"/>
    </row>
    <row r="534" spans="1:2" ht="15.75" thickBot="1" x14ac:dyDescent="0.3">
      <c r="A534" s="12"/>
      <c r="B534" s="12"/>
    </row>
    <row r="535" spans="1:2" ht="15.75" thickBot="1" x14ac:dyDescent="0.3">
      <c r="A535" s="12"/>
      <c r="B535" s="12"/>
    </row>
    <row r="536" spans="1:2" ht="15.75" thickBot="1" x14ac:dyDescent="0.3">
      <c r="A536" s="12"/>
      <c r="B536" s="12"/>
    </row>
    <row r="537" spans="1:2" ht="15.75" thickBot="1" x14ac:dyDescent="0.3">
      <c r="A537" s="12"/>
      <c r="B537" s="12"/>
    </row>
    <row r="538" spans="1:2" ht="15.75" thickBot="1" x14ac:dyDescent="0.3">
      <c r="A538" s="12"/>
      <c r="B538" s="12"/>
    </row>
    <row r="539" spans="1:2" ht="15.75" thickBot="1" x14ac:dyDescent="0.3">
      <c r="A539" s="12"/>
      <c r="B539" s="12"/>
    </row>
    <row r="540" spans="1:2" ht="15.75" thickBot="1" x14ac:dyDescent="0.3">
      <c r="A540" s="12"/>
      <c r="B540" s="12"/>
    </row>
    <row r="541" spans="1:2" ht="15.75" thickBot="1" x14ac:dyDescent="0.3">
      <c r="A541" s="12"/>
      <c r="B541" s="12"/>
    </row>
    <row r="542" spans="1:2" ht="15.75" thickBot="1" x14ac:dyDescent="0.3">
      <c r="A542" s="12"/>
      <c r="B542" s="12"/>
    </row>
    <row r="543" spans="1:2" ht="15.75" thickBot="1" x14ac:dyDescent="0.3">
      <c r="A543" s="12"/>
      <c r="B543" s="12"/>
    </row>
    <row r="544" spans="1:2" ht="15.75" thickBot="1" x14ac:dyDescent="0.3">
      <c r="A544" s="12"/>
      <c r="B544" s="12"/>
    </row>
    <row r="545" spans="1:2" ht="15.75" thickBot="1" x14ac:dyDescent="0.3">
      <c r="A545" s="12"/>
      <c r="B545" s="12"/>
    </row>
    <row r="546" spans="1:2" ht="15.75" thickBot="1" x14ac:dyDescent="0.3">
      <c r="A546" s="12"/>
      <c r="B546" s="12"/>
    </row>
    <row r="547" spans="1:2" ht="15.75" thickBot="1" x14ac:dyDescent="0.3">
      <c r="A547" s="12"/>
      <c r="B547" s="12"/>
    </row>
    <row r="548" spans="1:2" ht="15.75" thickBot="1" x14ac:dyDescent="0.3">
      <c r="A548" s="12"/>
      <c r="B548" s="12"/>
    </row>
    <row r="549" spans="1:2" ht="15.75" thickBot="1" x14ac:dyDescent="0.3">
      <c r="A549" s="12"/>
      <c r="B549" s="12"/>
    </row>
    <row r="550" spans="1:2" ht="15.75" thickBot="1" x14ac:dyDescent="0.3">
      <c r="A550" s="12"/>
      <c r="B550" s="12"/>
    </row>
    <row r="551" spans="1:2" ht="15.75" thickBot="1" x14ac:dyDescent="0.3">
      <c r="A551" s="12"/>
      <c r="B551" s="12"/>
    </row>
    <row r="552" spans="1:2" ht="15.75" thickBot="1" x14ac:dyDescent="0.3">
      <c r="A552" s="12"/>
      <c r="B552" s="12"/>
    </row>
    <row r="553" spans="1:2" ht="15.75" thickBot="1" x14ac:dyDescent="0.3">
      <c r="A553" s="12"/>
      <c r="B553" s="12"/>
    </row>
    <row r="554" spans="1:2" ht="15.75" thickBot="1" x14ac:dyDescent="0.3">
      <c r="A554" s="12"/>
      <c r="B554" s="12"/>
    </row>
    <row r="555" spans="1:2" ht="15.75" thickBot="1" x14ac:dyDescent="0.3">
      <c r="A555" s="12"/>
      <c r="B555" s="12"/>
    </row>
    <row r="556" spans="1:2" ht="15.75" thickBot="1" x14ac:dyDescent="0.3">
      <c r="A556" s="12"/>
      <c r="B556" s="12"/>
    </row>
    <row r="557" spans="1:2" ht="15.75" thickBot="1" x14ac:dyDescent="0.3">
      <c r="A557" s="12"/>
      <c r="B557" s="12"/>
    </row>
    <row r="558" spans="1:2" ht="15.75" thickBot="1" x14ac:dyDescent="0.3">
      <c r="A558" s="12"/>
      <c r="B558" s="12"/>
    </row>
    <row r="559" spans="1:2" ht="15.75" thickBot="1" x14ac:dyDescent="0.3">
      <c r="A559" s="12"/>
      <c r="B559" s="12"/>
    </row>
    <row r="560" spans="1:2" ht="15.75" thickBot="1" x14ac:dyDescent="0.3">
      <c r="A560" s="12"/>
      <c r="B560" s="12"/>
    </row>
    <row r="561" spans="1:2" ht="15.75" thickBot="1" x14ac:dyDescent="0.3">
      <c r="A561" s="12"/>
      <c r="B561" s="12"/>
    </row>
    <row r="562" spans="1:2" ht="15.75" thickBot="1" x14ac:dyDescent="0.3">
      <c r="A562" s="12"/>
      <c r="B562" s="12"/>
    </row>
    <row r="563" spans="1:2" ht="15.75" thickBot="1" x14ac:dyDescent="0.3">
      <c r="A563" s="12"/>
      <c r="B563" s="12"/>
    </row>
    <row r="564" spans="1:2" ht="15.75" thickBot="1" x14ac:dyDescent="0.3">
      <c r="A564" s="12"/>
      <c r="B564" s="12"/>
    </row>
    <row r="565" spans="1:2" ht="15.75" thickBot="1" x14ac:dyDescent="0.3">
      <c r="A565" s="12"/>
      <c r="B565" s="12"/>
    </row>
    <row r="566" spans="1:2" ht="15.75" thickBot="1" x14ac:dyDescent="0.3">
      <c r="A566" s="12"/>
      <c r="B566" s="12"/>
    </row>
    <row r="567" spans="1:2" ht="15.75" thickBot="1" x14ac:dyDescent="0.3">
      <c r="A567" s="12"/>
      <c r="B567" s="12"/>
    </row>
    <row r="568" spans="1:2" ht="15.75" thickBot="1" x14ac:dyDescent="0.3">
      <c r="A568" s="12"/>
      <c r="B568" s="12"/>
    </row>
    <row r="569" spans="1:2" ht="15.75" thickBot="1" x14ac:dyDescent="0.3">
      <c r="A569" s="12"/>
      <c r="B569" s="12"/>
    </row>
    <row r="570" spans="1:2" ht="15.75" thickBot="1" x14ac:dyDescent="0.3">
      <c r="A570" s="12"/>
      <c r="B570" s="12"/>
    </row>
    <row r="571" spans="1:2" ht="15.75" thickBot="1" x14ac:dyDescent="0.3">
      <c r="A571" s="12"/>
      <c r="B571" s="12"/>
    </row>
    <row r="572" spans="1:2" ht="15.75" thickBot="1" x14ac:dyDescent="0.3">
      <c r="A572" s="12"/>
      <c r="B572" s="12"/>
    </row>
    <row r="573" spans="1:2" ht="15.75" thickBot="1" x14ac:dyDescent="0.3">
      <c r="A573" s="12"/>
      <c r="B573" s="12"/>
    </row>
    <row r="574" spans="1:2" ht="15.75" thickBot="1" x14ac:dyDescent="0.3">
      <c r="A574" s="12"/>
      <c r="B574" s="12"/>
    </row>
    <row r="575" spans="1:2" ht="15.75" thickBot="1" x14ac:dyDescent="0.3">
      <c r="A575" s="12"/>
      <c r="B575" s="12"/>
    </row>
    <row r="576" spans="1:2" ht="15.75" thickBot="1" x14ac:dyDescent="0.3">
      <c r="A576" s="12"/>
      <c r="B576" s="12"/>
    </row>
    <row r="577" spans="1:2" ht="15.75" thickBot="1" x14ac:dyDescent="0.3">
      <c r="A577" s="12"/>
      <c r="B577" s="12"/>
    </row>
    <row r="578" spans="1:2" ht="15.75" thickBot="1" x14ac:dyDescent="0.3">
      <c r="A578" s="12"/>
      <c r="B578" s="12"/>
    </row>
    <row r="579" spans="1:2" ht="15.75" thickBot="1" x14ac:dyDescent="0.3">
      <c r="A579" s="12"/>
      <c r="B579" s="12"/>
    </row>
    <row r="580" spans="1:2" ht="15.75" thickBot="1" x14ac:dyDescent="0.3">
      <c r="A580" s="12"/>
      <c r="B580" s="12"/>
    </row>
    <row r="581" spans="1:2" ht="15.75" thickBot="1" x14ac:dyDescent="0.3">
      <c r="A581" s="12"/>
      <c r="B581" s="12"/>
    </row>
    <row r="582" spans="1:2" ht="15.75" thickBot="1" x14ac:dyDescent="0.3">
      <c r="A582" s="12"/>
      <c r="B582" s="12"/>
    </row>
    <row r="583" spans="1:2" ht="15.75" thickBot="1" x14ac:dyDescent="0.3">
      <c r="A583" s="12"/>
      <c r="B583" s="12"/>
    </row>
    <row r="584" spans="1:2" ht="15.75" thickBot="1" x14ac:dyDescent="0.3">
      <c r="A584" s="12"/>
      <c r="B584" s="12"/>
    </row>
    <row r="585" spans="1:2" ht="15.75" thickBot="1" x14ac:dyDescent="0.3">
      <c r="A585" s="12"/>
      <c r="B585" s="12"/>
    </row>
    <row r="586" spans="1:2" ht="15.75" thickBot="1" x14ac:dyDescent="0.3">
      <c r="A586" s="12"/>
      <c r="B586" s="12"/>
    </row>
    <row r="587" spans="1:2" ht="15.75" thickBot="1" x14ac:dyDescent="0.3">
      <c r="A587" s="12"/>
      <c r="B587" s="12"/>
    </row>
    <row r="588" spans="1:2" ht="15.75" thickBot="1" x14ac:dyDescent="0.3">
      <c r="A588" s="12"/>
      <c r="B588" s="12"/>
    </row>
    <row r="589" spans="1:2" ht="15.75" thickBot="1" x14ac:dyDescent="0.3">
      <c r="A589" s="12"/>
      <c r="B589" s="12"/>
    </row>
    <row r="590" spans="1:2" ht="15.75" thickBot="1" x14ac:dyDescent="0.3">
      <c r="A590" s="12"/>
      <c r="B590" s="12"/>
    </row>
    <row r="591" spans="1:2" ht="15.75" thickBot="1" x14ac:dyDescent="0.3">
      <c r="A591" s="12"/>
      <c r="B591" s="12"/>
    </row>
    <row r="592" spans="1:2" ht="15.75" thickBot="1" x14ac:dyDescent="0.3">
      <c r="A592" s="12"/>
      <c r="B592" s="12"/>
    </row>
    <row r="593" spans="1:2" ht="15.75" thickBot="1" x14ac:dyDescent="0.3">
      <c r="A593" s="12"/>
      <c r="B593" s="12"/>
    </row>
    <row r="594" spans="1:2" ht="15.75" thickBot="1" x14ac:dyDescent="0.3">
      <c r="A594" s="12"/>
      <c r="B594" s="12"/>
    </row>
    <row r="595" spans="1:2" ht="15.75" thickBot="1" x14ac:dyDescent="0.3">
      <c r="A595" s="12"/>
      <c r="B595" s="12"/>
    </row>
    <row r="596" spans="1:2" ht="15.75" thickBot="1" x14ac:dyDescent="0.3">
      <c r="A596" s="12"/>
      <c r="B596" s="12"/>
    </row>
    <row r="597" spans="1:2" ht="15.75" thickBot="1" x14ac:dyDescent="0.3">
      <c r="A597" s="12"/>
      <c r="B597" s="12"/>
    </row>
    <row r="598" spans="1:2" ht="15.75" thickBot="1" x14ac:dyDescent="0.3">
      <c r="A598" s="12"/>
      <c r="B598" s="12"/>
    </row>
    <row r="599" spans="1:2" ht="15.75" thickBot="1" x14ac:dyDescent="0.3">
      <c r="A599" s="12"/>
      <c r="B599" s="12"/>
    </row>
    <row r="600" spans="1:2" ht="15.75" thickBot="1" x14ac:dyDescent="0.3">
      <c r="A600" s="12"/>
      <c r="B600" s="12"/>
    </row>
    <row r="601" spans="1:2" ht="15.75" thickBot="1" x14ac:dyDescent="0.3">
      <c r="A601" s="12"/>
      <c r="B601" s="12"/>
    </row>
    <row r="602" spans="1:2" ht="15.75" thickBot="1" x14ac:dyDescent="0.3">
      <c r="A602" s="12"/>
      <c r="B602" s="12"/>
    </row>
    <row r="603" spans="1:2" ht="15.75" thickBot="1" x14ac:dyDescent="0.3">
      <c r="A603" s="12"/>
      <c r="B603" s="12"/>
    </row>
    <row r="604" spans="1:2" ht="15.75" thickBot="1" x14ac:dyDescent="0.3">
      <c r="A604" s="12"/>
      <c r="B604" s="12"/>
    </row>
    <row r="605" spans="1:2" ht="15.75" thickBot="1" x14ac:dyDescent="0.3">
      <c r="A605" s="12"/>
      <c r="B605" s="12"/>
    </row>
    <row r="606" spans="1:2" ht="15.75" thickBot="1" x14ac:dyDescent="0.3">
      <c r="A606" s="12"/>
      <c r="B606" s="12"/>
    </row>
    <row r="607" spans="1:2" ht="15.75" thickBot="1" x14ac:dyDescent="0.3">
      <c r="A607" s="12"/>
      <c r="B607" s="12"/>
    </row>
    <row r="608" spans="1:2" ht="15.75" thickBot="1" x14ac:dyDescent="0.3">
      <c r="A608" s="12"/>
      <c r="B608" s="12"/>
    </row>
    <row r="609" spans="1:2" ht="15.75" thickBot="1" x14ac:dyDescent="0.3">
      <c r="A609" s="12"/>
      <c r="B609" s="12"/>
    </row>
    <row r="610" spans="1:2" ht="15.75" thickBot="1" x14ac:dyDescent="0.3">
      <c r="A610" s="12"/>
      <c r="B610" s="12"/>
    </row>
    <row r="611" spans="1:2" ht="15.75" thickBot="1" x14ac:dyDescent="0.3">
      <c r="A611" s="12"/>
      <c r="B611" s="12"/>
    </row>
    <row r="612" spans="1:2" ht="15.75" thickBot="1" x14ac:dyDescent="0.3">
      <c r="A612" s="12"/>
      <c r="B612" s="12"/>
    </row>
    <row r="613" spans="1:2" ht="15.75" thickBot="1" x14ac:dyDescent="0.3">
      <c r="A613" s="12"/>
      <c r="B613" s="12"/>
    </row>
    <row r="614" spans="1:2" ht="15.75" thickBot="1" x14ac:dyDescent="0.3">
      <c r="A614" s="12"/>
      <c r="B614" s="12"/>
    </row>
    <row r="615" spans="1:2" ht="15.75" thickBot="1" x14ac:dyDescent="0.3">
      <c r="A615" s="12"/>
      <c r="B615" s="12"/>
    </row>
    <row r="616" spans="1:2" ht="15.75" thickBot="1" x14ac:dyDescent="0.3">
      <c r="A616" s="12"/>
      <c r="B616" s="12"/>
    </row>
    <row r="617" spans="1:2" ht="15.75" thickBot="1" x14ac:dyDescent="0.3">
      <c r="A617" s="12"/>
      <c r="B617" s="12"/>
    </row>
    <row r="618" spans="1:2" ht="15.75" thickBot="1" x14ac:dyDescent="0.3">
      <c r="A618" s="12"/>
      <c r="B618" s="12"/>
    </row>
    <row r="619" spans="1:2" ht="15.75" thickBot="1" x14ac:dyDescent="0.3">
      <c r="A619" s="12"/>
      <c r="B619" s="12"/>
    </row>
    <row r="620" spans="1:2" ht="15.75" thickBot="1" x14ac:dyDescent="0.3">
      <c r="A620" s="12"/>
      <c r="B620" s="12"/>
    </row>
    <row r="621" spans="1:2" ht="15.75" thickBot="1" x14ac:dyDescent="0.3">
      <c r="A621" s="12"/>
      <c r="B621" s="12"/>
    </row>
    <row r="622" spans="1:2" ht="15.75" thickBot="1" x14ac:dyDescent="0.3">
      <c r="A622" s="12"/>
      <c r="B622" s="12"/>
    </row>
    <row r="623" spans="1:2" ht="15.75" thickBot="1" x14ac:dyDescent="0.3">
      <c r="A623" s="12"/>
      <c r="B623" s="12"/>
    </row>
    <row r="624" spans="1:2" ht="15.75" thickBot="1" x14ac:dyDescent="0.3">
      <c r="A624" s="12"/>
      <c r="B624" s="12"/>
    </row>
    <row r="625" spans="1:2" ht="15.75" thickBot="1" x14ac:dyDescent="0.3">
      <c r="A625" s="12"/>
      <c r="B625" s="12"/>
    </row>
    <row r="626" spans="1:2" ht="15.75" thickBot="1" x14ac:dyDescent="0.3">
      <c r="A626" s="12"/>
      <c r="B626" s="12"/>
    </row>
    <row r="627" spans="1:2" ht="15.75" thickBot="1" x14ac:dyDescent="0.3">
      <c r="A627" s="12"/>
      <c r="B627" s="12"/>
    </row>
    <row r="628" spans="1:2" ht="15.75" thickBot="1" x14ac:dyDescent="0.3">
      <c r="A628" s="12"/>
      <c r="B628" s="12"/>
    </row>
    <row r="629" spans="1:2" ht="15.75" thickBot="1" x14ac:dyDescent="0.3">
      <c r="A629" s="12"/>
      <c r="B629" s="12"/>
    </row>
    <row r="630" spans="1:2" ht="15.75" thickBot="1" x14ac:dyDescent="0.3">
      <c r="A630" s="12"/>
      <c r="B630" s="12"/>
    </row>
    <row r="631" spans="1:2" ht="15.75" thickBot="1" x14ac:dyDescent="0.3">
      <c r="A631" s="12"/>
      <c r="B631" s="12"/>
    </row>
    <row r="632" spans="1:2" ht="15.75" thickBot="1" x14ac:dyDescent="0.3">
      <c r="A632" s="12"/>
      <c r="B632" s="12"/>
    </row>
    <row r="633" spans="1:2" ht="15.75" thickBot="1" x14ac:dyDescent="0.3">
      <c r="A633" s="12"/>
      <c r="B633" s="12"/>
    </row>
    <row r="634" spans="1:2" ht="15.75" thickBot="1" x14ac:dyDescent="0.3">
      <c r="A634" s="12"/>
      <c r="B634" s="12"/>
    </row>
    <row r="635" spans="1:2" ht="15.75" thickBot="1" x14ac:dyDescent="0.3">
      <c r="A635" s="12"/>
      <c r="B635" s="12"/>
    </row>
    <row r="636" spans="1:2" ht="15.75" thickBot="1" x14ac:dyDescent="0.3">
      <c r="A636" s="12"/>
      <c r="B636" s="12"/>
    </row>
    <row r="637" spans="1:2" ht="15.75" thickBot="1" x14ac:dyDescent="0.3">
      <c r="A637" s="12"/>
      <c r="B637" s="12"/>
    </row>
    <row r="638" spans="1:2" ht="15.75" thickBot="1" x14ac:dyDescent="0.3">
      <c r="A638" s="12"/>
      <c r="B638" s="12"/>
    </row>
    <row r="639" spans="1:2" ht="15.75" thickBot="1" x14ac:dyDescent="0.3">
      <c r="A639" s="12"/>
      <c r="B639" s="12"/>
    </row>
    <row r="640" spans="1:2" ht="15.75" thickBot="1" x14ac:dyDescent="0.3">
      <c r="A640" s="12"/>
      <c r="B640" s="12"/>
    </row>
    <row r="641" spans="1:2" ht="15.75" thickBot="1" x14ac:dyDescent="0.3">
      <c r="A641" s="12"/>
      <c r="B641" s="12"/>
    </row>
    <row r="642" spans="1:2" ht="15.75" thickBot="1" x14ac:dyDescent="0.3">
      <c r="A642" s="12"/>
      <c r="B642" s="12"/>
    </row>
    <row r="643" spans="1:2" ht="15.75" thickBot="1" x14ac:dyDescent="0.3">
      <c r="A643" s="12"/>
      <c r="B643" s="12"/>
    </row>
    <row r="644" spans="1:2" ht="15.75" thickBot="1" x14ac:dyDescent="0.3">
      <c r="A644" s="12"/>
      <c r="B644" s="12"/>
    </row>
    <row r="645" spans="1:2" ht="15.75" thickBot="1" x14ac:dyDescent="0.3">
      <c r="A645" s="12"/>
      <c r="B645" s="12"/>
    </row>
    <row r="646" spans="1:2" ht="15.75" thickBot="1" x14ac:dyDescent="0.3">
      <c r="A646" s="12"/>
      <c r="B646" s="12"/>
    </row>
    <row r="647" spans="1:2" ht="15.75" thickBot="1" x14ac:dyDescent="0.3">
      <c r="A647" s="12"/>
      <c r="B647" s="12"/>
    </row>
    <row r="648" spans="1:2" ht="15.75" thickBot="1" x14ac:dyDescent="0.3">
      <c r="A648" s="12"/>
      <c r="B648" s="12"/>
    </row>
    <row r="649" spans="1:2" ht="15.75" thickBot="1" x14ac:dyDescent="0.3">
      <c r="A649" s="12"/>
      <c r="B649" s="12"/>
    </row>
    <row r="650" spans="1:2" ht="15.75" thickBot="1" x14ac:dyDescent="0.3">
      <c r="A650" s="12"/>
      <c r="B650" s="12"/>
    </row>
    <row r="651" spans="1:2" ht="15.75" thickBot="1" x14ac:dyDescent="0.3">
      <c r="A651" s="12"/>
      <c r="B651" s="12"/>
    </row>
    <row r="652" spans="1:2" ht="15.75" thickBot="1" x14ac:dyDescent="0.3">
      <c r="A652" s="12"/>
      <c r="B652" s="12"/>
    </row>
    <row r="653" spans="1:2" ht="15.75" thickBot="1" x14ac:dyDescent="0.3">
      <c r="A653" s="12"/>
      <c r="B653" s="12"/>
    </row>
    <row r="654" spans="1:2" ht="15.75" thickBot="1" x14ac:dyDescent="0.3">
      <c r="A654" s="12"/>
      <c r="B654" s="12"/>
    </row>
    <row r="655" spans="1:2" ht="15.75" thickBot="1" x14ac:dyDescent="0.3">
      <c r="A655" s="12"/>
      <c r="B655" s="12"/>
    </row>
    <row r="656" spans="1:2" ht="15.75" thickBot="1" x14ac:dyDescent="0.3">
      <c r="A656" s="12"/>
      <c r="B656" s="12"/>
    </row>
    <row r="657" spans="1:2" ht="15.75" thickBot="1" x14ac:dyDescent="0.3">
      <c r="A657" s="12"/>
      <c r="B657" s="12"/>
    </row>
    <row r="658" spans="1:2" ht="15.75" thickBot="1" x14ac:dyDescent="0.3">
      <c r="A658" s="12"/>
      <c r="B658" s="12"/>
    </row>
    <row r="659" spans="1:2" ht="15.75" thickBot="1" x14ac:dyDescent="0.3">
      <c r="A659" s="12"/>
      <c r="B659" s="12"/>
    </row>
    <row r="660" spans="1:2" ht="15.75" thickBot="1" x14ac:dyDescent="0.3">
      <c r="A660" s="12"/>
      <c r="B660" s="12"/>
    </row>
    <row r="661" spans="1:2" ht="15.75" thickBot="1" x14ac:dyDescent="0.3">
      <c r="A661" s="12"/>
      <c r="B661" s="12"/>
    </row>
    <row r="662" spans="1:2" ht="15.75" thickBot="1" x14ac:dyDescent="0.3">
      <c r="A662" s="12"/>
      <c r="B662" s="12"/>
    </row>
    <row r="663" spans="1:2" ht="15.75" thickBot="1" x14ac:dyDescent="0.3">
      <c r="A663" s="12"/>
      <c r="B663" s="12"/>
    </row>
    <row r="664" spans="1:2" ht="15.75" thickBot="1" x14ac:dyDescent="0.3">
      <c r="A664" s="12"/>
      <c r="B664" s="12"/>
    </row>
    <row r="665" spans="1:2" ht="15.75" thickBot="1" x14ac:dyDescent="0.3">
      <c r="A665" s="12"/>
      <c r="B665" s="12"/>
    </row>
    <row r="666" spans="1:2" ht="15.75" thickBot="1" x14ac:dyDescent="0.3">
      <c r="A666" s="12"/>
      <c r="B666" s="12"/>
    </row>
    <row r="667" spans="1:2" ht="15.75" thickBot="1" x14ac:dyDescent="0.3">
      <c r="A667" s="12"/>
      <c r="B667" s="12"/>
    </row>
    <row r="668" spans="1:2" ht="15.75" thickBot="1" x14ac:dyDescent="0.3">
      <c r="A668" s="12"/>
      <c r="B668" s="12"/>
    </row>
    <row r="669" spans="1:2" ht="15.75" thickBot="1" x14ac:dyDescent="0.3">
      <c r="A669" s="12"/>
      <c r="B669" s="12"/>
    </row>
    <row r="670" spans="1:2" ht="15.75" thickBot="1" x14ac:dyDescent="0.3">
      <c r="A670" s="12"/>
      <c r="B670" s="12"/>
    </row>
    <row r="671" spans="1:2" ht="15.75" thickBot="1" x14ac:dyDescent="0.3">
      <c r="A671" s="12"/>
      <c r="B671" s="12"/>
    </row>
    <row r="672" spans="1:2" ht="15.75" thickBot="1" x14ac:dyDescent="0.3">
      <c r="A672" s="12"/>
      <c r="B672" s="12"/>
    </row>
    <row r="673" spans="1:2" ht="15.75" thickBot="1" x14ac:dyDescent="0.3">
      <c r="A673" s="12"/>
      <c r="B673" s="12"/>
    </row>
    <row r="674" spans="1:2" ht="15.75" thickBot="1" x14ac:dyDescent="0.3">
      <c r="A674" s="12"/>
      <c r="B674" s="12"/>
    </row>
    <row r="675" spans="1:2" ht="15.75" thickBot="1" x14ac:dyDescent="0.3">
      <c r="A675" s="12"/>
      <c r="B675" s="12"/>
    </row>
    <row r="676" spans="1:2" ht="15.75" thickBot="1" x14ac:dyDescent="0.3">
      <c r="A676" s="12"/>
      <c r="B676" s="12"/>
    </row>
    <row r="677" spans="1:2" ht="15.75" thickBot="1" x14ac:dyDescent="0.3">
      <c r="A677" s="12"/>
      <c r="B677" s="12"/>
    </row>
    <row r="678" spans="1:2" ht="15.75" thickBot="1" x14ac:dyDescent="0.3">
      <c r="A678" s="12"/>
      <c r="B678" s="12"/>
    </row>
    <row r="679" spans="1:2" ht="15.75" thickBot="1" x14ac:dyDescent="0.3">
      <c r="A679" s="12"/>
      <c r="B679" s="12"/>
    </row>
    <row r="680" spans="1:2" ht="15.75" thickBot="1" x14ac:dyDescent="0.3">
      <c r="A680" s="12"/>
      <c r="B680" s="12"/>
    </row>
    <row r="681" spans="1:2" ht="15.75" thickBot="1" x14ac:dyDescent="0.3">
      <c r="A681" s="12"/>
      <c r="B681" s="12"/>
    </row>
    <row r="682" spans="1:2" ht="15.75" thickBot="1" x14ac:dyDescent="0.3">
      <c r="A682" s="12"/>
      <c r="B682" s="12"/>
    </row>
    <row r="683" spans="1:2" ht="15.75" thickBot="1" x14ac:dyDescent="0.3">
      <c r="A683" s="12"/>
      <c r="B683" s="12"/>
    </row>
    <row r="684" spans="1:2" ht="15.75" thickBot="1" x14ac:dyDescent="0.3">
      <c r="A684" s="12"/>
      <c r="B684" s="12"/>
    </row>
    <row r="685" spans="1:2" ht="15.75" thickBot="1" x14ac:dyDescent="0.3">
      <c r="A685" s="12"/>
      <c r="B685" s="12"/>
    </row>
    <row r="686" spans="1:2" ht="15.75" thickBot="1" x14ac:dyDescent="0.3">
      <c r="A686" s="12"/>
      <c r="B686" s="12"/>
    </row>
    <row r="687" spans="1:2" ht="15.75" thickBot="1" x14ac:dyDescent="0.3">
      <c r="A687" s="12"/>
      <c r="B687" s="12"/>
    </row>
    <row r="688" spans="1:2" ht="15.75" thickBot="1" x14ac:dyDescent="0.3">
      <c r="A688" s="12"/>
      <c r="B688" s="12"/>
    </row>
    <row r="689" spans="1:2" ht="15.75" thickBot="1" x14ac:dyDescent="0.3">
      <c r="A689" s="12"/>
      <c r="B689" s="12"/>
    </row>
    <row r="690" spans="1:2" ht="15.75" thickBot="1" x14ac:dyDescent="0.3">
      <c r="A690" s="12"/>
      <c r="B690" s="12"/>
    </row>
    <row r="691" spans="1:2" ht="15.75" thickBot="1" x14ac:dyDescent="0.3">
      <c r="A691" s="12"/>
      <c r="B691" s="12"/>
    </row>
    <row r="692" spans="1:2" ht="15.75" thickBot="1" x14ac:dyDescent="0.3">
      <c r="A692" s="12"/>
      <c r="B692" s="12"/>
    </row>
    <row r="693" spans="1:2" ht="15.75" thickBot="1" x14ac:dyDescent="0.3">
      <c r="A693" s="12"/>
      <c r="B693" s="12"/>
    </row>
    <row r="694" spans="1:2" ht="15.75" thickBot="1" x14ac:dyDescent="0.3">
      <c r="A694" s="12"/>
      <c r="B694" s="12"/>
    </row>
    <row r="695" spans="1:2" ht="15.75" thickBot="1" x14ac:dyDescent="0.3">
      <c r="A695" s="12"/>
      <c r="B695" s="12"/>
    </row>
    <row r="696" spans="1:2" ht="15.75" thickBot="1" x14ac:dyDescent="0.3">
      <c r="A696" s="12"/>
      <c r="B696" s="12"/>
    </row>
    <row r="697" spans="1:2" ht="15.75" thickBot="1" x14ac:dyDescent="0.3">
      <c r="A697" s="12"/>
      <c r="B697" s="12"/>
    </row>
    <row r="698" spans="1:2" ht="15.75" thickBot="1" x14ac:dyDescent="0.3">
      <c r="A698" s="12"/>
      <c r="B698" s="12"/>
    </row>
    <row r="699" spans="1:2" ht="15.75" thickBot="1" x14ac:dyDescent="0.3">
      <c r="A699" s="12"/>
      <c r="B699" s="12"/>
    </row>
    <row r="700" spans="1:2" ht="15.75" thickBot="1" x14ac:dyDescent="0.3">
      <c r="A700" s="12"/>
      <c r="B700" s="12"/>
    </row>
    <row r="701" spans="1:2" ht="15.75" thickBot="1" x14ac:dyDescent="0.3">
      <c r="A701" s="12"/>
      <c r="B701" s="12"/>
    </row>
    <row r="702" spans="1:2" ht="15.75" thickBot="1" x14ac:dyDescent="0.3">
      <c r="A702" s="12"/>
      <c r="B702" s="12"/>
    </row>
    <row r="703" spans="1:2" ht="15.75" thickBot="1" x14ac:dyDescent="0.3">
      <c r="A703" s="12"/>
      <c r="B703" s="12"/>
    </row>
    <row r="704" spans="1:2" ht="15.75" thickBot="1" x14ac:dyDescent="0.3">
      <c r="A704" s="12"/>
      <c r="B704" s="12"/>
    </row>
    <row r="705" spans="1:2" ht="15.75" thickBot="1" x14ac:dyDescent="0.3">
      <c r="A705" s="12"/>
      <c r="B705" s="12"/>
    </row>
    <row r="706" spans="1:2" ht="15.75" thickBot="1" x14ac:dyDescent="0.3">
      <c r="A706" s="12"/>
      <c r="B706" s="12"/>
    </row>
    <row r="707" spans="1:2" ht="15.75" thickBot="1" x14ac:dyDescent="0.3">
      <c r="A707" s="12"/>
      <c r="B707" s="12"/>
    </row>
    <row r="708" spans="1:2" ht="15.75" thickBot="1" x14ac:dyDescent="0.3">
      <c r="A708" s="12"/>
      <c r="B708" s="12"/>
    </row>
    <row r="709" spans="1:2" ht="15.75" thickBot="1" x14ac:dyDescent="0.3">
      <c r="A709" s="12"/>
      <c r="B709" s="12"/>
    </row>
    <row r="710" spans="1:2" ht="15.75" thickBot="1" x14ac:dyDescent="0.3">
      <c r="A710" s="12"/>
      <c r="B710" s="12"/>
    </row>
    <row r="711" spans="1:2" ht="15.75" thickBot="1" x14ac:dyDescent="0.3">
      <c r="A711" s="12"/>
      <c r="B711" s="12"/>
    </row>
    <row r="712" spans="1:2" ht="15.75" thickBot="1" x14ac:dyDescent="0.3">
      <c r="A712" s="12"/>
      <c r="B712" s="12"/>
    </row>
    <row r="713" spans="1:2" ht="15.75" thickBot="1" x14ac:dyDescent="0.3">
      <c r="A713" s="12"/>
      <c r="B713" s="12"/>
    </row>
    <row r="714" spans="1:2" ht="15.75" thickBot="1" x14ac:dyDescent="0.3">
      <c r="A714" s="12"/>
      <c r="B714" s="12"/>
    </row>
    <row r="715" spans="1:2" ht="15.75" thickBot="1" x14ac:dyDescent="0.3">
      <c r="A715" s="12"/>
      <c r="B715" s="12"/>
    </row>
    <row r="716" spans="1:2" ht="15.75" thickBot="1" x14ac:dyDescent="0.3">
      <c r="A716" s="12"/>
      <c r="B716" s="12"/>
    </row>
    <row r="717" spans="1:2" ht="15.75" thickBot="1" x14ac:dyDescent="0.3">
      <c r="A717" s="12"/>
      <c r="B717" s="12"/>
    </row>
    <row r="718" spans="1:2" ht="15.75" thickBot="1" x14ac:dyDescent="0.3">
      <c r="A718" s="12"/>
      <c r="B718" s="12"/>
    </row>
    <row r="719" spans="1:2" ht="15.75" thickBot="1" x14ac:dyDescent="0.3">
      <c r="A719" s="12"/>
      <c r="B719" s="12"/>
    </row>
    <row r="720" spans="1:2" ht="15.75" thickBot="1" x14ac:dyDescent="0.3">
      <c r="A720" s="12"/>
      <c r="B720" s="12"/>
    </row>
    <row r="721" spans="1:2" ht="15.75" thickBot="1" x14ac:dyDescent="0.3">
      <c r="A721" s="12"/>
      <c r="B721" s="12"/>
    </row>
    <row r="722" spans="1:2" ht="15.75" thickBot="1" x14ac:dyDescent="0.3">
      <c r="A722" s="12"/>
      <c r="B722" s="12"/>
    </row>
    <row r="723" spans="1:2" ht="15.75" thickBot="1" x14ac:dyDescent="0.3">
      <c r="A723" s="12"/>
      <c r="B723" s="12"/>
    </row>
    <row r="724" spans="1:2" ht="15.75" thickBot="1" x14ac:dyDescent="0.3">
      <c r="A724" s="12"/>
      <c r="B724" s="12"/>
    </row>
    <row r="725" spans="1:2" ht="15.75" thickBot="1" x14ac:dyDescent="0.3">
      <c r="A725" s="12"/>
      <c r="B725" s="12"/>
    </row>
    <row r="726" spans="1:2" ht="15.75" thickBot="1" x14ac:dyDescent="0.3">
      <c r="A726" s="12"/>
      <c r="B726" s="12"/>
    </row>
    <row r="727" spans="1:2" ht="15.75" thickBot="1" x14ac:dyDescent="0.3">
      <c r="A727" s="12"/>
      <c r="B727" s="12"/>
    </row>
    <row r="728" spans="1:2" ht="15.75" thickBot="1" x14ac:dyDescent="0.3">
      <c r="A728" s="12"/>
      <c r="B728" s="12"/>
    </row>
    <row r="729" spans="1:2" ht="15.75" thickBot="1" x14ac:dyDescent="0.3">
      <c r="A729" s="12"/>
      <c r="B729" s="12"/>
    </row>
    <row r="730" spans="1:2" ht="15.75" thickBot="1" x14ac:dyDescent="0.3">
      <c r="A730" s="12"/>
      <c r="B730" s="12"/>
    </row>
    <row r="731" spans="1:2" ht="15.75" thickBot="1" x14ac:dyDescent="0.3">
      <c r="A731" s="12"/>
      <c r="B731" s="12"/>
    </row>
    <row r="732" spans="1:2" ht="15.75" thickBot="1" x14ac:dyDescent="0.3">
      <c r="A732" s="12"/>
      <c r="B732" s="12"/>
    </row>
    <row r="733" spans="1:2" ht="15.75" thickBot="1" x14ac:dyDescent="0.3">
      <c r="A733" s="12"/>
      <c r="B733" s="12"/>
    </row>
    <row r="734" spans="1:2" ht="15.75" thickBot="1" x14ac:dyDescent="0.3">
      <c r="A734" s="12"/>
      <c r="B734" s="12"/>
    </row>
    <row r="735" spans="1:2" ht="15.75" thickBot="1" x14ac:dyDescent="0.3">
      <c r="A735" s="12"/>
      <c r="B735" s="12"/>
    </row>
    <row r="736" spans="1:2" ht="15.75" thickBot="1" x14ac:dyDescent="0.3">
      <c r="A736" s="12"/>
      <c r="B736" s="12"/>
    </row>
    <row r="737" spans="1:2" ht="15.75" thickBot="1" x14ac:dyDescent="0.3">
      <c r="A737" s="12"/>
      <c r="B737" s="12"/>
    </row>
    <row r="738" spans="1:2" ht="15.75" thickBot="1" x14ac:dyDescent="0.3">
      <c r="A738" s="12"/>
      <c r="B738" s="12"/>
    </row>
    <row r="739" spans="1:2" ht="15.75" thickBot="1" x14ac:dyDescent="0.3">
      <c r="A739" s="12"/>
      <c r="B739" s="12"/>
    </row>
    <row r="740" spans="1:2" ht="15.75" thickBot="1" x14ac:dyDescent="0.3">
      <c r="A740" s="12"/>
      <c r="B740" s="12"/>
    </row>
    <row r="741" spans="1:2" ht="15.75" thickBot="1" x14ac:dyDescent="0.3">
      <c r="A741" s="12"/>
      <c r="B741" s="12"/>
    </row>
    <row r="742" spans="1:2" ht="15.75" thickBot="1" x14ac:dyDescent="0.3">
      <c r="A742" s="12"/>
      <c r="B742" s="12"/>
    </row>
    <row r="743" spans="1:2" ht="15.75" thickBot="1" x14ac:dyDescent="0.3">
      <c r="A743" s="12"/>
      <c r="B743" s="12"/>
    </row>
    <row r="744" spans="1:2" ht="15.75" thickBot="1" x14ac:dyDescent="0.3">
      <c r="A744" s="12"/>
      <c r="B744" s="12"/>
    </row>
    <row r="745" spans="1:2" ht="15.75" thickBot="1" x14ac:dyDescent="0.3">
      <c r="A745" s="12"/>
      <c r="B745" s="12"/>
    </row>
    <row r="746" spans="1:2" ht="15.75" thickBot="1" x14ac:dyDescent="0.3">
      <c r="A746" s="12"/>
      <c r="B746" s="12"/>
    </row>
    <row r="747" spans="1:2" ht="15.75" thickBot="1" x14ac:dyDescent="0.3">
      <c r="A747" s="12"/>
      <c r="B747" s="12"/>
    </row>
    <row r="748" spans="1:2" ht="15.75" thickBot="1" x14ac:dyDescent="0.3">
      <c r="A748" s="12"/>
      <c r="B748" s="12"/>
    </row>
    <row r="749" spans="1:2" ht="15.75" thickBot="1" x14ac:dyDescent="0.3">
      <c r="A749" s="12"/>
      <c r="B749" s="12"/>
    </row>
    <row r="750" spans="1:2" ht="15.75" thickBot="1" x14ac:dyDescent="0.3">
      <c r="A750" s="12"/>
      <c r="B750" s="12"/>
    </row>
    <row r="751" spans="1:2" ht="15.75" thickBot="1" x14ac:dyDescent="0.3">
      <c r="A751" s="12"/>
      <c r="B751" s="12"/>
    </row>
    <row r="752" spans="1:2" ht="15.75" thickBot="1" x14ac:dyDescent="0.3">
      <c r="A752" s="12"/>
      <c r="B752" s="12"/>
    </row>
    <row r="753" spans="1:2" ht="15.75" thickBot="1" x14ac:dyDescent="0.3">
      <c r="A753" s="12"/>
      <c r="B753" s="12"/>
    </row>
    <row r="754" spans="1:2" ht="15.75" thickBot="1" x14ac:dyDescent="0.3">
      <c r="A754" s="12"/>
      <c r="B754" s="12"/>
    </row>
    <row r="755" spans="1:2" ht="15.75" thickBot="1" x14ac:dyDescent="0.3">
      <c r="A755" s="12"/>
      <c r="B755" s="12"/>
    </row>
    <row r="756" spans="1:2" ht="15.75" thickBot="1" x14ac:dyDescent="0.3">
      <c r="A756" s="12"/>
      <c r="B756" s="12"/>
    </row>
    <row r="757" spans="1:2" ht="15.75" thickBot="1" x14ac:dyDescent="0.3">
      <c r="A757" s="12"/>
      <c r="B757" s="12"/>
    </row>
    <row r="758" spans="1:2" ht="15.75" thickBot="1" x14ac:dyDescent="0.3">
      <c r="A758" s="12"/>
      <c r="B758" s="12"/>
    </row>
    <row r="759" spans="1:2" ht="15.75" thickBot="1" x14ac:dyDescent="0.3">
      <c r="A759" s="12"/>
      <c r="B759" s="12"/>
    </row>
    <row r="760" spans="1:2" ht="15.75" thickBot="1" x14ac:dyDescent="0.3">
      <c r="A760" s="12"/>
      <c r="B760" s="12"/>
    </row>
    <row r="761" spans="1:2" ht="15.75" thickBot="1" x14ac:dyDescent="0.3">
      <c r="A761" s="12"/>
      <c r="B761" s="12"/>
    </row>
    <row r="762" spans="1:2" ht="15.75" thickBot="1" x14ac:dyDescent="0.3">
      <c r="A762" s="12"/>
      <c r="B762" s="12"/>
    </row>
    <row r="763" spans="1:2" ht="15.75" thickBot="1" x14ac:dyDescent="0.3">
      <c r="A763" s="12"/>
      <c r="B763" s="12"/>
    </row>
    <row r="764" spans="1:2" ht="15.75" thickBot="1" x14ac:dyDescent="0.3">
      <c r="A764" s="12"/>
      <c r="B764" s="12"/>
    </row>
    <row r="765" spans="1:2" ht="15.75" thickBot="1" x14ac:dyDescent="0.3">
      <c r="A765" s="12"/>
      <c r="B765" s="12"/>
    </row>
    <row r="766" spans="1:2" ht="15.75" thickBot="1" x14ac:dyDescent="0.3">
      <c r="A766" s="12"/>
      <c r="B766" s="12"/>
    </row>
    <row r="767" spans="1:2" ht="15.75" thickBot="1" x14ac:dyDescent="0.3">
      <c r="A767" s="12"/>
      <c r="B767" s="12"/>
    </row>
    <row r="768" spans="1:2" ht="15.75" thickBot="1" x14ac:dyDescent="0.3">
      <c r="A768" s="12"/>
      <c r="B768" s="12"/>
    </row>
    <row r="769" spans="1:2" ht="15.75" thickBot="1" x14ac:dyDescent="0.3">
      <c r="A769" s="12"/>
      <c r="B769" s="12"/>
    </row>
    <row r="770" spans="1:2" ht="15.75" thickBot="1" x14ac:dyDescent="0.3">
      <c r="A770" s="12"/>
      <c r="B770" s="12"/>
    </row>
    <row r="771" spans="1:2" ht="15.75" thickBot="1" x14ac:dyDescent="0.3">
      <c r="A771" s="12"/>
      <c r="B771" s="12"/>
    </row>
    <row r="772" spans="1:2" ht="15.75" thickBot="1" x14ac:dyDescent="0.3">
      <c r="A772" s="12"/>
      <c r="B772" s="12"/>
    </row>
    <row r="773" spans="1:2" ht="15.75" thickBot="1" x14ac:dyDescent="0.3">
      <c r="A773" s="12"/>
      <c r="B773" s="12"/>
    </row>
    <row r="774" spans="1:2" ht="15.75" thickBot="1" x14ac:dyDescent="0.3">
      <c r="A774" s="12"/>
      <c r="B774" s="12"/>
    </row>
    <row r="775" spans="1:2" ht="15.75" thickBot="1" x14ac:dyDescent="0.3">
      <c r="A775" s="12"/>
      <c r="B775" s="12"/>
    </row>
    <row r="776" spans="1:2" ht="15.75" thickBot="1" x14ac:dyDescent="0.3">
      <c r="A776" s="12"/>
      <c r="B776" s="12"/>
    </row>
    <row r="777" spans="1:2" ht="15.75" thickBot="1" x14ac:dyDescent="0.3">
      <c r="A777" s="12"/>
      <c r="B777" s="12"/>
    </row>
    <row r="778" spans="1:2" ht="15.75" thickBot="1" x14ac:dyDescent="0.3">
      <c r="A778" s="12"/>
      <c r="B778" s="12"/>
    </row>
    <row r="779" spans="1:2" ht="15.75" thickBot="1" x14ac:dyDescent="0.3">
      <c r="A779" s="12"/>
      <c r="B779" s="12"/>
    </row>
    <row r="780" spans="1:2" ht="15.75" thickBot="1" x14ac:dyDescent="0.3">
      <c r="A780" s="12"/>
      <c r="B780" s="12"/>
    </row>
    <row r="781" spans="1:2" ht="15.75" thickBot="1" x14ac:dyDescent="0.3">
      <c r="A781" s="12"/>
      <c r="B781" s="12"/>
    </row>
    <row r="782" spans="1:2" ht="15.75" thickBot="1" x14ac:dyDescent="0.3">
      <c r="A782" s="12"/>
      <c r="B782" s="12"/>
    </row>
    <row r="783" spans="1:2" ht="15.75" thickBot="1" x14ac:dyDescent="0.3">
      <c r="A783" s="12"/>
      <c r="B783" s="12"/>
    </row>
    <row r="784" spans="1:2" ht="15.75" thickBot="1" x14ac:dyDescent="0.3">
      <c r="A784" s="12"/>
      <c r="B784" s="12"/>
    </row>
    <row r="785" spans="1:2" ht="15.75" thickBot="1" x14ac:dyDescent="0.3">
      <c r="A785" s="12"/>
      <c r="B785" s="12"/>
    </row>
    <row r="786" spans="1:2" ht="15.75" thickBot="1" x14ac:dyDescent="0.3">
      <c r="A786" s="12"/>
      <c r="B786" s="12"/>
    </row>
    <row r="787" spans="1:2" ht="15.75" thickBot="1" x14ac:dyDescent="0.3">
      <c r="A787" s="12"/>
      <c r="B787" s="12"/>
    </row>
    <row r="788" spans="1:2" ht="15.75" thickBot="1" x14ac:dyDescent="0.3">
      <c r="A788" s="12"/>
      <c r="B788" s="12"/>
    </row>
    <row r="789" spans="1:2" ht="15.75" thickBot="1" x14ac:dyDescent="0.3">
      <c r="A789" s="12"/>
      <c r="B789" s="12"/>
    </row>
    <row r="790" spans="1:2" ht="15.75" thickBot="1" x14ac:dyDescent="0.3">
      <c r="A790" s="12"/>
      <c r="B790" s="12"/>
    </row>
    <row r="791" spans="1:2" ht="15.75" thickBot="1" x14ac:dyDescent="0.3">
      <c r="A791" s="12"/>
      <c r="B791" s="12"/>
    </row>
    <row r="792" spans="1:2" ht="15.75" thickBot="1" x14ac:dyDescent="0.3">
      <c r="A792" s="12"/>
      <c r="B792" s="12"/>
    </row>
    <row r="793" spans="1:2" ht="15.75" thickBot="1" x14ac:dyDescent="0.3">
      <c r="A793" s="12"/>
      <c r="B793" s="12"/>
    </row>
    <row r="794" spans="1:2" ht="15.75" thickBot="1" x14ac:dyDescent="0.3">
      <c r="A794" s="12"/>
      <c r="B794" s="12"/>
    </row>
    <row r="795" spans="1:2" ht="15.75" thickBot="1" x14ac:dyDescent="0.3">
      <c r="A795" s="12"/>
      <c r="B795" s="12"/>
    </row>
    <row r="796" spans="1:2" ht="15.75" thickBot="1" x14ac:dyDescent="0.3">
      <c r="A796" s="12"/>
      <c r="B796" s="12"/>
    </row>
    <row r="797" spans="1:2" ht="15.75" thickBot="1" x14ac:dyDescent="0.3">
      <c r="A797" s="12"/>
      <c r="B797" s="12"/>
    </row>
    <row r="798" spans="1:2" ht="15.75" thickBot="1" x14ac:dyDescent="0.3">
      <c r="A798" s="12"/>
      <c r="B798" s="12"/>
    </row>
    <row r="799" spans="1:2" ht="15.75" thickBot="1" x14ac:dyDescent="0.3">
      <c r="A799" s="12"/>
      <c r="B799" s="12"/>
    </row>
    <row r="800" spans="1:2" ht="15.75" thickBot="1" x14ac:dyDescent="0.3">
      <c r="A800" s="12"/>
      <c r="B800" s="12"/>
    </row>
    <row r="801" spans="1:2" ht="15.75" thickBot="1" x14ac:dyDescent="0.3">
      <c r="A801" s="12"/>
      <c r="B801" s="12"/>
    </row>
    <row r="802" spans="1:2" ht="15.75" thickBot="1" x14ac:dyDescent="0.3">
      <c r="A802" s="12"/>
      <c r="B802" s="12"/>
    </row>
    <row r="803" spans="1:2" ht="15.75" thickBot="1" x14ac:dyDescent="0.3">
      <c r="A803" s="12"/>
      <c r="B803" s="12"/>
    </row>
    <row r="804" spans="1:2" ht="15.75" thickBot="1" x14ac:dyDescent="0.3">
      <c r="A804" s="12"/>
      <c r="B804" s="12"/>
    </row>
    <row r="805" spans="1:2" ht="15.75" thickBot="1" x14ac:dyDescent="0.3">
      <c r="A805" s="12"/>
      <c r="B805" s="12"/>
    </row>
    <row r="806" spans="1:2" ht="15.75" thickBot="1" x14ac:dyDescent="0.3">
      <c r="A806" s="12"/>
      <c r="B806" s="12"/>
    </row>
    <row r="807" spans="1:2" ht="15.75" thickBot="1" x14ac:dyDescent="0.3">
      <c r="A807" s="12"/>
      <c r="B807" s="12"/>
    </row>
    <row r="808" spans="1:2" ht="15.75" thickBot="1" x14ac:dyDescent="0.3">
      <c r="A808" s="12"/>
      <c r="B808" s="12"/>
    </row>
    <row r="809" spans="1:2" ht="15.75" thickBot="1" x14ac:dyDescent="0.3">
      <c r="A809" s="12"/>
      <c r="B809" s="12"/>
    </row>
    <row r="810" spans="1:2" ht="15.75" thickBot="1" x14ac:dyDescent="0.3">
      <c r="A810" s="12"/>
      <c r="B810" s="12"/>
    </row>
    <row r="811" spans="1:2" ht="15.75" thickBot="1" x14ac:dyDescent="0.3">
      <c r="A811" s="12"/>
      <c r="B811" s="12"/>
    </row>
    <row r="812" spans="1:2" ht="15.75" thickBot="1" x14ac:dyDescent="0.3">
      <c r="A812" s="12"/>
      <c r="B812" s="12"/>
    </row>
    <row r="813" spans="1:2" ht="15.75" thickBot="1" x14ac:dyDescent="0.3">
      <c r="A813" s="12"/>
      <c r="B813" s="12"/>
    </row>
    <row r="814" spans="1:2" ht="15.75" thickBot="1" x14ac:dyDescent="0.3">
      <c r="A814" s="12"/>
      <c r="B814" s="12"/>
    </row>
    <row r="815" spans="1:2" ht="15.75" thickBot="1" x14ac:dyDescent="0.3">
      <c r="A815" s="12"/>
      <c r="B815" s="12"/>
    </row>
    <row r="816" spans="1:2" ht="15.75" thickBot="1" x14ac:dyDescent="0.3">
      <c r="A816" s="12"/>
      <c r="B816" s="12"/>
    </row>
    <row r="817" spans="1:2" ht="15.75" thickBot="1" x14ac:dyDescent="0.3">
      <c r="A817" s="12"/>
      <c r="B817" s="12"/>
    </row>
    <row r="818" spans="1:2" ht="15.75" thickBot="1" x14ac:dyDescent="0.3">
      <c r="A818" s="12"/>
      <c r="B818" s="12"/>
    </row>
    <row r="819" spans="1:2" ht="15.75" thickBot="1" x14ac:dyDescent="0.3">
      <c r="A819" s="12"/>
      <c r="B819" s="12"/>
    </row>
    <row r="820" spans="1:2" ht="15.75" thickBot="1" x14ac:dyDescent="0.3">
      <c r="A820" s="12"/>
      <c r="B820" s="12"/>
    </row>
    <row r="821" spans="1:2" ht="15.75" thickBot="1" x14ac:dyDescent="0.3">
      <c r="A821" s="12"/>
      <c r="B821" s="12"/>
    </row>
    <row r="822" spans="1:2" ht="15.75" thickBot="1" x14ac:dyDescent="0.3">
      <c r="A822" s="12"/>
      <c r="B822" s="12"/>
    </row>
    <row r="823" spans="1:2" ht="15.75" thickBot="1" x14ac:dyDescent="0.3">
      <c r="A823" s="12"/>
      <c r="B823" s="12"/>
    </row>
    <row r="824" spans="1:2" ht="15.75" thickBot="1" x14ac:dyDescent="0.3">
      <c r="A824" s="12"/>
      <c r="B824" s="12"/>
    </row>
    <row r="825" spans="1:2" ht="15.75" thickBot="1" x14ac:dyDescent="0.3">
      <c r="A825" s="12"/>
      <c r="B825" s="12"/>
    </row>
    <row r="826" spans="1:2" ht="15.75" thickBot="1" x14ac:dyDescent="0.3">
      <c r="A826" s="12"/>
      <c r="B826" s="12"/>
    </row>
    <row r="827" spans="1:2" ht="15.75" thickBot="1" x14ac:dyDescent="0.3">
      <c r="A827" s="12"/>
      <c r="B827" s="12"/>
    </row>
    <row r="828" spans="1:2" ht="15.75" thickBot="1" x14ac:dyDescent="0.3">
      <c r="A828" s="12"/>
      <c r="B828" s="12"/>
    </row>
    <row r="829" spans="1:2" ht="15.75" thickBot="1" x14ac:dyDescent="0.3">
      <c r="A829" s="12"/>
      <c r="B829" s="12"/>
    </row>
    <row r="830" spans="1:2" ht="15.75" thickBot="1" x14ac:dyDescent="0.3">
      <c r="A830" s="12"/>
      <c r="B830" s="12"/>
    </row>
    <row r="831" spans="1:2" ht="15.75" thickBot="1" x14ac:dyDescent="0.3">
      <c r="A831" s="12"/>
      <c r="B831" s="12"/>
    </row>
    <row r="832" spans="1:2" ht="15.75" thickBot="1" x14ac:dyDescent="0.3">
      <c r="A832" s="12"/>
      <c r="B832" s="12"/>
    </row>
    <row r="833" spans="1:2" ht="15.75" thickBot="1" x14ac:dyDescent="0.3">
      <c r="A833" s="12"/>
      <c r="B833" s="12"/>
    </row>
    <row r="834" spans="1:2" ht="15.75" thickBot="1" x14ac:dyDescent="0.3">
      <c r="A834" s="12"/>
      <c r="B834" s="12"/>
    </row>
    <row r="835" spans="1:2" ht="15.75" thickBot="1" x14ac:dyDescent="0.3">
      <c r="A835" s="12"/>
      <c r="B835" s="12"/>
    </row>
    <row r="836" spans="1:2" ht="15.75" thickBot="1" x14ac:dyDescent="0.3">
      <c r="A836" s="12"/>
      <c r="B836" s="12"/>
    </row>
    <row r="837" spans="1:2" ht="15.75" thickBot="1" x14ac:dyDescent="0.3">
      <c r="A837" s="12"/>
      <c r="B837" s="12"/>
    </row>
    <row r="838" spans="1:2" ht="15.75" thickBot="1" x14ac:dyDescent="0.3">
      <c r="A838" s="12"/>
      <c r="B838" s="12"/>
    </row>
    <row r="839" spans="1:2" ht="15.75" thickBot="1" x14ac:dyDescent="0.3">
      <c r="A839" s="12"/>
      <c r="B839" s="12"/>
    </row>
    <row r="840" spans="1:2" ht="15.75" thickBot="1" x14ac:dyDescent="0.3">
      <c r="A840" s="12"/>
      <c r="B840" s="12"/>
    </row>
    <row r="841" spans="1:2" ht="15.75" thickBot="1" x14ac:dyDescent="0.3">
      <c r="A841" s="12"/>
      <c r="B841" s="12"/>
    </row>
    <row r="842" spans="1:2" ht="15.75" thickBot="1" x14ac:dyDescent="0.3">
      <c r="A842" s="12"/>
      <c r="B842" s="12"/>
    </row>
    <row r="843" spans="1:2" ht="15.75" thickBot="1" x14ac:dyDescent="0.3">
      <c r="A843" s="12"/>
      <c r="B843" s="12"/>
    </row>
    <row r="844" spans="1:2" ht="15.75" thickBot="1" x14ac:dyDescent="0.3">
      <c r="A844" s="12"/>
      <c r="B844" s="12"/>
    </row>
    <row r="845" spans="1:2" ht="15.75" thickBot="1" x14ac:dyDescent="0.3">
      <c r="A845" s="12"/>
      <c r="B845" s="12"/>
    </row>
    <row r="846" spans="1:2" ht="15.75" thickBot="1" x14ac:dyDescent="0.3">
      <c r="A846" s="12"/>
      <c r="B846" s="12"/>
    </row>
    <row r="847" spans="1:2" ht="15.75" thickBot="1" x14ac:dyDescent="0.3">
      <c r="A847" s="12"/>
      <c r="B847" s="12"/>
    </row>
    <row r="848" spans="1:2" ht="15.75" thickBot="1" x14ac:dyDescent="0.3">
      <c r="A848" s="12"/>
      <c r="B848" s="12"/>
    </row>
    <row r="849" spans="1:2" ht="15.75" thickBot="1" x14ac:dyDescent="0.3">
      <c r="A849" s="12"/>
      <c r="B849" s="12"/>
    </row>
    <row r="850" spans="1:2" ht="15.75" thickBot="1" x14ac:dyDescent="0.3">
      <c r="A850" s="12"/>
      <c r="B850" s="12"/>
    </row>
    <row r="851" spans="1:2" ht="15.75" thickBot="1" x14ac:dyDescent="0.3">
      <c r="A851" s="12"/>
      <c r="B851" s="12"/>
    </row>
    <row r="852" spans="1:2" ht="15.75" thickBot="1" x14ac:dyDescent="0.3">
      <c r="A852" s="12"/>
      <c r="B852" s="12"/>
    </row>
    <row r="853" spans="1:2" ht="15.75" thickBot="1" x14ac:dyDescent="0.3">
      <c r="A853" s="12"/>
      <c r="B853" s="12"/>
    </row>
    <row r="854" spans="1:2" ht="15.75" thickBot="1" x14ac:dyDescent="0.3">
      <c r="A854" s="12"/>
      <c r="B854" s="12"/>
    </row>
    <row r="855" spans="1:2" ht="15.75" thickBot="1" x14ac:dyDescent="0.3">
      <c r="A855" s="12"/>
      <c r="B855" s="12"/>
    </row>
    <row r="856" spans="1:2" ht="15.75" thickBot="1" x14ac:dyDescent="0.3">
      <c r="A856" s="12"/>
      <c r="B856" s="12"/>
    </row>
    <row r="857" spans="1:2" ht="15.75" thickBot="1" x14ac:dyDescent="0.3">
      <c r="A857" s="12"/>
      <c r="B857" s="12"/>
    </row>
    <row r="858" spans="1:2" ht="15.75" thickBot="1" x14ac:dyDescent="0.3">
      <c r="A858" s="12"/>
      <c r="B858" s="12"/>
    </row>
    <row r="859" spans="1:2" ht="15.75" thickBot="1" x14ac:dyDescent="0.3">
      <c r="A859" s="12"/>
      <c r="B859" s="12"/>
    </row>
    <row r="860" spans="1:2" ht="15.75" thickBot="1" x14ac:dyDescent="0.3">
      <c r="A860" s="12"/>
      <c r="B860" s="12"/>
    </row>
    <row r="861" spans="1:2" ht="15.75" thickBot="1" x14ac:dyDescent="0.3">
      <c r="A861" s="12"/>
      <c r="B861" s="12"/>
    </row>
    <row r="862" spans="1:2" ht="15.75" thickBot="1" x14ac:dyDescent="0.3">
      <c r="A862" s="12"/>
      <c r="B862" s="12"/>
    </row>
    <row r="863" spans="1:2" ht="15.75" thickBot="1" x14ac:dyDescent="0.3">
      <c r="A863" s="12"/>
      <c r="B863" s="12"/>
    </row>
    <row r="864" spans="1:2" ht="15.75" thickBot="1" x14ac:dyDescent="0.3">
      <c r="A864" s="12"/>
      <c r="B864" s="12"/>
    </row>
    <row r="865" spans="1:2" ht="15.75" thickBot="1" x14ac:dyDescent="0.3">
      <c r="A865" s="12"/>
      <c r="B865" s="12"/>
    </row>
    <row r="866" spans="1:2" ht="15.75" thickBot="1" x14ac:dyDescent="0.3">
      <c r="A866" s="12"/>
      <c r="B866" s="12"/>
    </row>
    <row r="867" spans="1:2" ht="15.75" thickBot="1" x14ac:dyDescent="0.3">
      <c r="A867" s="12"/>
      <c r="B867" s="12"/>
    </row>
    <row r="868" spans="1:2" ht="15.75" thickBot="1" x14ac:dyDescent="0.3">
      <c r="A868" s="12"/>
      <c r="B868" s="12"/>
    </row>
    <row r="869" spans="1:2" ht="15.75" thickBot="1" x14ac:dyDescent="0.3">
      <c r="A869" s="12"/>
      <c r="B869" s="12"/>
    </row>
    <row r="870" spans="1:2" ht="15.75" thickBot="1" x14ac:dyDescent="0.3">
      <c r="A870" s="12"/>
      <c r="B870" s="12"/>
    </row>
    <row r="871" spans="1:2" ht="15.75" thickBot="1" x14ac:dyDescent="0.3">
      <c r="A871" s="12"/>
      <c r="B871" s="12"/>
    </row>
    <row r="872" spans="1:2" ht="15.75" thickBot="1" x14ac:dyDescent="0.3">
      <c r="A872" s="12"/>
      <c r="B872" s="12"/>
    </row>
    <row r="873" spans="1:2" ht="15.75" thickBot="1" x14ac:dyDescent="0.3">
      <c r="A873" s="12"/>
      <c r="B873" s="12"/>
    </row>
    <row r="874" spans="1:2" ht="15.75" thickBot="1" x14ac:dyDescent="0.3">
      <c r="A874" s="12"/>
      <c r="B874" s="12"/>
    </row>
    <row r="875" spans="1:2" ht="15.75" thickBot="1" x14ac:dyDescent="0.3">
      <c r="A875" s="12"/>
      <c r="B875" s="12"/>
    </row>
    <row r="876" spans="1:2" ht="15.75" thickBot="1" x14ac:dyDescent="0.3">
      <c r="A876" s="12"/>
      <c r="B876" s="12"/>
    </row>
    <row r="877" spans="1:2" ht="15.75" thickBot="1" x14ac:dyDescent="0.3">
      <c r="A877" s="12"/>
      <c r="B877" s="12"/>
    </row>
    <row r="878" spans="1:2" ht="15.75" thickBot="1" x14ac:dyDescent="0.3">
      <c r="A878" s="12"/>
      <c r="B878" s="12"/>
    </row>
    <row r="879" spans="1:2" ht="15.75" thickBot="1" x14ac:dyDescent="0.3">
      <c r="A879" s="12"/>
      <c r="B879" s="12"/>
    </row>
    <row r="880" spans="1:2" ht="15.75" thickBot="1" x14ac:dyDescent="0.3">
      <c r="A880" s="12"/>
      <c r="B880" s="12"/>
    </row>
    <row r="881" spans="1:2" ht="15.75" thickBot="1" x14ac:dyDescent="0.3">
      <c r="A881" s="12"/>
      <c r="B881" s="12"/>
    </row>
    <row r="882" spans="1:2" ht="15.75" thickBot="1" x14ac:dyDescent="0.3">
      <c r="A882" s="12"/>
      <c r="B882" s="12"/>
    </row>
    <row r="883" spans="1:2" ht="15.75" thickBot="1" x14ac:dyDescent="0.3">
      <c r="A883" s="12"/>
      <c r="B883" s="12"/>
    </row>
    <row r="884" spans="1:2" ht="15.75" thickBot="1" x14ac:dyDescent="0.3">
      <c r="A884" s="12"/>
      <c r="B884" s="12"/>
    </row>
    <row r="885" spans="1:2" ht="15.75" thickBot="1" x14ac:dyDescent="0.3">
      <c r="A885" s="12"/>
      <c r="B885" s="12"/>
    </row>
    <row r="886" spans="1:2" ht="15.75" thickBot="1" x14ac:dyDescent="0.3">
      <c r="A886" s="12"/>
      <c r="B886" s="12"/>
    </row>
    <row r="887" spans="1:2" ht="15.75" thickBot="1" x14ac:dyDescent="0.3">
      <c r="A887" s="12"/>
      <c r="B887" s="12"/>
    </row>
    <row r="888" spans="1:2" ht="15.75" thickBot="1" x14ac:dyDescent="0.3">
      <c r="A888" s="12"/>
      <c r="B888" s="12"/>
    </row>
    <row r="889" spans="1:2" ht="15.75" thickBot="1" x14ac:dyDescent="0.3">
      <c r="A889" s="12"/>
      <c r="B889" s="12"/>
    </row>
    <row r="890" spans="1:2" ht="15.75" thickBot="1" x14ac:dyDescent="0.3">
      <c r="A890" s="12"/>
      <c r="B890" s="12"/>
    </row>
    <row r="891" spans="1:2" ht="15.75" thickBot="1" x14ac:dyDescent="0.3">
      <c r="A891" s="12"/>
      <c r="B891" s="12"/>
    </row>
    <row r="892" spans="1:2" ht="15.75" thickBot="1" x14ac:dyDescent="0.3">
      <c r="A892" s="12"/>
      <c r="B892" s="12"/>
    </row>
    <row r="893" spans="1:2" ht="15.75" thickBot="1" x14ac:dyDescent="0.3">
      <c r="A893" s="12"/>
      <c r="B893" s="12"/>
    </row>
    <row r="894" spans="1:2" ht="15.75" thickBot="1" x14ac:dyDescent="0.3">
      <c r="A894" s="12"/>
      <c r="B894" s="12"/>
    </row>
    <row r="895" spans="1:2" ht="15.75" thickBot="1" x14ac:dyDescent="0.3">
      <c r="A895" s="12"/>
      <c r="B895" s="12"/>
    </row>
    <row r="896" spans="1:2" ht="15.75" thickBot="1" x14ac:dyDescent="0.3">
      <c r="A896" s="12"/>
      <c r="B896" s="12"/>
    </row>
    <row r="897" spans="1:2" ht="15.75" thickBot="1" x14ac:dyDescent="0.3">
      <c r="A897" s="12"/>
      <c r="B897" s="12"/>
    </row>
    <row r="898" spans="1:2" ht="15.75" thickBot="1" x14ac:dyDescent="0.3">
      <c r="A898" s="12"/>
      <c r="B898" s="12"/>
    </row>
    <row r="899" spans="1:2" ht="15.75" thickBot="1" x14ac:dyDescent="0.3">
      <c r="A899" s="12"/>
      <c r="B899" s="12"/>
    </row>
    <row r="900" spans="1:2" ht="15.75" thickBot="1" x14ac:dyDescent="0.3">
      <c r="A900" s="12"/>
      <c r="B900" s="12"/>
    </row>
    <row r="901" spans="1:2" ht="15.75" thickBot="1" x14ac:dyDescent="0.3">
      <c r="A901" s="12"/>
      <c r="B901" s="12"/>
    </row>
    <row r="902" spans="1:2" ht="15.75" thickBot="1" x14ac:dyDescent="0.3">
      <c r="A902" s="12"/>
      <c r="B902" s="12"/>
    </row>
    <row r="903" spans="1:2" ht="15.75" thickBot="1" x14ac:dyDescent="0.3">
      <c r="A903" s="12"/>
      <c r="B903" s="12"/>
    </row>
    <row r="904" spans="1:2" ht="15.75" thickBot="1" x14ac:dyDescent="0.3">
      <c r="A904" s="12"/>
      <c r="B904" s="12"/>
    </row>
    <row r="905" spans="1:2" ht="15.75" thickBot="1" x14ac:dyDescent="0.3">
      <c r="A905" s="12"/>
      <c r="B905" s="12"/>
    </row>
    <row r="906" spans="1:2" ht="15.75" thickBot="1" x14ac:dyDescent="0.3">
      <c r="A906" s="12"/>
      <c r="B906" s="12"/>
    </row>
    <row r="907" spans="1:2" ht="15.75" thickBot="1" x14ac:dyDescent="0.3">
      <c r="A907" s="12"/>
      <c r="B907" s="12"/>
    </row>
    <row r="908" spans="1:2" ht="15.75" thickBot="1" x14ac:dyDescent="0.3">
      <c r="A908" s="12"/>
      <c r="B908" s="12"/>
    </row>
    <row r="909" spans="1:2" ht="15.75" thickBot="1" x14ac:dyDescent="0.3">
      <c r="A909" s="12"/>
      <c r="B909" s="12"/>
    </row>
    <row r="910" spans="1:2" ht="15.75" thickBot="1" x14ac:dyDescent="0.3">
      <c r="A910" s="12"/>
      <c r="B910" s="12"/>
    </row>
    <row r="911" spans="1:2" ht="15.75" thickBot="1" x14ac:dyDescent="0.3">
      <c r="A911" s="12"/>
      <c r="B911" s="12"/>
    </row>
    <row r="912" spans="1:2" ht="15.75" thickBot="1" x14ac:dyDescent="0.3">
      <c r="A912" s="12"/>
      <c r="B912" s="12"/>
    </row>
    <row r="913" spans="1:2" ht="15.75" thickBot="1" x14ac:dyDescent="0.3">
      <c r="A913" s="12"/>
      <c r="B913" s="12"/>
    </row>
    <row r="914" spans="1:2" ht="15.75" thickBot="1" x14ac:dyDescent="0.3">
      <c r="A914" s="12"/>
      <c r="B914" s="12"/>
    </row>
    <row r="915" spans="1:2" ht="15.75" thickBot="1" x14ac:dyDescent="0.3">
      <c r="A915" s="12"/>
      <c r="B915" s="12"/>
    </row>
    <row r="916" spans="1:2" ht="15.75" thickBot="1" x14ac:dyDescent="0.3">
      <c r="A916" s="12"/>
      <c r="B916" s="12"/>
    </row>
    <row r="917" spans="1:2" ht="15.75" thickBot="1" x14ac:dyDescent="0.3">
      <c r="A917" s="12"/>
      <c r="B917" s="12"/>
    </row>
    <row r="918" spans="1:2" ht="15.75" thickBot="1" x14ac:dyDescent="0.3">
      <c r="A918" s="12"/>
      <c r="B918" s="12"/>
    </row>
    <row r="919" spans="1:2" ht="15.75" thickBot="1" x14ac:dyDescent="0.3">
      <c r="A919" s="12"/>
      <c r="B919" s="12"/>
    </row>
    <row r="920" spans="1:2" ht="15.75" thickBot="1" x14ac:dyDescent="0.3">
      <c r="A920" s="12"/>
      <c r="B920" s="12"/>
    </row>
    <row r="921" spans="1:2" ht="15.75" thickBot="1" x14ac:dyDescent="0.3">
      <c r="A921" s="12"/>
      <c r="B921" s="12"/>
    </row>
    <row r="922" spans="1:2" ht="15.75" thickBot="1" x14ac:dyDescent="0.3">
      <c r="A922" s="12"/>
      <c r="B922" s="12"/>
    </row>
    <row r="923" spans="1:2" ht="15.75" thickBot="1" x14ac:dyDescent="0.3">
      <c r="A923" s="12"/>
      <c r="B923" s="12"/>
    </row>
    <row r="924" spans="1:2" ht="15.75" thickBot="1" x14ac:dyDescent="0.3">
      <c r="A924" s="12"/>
      <c r="B924" s="12"/>
    </row>
    <row r="925" spans="1:2" ht="15.75" thickBot="1" x14ac:dyDescent="0.3">
      <c r="A925" s="12"/>
      <c r="B925" s="12"/>
    </row>
    <row r="926" spans="1:2" ht="15.75" thickBot="1" x14ac:dyDescent="0.3">
      <c r="A926" s="12"/>
      <c r="B926" s="12"/>
    </row>
    <row r="927" spans="1:2" ht="15.75" thickBot="1" x14ac:dyDescent="0.3">
      <c r="A927" s="12"/>
      <c r="B927" s="12"/>
    </row>
    <row r="928" spans="1:2" ht="15.75" thickBot="1" x14ac:dyDescent="0.3">
      <c r="A928" s="12"/>
      <c r="B928" s="12"/>
    </row>
    <row r="929" spans="1:2" ht="15.75" thickBot="1" x14ac:dyDescent="0.3">
      <c r="A929" s="12"/>
      <c r="B929" s="12"/>
    </row>
    <row r="930" spans="1:2" ht="15.75" thickBot="1" x14ac:dyDescent="0.3">
      <c r="A930" s="12"/>
      <c r="B930" s="12"/>
    </row>
    <row r="931" spans="1:2" ht="15.75" thickBot="1" x14ac:dyDescent="0.3">
      <c r="A931" s="12"/>
      <c r="B931" s="12"/>
    </row>
    <row r="932" spans="1:2" ht="15.75" thickBot="1" x14ac:dyDescent="0.3">
      <c r="A932" s="12"/>
      <c r="B932" s="12"/>
    </row>
    <row r="933" spans="1:2" ht="15.75" thickBot="1" x14ac:dyDescent="0.3">
      <c r="A933" s="12"/>
      <c r="B933" s="12"/>
    </row>
    <row r="934" spans="1:2" ht="15.75" thickBot="1" x14ac:dyDescent="0.3">
      <c r="A934" s="12"/>
      <c r="B934" s="12"/>
    </row>
    <row r="935" spans="1:2" ht="15.75" thickBot="1" x14ac:dyDescent="0.3">
      <c r="A935" s="12"/>
      <c r="B935" s="12"/>
    </row>
    <row r="936" spans="1:2" ht="15.75" thickBot="1" x14ac:dyDescent="0.3">
      <c r="A936" s="12"/>
      <c r="B936" s="12"/>
    </row>
    <row r="937" spans="1:2" ht="15.75" thickBot="1" x14ac:dyDescent="0.3">
      <c r="A937" s="12"/>
      <c r="B937" s="12"/>
    </row>
    <row r="938" spans="1:2" ht="15.75" thickBot="1" x14ac:dyDescent="0.3">
      <c r="A938" s="12"/>
      <c r="B938" s="12"/>
    </row>
    <row r="939" spans="1:2" ht="15.75" thickBot="1" x14ac:dyDescent="0.3">
      <c r="A939" s="12"/>
      <c r="B939" s="12"/>
    </row>
    <row r="940" spans="1:2" ht="15.75" thickBot="1" x14ac:dyDescent="0.3">
      <c r="A940" s="12"/>
      <c r="B940" s="12"/>
    </row>
    <row r="941" spans="1:2" ht="15.75" thickBot="1" x14ac:dyDescent="0.3">
      <c r="A941" s="12"/>
      <c r="B941" s="12"/>
    </row>
    <row r="942" spans="1:2" ht="15.75" thickBot="1" x14ac:dyDescent="0.3">
      <c r="A942" s="12"/>
      <c r="B942" s="12"/>
    </row>
    <row r="943" spans="1:2" ht="15.75" thickBot="1" x14ac:dyDescent="0.3">
      <c r="A943" s="12"/>
      <c r="B943" s="12"/>
    </row>
    <row r="944" spans="1:2" ht="15.75" thickBot="1" x14ac:dyDescent="0.3">
      <c r="A944" s="12"/>
      <c r="B944" s="12"/>
    </row>
    <row r="945" spans="1:2" ht="15.75" thickBot="1" x14ac:dyDescent="0.3">
      <c r="A945" s="12"/>
      <c r="B945" s="12"/>
    </row>
    <row r="946" spans="1:2" ht="15.75" thickBot="1" x14ac:dyDescent="0.3">
      <c r="A946" s="12"/>
      <c r="B946" s="12"/>
    </row>
    <row r="947" spans="1:2" ht="15.75" thickBot="1" x14ac:dyDescent="0.3">
      <c r="A947" s="12"/>
      <c r="B947" s="12"/>
    </row>
    <row r="948" spans="1:2" ht="15.75" thickBot="1" x14ac:dyDescent="0.3">
      <c r="A948" s="12"/>
      <c r="B948" s="12"/>
    </row>
    <row r="949" spans="1:2" ht="15.75" thickBot="1" x14ac:dyDescent="0.3">
      <c r="A949" s="12"/>
      <c r="B949" s="12"/>
    </row>
    <row r="950" spans="1:2" ht="15.75" thickBot="1" x14ac:dyDescent="0.3">
      <c r="A950" s="12"/>
      <c r="B950" s="12"/>
    </row>
    <row r="951" spans="1:2" ht="15.75" thickBot="1" x14ac:dyDescent="0.3">
      <c r="A951" s="12"/>
      <c r="B951" s="12"/>
    </row>
    <row r="952" spans="1:2" ht="15.75" thickBot="1" x14ac:dyDescent="0.3">
      <c r="A952" s="12"/>
      <c r="B952" s="12"/>
    </row>
    <row r="953" spans="1:2" ht="15.75" thickBot="1" x14ac:dyDescent="0.3">
      <c r="A953" s="12"/>
      <c r="B953" s="12"/>
    </row>
    <row r="954" spans="1:2" ht="15.75" thickBot="1" x14ac:dyDescent="0.3">
      <c r="A954" s="12"/>
      <c r="B954" s="12"/>
    </row>
    <row r="955" spans="1:2" ht="15.75" thickBot="1" x14ac:dyDescent="0.3">
      <c r="A955" s="12"/>
      <c r="B955" s="12"/>
    </row>
    <row r="956" spans="1:2" ht="15.75" thickBot="1" x14ac:dyDescent="0.3">
      <c r="A956" s="12"/>
      <c r="B956" s="12"/>
    </row>
    <row r="957" spans="1:2" ht="15.75" thickBot="1" x14ac:dyDescent="0.3">
      <c r="A957" s="12"/>
      <c r="B957" s="12"/>
    </row>
    <row r="958" spans="1:2" ht="15.75" thickBot="1" x14ac:dyDescent="0.3">
      <c r="A958" s="12"/>
      <c r="B958" s="12"/>
    </row>
    <row r="959" spans="1:2" ht="15.75" thickBot="1" x14ac:dyDescent="0.3">
      <c r="A959" s="12"/>
      <c r="B959" s="12"/>
    </row>
    <row r="960" spans="1:2" ht="15.75" thickBot="1" x14ac:dyDescent="0.3">
      <c r="A960" s="12"/>
      <c r="B960" s="12"/>
    </row>
    <row r="961" spans="1:2" ht="15.75" thickBot="1" x14ac:dyDescent="0.3">
      <c r="A961" s="12"/>
      <c r="B961" s="12"/>
    </row>
    <row r="962" spans="1:2" ht="15.75" thickBot="1" x14ac:dyDescent="0.3">
      <c r="A962" s="12"/>
      <c r="B962" s="12"/>
    </row>
    <row r="963" spans="1:2" ht="15.75" thickBot="1" x14ac:dyDescent="0.3">
      <c r="A963" s="12"/>
      <c r="B963" s="12"/>
    </row>
    <row r="964" spans="1:2" ht="15.75" thickBot="1" x14ac:dyDescent="0.3">
      <c r="A964" s="12"/>
      <c r="B964" s="12"/>
    </row>
    <row r="965" spans="1:2" ht="15.75" thickBot="1" x14ac:dyDescent="0.3">
      <c r="A965" s="12"/>
      <c r="B965" s="12"/>
    </row>
    <row r="966" spans="1:2" ht="15.75" thickBot="1" x14ac:dyDescent="0.3">
      <c r="A966" s="12"/>
      <c r="B966" s="12"/>
    </row>
    <row r="967" spans="1:2" ht="15.75" thickBot="1" x14ac:dyDescent="0.3">
      <c r="A967" s="12"/>
      <c r="B967" s="12"/>
    </row>
    <row r="968" spans="1:2" ht="15.75" thickBot="1" x14ac:dyDescent="0.3">
      <c r="A968" s="12"/>
      <c r="B968" s="12"/>
    </row>
    <row r="969" spans="1:2" ht="15.75" thickBot="1" x14ac:dyDescent="0.3">
      <c r="A969" s="12"/>
      <c r="B969" s="12"/>
    </row>
    <row r="970" spans="1:2" ht="15.75" thickBot="1" x14ac:dyDescent="0.3">
      <c r="A970" s="12"/>
      <c r="B970" s="12"/>
    </row>
    <row r="971" spans="1:2" ht="15.75" thickBot="1" x14ac:dyDescent="0.3">
      <c r="A971" s="12"/>
      <c r="B971" s="12"/>
    </row>
    <row r="972" spans="1:2" ht="15.75" thickBot="1" x14ac:dyDescent="0.3">
      <c r="A972" s="12"/>
      <c r="B972" s="12"/>
    </row>
    <row r="973" spans="1:2" ht="15.75" thickBot="1" x14ac:dyDescent="0.3">
      <c r="A973" s="12"/>
      <c r="B973" s="12"/>
    </row>
    <row r="974" spans="1:2" ht="15.75" thickBot="1" x14ac:dyDescent="0.3">
      <c r="A974" s="12"/>
      <c r="B974" s="12"/>
    </row>
    <row r="975" spans="1:2" ht="15.75" thickBot="1" x14ac:dyDescent="0.3">
      <c r="A975" s="12"/>
      <c r="B975" s="12"/>
    </row>
    <row r="976" spans="1:2" ht="15.75" thickBot="1" x14ac:dyDescent="0.3">
      <c r="A976" s="12"/>
      <c r="B976" s="12"/>
    </row>
    <row r="977" spans="1:2" ht="15.75" thickBot="1" x14ac:dyDescent="0.3">
      <c r="A977" s="12"/>
      <c r="B977" s="12"/>
    </row>
    <row r="978" spans="1:2" ht="15.75" thickBot="1" x14ac:dyDescent="0.3">
      <c r="A978" s="12"/>
      <c r="B978" s="12"/>
    </row>
    <row r="979" spans="1:2" ht="15.75" thickBot="1" x14ac:dyDescent="0.3">
      <c r="A979" s="12"/>
      <c r="B979" s="12"/>
    </row>
    <row r="980" spans="1:2" ht="15.75" thickBot="1" x14ac:dyDescent="0.3">
      <c r="A980" s="12"/>
      <c r="B980" s="12"/>
    </row>
    <row r="981" spans="1:2" ht="15.75" thickBot="1" x14ac:dyDescent="0.3">
      <c r="A981" s="12"/>
      <c r="B981" s="12"/>
    </row>
    <row r="982" spans="1:2" ht="15.75" thickBot="1" x14ac:dyDescent="0.3">
      <c r="A982" s="12"/>
      <c r="B982" s="12"/>
    </row>
    <row r="983" spans="1:2" ht="15.75" thickBot="1" x14ac:dyDescent="0.3">
      <c r="A983" s="12"/>
      <c r="B983" s="12"/>
    </row>
    <row r="984" spans="1:2" ht="15.75" thickBot="1" x14ac:dyDescent="0.3">
      <c r="A984" s="12"/>
      <c r="B984" s="12"/>
    </row>
    <row r="985" spans="1:2" ht="15.75" thickBot="1" x14ac:dyDescent="0.3">
      <c r="A985" s="12"/>
      <c r="B985" s="12"/>
    </row>
    <row r="986" spans="1:2" ht="15.75" thickBot="1" x14ac:dyDescent="0.3">
      <c r="A986" s="12"/>
      <c r="B986" s="12"/>
    </row>
    <row r="987" spans="1:2" ht="15.75" thickBot="1" x14ac:dyDescent="0.3">
      <c r="A987" s="12"/>
      <c r="B987" s="12"/>
    </row>
    <row r="988" spans="1:2" ht="15.75" thickBot="1" x14ac:dyDescent="0.3">
      <c r="A988" s="12"/>
      <c r="B988" s="12"/>
    </row>
    <row r="989" spans="1:2" ht="15.75" thickBot="1" x14ac:dyDescent="0.3">
      <c r="A989" s="12"/>
      <c r="B989" s="12"/>
    </row>
    <row r="990" spans="1:2" ht="15.75" thickBot="1" x14ac:dyDescent="0.3">
      <c r="A990" s="12"/>
      <c r="B990" s="12"/>
    </row>
    <row r="991" spans="1:2" ht="15.75" thickBot="1" x14ac:dyDescent="0.3">
      <c r="A991" s="12"/>
      <c r="B991" s="12"/>
    </row>
    <row r="992" spans="1:2" ht="15.75" thickBot="1" x14ac:dyDescent="0.3">
      <c r="A992" s="12"/>
      <c r="B992" s="12"/>
    </row>
    <row r="993" spans="1:2" ht="15.75" thickBot="1" x14ac:dyDescent="0.3">
      <c r="A993" s="12"/>
      <c r="B993" s="12"/>
    </row>
    <row r="994" spans="1:2" ht="15.75" thickBot="1" x14ac:dyDescent="0.3">
      <c r="A994" s="12"/>
      <c r="B994" s="12"/>
    </row>
    <row r="995" spans="1:2" ht="15.75" thickBot="1" x14ac:dyDescent="0.3">
      <c r="A995" s="12"/>
      <c r="B995" s="12"/>
    </row>
    <row r="996" spans="1:2" ht="15.75" thickBot="1" x14ac:dyDescent="0.3">
      <c r="A996" s="12"/>
      <c r="B996" s="12"/>
    </row>
    <row r="997" spans="1:2" ht="15.75" thickBot="1" x14ac:dyDescent="0.3">
      <c r="A997" s="12"/>
      <c r="B997" s="12"/>
    </row>
    <row r="998" spans="1:2" ht="15.75" thickBot="1" x14ac:dyDescent="0.3">
      <c r="A998" s="12"/>
      <c r="B998" s="12"/>
    </row>
    <row r="999" spans="1:2" ht="15.75" thickBot="1" x14ac:dyDescent="0.3">
      <c r="A999" s="12"/>
      <c r="B999" s="12"/>
    </row>
    <row r="1000" spans="1:2" ht="15.75" thickBot="1" x14ac:dyDescent="0.3">
      <c r="A1000" s="12"/>
      <c r="B1000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817C6-8EC2-41CE-BB9A-EB663D187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WMT</vt:lpstr>
      <vt:lpstr>MondayStart</vt:lpstr>
      <vt:lpstr>Sheet3</vt:lpstr>
      <vt:lpstr>Forecast Sunday Start</vt:lpstr>
      <vt:lpstr>Dashboard</vt:lpstr>
      <vt:lpstr>Dividends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2026-01-28T02:19:49Z</dcterms:created>
  <dcterms:modified xsi:type="dcterms:W3CDTF">2026-01-31T20:49:35Z</dcterms:modified>
</cp:coreProperties>
</file>