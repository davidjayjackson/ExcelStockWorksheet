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StockWorksheet\"/>
    </mc:Choice>
  </mc:AlternateContent>
  <xr:revisionPtr revIDLastSave="0" documentId="13_ncr:1_{8C4DBE83-1856-49EA-9E20-0CB01E597090}" xr6:coauthVersionLast="47" xr6:coauthVersionMax="47" xr10:uidLastSave="{00000000-0000-0000-0000-000000000000}"/>
  <bookViews>
    <workbookView xWindow="-120" yWindow="-120" windowWidth="20730" windowHeight="11040" activeTab="1" xr2:uid="{92AFEA67-FCE1-458C-9A7E-ADF426D7B024}"/>
  </bookViews>
  <sheets>
    <sheet name="Intro" sheetId="10" r:id="rId1"/>
    <sheet name="Dashboard" sheetId="7" r:id="rId2"/>
    <sheet name="Data" sheetId="1" r:id="rId3"/>
    <sheet name="Weekly" sheetId="26" r:id="rId4"/>
    <sheet name="Dividends" sheetId="21" r:id="rId5"/>
  </sheets>
  <definedNames>
    <definedName name="data">Data!$1:$1048576</definedName>
    <definedName name="ExternalData_1" localSheetId="3" hidden="1">Weekly!$A$1:$B$60</definedName>
    <definedName name="FromArray_1">_xlfn.ANCHORARRAY(Data!$B$1)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51" i="1" l="1"/>
  <c r="C56" i="26"/>
  <c r="C57" i="26"/>
  <c r="C58" i="26"/>
  <c r="C55" i="26"/>
  <c r="C59" i="26"/>
  <c r="C60" i="26"/>
  <c r="C54" i="26"/>
  <c r="B1" i="1" a="1"/>
  <c r="B1" i="1" l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15" i="1"/>
  <c r="A3" i="1" l="1"/>
  <c r="A11" i="1"/>
  <c r="A19" i="1"/>
  <c r="A27" i="1"/>
  <c r="A35" i="1"/>
  <c r="A43" i="1"/>
  <c r="A51" i="1"/>
  <c r="A59" i="1"/>
  <c r="A67" i="1"/>
  <c r="A75" i="1"/>
  <c r="A83" i="1"/>
  <c r="A91" i="1"/>
  <c r="A99" i="1"/>
  <c r="A107" i="1"/>
  <c r="A115" i="1"/>
  <c r="A123" i="1"/>
  <c r="A131" i="1"/>
  <c r="A139" i="1"/>
  <c r="A147" i="1"/>
  <c r="A155" i="1"/>
  <c r="A163" i="1"/>
  <c r="A171" i="1"/>
  <c r="A179" i="1"/>
  <c r="A187" i="1"/>
  <c r="A195" i="1"/>
  <c r="A203" i="1"/>
  <c r="A211" i="1"/>
  <c r="A219" i="1"/>
  <c r="A227" i="1"/>
  <c r="A235" i="1"/>
  <c r="A243" i="1"/>
  <c r="A251" i="1"/>
  <c r="A4" i="1"/>
  <c r="A12" i="1"/>
  <c r="A20" i="1"/>
  <c r="A28" i="1"/>
  <c r="A36" i="1"/>
  <c r="A44" i="1"/>
  <c r="A52" i="1"/>
  <c r="A60" i="1"/>
  <c r="A68" i="1"/>
  <c r="A76" i="1"/>
  <c r="A84" i="1"/>
  <c r="A92" i="1"/>
  <c r="A100" i="1"/>
  <c r="A108" i="1"/>
  <c r="A116" i="1"/>
  <c r="A124" i="1"/>
  <c r="A132" i="1"/>
  <c r="A140" i="1"/>
  <c r="A148" i="1"/>
  <c r="A156" i="1"/>
  <c r="A164" i="1"/>
  <c r="A172" i="1"/>
  <c r="A180" i="1"/>
  <c r="A188" i="1"/>
  <c r="A196" i="1"/>
  <c r="A204" i="1"/>
  <c r="A212" i="1"/>
  <c r="A220" i="1"/>
  <c r="A228" i="1"/>
  <c r="A236" i="1"/>
  <c r="A244" i="1"/>
  <c r="A5" i="1"/>
  <c r="A13" i="1"/>
  <c r="A21" i="1"/>
  <c r="A29" i="1"/>
  <c r="A37" i="1"/>
  <c r="A45" i="1"/>
  <c r="A53" i="1"/>
  <c r="A61" i="1"/>
  <c r="A69" i="1"/>
  <c r="A77" i="1"/>
  <c r="A85" i="1"/>
  <c r="A93" i="1"/>
  <c r="A101" i="1"/>
  <c r="A109" i="1"/>
  <c r="A117" i="1"/>
  <c r="A125" i="1"/>
  <c r="A133" i="1"/>
  <c r="A141" i="1"/>
  <c r="A149" i="1"/>
  <c r="A157" i="1"/>
  <c r="A165" i="1"/>
  <c r="A173" i="1"/>
  <c r="A181" i="1"/>
  <c r="A189" i="1"/>
  <c r="A197" i="1"/>
  <c r="A205" i="1"/>
  <c r="A213" i="1"/>
  <c r="A221" i="1"/>
  <c r="A229" i="1"/>
  <c r="A237" i="1"/>
  <c r="A245" i="1"/>
  <c r="A6" i="1"/>
  <c r="A14" i="1"/>
  <c r="A22" i="1"/>
  <c r="A30" i="1"/>
  <c r="A38" i="1"/>
  <c r="A46" i="1"/>
  <c r="A54" i="1"/>
  <c r="A62" i="1"/>
  <c r="A70" i="1"/>
  <c r="A78" i="1"/>
  <c r="A86" i="1"/>
  <c r="A94" i="1"/>
  <c r="A102" i="1"/>
  <c r="A110" i="1"/>
  <c r="A118" i="1"/>
  <c r="A126" i="1"/>
  <c r="A134" i="1"/>
  <c r="A142" i="1"/>
  <c r="A150" i="1"/>
  <c r="A158" i="1"/>
  <c r="A166" i="1"/>
  <c r="A174" i="1"/>
  <c r="A182" i="1"/>
  <c r="A190" i="1"/>
  <c r="A198" i="1"/>
  <c r="A206" i="1"/>
  <c r="A214" i="1"/>
  <c r="A222" i="1"/>
  <c r="A230" i="1"/>
  <c r="A238" i="1"/>
  <c r="A246" i="1"/>
  <c r="A7" i="1"/>
  <c r="A15" i="1"/>
  <c r="A23" i="1"/>
  <c r="A31" i="1"/>
  <c r="A39" i="1"/>
  <c r="A47" i="1"/>
  <c r="A55" i="1"/>
  <c r="A63" i="1"/>
  <c r="A71" i="1"/>
  <c r="A79" i="1"/>
  <c r="A87" i="1"/>
  <c r="A95" i="1"/>
  <c r="A103" i="1"/>
  <c r="A111" i="1"/>
  <c r="A119" i="1"/>
  <c r="A127" i="1"/>
  <c r="A135" i="1"/>
  <c r="A143" i="1"/>
  <c r="A151" i="1"/>
  <c r="A159" i="1"/>
  <c r="A167" i="1"/>
  <c r="A175" i="1"/>
  <c r="A183" i="1"/>
  <c r="A191" i="1"/>
  <c r="A199" i="1"/>
  <c r="A207" i="1"/>
  <c r="A215" i="1"/>
  <c r="A223" i="1"/>
  <c r="A231" i="1"/>
  <c r="A239" i="1"/>
  <c r="A247" i="1"/>
  <c r="A26" i="1"/>
  <c r="A82" i="1"/>
  <c r="A114" i="1"/>
  <c r="A138" i="1"/>
  <c r="A162" i="1"/>
  <c r="A186" i="1"/>
  <c r="A218" i="1"/>
  <c r="A250" i="1"/>
  <c r="A8" i="1"/>
  <c r="A16" i="1"/>
  <c r="A24" i="1"/>
  <c r="A32" i="1"/>
  <c r="A40" i="1"/>
  <c r="A48" i="1"/>
  <c r="A56" i="1"/>
  <c r="A64" i="1"/>
  <c r="A72" i="1"/>
  <c r="A80" i="1"/>
  <c r="A88" i="1"/>
  <c r="A96" i="1"/>
  <c r="A104" i="1"/>
  <c r="A112" i="1"/>
  <c r="A120" i="1"/>
  <c r="A128" i="1"/>
  <c r="A136" i="1"/>
  <c r="A144" i="1"/>
  <c r="A152" i="1"/>
  <c r="A160" i="1"/>
  <c r="A168" i="1"/>
  <c r="A176" i="1"/>
  <c r="A184" i="1"/>
  <c r="A192" i="1"/>
  <c r="A200" i="1"/>
  <c r="A208" i="1"/>
  <c r="A216" i="1"/>
  <c r="A224" i="1"/>
  <c r="A232" i="1"/>
  <c r="A240" i="1"/>
  <c r="A248" i="1"/>
  <c r="A18" i="1"/>
  <c r="A34" i="1"/>
  <c r="A50" i="1"/>
  <c r="A66" i="1"/>
  <c r="A90" i="1"/>
  <c r="A106" i="1"/>
  <c r="A130" i="1"/>
  <c r="A154" i="1"/>
  <c r="A178" i="1"/>
  <c r="A202" i="1"/>
  <c r="A242" i="1"/>
  <c r="A9" i="1"/>
  <c r="A17" i="1"/>
  <c r="A25" i="1"/>
  <c r="A33" i="1"/>
  <c r="A41" i="1"/>
  <c r="A49" i="1"/>
  <c r="A57" i="1"/>
  <c r="A65" i="1"/>
  <c r="A73" i="1"/>
  <c r="A81" i="1"/>
  <c r="A89" i="1"/>
  <c r="A97" i="1"/>
  <c r="A105" i="1"/>
  <c r="A113" i="1"/>
  <c r="A121" i="1"/>
  <c r="A129" i="1"/>
  <c r="A137" i="1"/>
  <c r="A145" i="1"/>
  <c r="A153" i="1"/>
  <c r="A161" i="1"/>
  <c r="A169" i="1"/>
  <c r="A177" i="1"/>
  <c r="A185" i="1"/>
  <c r="A193" i="1"/>
  <c r="A201" i="1"/>
  <c r="A209" i="1"/>
  <c r="A217" i="1"/>
  <c r="A225" i="1"/>
  <c r="A233" i="1"/>
  <c r="A241" i="1"/>
  <c r="A249" i="1"/>
  <c r="A10" i="1"/>
  <c r="A42" i="1"/>
  <c r="A58" i="1"/>
  <c r="A74" i="1"/>
  <c r="A98" i="1"/>
  <c r="A122" i="1"/>
  <c r="A146" i="1"/>
  <c r="A170" i="1"/>
  <c r="A194" i="1"/>
  <c r="A226" i="1"/>
  <c r="A210" i="1"/>
  <c r="A234" i="1"/>
  <c r="A2" i="1"/>
  <c r="AE5" i="1"/>
  <c r="AE4" i="1"/>
  <c r="AE3" i="1"/>
  <c r="AE2" i="1"/>
  <c r="AD5" i="1"/>
  <c r="AD4" i="1"/>
  <c r="AD3" i="1"/>
  <c r="AD2" i="1"/>
  <c r="AB102" i="1"/>
  <c r="N96" i="1"/>
  <c r="AB172" i="1"/>
  <c r="AB198" i="1"/>
  <c r="N192" i="1"/>
  <c r="N114" i="1"/>
  <c r="AB105" i="1"/>
  <c r="AB241" i="1"/>
  <c r="N34" i="1"/>
  <c r="N108" i="1"/>
  <c r="AB178" i="1"/>
  <c r="N54" i="1"/>
  <c r="N142" i="1"/>
  <c r="N59" i="1"/>
  <c r="N139" i="1"/>
  <c r="N145" i="1"/>
  <c r="AB101" i="1"/>
  <c r="AB115" i="1"/>
  <c r="AB104" i="1"/>
  <c r="AB211" i="1"/>
  <c r="AB217" i="1"/>
  <c r="AB220" i="1"/>
  <c r="N132" i="1"/>
  <c r="N121" i="1"/>
  <c r="N71" i="1"/>
  <c r="N167" i="1"/>
  <c r="N80" i="1"/>
  <c r="N56" i="1"/>
  <c r="K102" i="1"/>
  <c r="AB174" i="1"/>
  <c r="N168" i="1"/>
  <c r="AB145" i="1"/>
  <c r="AB225" i="1"/>
  <c r="N51" i="1"/>
  <c r="N150" i="1"/>
  <c r="K205" i="1"/>
  <c r="N53" i="1"/>
  <c r="N125" i="1"/>
  <c r="AB235" i="1"/>
  <c r="K53" i="1"/>
  <c r="AB135" i="1"/>
  <c r="AB231" i="1"/>
  <c r="N77" i="1"/>
  <c r="K135" i="1"/>
  <c r="N35" i="1"/>
  <c r="AB116" i="1"/>
  <c r="AB215" i="1"/>
  <c r="K86" i="1"/>
  <c r="N129" i="1"/>
  <c r="N126" i="1"/>
  <c r="AB187" i="1"/>
  <c r="AB120" i="1"/>
  <c r="AB197" i="1"/>
  <c r="N55" i="1"/>
  <c r="N5" i="1"/>
  <c r="N143" i="1"/>
  <c r="AB111" i="1"/>
  <c r="AB158" i="1"/>
  <c r="N165" i="1"/>
  <c r="AB216" i="1"/>
  <c r="AB121" i="1"/>
  <c r="AB190" i="1"/>
  <c r="AB125" i="1"/>
  <c r="AB205" i="1"/>
  <c r="AB188" i="1"/>
  <c r="N68" i="1"/>
  <c r="N90" i="1"/>
  <c r="N186" i="1"/>
  <c r="AB119" i="1"/>
  <c r="N175" i="1"/>
  <c r="AB131" i="1"/>
  <c r="AB234" i="1"/>
  <c r="AB207" i="1"/>
  <c r="N243" i="1"/>
  <c r="AB237" i="1"/>
  <c r="N195" i="1"/>
  <c r="N219" i="1"/>
  <c r="J150" i="1"/>
  <c r="AB160" i="1"/>
  <c r="N29" i="1"/>
  <c r="N100" i="1"/>
  <c r="N111" i="1"/>
  <c r="K164" i="1"/>
  <c r="AB132" i="1"/>
  <c r="AB210" i="1"/>
  <c r="AB236" i="1"/>
  <c r="K94" i="1"/>
  <c r="AB230" i="1"/>
  <c r="N224" i="1"/>
  <c r="N74" i="1"/>
  <c r="N217" i="1"/>
  <c r="AB122" i="1"/>
  <c r="N162" i="1"/>
  <c r="AB138" i="1"/>
  <c r="AB136" i="1"/>
  <c r="AB218" i="1"/>
  <c r="AB191" i="1"/>
  <c r="N6" i="1"/>
  <c r="AB223" i="1"/>
  <c r="N102" i="1"/>
  <c r="N182" i="1"/>
  <c r="N87" i="1"/>
  <c r="K127" i="1"/>
  <c r="N91" i="1"/>
  <c r="AB228" i="1"/>
  <c r="AB206" i="1"/>
  <c r="AB144" i="1"/>
  <c r="N238" i="1"/>
  <c r="AB243" i="1"/>
  <c r="AB232" i="1"/>
  <c r="N203" i="1"/>
  <c r="N17" i="1"/>
  <c r="N88" i="1"/>
  <c r="N220" i="1"/>
  <c r="K32" i="1"/>
  <c r="N169" i="1"/>
  <c r="AB177" i="1"/>
  <c r="N45" i="1"/>
  <c r="N123" i="1"/>
  <c r="AB114" i="1"/>
  <c r="AB219" i="1"/>
  <c r="X27" i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N214" i="1"/>
  <c r="AB107" i="1"/>
  <c r="N221" i="1"/>
  <c r="N78" i="1"/>
  <c r="N75" i="1"/>
  <c r="N229" i="1"/>
  <c r="N163" i="1"/>
  <c r="AB147" i="1"/>
  <c r="AB153" i="1"/>
  <c r="AB227" i="1"/>
  <c r="K214" i="1"/>
  <c r="N7" i="1"/>
  <c r="AB248" i="1"/>
  <c r="N103" i="1"/>
  <c r="N16" i="1"/>
  <c r="N107" i="1"/>
  <c r="N95" i="1"/>
  <c r="K38" i="1"/>
  <c r="AB110" i="1"/>
  <c r="N104" i="1"/>
  <c r="AB239" i="1"/>
  <c r="AB161" i="1"/>
  <c r="N196" i="1"/>
  <c r="AB129" i="1"/>
  <c r="AB157" i="1"/>
  <c r="AB249" i="1"/>
  <c r="AB244" i="1"/>
  <c r="N69" i="1"/>
  <c r="AB212" i="1"/>
  <c r="K175" i="1"/>
  <c r="N152" i="1"/>
  <c r="K129" i="1"/>
  <c r="AB182" i="1"/>
  <c r="K22" i="1"/>
  <c r="W13" i="1"/>
  <c r="W14" i="1" s="1"/>
  <c r="W15" i="1" s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AB123" i="1"/>
  <c r="AB133" i="1"/>
  <c r="N234" i="1"/>
  <c r="N222" i="1"/>
  <c r="N79" i="1"/>
  <c r="N33" i="1"/>
  <c r="N200" i="1"/>
  <c r="AB164" i="1"/>
  <c r="AB126" i="1"/>
  <c r="AB141" i="1"/>
  <c r="K222" i="1"/>
  <c r="N26" i="1"/>
  <c r="AB229" i="1"/>
  <c r="N122" i="1"/>
  <c r="N202" i="1"/>
  <c r="N115" i="1"/>
  <c r="AB170" i="1"/>
  <c r="AB143" i="1"/>
  <c r="N209" i="1"/>
  <c r="N117" i="1"/>
  <c r="N134" i="1"/>
  <c r="N230" i="1"/>
  <c r="AB140" i="1"/>
  <c r="N176" i="1"/>
  <c r="K238" i="1"/>
  <c r="K192" i="1"/>
  <c r="N207" i="1"/>
  <c r="K58" i="1"/>
  <c r="K40" i="1"/>
  <c r="AB146" i="1"/>
  <c r="AB148" i="1"/>
  <c r="AB246" i="1"/>
  <c r="K30" i="1"/>
  <c r="AB166" i="1"/>
  <c r="N160" i="1"/>
  <c r="N10" i="1"/>
  <c r="N76" i="1"/>
  <c r="N242" i="1"/>
  <c r="N98" i="1"/>
  <c r="AB154" i="1"/>
  <c r="AB127" i="1"/>
  <c r="N236" i="1"/>
  <c r="N28" i="1"/>
  <c r="N137" i="1"/>
  <c r="AB139" i="1"/>
  <c r="AB242" i="1"/>
  <c r="AB159" i="1"/>
  <c r="N38" i="1"/>
  <c r="N118" i="1"/>
  <c r="K63" i="1"/>
  <c r="N27" i="1"/>
  <c r="N206" i="1"/>
  <c r="AB142" i="1"/>
  <c r="N49" i="1"/>
  <c r="N110" i="1"/>
  <c r="AB179" i="1"/>
  <c r="AB168" i="1"/>
  <c r="N52" i="1"/>
  <c r="AB233" i="1"/>
  <c r="N127" i="1"/>
  <c r="N135" i="1"/>
  <c r="N64" i="1"/>
  <c r="AB150" i="1"/>
  <c r="N144" i="1"/>
  <c r="N93" i="1"/>
  <c r="N184" i="1"/>
  <c r="AB176" i="1"/>
  <c r="K166" i="1"/>
  <c r="N227" i="1"/>
  <c r="K70" i="1"/>
  <c r="N245" i="1"/>
  <c r="K244" i="1"/>
  <c r="K137" i="1"/>
  <c r="N84" i="1"/>
  <c r="AB251" i="1"/>
  <c r="N119" i="1"/>
  <c r="N41" i="1"/>
  <c r="K95" i="1"/>
  <c r="AB203" i="1"/>
  <c r="K221" i="1"/>
  <c r="N180" i="1"/>
  <c r="J214" i="1"/>
  <c r="N85" i="1"/>
  <c r="K223" i="1"/>
  <c r="N92" i="1"/>
  <c r="N73" i="1"/>
  <c r="AB171" i="1"/>
  <c r="K37" i="1"/>
  <c r="K239" i="1"/>
  <c r="J156" i="1"/>
  <c r="J82" i="1"/>
  <c r="K235" i="1"/>
  <c r="N198" i="1"/>
  <c r="K62" i="1"/>
  <c r="K97" i="1"/>
  <c r="N65" i="1"/>
  <c r="J110" i="1"/>
  <c r="K28" i="1"/>
  <c r="K100" i="1"/>
  <c r="N128" i="1"/>
  <c r="N140" i="1"/>
  <c r="K77" i="1"/>
  <c r="N67" i="1"/>
  <c r="K216" i="1"/>
  <c r="N249" i="1"/>
  <c r="AB193" i="1"/>
  <c r="K55" i="1"/>
  <c r="K248" i="1"/>
  <c r="J94" i="1"/>
  <c r="J127" i="1"/>
  <c r="G221" i="1"/>
  <c r="E213" i="1"/>
  <c r="E106" i="1"/>
  <c r="K154" i="1"/>
  <c r="K36" i="1"/>
  <c r="J28" i="1"/>
  <c r="J69" i="1"/>
  <c r="J188" i="1"/>
  <c r="J177" i="1"/>
  <c r="G134" i="1"/>
  <c r="G193" i="1"/>
  <c r="J197" i="1"/>
  <c r="K181" i="1"/>
  <c r="K80" i="1"/>
  <c r="J87" i="1"/>
  <c r="K89" i="1"/>
  <c r="E21" i="1"/>
  <c r="J125" i="1"/>
  <c r="J48" i="1"/>
  <c r="G113" i="1"/>
  <c r="G212" i="1"/>
  <c r="J78" i="1"/>
  <c r="J248" i="1"/>
  <c r="K69" i="1"/>
  <c r="G135" i="1"/>
  <c r="J244" i="1"/>
  <c r="E144" i="1"/>
  <c r="E158" i="1"/>
  <c r="J180" i="1"/>
  <c r="K49" i="1"/>
  <c r="J215" i="1"/>
  <c r="K113" i="1"/>
  <c r="J68" i="1"/>
  <c r="G20" i="1"/>
  <c r="G195" i="1"/>
  <c r="G217" i="1"/>
  <c r="G24" i="1"/>
  <c r="G81" i="1"/>
  <c r="E39" i="1"/>
  <c r="E191" i="1"/>
  <c r="N21" i="1"/>
  <c r="N173" i="1"/>
  <c r="K158" i="1"/>
  <c r="AB165" i="1"/>
  <c r="N138" i="1"/>
  <c r="AB202" i="1"/>
  <c r="N89" i="1"/>
  <c r="N70" i="1"/>
  <c r="K191" i="1"/>
  <c r="N157" i="1"/>
  <c r="N105" i="1"/>
  <c r="K103" i="1"/>
  <c r="N120" i="1"/>
  <c r="N190" i="1"/>
  <c r="N188" i="1"/>
  <c r="K132" i="1"/>
  <c r="N241" i="1"/>
  <c r="K250" i="1"/>
  <c r="K232" i="1"/>
  <c r="K147" i="1"/>
  <c r="J245" i="1"/>
  <c r="N18" i="1"/>
  <c r="N30" i="1"/>
  <c r="AB151" i="1"/>
  <c r="N151" i="1"/>
  <c r="K26" i="1"/>
  <c r="K87" i="1"/>
  <c r="N185" i="1"/>
  <c r="AB214" i="1"/>
  <c r="N179" i="1"/>
  <c r="J22" i="1"/>
  <c r="N251" i="1"/>
  <c r="J137" i="1"/>
  <c r="J238" i="1"/>
  <c r="N66" i="1"/>
  <c r="K106" i="1"/>
  <c r="J103" i="1"/>
  <c r="K42" i="1"/>
  <c r="G9" i="1"/>
  <c r="J161" i="1"/>
  <c r="G59" i="1"/>
  <c r="G225" i="1"/>
  <c r="G203" i="1"/>
  <c r="G167" i="1"/>
  <c r="E16" i="1"/>
  <c r="G125" i="1"/>
  <c r="K130" i="1"/>
  <c r="N164" i="1"/>
  <c r="K211" i="1"/>
  <c r="J122" i="1"/>
  <c r="K184" i="1"/>
  <c r="N147" i="1"/>
  <c r="J40" i="1"/>
  <c r="J231" i="1"/>
  <c r="G162" i="1"/>
  <c r="E182" i="1"/>
  <c r="K186" i="1"/>
  <c r="J199" i="1"/>
  <c r="J95" i="1"/>
  <c r="J105" i="1"/>
  <c r="J221" i="1"/>
  <c r="G90" i="1"/>
  <c r="G5" i="1"/>
  <c r="G72" i="1"/>
  <c r="J57" i="1"/>
  <c r="E53" i="1"/>
  <c r="E84" i="1"/>
  <c r="G126" i="1"/>
  <c r="J146" i="1"/>
  <c r="E201" i="1"/>
  <c r="K200" i="1"/>
  <c r="J168" i="1"/>
  <c r="K195" i="1"/>
  <c r="K116" i="1"/>
  <c r="J93" i="1"/>
  <c r="E4" i="1"/>
  <c r="J106" i="1"/>
  <c r="K201" i="1"/>
  <c r="N86" i="1"/>
  <c r="AB199" i="1"/>
  <c r="N97" i="1"/>
  <c r="AB163" i="1"/>
  <c r="AB184" i="1"/>
  <c r="AB175" i="1"/>
  <c r="AB185" i="1"/>
  <c r="AB103" i="1"/>
  <c r="K218" i="1"/>
  <c r="K45" i="1"/>
  <c r="N187" i="1"/>
  <c r="N148" i="1"/>
  <c r="N194" i="1"/>
  <c r="N36" i="1"/>
  <c r="N136" i="1"/>
  <c r="K57" i="1"/>
  <c r="N181" i="1"/>
  <c r="AB186" i="1"/>
  <c r="N20" i="1"/>
  <c r="K171" i="1"/>
  <c r="J158" i="1"/>
  <c r="N50" i="1"/>
  <c r="K84" i="1"/>
  <c r="N240" i="1"/>
  <c r="K88" i="1"/>
  <c r="J246" i="1"/>
  <c r="N146" i="1"/>
  <c r="N158" i="1"/>
  <c r="K111" i="1"/>
  <c r="N208" i="1"/>
  <c r="K242" i="1"/>
  <c r="AB149" i="1"/>
  <c r="N218" i="1"/>
  <c r="K226" i="1"/>
  <c r="J56" i="1"/>
  <c r="K29" i="1"/>
  <c r="K153" i="1"/>
  <c r="G85" i="1"/>
  <c r="K251" i="1"/>
  <c r="G169" i="1"/>
  <c r="E195" i="1"/>
  <c r="G21" i="1"/>
  <c r="G160" i="1"/>
  <c r="E231" i="1"/>
  <c r="N213" i="1"/>
  <c r="K117" i="1"/>
  <c r="J23" i="1"/>
  <c r="K108" i="1"/>
  <c r="J222" i="1"/>
  <c r="K144" i="1"/>
  <c r="E140" i="1"/>
  <c r="G112" i="1"/>
  <c r="AB167" i="1"/>
  <c r="K119" i="1"/>
  <c r="J138" i="1"/>
  <c r="K68" i="1"/>
  <c r="J184" i="1"/>
  <c r="G208" i="1"/>
  <c r="J116" i="1"/>
  <c r="J54" i="1"/>
  <c r="J203" i="1"/>
  <c r="J234" i="1"/>
  <c r="J205" i="1"/>
  <c r="N24" i="1"/>
  <c r="G182" i="1"/>
  <c r="G43" i="1"/>
  <c r="E61" i="1"/>
  <c r="E156" i="1"/>
  <c r="E249" i="1"/>
  <c r="K61" i="1"/>
  <c r="E116" i="1"/>
  <c r="AB247" i="1"/>
  <c r="K96" i="1"/>
  <c r="K213" i="1"/>
  <c r="J25" i="1"/>
  <c r="J206" i="1"/>
  <c r="K21" i="1"/>
  <c r="J183" i="1"/>
  <c r="G241" i="1"/>
  <c r="E171" i="1"/>
  <c r="N106" i="1"/>
  <c r="AB224" i="1"/>
  <c r="AB106" i="1"/>
  <c r="AB200" i="1"/>
  <c r="N61" i="1"/>
  <c r="N246" i="1"/>
  <c r="N149" i="1"/>
  <c r="AB128" i="1"/>
  <c r="AB192" i="1"/>
  <c r="K139" i="1"/>
  <c r="AB113" i="1"/>
  <c r="N237" i="1"/>
  <c r="N193" i="1"/>
  <c r="N124" i="1"/>
  <c r="K228" i="1"/>
  <c r="N216" i="1"/>
  <c r="K237" i="1"/>
  <c r="J135" i="1"/>
  <c r="K177" i="1"/>
  <c r="N233" i="1"/>
  <c r="K185" i="1"/>
  <c r="N8" i="1"/>
  <c r="N178" i="1"/>
  <c r="N210" i="1"/>
  <c r="K152" i="1"/>
  <c r="J216" i="1"/>
  <c r="N172" i="1"/>
  <c r="K196" i="1"/>
  <c r="N174" i="1"/>
  <c r="K163" i="1"/>
  <c r="K72" i="1"/>
  <c r="J207" i="1"/>
  <c r="J162" i="1"/>
  <c r="J210" i="1"/>
  <c r="E85" i="1"/>
  <c r="G10" i="1"/>
  <c r="E96" i="1"/>
  <c r="E146" i="1"/>
  <c r="E118" i="1"/>
  <c r="E187" i="1"/>
  <c r="AB226" i="1"/>
  <c r="J167" i="1"/>
  <c r="K170" i="1"/>
  <c r="G249" i="1"/>
  <c r="G142" i="1"/>
  <c r="E20" i="1"/>
  <c r="K122" i="1"/>
  <c r="J71" i="1"/>
  <c r="J31" i="1"/>
  <c r="J41" i="1"/>
  <c r="J242" i="1"/>
  <c r="G84" i="1"/>
  <c r="G181" i="1"/>
  <c r="E172" i="1"/>
  <c r="J59" i="1"/>
  <c r="J172" i="1"/>
  <c r="K212" i="1"/>
  <c r="G236" i="1"/>
  <c r="E35" i="1"/>
  <c r="E240" i="1"/>
  <c r="J164" i="1"/>
  <c r="N37" i="1"/>
  <c r="J159" i="1"/>
  <c r="J169" i="1"/>
  <c r="J47" i="1"/>
  <c r="G22" i="1"/>
  <c r="G73" i="1"/>
  <c r="J185" i="1"/>
  <c r="G123" i="1"/>
  <c r="E244" i="1"/>
  <c r="G248" i="1"/>
  <c r="E243" i="1"/>
  <c r="AB213" i="1"/>
  <c r="N99" i="1"/>
  <c r="AB112" i="1"/>
  <c r="N39" i="1"/>
  <c r="N130" i="1"/>
  <c r="AB173" i="1"/>
  <c r="N250" i="1"/>
  <c r="N116" i="1"/>
  <c r="K66" i="1"/>
  <c r="AB238" i="1"/>
  <c r="AB169" i="1"/>
  <c r="K246" i="1"/>
  <c r="N235" i="1"/>
  <c r="K54" i="1"/>
  <c r="K207" i="1"/>
  <c r="N177" i="1"/>
  <c r="N248" i="1"/>
  <c r="N47" i="1"/>
  <c r="K24" i="1"/>
  <c r="J182" i="1"/>
  <c r="K179" i="1"/>
  <c r="J88" i="1"/>
  <c r="K27" i="1"/>
  <c r="N153" i="1"/>
  <c r="K78" i="1"/>
  <c r="K114" i="1"/>
  <c r="AB204" i="1"/>
  <c r="N141" i="1"/>
  <c r="N9" i="1"/>
  <c r="K156" i="1"/>
  <c r="K249" i="1"/>
  <c r="K134" i="1"/>
  <c r="N42" i="1"/>
  <c r="J73" i="1"/>
  <c r="K110" i="1"/>
  <c r="N197" i="1"/>
  <c r="K64" i="1"/>
  <c r="N244" i="1"/>
  <c r="K229" i="1"/>
  <c r="K98" i="1"/>
  <c r="K109" i="1"/>
  <c r="E68" i="1"/>
  <c r="J154" i="1"/>
  <c r="E65" i="1"/>
  <c r="G175" i="1"/>
  <c r="G152" i="1"/>
  <c r="E154" i="1"/>
  <c r="K23" i="1"/>
  <c r="J166" i="1"/>
  <c r="J120" i="1"/>
  <c r="K157" i="1"/>
  <c r="K82" i="1"/>
  <c r="G238" i="1"/>
  <c r="J229" i="1"/>
  <c r="J139" i="1"/>
  <c r="J50" i="1"/>
  <c r="G128" i="1"/>
  <c r="G75" i="1"/>
  <c r="J171" i="1"/>
  <c r="K141" i="1"/>
  <c r="K168" i="1"/>
  <c r="J220" i="1"/>
  <c r="K187" i="1"/>
  <c r="K34" i="1"/>
  <c r="E246" i="1"/>
  <c r="G185" i="1"/>
  <c r="J51" i="1"/>
  <c r="K25" i="1"/>
  <c r="G28" i="1"/>
  <c r="G218" i="1"/>
  <c r="E217" i="1"/>
  <c r="G15" i="1"/>
  <c r="J118" i="1"/>
  <c r="J201" i="1"/>
  <c r="K151" i="1"/>
  <c r="J114" i="1"/>
  <c r="J115" i="1"/>
  <c r="G102" i="1"/>
  <c r="G156" i="1"/>
  <c r="E192" i="1"/>
  <c r="N94" i="1"/>
  <c r="N189" i="1"/>
  <c r="N72" i="1"/>
  <c r="AB118" i="1"/>
  <c r="N58" i="1"/>
  <c r="N48" i="1"/>
  <c r="N19" i="1"/>
  <c r="AB156" i="1"/>
  <c r="N82" i="1"/>
  <c r="N232" i="1"/>
  <c r="AB130" i="1"/>
  <c r="AB109" i="1"/>
  <c r="K159" i="1"/>
  <c r="N43" i="1"/>
  <c r="AB194" i="1"/>
  <c r="K180" i="1"/>
  <c r="N228" i="1"/>
  <c r="N170" i="1"/>
  <c r="K121" i="1"/>
  <c r="N212" i="1"/>
  <c r="K245" i="1"/>
  <c r="J38" i="1"/>
  <c r="AB108" i="1"/>
  <c r="K35" i="1"/>
  <c r="N109" i="1"/>
  <c r="N205" i="1"/>
  <c r="K178" i="1"/>
  <c r="AB240" i="1"/>
  <c r="N32" i="1"/>
  <c r="K126" i="1"/>
  <c r="K161" i="1"/>
  <c r="J174" i="1"/>
  <c r="K85" i="1"/>
  <c r="K190" i="1"/>
  <c r="N4" i="1"/>
  <c r="K92" i="1"/>
  <c r="J181" i="1"/>
  <c r="J155" i="1"/>
  <c r="J84" i="1"/>
  <c r="K123" i="1"/>
  <c r="G41" i="1"/>
  <c r="J80" i="1"/>
  <c r="G233" i="1"/>
  <c r="E174" i="1"/>
  <c r="K71" i="1"/>
  <c r="J144" i="1"/>
  <c r="G211" i="1"/>
  <c r="J250" i="1"/>
  <c r="K209" i="1"/>
  <c r="J108" i="1"/>
  <c r="K247" i="1"/>
  <c r="J134" i="1"/>
  <c r="E67" i="1"/>
  <c r="J157" i="1"/>
  <c r="N215" i="1"/>
  <c r="J198" i="1"/>
  <c r="N57" i="1"/>
  <c r="J35" i="1"/>
  <c r="K210" i="1"/>
  <c r="G104" i="1"/>
  <c r="J45" i="1"/>
  <c r="J235" i="1"/>
  <c r="E228" i="1"/>
  <c r="G23" i="1"/>
  <c r="G230" i="1"/>
  <c r="J123" i="1"/>
  <c r="J236" i="1"/>
  <c r="K136" i="1"/>
  <c r="J109" i="1"/>
  <c r="J119" i="1"/>
  <c r="G157" i="1"/>
  <c r="E149" i="1"/>
  <c r="E236" i="1"/>
  <c r="E73" i="1"/>
  <c r="E22" i="1"/>
  <c r="G194" i="1"/>
  <c r="K160" i="1"/>
  <c r="AB155" i="1"/>
  <c r="K199" i="1"/>
  <c r="AB183" i="1"/>
  <c r="N159" i="1"/>
  <c r="K231" i="1"/>
  <c r="J79" i="1"/>
  <c r="N199" i="1"/>
  <c r="K99" i="1"/>
  <c r="K90" i="1"/>
  <c r="K143" i="1"/>
  <c r="K233" i="1"/>
  <c r="J75" i="1"/>
  <c r="J186" i="1"/>
  <c r="J43" i="1"/>
  <c r="J92" i="1"/>
  <c r="E44" i="1"/>
  <c r="K217" i="1"/>
  <c r="G147" i="1"/>
  <c r="G133" i="1"/>
  <c r="J64" i="1"/>
  <c r="J243" i="1"/>
  <c r="K176" i="1"/>
  <c r="G228" i="1"/>
  <c r="E129" i="1"/>
  <c r="E58" i="1"/>
  <c r="J96" i="1"/>
  <c r="K227" i="1"/>
  <c r="J126" i="1"/>
  <c r="J196" i="1"/>
  <c r="G117" i="1"/>
  <c r="J170" i="1"/>
  <c r="E108" i="1"/>
  <c r="E196" i="1"/>
  <c r="E226" i="1"/>
  <c r="E59" i="1"/>
  <c r="G82" i="1"/>
  <c r="E204" i="1"/>
  <c r="G141" i="1"/>
  <c r="E107" i="1"/>
  <c r="G154" i="1"/>
  <c r="G166" i="1"/>
  <c r="E242" i="1"/>
  <c r="E210" i="1"/>
  <c r="E10" i="1"/>
  <c r="E36" i="1"/>
  <c r="E184" i="1"/>
  <c r="E87" i="1"/>
  <c r="G111" i="1"/>
  <c r="AB208" i="1"/>
  <c r="N171" i="1"/>
  <c r="K206" i="1"/>
  <c r="K224" i="1"/>
  <c r="AB221" i="1"/>
  <c r="K33" i="1"/>
  <c r="N44" i="1"/>
  <c r="K165" i="1"/>
  <c r="AB134" i="1"/>
  <c r="K83" i="1"/>
  <c r="J74" i="1"/>
  <c r="J148" i="1"/>
  <c r="K31" i="1"/>
  <c r="J44" i="1"/>
  <c r="J212" i="1"/>
  <c r="J37" i="1"/>
  <c r="N191" i="1"/>
  <c r="K67" i="1"/>
  <c r="E139" i="1"/>
  <c r="G27" i="1"/>
  <c r="G19" i="1"/>
  <c r="J99" i="1"/>
  <c r="G105" i="1"/>
  <c r="K43" i="1"/>
  <c r="J251" i="1"/>
  <c r="J226" i="1"/>
  <c r="G48" i="1"/>
  <c r="J65" i="1"/>
  <c r="E117" i="1"/>
  <c r="E178" i="1"/>
  <c r="E102" i="1"/>
  <c r="G3" i="1"/>
  <c r="K169" i="1"/>
  <c r="AB189" i="1"/>
  <c r="K208" i="1"/>
  <c r="N12" i="1"/>
  <c r="K230" i="1"/>
  <c r="K183" i="1"/>
  <c r="J124" i="1"/>
  <c r="E229" i="1"/>
  <c r="K173" i="1"/>
  <c r="J98" i="1"/>
  <c r="G237" i="1"/>
  <c r="K59" i="1"/>
  <c r="J241" i="1"/>
  <c r="J86" i="1"/>
  <c r="J21" i="1"/>
  <c r="E132" i="1"/>
  <c r="G16" i="1"/>
  <c r="E13" i="1"/>
  <c r="E91" i="1"/>
  <c r="G14" i="1"/>
  <c r="E14" i="1"/>
  <c r="K65" i="1"/>
  <c r="J30" i="1"/>
  <c r="J153" i="1"/>
  <c r="J230" i="1"/>
  <c r="J63" i="1"/>
  <c r="G93" i="1"/>
  <c r="E3" i="1"/>
  <c r="J149" i="1"/>
  <c r="J72" i="1"/>
  <c r="G7" i="1"/>
  <c r="G88" i="1"/>
  <c r="G188" i="1"/>
  <c r="E225" i="1"/>
  <c r="E27" i="1"/>
  <c r="J217" i="1"/>
  <c r="J200" i="1"/>
  <c r="G122" i="1"/>
  <c r="E234" i="1"/>
  <c r="J239" i="1"/>
  <c r="N101" i="1"/>
  <c r="E209" i="1"/>
  <c r="E241" i="1"/>
  <c r="J218" i="1"/>
  <c r="G40" i="1"/>
  <c r="E162" i="1"/>
  <c r="E64" i="1"/>
  <c r="G192" i="1"/>
  <c r="E142" i="1"/>
  <c r="E230" i="1"/>
  <c r="K105" i="1"/>
  <c r="E165" i="1"/>
  <c r="AB196" i="1"/>
  <c r="N166" i="1"/>
  <c r="K234" i="1"/>
  <c r="AB250" i="1"/>
  <c r="AB162" i="1"/>
  <c r="J117" i="1"/>
  <c r="N3" i="1"/>
  <c r="N204" i="1"/>
  <c r="K189" i="1"/>
  <c r="J208" i="1"/>
  <c r="J70" i="1"/>
  <c r="G213" i="1"/>
  <c r="K47" i="1"/>
  <c r="G183" i="1"/>
  <c r="E89" i="1"/>
  <c r="G144" i="1"/>
  <c r="N223" i="1"/>
  <c r="K167" i="1"/>
  <c r="J163" i="1"/>
  <c r="G145" i="1"/>
  <c r="J133" i="1"/>
  <c r="K197" i="1"/>
  <c r="G74" i="1"/>
  <c r="J81" i="1"/>
  <c r="E120" i="1"/>
  <c r="K107" i="1"/>
  <c r="J24" i="1"/>
  <c r="N46" i="1"/>
  <c r="J90" i="1"/>
  <c r="N15" i="1"/>
  <c r="AB152" i="1"/>
  <c r="N226" i="1"/>
  <c r="AB181" i="1"/>
  <c r="N31" i="1"/>
  <c r="K182" i="1"/>
  <c r="N161" i="1"/>
  <c r="K215" i="1"/>
  <c r="J26" i="1"/>
  <c r="E56" i="1"/>
  <c r="E75" i="1"/>
  <c r="J58" i="1"/>
  <c r="J219" i="1"/>
  <c r="G130" i="1"/>
  <c r="K155" i="1"/>
  <c r="G174" i="1"/>
  <c r="G226" i="1"/>
  <c r="K149" i="1"/>
  <c r="J165" i="1"/>
  <c r="E159" i="1"/>
  <c r="J62" i="1"/>
  <c r="K124" i="1"/>
  <c r="J232" i="1"/>
  <c r="K91" i="1"/>
  <c r="E221" i="1"/>
  <c r="E62" i="1"/>
  <c r="G108" i="1"/>
  <c r="E202" i="1"/>
  <c r="K79" i="1"/>
  <c r="K138" i="1"/>
  <c r="K188" i="1"/>
  <c r="J189" i="1"/>
  <c r="G131" i="1"/>
  <c r="J32" i="1"/>
  <c r="G49" i="1"/>
  <c r="G148" i="1"/>
  <c r="G245" i="1"/>
  <c r="J193" i="1"/>
  <c r="G187" i="1"/>
  <c r="K74" i="1"/>
  <c r="E38" i="1"/>
  <c r="G219" i="1"/>
  <c r="G127" i="1"/>
  <c r="G95" i="1"/>
  <c r="J225" i="1"/>
  <c r="J152" i="1"/>
  <c r="E232" i="1"/>
  <c r="E103" i="1"/>
  <c r="E12" i="1"/>
  <c r="G109" i="1"/>
  <c r="N156" i="1"/>
  <c r="G115" i="1"/>
  <c r="E17" i="1"/>
  <c r="E80" i="1"/>
  <c r="E48" i="1"/>
  <c r="E150" i="1"/>
  <c r="K128" i="1"/>
  <c r="G132" i="1"/>
  <c r="E30" i="1"/>
  <c r="N11" i="1"/>
  <c r="AB222" i="1"/>
  <c r="N154" i="1"/>
  <c r="K118" i="1"/>
  <c r="N131" i="1"/>
  <c r="N83" i="1"/>
  <c r="K50" i="1"/>
  <c r="K101" i="1"/>
  <c r="K140" i="1"/>
  <c r="AB137" i="1"/>
  <c r="K225" i="1"/>
  <c r="G53" i="1"/>
  <c r="G137" i="1"/>
  <c r="J209" i="1"/>
  <c r="K104" i="1"/>
  <c r="J42" i="1"/>
  <c r="J194" i="1"/>
  <c r="J151" i="1"/>
  <c r="G106" i="1"/>
  <c r="G63" i="1"/>
  <c r="G51" i="1"/>
  <c r="N113" i="1"/>
  <c r="K41" i="1"/>
  <c r="J89" i="1"/>
  <c r="J102" i="1"/>
  <c r="G172" i="1"/>
  <c r="G176" i="1"/>
  <c r="G197" i="1"/>
  <c r="G178" i="1"/>
  <c r="E181" i="1"/>
  <c r="E127" i="1"/>
  <c r="N23" i="1"/>
  <c r="K125" i="1"/>
  <c r="J66" i="1"/>
  <c r="E251" i="1"/>
  <c r="G139" i="1"/>
  <c r="E212" i="1"/>
  <c r="E19" i="1"/>
  <c r="N14" i="1"/>
  <c r="AB124" i="1"/>
  <c r="N225" i="1"/>
  <c r="K142" i="1"/>
  <c r="E123" i="1"/>
  <c r="K75" i="1"/>
  <c r="G66" i="1"/>
  <c r="J179" i="1"/>
  <c r="J132" i="1"/>
  <c r="N201" i="1"/>
  <c r="J129" i="1"/>
  <c r="G78" i="1"/>
  <c r="E199" i="1"/>
  <c r="E223" i="1"/>
  <c r="E69" i="1"/>
  <c r="E219" i="1"/>
  <c r="G92" i="1"/>
  <c r="G98" i="1"/>
  <c r="E74" i="1"/>
  <c r="G29" i="1"/>
  <c r="J91" i="1"/>
  <c r="G101" i="1"/>
  <c r="G140" i="1"/>
  <c r="G45" i="1"/>
  <c r="J60" i="1"/>
  <c r="E121" i="1"/>
  <c r="E41" i="1"/>
  <c r="E60" i="1"/>
  <c r="E105" i="1"/>
  <c r="G68" i="1"/>
  <c r="E220" i="1"/>
  <c r="G37" i="1"/>
  <c r="J85" i="1"/>
  <c r="E200" i="1"/>
  <c r="G171" i="1"/>
  <c r="K198" i="1"/>
  <c r="E45" i="1"/>
  <c r="E110" i="1"/>
  <c r="E148" i="1"/>
  <c r="K133" i="1"/>
  <c r="G168" i="1"/>
  <c r="E190" i="1"/>
  <c r="E83" i="1"/>
  <c r="G204" i="1"/>
  <c r="E37" i="1"/>
  <c r="E46" i="1"/>
  <c r="E18" i="1"/>
  <c r="E141" i="1"/>
  <c r="E124" i="1"/>
  <c r="E2" i="1"/>
  <c r="G17" i="1"/>
  <c r="K148" i="1"/>
  <c r="E49" i="1"/>
  <c r="G177" i="1"/>
  <c r="J39" i="1"/>
  <c r="E197" i="1"/>
  <c r="J33" i="1"/>
  <c r="E138" i="1"/>
  <c r="G170" i="1"/>
  <c r="E125" i="1"/>
  <c r="G200" i="1"/>
  <c r="E9" i="1"/>
  <c r="E24" i="1"/>
  <c r="E115" i="1"/>
  <c r="G205" i="1"/>
  <c r="E168" i="1"/>
  <c r="E180" i="1"/>
  <c r="E167" i="1"/>
  <c r="K56" i="1"/>
  <c r="E93" i="1"/>
  <c r="E29" i="1"/>
  <c r="E203" i="1"/>
  <c r="K204" i="1"/>
  <c r="E185" i="1"/>
  <c r="E42" i="1"/>
  <c r="N62" i="1"/>
  <c r="G62" i="1"/>
  <c r="G6" i="1"/>
  <c r="E179" i="1"/>
  <c r="E70" i="1"/>
  <c r="G30" i="1"/>
  <c r="N247" i="1"/>
  <c r="G55" i="1"/>
  <c r="K44" i="1"/>
  <c r="K194" i="1"/>
  <c r="J104" i="1"/>
  <c r="J52" i="1"/>
  <c r="J27" i="1"/>
  <c r="G149" i="1"/>
  <c r="J140" i="1"/>
  <c r="J83" i="1"/>
  <c r="E216" i="1"/>
  <c r="G47" i="1"/>
  <c r="E164" i="1"/>
  <c r="J192" i="1"/>
  <c r="E157" i="1"/>
  <c r="G36" i="1"/>
  <c r="J173" i="1"/>
  <c r="E206" i="1"/>
  <c r="J49" i="1"/>
  <c r="E25" i="1"/>
  <c r="E183" i="1"/>
  <c r="E82" i="1"/>
  <c r="J34" i="1"/>
  <c r="G240" i="1"/>
  <c r="J97" i="1"/>
  <c r="E8" i="1"/>
  <c r="G184" i="1"/>
  <c r="J130" i="1"/>
  <c r="G138" i="1"/>
  <c r="G38" i="1"/>
  <c r="E79" i="1"/>
  <c r="J237" i="1"/>
  <c r="G103" i="1"/>
  <c r="J136" i="1"/>
  <c r="E248" i="1"/>
  <c r="E250" i="1"/>
  <c r="E6" i="1"/>
  <c r="G100" i="1"/>
  <c r="G13" i="1"/>
  <c r="J249" i="1"/>
  <c r="E40" i="1"/>
  <c r="E189" i="1"/>
  <c r="E235" i="1"/>
  <c r="G242" i="1"/>
  <c r="J211" i="1"/>
  <c r="G159" i="1"/>
  <c r="E113" i="1"/>
  <c r="G4" i="1"/>
  <c r="J143" i="1"/>
  <c r="K150" i="1"/>
  <c r="AB209" i="1"/>
  <c r="AB180" i="1"/>
  <c r="AB195" i="1"/>
  <c r="J113" i="1"/>
  <c r="J141" i="1"/>
  <c r="K236" i="1"/>
  <c r="K73" i="1"/>
  <c r="G39" i="1"/>
  <c r="G110" i="1"/>
  <c r="G25" i="1"/>
  <c r="AB117" i="1"/>
  <c r="G215" i="1"/>
  <c r="J142" i="1"/>
  <c r="E131" i="1"/>
  <c r="E137" i="1"/>
  <c r="J121" i="1"/>
  <c r="G206" i="1"/>
  <c r="J247" i="1"/>
  <c r="E95" i="1"/>
  <c r="E166" i="1"/>
  <c r="E76" i="1"/>
  <c r="G70" i="1"/>
  <c r="E109" i="1"/>
  <c r="J160" i="1"/>
  <c r="E98" i="1"/>
  <c r="G96" i="1"/>
  <c r="E239" i="1"/>
  <c r="N231" i="1"/>
  <c r="G83" i="1"/>
  <c r="G231" i="1"/>
  <c r="E194" i="1"/>
  <c r="K120" i="1"/>
  <c r="G94" i="1"/>
  <c r="E160" i="1"/>
  <c r="G150" i="1"/>
  <c r="G143" i="1"/>
  <c r="J204" i="1"/>
  <c r="E81" i="1"/>
  <c r="E55" i="1"/>
  <c r="E133" i="1"/>
  <c r="G18" i="1"/>
  <c r="E147" i="1"/>
  <c r="G239" i="1"/>
  <c r="J224" i="1"/>
  <c r="G120" i="1"/>
  <c r="G246" i="1"/>
  <c r="E50" i="1"/>
  <c r="E7" i="1"/>
  <c r="G60" i="1"/>
  <c r="G151" i="1"/>
  <c r="G89" i="1"/>
  <c r="E238" i="1"/>
  <c r="G223" i="1"/>
  <c r="E173" i="1"/>
  <c r="G32" i="1"/>
  <c r="E26" i="1"/>
  <c r="E222" i="1"/>
  <c r="E122" i="1"/>
  <c r="J55" i="1"/>
  <c r="E101" i="1"/>
  <c r="K48" i="1"/>
  <c r="J112" i="1"/>
  <c r="G179" i="1"/>
  <c r="J76" i="1"/>
  <c r="G173" i="1"/>
  <c r="J187" i="1"/>
  <c r="J111" i="1"/>
  <c r="J178" i="1"/>
  <c r="E78" i="1"/>
  <c r="E193" i="1"/>
  <c r="J46" i="1"/>
  <c r="K81" i="1"/>
  <c r="J29" i="1"/>
  <c r="AB245" i="1"/>
  <c r="N81" i="1"/>
  <c r="J223" i="1"/>
  <c r="K115" i="1"/>
  <c r="K219" i="1"/>
  <c r="J147" i="1"/>
  <c r="E11" i="1"/>
  <c r="G107" i="1"/>
  <c r="E134" i="1"/>
  <c r="E23" i="1"/>
  <c r="J77" i="1"/>
  <c r="K202" i="1"/>
  <c r="E177" i="1"/>
  <c r="G116" i="1"/>
  <c r="G199" i="1"/>
  <c r="G153" i="1"/>
  <c r="E237" i="1"/>
  <c r="G186" i="1"/>
  <c r="G161" i="1"/>
  <c r="E51" i="1"/>
  <c r="E32" i="1"/>
  <c r="G124" i="1"/>
  <c r="E245" i="1"/>
  <c r="G67" i="1"/>
  <c r="G235" i="1"/>
  <c r="E145" i="1"/>
  <c r="K220" i="1"/>
  <c r="G201" i="1"/>
  <c r="N40" i="1"/>
  <c r="K203" i="1"/>
  <c r="N133" i="1"/>
  <c r="N25" i="1"/>
  <c r="G190" i="1"/>
  <c r="J176" i="1"/>
  <c r="K162" i="1"/>
  <c r="K51" i="1"/>
  <c r="J202" i="1"/>
  <c r="G196" i="1"/>
  <c r="G2" i="1"/>
  <c r="G52" i="1"/>
  <c r="J175" i="1"/>
  <c r="G79" i="1"/>
  <c r="K60" i="1"/>
  <c r="N60" i="1"/>
  <c r="G189" i="1"/>
  <c r="E143" i="1"/>
  <c r="G224" i="1"/>
  <c r="K39" i="1"/>
  <c r="G69" i="1"/>
  <c r="K52" i="1"/>
  <c r="N183" i="1"/>
  <c r="G80" i="1"/>
  <c r="E54" i="1"/>
  <c r="E104" i="1"/>
  <c r="J53" i="1"/>
  <c r="N112" i="1"/>
  <c r="G114" i="1"/>
  <c r="E34" i="1"/>
  <c r="E119" i="1"/>
  <c r="G214" i="1"/>
  <c r="N211" i="1"/>
  <c r="G164" i="1"/>
  <c r="E205" i="1"/>
  <c r="G163" i="1"/>
  <c r="G216" i="1"/>
  <c r="E100" i="1"/>
  <c r="E153" i="1"/>
  <c r="E152" i="1"/>
  <c r="E186" i="1"/>
  <c r="J213" i="1"/>
  <c r="E92" i="1"/>
  <c r="E5" i="1"/>
  <c r="K146" i="1"/>
  <c r="E128" i="1"/>
  <c r="E126" i="1"/>
  <c r="G129" i="1"/>
  <c r="E33" i="1"/>
  <c r="J145" i="1"/>
  <c r="K241" i="1"/>
  <c r="G202" i="1"/>
  <c r="J100" i="1"/>
  <c r="E218" i="1"/>
  <c r="E57" i="1"/>
  <c r="K240" i="1"/>
  <c r="G42" i="1"/>
  <c r="G77" i="1"/>
  <c r="E161" i="1"/>
  <c r="G91" i="1"/>
  <c r="N63" i="1"/>
  <c r="G243" i="1"/>
  <c r="E188" i="1"/>
  <c r="E28" i="1"/>
  <c r="E155" i="1"/>
  <c r="E163" i="1"/>
  <c r="G57" i="1"/>
  <c r="E111" i="1"/>
  <c r="N155" i="1"/>
  <c r="AB201" i="1"/>
  <c r="K112" i="1"/>
  <c r="K172" i="1"/>
  <c r="K46" i="1"/>
  <c r="G86" i="1"/>
  <c r="J131" i="1"/>
  <c r="N239" i="1"/>
  <c r="J233" i="1"/>
  <c r="G35" i="1"/>
  <c r="E170" i="1"/>
  <c r="N13" i="1"/>
  <c r="J128" i="1"/>
  <c r="J191" i="1"/>
  <c r="G165" i="1"/>
  <c r="E77" i="1"/>
  <c r="G146" i="1"/>
  <c r="K174" i="1"/>
  <c r="E233" i="1"/>
  <c r="G222" i="1"/>
  <c r="E215" i="1"/>
  <c r="N22" i="1"/>
  <c r="G244" i="1"/>
  <c r="G58" i="1"/>
  <c r="G136" i="1"/>
  <c r="G99" i="1"/>
  <c r="J61" i="1"/>
  <c r="G250" i="1"/>
  <c r="G44" i="1"/>
  <c r="G54" i="1"/>
  <c r="G56" i="1"/>
  <c r="E97" i="1"/>
  <c r="G180" i="1"/>
  <c r="J101" i="1"/>
  <c r="E86" i="1"/>
  <c r="G34" i="1"/>
  <c r="E227" i="1"/>
  <c r="E136" i="1"/>
  <c r="E112" i="1"/>
  <c r="E214" i="1"/>
  <c r="G234" i="1"/>
  <c r="J36" i="1"/>
  <c r="G8" i="1"/>
  <c r="G220" i="1"/>
  <c r="E31" i="1"/>
  <c r="G229" i="1"/>
  <c r="G227" i="1"/>
  <c r="E15" i="1"/>
  <c r="E176" i="1"/>
  <c r="G121" i="1"/>
  <c r="G87" i="1"/>
  <c r="G119" i="1"/>
  <c r="G64" i="1"/>
  <c r="E208" i="1"/>
  <c r="E72" i="1"/>
  <c r="E71" i="1"/>
  <c r="E207" i="1"/>
  <c r="J190" i="1"/>
  <c r="G61" i="1"/>
  <c r="K93" i="1"/>
  <c r="J227" i="1"/>
  <c r="K193" i="1"/>
  <c r="G76" i="1"/>
  <c r="G31" i="1"/>
  <c r="G71" i="1"/>
  <c r="G12" i="1"/>
  <c r="E94" i="1"/>
  <c r="E52" i="1"/>
  <c r="G191" i="1"/>
  <c r="G155" i="1"/>
  <c r="E130" i="1"/>
  <c r="E175" i="1"/>
  <c r="K131" i="1"/>
  <c r="G158" i="1"/>
  <c r="G11" i="1"/>
  <c r="K145" i="1"/>
  <c r="G118" i="1"/>
  <c r="G65" i="1"/>
  <c r="G97" i="1"/>
  <c r="G232" i="1"/>
  <c r="G210" i="1"/>
  <c r="E114" i="1"/>
  <c r="E66" i="1"/>
  <c r="E90" i="1"/>
  <c r="J195" i="1"/>
  <c r="E224" i="1"/>
  <c r="J67" i="1"/>
  <c r="E43" i="1"/>
  <c r="G46" i="1"/>
  <c r="E169" i="1"/>
  <c r="G198" i="1"/>
  <c r="K76" i="1"/>
  <c r="E198" i="1"/>
  <c r="E151" i="1"/>
  <c r="J107" i="1"/>
  <c r="E47" i="1"/>
  <c r="G251" i="1"/>
  <c r="E63" i="1"/>
  <c r="J228" i="1"/>
  <c r="E88" i="1"/>
  <c r="G247" i="1"/>
  <c r="G207" i="1"/>
  <c r="E247" i="1"/>
  <c r="E99" i="1"/>
  <c r="G209" i="1"/>
  <c r="J240" i="1"/>
  <c r="K243" i="1"/>
  <c r="E211" i="1"/>
  <c r="G50" i="1"/>
  <c r="G33" i="1"/>
  <c r="G26" i="1"/>
  <c r="E135" i="1"/>
  <c r="Y28" i="1" l="1"/>
  <c r="Y27" i="1"/>
  <c r="M36" i="1"/>
  <c r="L36" i="1"/>
  <c r="O22" i="1"/>
  <c r="P22" i="1"/>
  <c r="L191" i="1"/>
  <c r="M191" i="1"/>
  <c r="M53" i="1"/>
  <c r="L53" i="1"/>
  <c r="O60" i="1"/>
  <c r="P60" i="1"/>
  <c r="M224" i="1"/>
  <c r="L224" i="1"/>
  <c r="M121" i="1"/>
  <c r="L121" i="1"/>
  <c r="M49" i="1"/>
  <c r="L49" i="1"/>
  <c r="L192" i="1"/>
  <c r="M192" i="1"/>
  <c r="O247" i="1"/>
  <c r="P247" i="1"/>
  <c r="M39" i="1"/>
  <c r="L39" i="1"/>
  <c r="F75" i="1"/>
  <c r="F201" i="1"/>
  <c r="F29" i="1"/>
  <c r="F5" i="1"/>
  <c r="F246" i="1"/>
  <c r="F92" i="1"/>
  <c r="F25" i="1"/>
  <c r="F67" i="1"/>
  <c r="F131" i="1"/>
  <c r="F12" i="1"/>
  <c r="F118" i="1"/>
  <c r="F99" i="1"/>
  <c r="F206" i="1"/>
  <c r="F239" i="1"/>
  <c r="F79" i="1"/>
  <c r="F177" i="1"/>
  <c r="F72" i="1"/>
  <c r="F107" i="1"/>
  <c r="F175" i="1"/>
  <c r="F36" i="1"/>
  <c r="F115" i="1"/>
  <c r="F105" i="1"/>
  <c r="F145" i="1"/>
  <c r="F164" i="1"/>
  <c r="F43" i="1"/>
  <c r="F28" i="1"/>
  <c r="F60" i="1"/>
  <c r="F33" i="1"/>
  <c r="F41" i="1"/>
  <c r="F236" i="1"/>
  <c r="F158" i="1"/>
  <c r="F104" i="1"/>
  <c r="F130" i="1"/>
  <c r="F191" i="1"/>
  <c r="F51" i="1"/>
  <c r="F174" i="1"/>
  <c r="F232" i="1"/>
  <c r="F53" i="1"/>
  <c r="F31" i="1"/>
  <c r="F134" i="1"/>
  <c r="F103" i="1"/>
  <c r="F139" i="1"/>
  <c r="F214" i="1"/>
  <c r="F126" i="1"/>
  <c r="F240" i="1"/>
  <c r="F80" i="1"/>
  <c r="F45" i="1"/>
  <c r="F113" i="1"/>
  <c r="F204" i="1"/>
  <c r="F9" i="1"/>
  <c r="F58" i="1"/>
  <c r="F192" i="1"/>
  <c r="F76" i="1"/>
  <c r="F187" i="1"/>
  <c r="F223" i="1"/>
  <c r="F16" i="1"/>
  <c r="F132" i="1"/>
  <c r="F196" i="1"/>
  <c r="F225" i="1"/>
  <c r="F137" i="1"/>
  <c r="F250" i="1"/>
  <c r="F98" i="1"/>
  <c r="F112" i="1"/>
  <c r="F165" i="1"/>
  <c r="F63" i="1"/>
  <c r="F194" i="1"/>
  <c r="F182" i="1"/>
  <c r="F142" i="1"/>
  <c r="F121" i="1"/>
  <c r="F54" i="1"/>
  <c r="F124" i="1"/>
  <c r="F69" i="1"/>
  <c r="F219" i="1"/>
  <c r="F153" i="1"/>
  <c r="F21" i="1"/>
  <c r="F111" i="1"/>
  <c r="F73" i="1"/>
  <c r="F116" i="1"/>
  <c r="F68" i="1"/>
  <c r="F6" i="1"/>
  <c r="F35" i="1"/>
  <c r="F189" i="1"/>
  <c r="F179" i="1"/>
  <c r="F211" i="1"/>
  <c r="F215" i="1"/>
  <c r="F231" i="1"/>
  <c r="F247" i="1"/>
  <c r="F83" i="1"/>
  <c r="F245" i="1"/>
  <c r="F198" i="1"/>
  <c r="F208" i="1"/>
  <c r="F96" i="1"/>
  <c r="F30" i="1"/>
  <c r="F123" i="1"/>
  <c r="F178" i="1"/>
  <c r="F248" i="1"/>
  <c r="F37" i="1"/>
  <c r="F218" i="1"/>
  <c r="F149" i="1"/>
  <c r="F154" i="1"/>
  <c r="F148" i="1"/>
  <c r="F109" i="1"/>
  <c r="F169" i="1"/>
  <c r="F203" i="1"/>
  <c r="F81" i="1"/>
  <c r="F184" i="1"/>
  <c r="F32" i="1"/>
  <c r="F197" i="1"/>
  <c r="F224" i="1"/>
  <c r="F185" i="1"/>
  <c r="F106" i="1"/>
  <c r="F4" i="1"/>
  <c r="F167" i="1"/>
  <c r="F108" i="1"/>
  <c r="F146" i="1"/>
  <c r="F2" i="1"/>
  <c r="F55" i="1"/>
  <c r="F46" i="1"/>
  <c r="F89" i="1"/>
  <c r="F24" i="1"/>
  <c r="F249" i="1"/>
  <c r="F230" i="1"/>
  <c r="F242" i="1"/>
  <c r="F61" i="1"/>
  <c r="F155" i="1"/>
  <c r="F56" i="1"/>
  <c r="F237" i="1"/>
  <c r="F229" i="1"/>
  <c r="F94" i="1"/>
  <c r="F3" i="1"/>
  <c r="F222" i="1"/>
  <c r="F34" i="1"/>
  <c r="F166" i="1"/>
  <c r="F151" i="1"/>
  <c r="F23" i="1"/>
  <c r="F86" i="1"/>
  <c r="F38" i="1"/>
  <c r="F135" i="1"/>
  <c r="F27" i="1"/>
  <c r="F220" i="1"/>
  <c r="F8" i="1"/>
  <c r="F95" i="1"/>
  <c r="F90" i="1"/>
  <c r="F244" i="1"/>
  <c r="F181" i="1"/>
  <c r="F183" i="1"/>
  <c r="F42" i="1"/>
  <c r="F101" i="1"/>
  <c r="F173" i="1"/>
  <c r="F241" i="1"/>
  <c r="F162" i="1"/>
  <c r="F18" i="1"/>
  <c r="F205" i="1"/>
  <c r="F77" i="1"/>
  <c r="F120" i="1"/>
  <c r="F163" i="1"/>
  <c r="F235" i="1"/>
  <c r="F114" i="1"/>
  <c r="F40" i="1"/>
  <c r="F207" i="1"/>
  <c r="F156" i="1"/>
  <c r="F44" i="1"/>
  <c r="F93" i="1"/>
  <c r="F228" i="1"/>
  <c r="F152" i="1"/>
  <c r="F168" i="1"/>
  <c r="F234" i="1"/>
  <c r="F119" i="1"/>
  <c r="F117" i="1"/>
  <c r="F102" i="1"/>
  <c r="F110" i="1"/>
  <c r="F199" i="1"/>
  <c r="F22" i="1"/>
  <c r="F87" i="1"/>
  <c r="F200" i="1"/>
  <c r="F39" i="1"/>
  <c r="F157" i="1"/>
  <c r="F147" i="1"/>
  <c r="F195" i="1"/>
  <c r="F129" i="1"/>
  <c r="F171" i="1"/>
  <c r="F85" i="1"/>
  <c r="F57" i="1"/>
  <c r="F251" i="1"/>
  <c r="F144" i="1"/>
  <c r="F19" i="1"/>
  <c r="F243" i="1"/>
  <c r="F213" i="1"/>
  <c r="F216" i="1"/>
  <c r="F52" i="1"/>
  <c r="F26" i="1"/>
  <c r="F59" i="1"/>
  <c r="F217" i="1"/>
  <c r="F188" i="1"/>
  <c r="F15" i="1"/>
  <c r="F186" i="1"/>
  <c r="F14" i="1"/>
  <c r="F161" i="1"/>
  <c r="F47" i="1"/>
  <c r="F238" i="1"/>
  <c r="F233" i="1"/>
  <c r="F140" i="1"/>
  <c r="F65" i="1"/>
  <c r="F78" i="1"/>
  <c r="F88" i="1"/>
  <c r="F20" i="1"/>
  <c r="F133" i="1"/>
  <c r="F190" i="1"/>
  <c r="F91" i="1"/>
  <c r="F138" i="1"/>
  <c r="F84" i="1"/>
  <c r="F50" i="1"/>
  <c r="F172" i="1"/>
  <c r="F176" i="1"/>
  <c r="F48" i="1"/>
  <c r="F74" i="1"/>
  <c r="F127" i="1"/>
  <c r="F49" i="1"/>
  <c r="F62" i="1"/>
  <c r="F141" i="1"/>
  <c r="F82" i="1"/>
  <c r="F180" i="1"/>
  <c r="F70" i="1"/>
  <c r="F221" i="1"/>
  <c r="F227" i="1"/>
  <c r="F11" i="1"/>
  <c r="F128" i="1"/>
  <c r="F122" i="1"/>
  <c r="F170" i="1"/>
  <c r="F71" i="1"/>
  <c r="F97" i="1"/>
  <c r="F193" i="1"/>
  <c r="F150" i="1"/>
  <c r="F160" i="1"/>
  <c r="F17" i="1"/>
  <c r="F210" i="1"/>
  <c r="F13" i="1"/>
  <c r="F64" i="1"/>
  <c r="F226" i="1"/>
  <c r="F202" i="1"/>
  <c r="F212" i="1"/>
  <c r="F7" i="1"/>
  <c r="F159" i="1"/>
  <c r="F143" i="1"/>
  <c r="F10" i="1"/>
  <c r="F125" i="1"/>
  <c r="F209" i="1"/>
  <c r="F136" i="1"/>
  <c r="F66" i="1"/>
  <c r="F100" i="1"/>
  <c r="L85" i="1"/>
  <c r="M85" i="1"/>
  <c r="O201" i="1"/>
  <c r="P201" i="1"/>
  <c r="P23" i="1"/>
  <c r="O23" i="1"/>
  <c r="L89" i="1"/>
  <c r="M89" i="1"/>
  <c r="M81" i="1"/>
  <c r="L81" i="1"/>
  <c r="P204" i="1"/>
  <c r="O204" i="1"/>
  <c r="M218" i="1"/>
  <c r="L218" i="1"/>
  <c r="L86" i="1"/>
  <c r="M86" i="1"/>
  <c r="M124" i="1"/>
  <c r="L124" i="1"/>
  <c r="P12" i="1"/>
  <c r="O12" i="1"/>
  <c r="L37" i="1"/>
  <c r="M37" i="1"/>
  <c r="M64" i="1"/>
  <c r="L64" i="1"/>
  <c r="P43" i="1"/>
  <c r="O43" i="1"/>
  <c r="O19" i="1"/>
  <c r="P19" i="1"/>
  <c r="P189" i="1"/>
  <c r="O189" i="1"/>
  <c r="M220" i="1"/>
  <c r="L220" i="1"/>
  <c r="L50" i="1"/>
  <c r="M50" i="1"/>
  <c r="L120" i="1"/>
  <c r="M120" i="1"/>
  <c r="O42" i="1"/>
  <c r="P42" i="1"/>
  <c r="P47" i="1"/>
  <c r="O47" i="1"/>
  <c r="L169" i="1"/>
  <c r="M169" i="1"/>
  <c r="L164" i="1"/>
  <c r="M164" i="1"/>
  <c r="L203" i="1"/>
  <c r="M203" i="1"/>
  <c r="O158" i="1"/>
  <c r="P158" i="1"/>
  <c r="O97" i="1"/>
  <c r="P97" i="1"/>
  <c r="L105" i="1"/>
  <c r="M105" i="1"/>
  <c r="L40" i="1"/>
  <c r="M40" i="1"/>
  <c r="L28" i="1"/>
  <c r="M28" i="1"/>
  <c r="O65" i="1"/>
  <c r="P65" i="1"/>
  <c r="O92" i="1"/>
  <c r="P92" i="1"/>
  <c r="P93" i="1"/>
  <c r="O93" i="1"/>
  <c r="O137" i="1"/>
  <c r="P137" i="1"/>
  <c r="P230" i="1"/>
  <c r="O230" i="1"/>
  <c r="P26" i="1"/>
  <c r="O26" i="1"/>
  <c r="O33" i="1"/>
  <c r="P33" i="1"/>
  <c r="O16" i="1"/>
  <c r="P16" i="1"/>
  <c r="O45" i="1"/>
  <c r="P45" i="1"/>
  <c r="P220" i="1"/>
  <c r="O220" i="1"/>
  <c r="O143" i="1"/>
  <c r="P143" i="1"/>
  <c r="P145" i="1"/>
  <c r="O145" i="1"/>
  <c r="M228" i="1"/>
  <c r="L228" i="1"/>
  <c r="L90" i="1"/>
  <c r="M90" i="1"/>
  <c r="M163" i="1"/>
  <c r="L163" i="1"/>
  <c r="P199" i="1"/>
  <c r="O199" i="1"/>
  <c r="L236" i="1"/>
  <c r="M236" i="1"/>
  <c r="P116" i="1"/>
  <c r="O116" i="1"/>
  <c r="L159" i="1"/>
  <c r="M159" i="1"/>
  <c r="O146" i="1"/>
  <c r="P146" i="1"/>
  <c r="O50" i="1"/>
  <c r="P50" i="1"/>
  <c r="P20" i="1"/>
  <c r="O20" i="1"/>
  <c r="O194" i="1"/>
  <c r="P194" i="1"/>
  <c r="M93" i="1"/>
  <c r="L93" i="1"/>
  <c r="M95" i="1"/>
  <c r="L95" i="1"/>
  <c r="L103" i="1"/>
  <c r="M103" i="1"/>
  <c r="L87" i="1"/>
  <c r="M87" i="1"/>
  <c r="O140" i="1"/>
  <c r="P140" i="1"/>
  <c r="P144" i="1"/>
  <c r="O144" i="1"/>
  <c r="O118" i="1"/>
  <c r="P118" i="1"/>
  <c r="P28" i="1"/>
  <c r="O28" i="1"/>
  <c r="O115" i="1"/>
  <c r="P115" i="1"/>
  <c r="O222" i="1"/>
  <c r="P222" i="1"/>
  <c r="P152" i="1"/>
  <c r="O152" i="1"/>
  <c r="P104" i="1"/>
  <c r="O104" i="1"/>
  <c r="O78" i="1"/>
  <c r="P78" i="1"/>
  <c r="O217" i="1"/>
  <c r="P217" i="1"/>
  <c r="O186" i="1"/>
  <c r="P186" i="1"/>
  <c r="P150" i="1"/>
  <c r="O150" i="1"/>
  <c r="O71" i="1"/>
  <c r="P71" i="1"/>
  <c r="P139" i="1"/>
  <c r="O139" i="1"/>
  <c r="L240" i="1"/>
  <c r="M240" i="1"/>
  <c r="O155" i="1"/>
  <c r="P155" i="1"/>
  <c r="O25" i="1"/>
  <c r="P25" i="1"/>
  <c r="M178" i="1"/>
  <c r="L178" i="1"/>
  <c r="M112" i="1"/>
  <c r="L112" i="1"/>
  <c r="L249" i="1"/>
  <c r="M249" i="1"/>
  <c r="M33" i="1"/>
  <c r="L33" i="1"/>
  <c r="L60" i="1"/>
  <c r="M60" i="1"/>
  <c r="M91" i="1"/>
  <c r="L91" i="1"/>
  <c r="P156" i="1"/>
  <c r="O156" i="1"/>
  <c r="M225" i="1"/>
  <c r="L225" i="1"/>
  <c r="M32" i="1"/>
  <c r="L32" i="1"/>
  <c r="L26" i="1"/>
  <c r="M26" i="1"/>
  <c r="O161" i="1"/>
  <c r="P161" i="1"/>
  <c r="O46" i="1"/>
  <c r="P46" i="1"/>
  <c r="M239" i="1"/>
  <c r="L239" i="1"/>
  <c r="M230" i="1"/>
  <c r="L230" i="1"/>
  <c r="L44" i="1"/>
  <c r="M44" i="1"/>
  <c r="M126" i="1"/>
  <c r="L126" i="1"/>
  <c r="P159" i="1"/>
  <c r="O159" i="1"/>
  <c r="O215" i="1"/>
  <c r="P215" i="1"/>
  <c r="O4" i="1"/>
  <c r="P4" i="1"/>
  <c r="L38" i="1"/>
  <c r="M38" i="1"/>
  <c r="O170" i="1"/>
  <c r="P170" i="1"/>
  <c r="P58" i="1"/>
  <c r="O58" i="1"/>
  <c r="O250" i="1"/>
  <c r="P250" i="1"/>
  <c r="O39" i="1"/>
  <c r="P39" i="1"/>
  <c r="M185" i="1"/>
  <c r="L185" i="1"/>
  <c r="L242" i="1"/>
  <c r="M242" i="1"/>
  <c r="O174" i="1"/>
  <c r="P174" i="1"/>
  <c r="P8" i="1"/>
  <c r="O8" i="1"/>
  <c r="O124" i="1"/>
  <c r="P124" i="1"/>
  <c r="O237" i="1"/>
  <c r="P237" i="1"/>
  <c r="P106" i="1"/>
  <c r="O106" i="1"/>
  <c r="L206" i="1"/>
  <c r="M206" i="1"/>
  <c r="M222" i="1"/>
  <c r="L222" i="1"/>
  <c r="M57" i="1"/>
  <c r="L57" i="1"/>
  <c r="L122" i="1"/>
  <c r="M122" i="1"/>
  <c r="P89" i="1"/>
  <c r="O89" i="1"/>
  <c r="L68" i="1"/>
  <c r="M68" i="1"/>
  <c r="L180" i="1"/>
  <c r="M180" i="1"/>
  <c r="M78" i="1"/>
  <c r="L78" i="1"/>
  <c r="M48" i="1"/>
  <c r="L48" i="1"/>
  <c r="M94" i="1"/>
  <c r="L94" i="1"/>
  <c r="O128" i="1"/>
  <c r="P128" i="1"/>
  <c r="O206" i="1"/>
  <c r="P206" i="1"/>
  <c r="P236" i="1"/>
  <c r="O236" i="1"/>
  <c r="P234" i="1"/>
  <c r="O234" i="1"/>
  <c r="O103" i="1"/>
  <c r="P103" i="1"/>
  <c r="P169" i="1"/>
  <c r="O169" i="1"/>
  <c r="O6" i="1"/>
  <c r="P6" i="1"/>
  <c r="P74" i="1"/>
  <c r="O74" i="1"/>
  <c r="P165" i="1"/>
  <c r="O165" i="1"/>
  <c r="P51" i="1"/>
  <c r="O51" i="1"/>
  <c r="P56" i="1"/>
  <c r="O56" i="1"/>
  <c r="O34" i="1"/>
  <c r="P34" i="1"/>
  <c r="M247" i="1"/>
  <c r="L247" i="1"/>
  <c r="L140" i="1"/>
  <c r="M140" i="1"/>
  <c r="P62" i="1"/>
  <c r="O62" i="1"/>
  <c r="M66" i="1"/>
  <c r="L66" i="1"/>
  <c r="O154" i="1"/>
  <c r="P154" i="1"/>
  <c r="L63" i="1"/>
  <c r="M63" i="1"/>
  <c r="M251" i="1"/>
  <c r="L251" i="1"/>
  <c r="M212" i="1"/>
  <c r="L212" i="1"/>
  <c r="M170" i="1"/>
  <c r="L170" i="1"/>
  <c r="O94" i="1"/>
  <c r="P94" i="1"/>
  <c r="O244" i="1"/>
  <c r="P244" i="1"/>
  <c r="M59" i="1"/>
  <c r="L59" i="1"/>
  <c r="L167" i="1"/>
  <c r="M167" i="1"/>
  <c r="M207" i="1"/>
  <c r="L207" i="1"/>
  <c r="O70" i="1"/>
  <c r="P70" i="1"/>
  <c r="L248" i="1"/>
  <c r="M248" i="1"/>
  <c r="O243" i="1"/>
  <c r="P243" i="1"/>
  <c r="L128" i="1"/>
  <c r="M128" i="1"/>
  <c r="P239" i="1"/>
  <c r="O239" i="1"/>
  <c r="M100" i="1"/>
  <c r="L100" i="1"/>
  <c r="M202" i="1"/>
  <c r="L202" i="1"/>
  <c r="M147" i="1"/>
  <c r="L147" i="1"/>
  <c r="M223" i="1"/>
  <c r="L223" i="1"/>
  <c r="L46" i="1"/>
  <c r="M46" i="1"/>
  <c r="M111" i="1"/>
  <c r="L111" i="1"/>
  <c r="L141" i="1"/>
  <c r="M141" i="1"/>
  <c r="L143" i="1"/>
  <c r="M143" i="1"/>
  <c r="L136" i="1"/>
  <c r="M136" i="1"/>
  <c r="L97" i="1"/>
  <c r="M97" i="1"/>
  <c r="M173" i="1"/>
  <c r="L173" i="1"/>
  <c r="M52" i="1"/>
  <c r="L52" i="1"/>
  <c r="M132" i="1"/>
  <c r="L132" i="1"/>
  <c r="P113" i="1"/>
  <c r="O113" i="1"/>
  <c r="L232" i="1"/>
  <c r="M232" i="1"/>
  <c r="O31" i="1"/>
  <c r="P31" i="1"/>
  <c r="M24" i="1"/>
  <c r="L24" i="1"/>
  <c r="P3" i="1"/>
  <c r="O3" i="1"/>
  <c r="L98" i="1"/>
  <c r="M98" i="1"/>
  <c r="L92" i="1"/>
  <c r="M92" i="1"/>
  <c r="L123" i="1"/>
  <c r="M123" i="1"/>
  <c r="L35" i="1"/>
  <c r="M35" i="1"/>
  <c r="M84" i="1"/>
  <c r="L84" i="1"/>
  <c r="O228" i="1"/>
  <c r="P228" i="1"/>
  <c r="L201" i="1"/>
  <c r="M201" i="1"/>
  <c r="M229" i="1"/>
  <c r="L229" i="1"/>
  <c r="L166" i="1"/>
  <c r="M166" i="1"/>
  <c r="O197" i="1"/>
  <c r="P197" i="1"/>
  <c r="M88" i="1"/>
  <c r="L88" i="1"/>
  <c r="O248" i="1"/>
  <c r="P248" i="1"/>
  <c r="P235" i="1"/>
  <c r="O235" i="1"/>
  <c r="L41" i="1"/>
  <c r="M41" i="1"/>
  <c r="P193" i="1"/>
  <c r="O193" i="1"/>
  <c r="L183" i="1"/>
  <c r="M183" i="1"/>
  <c r="M25" i="1"/>
  <c r="L25" i="1"/>
  <c r="O24" i="1"/>
  <c r="P24" i="1"/>
  <c r="M54" i="1"/>
  <c r="L54" i="1"/>
  <c r="L246" i="1"/>
  <c r="M246" i="1"/>
  <c r="P136" i="1"/>
  <c r="O136" i="1"/>
  <c r="P148" i="1"/>
  <c r="O148" i="1"/>
  <c r="P86" i="1"/>
  <c r="O86" i="1"/>
  <c r="L146" i="1"/>
  <c r="M146" i="1"/>
  <c r="P147" i="1"/>
  <c r="O147" i="1"/>
  <c r="P30" i="1"/>
  <c r="O30" i="1"/>
  <c r="P241" i="1"/>
  <c r="O241" i="1"/>
  <c r="O190" i="1"/>
  <c r="P190" i="1"/>
  <c r="M125" i="1"/>
  <c r="L125" i="1"/>
  <c r="M177" i="1"/>
  <c r="L177" i="1"/>
  <c r="P249" i="1"/>
  <c r="O249" i="1"/>
  <c r="P85" i="1"/>
  <c r="O85" i="1"/>
  <c r="O41" i="1"/>
  <c r="P41" i="1"/>
  <c r="P64" i="1"/>
  <c r="O64" i="1"/>
  <c r="P110" i="1"/>
  <c r="O110" i="1"/>
  <c r="P27" i="1"/>
  <c r="O27" i="1"/>
  <c r="P38" i="1"/>
  <c r="O38" i="1"/>
  <c r="O160" i="1"/>
  <c r="P160" i="1"/>
  <c r="P134" i="1"/>
  <c r="O134" i="1"/>
  <c r="P202" i="1"/>
  <c r="O202" i="1"/>
  <c r="P229" i="1"/>
  <c r="O229" i="1"/>
  <c r="O88" i="1"/>
  <c r="P88" i="1"/>
  <c r="P203" i="1"/>
  <c r="O203" i="1"/>
  <c r="O162" i="1"/>
  <c r="P162" i="1"/>
  <c r="M150" i="1"/>
  <c r="L150" i="1"/>
  <c r="O5" i="1"/>
  <c r="P5" i="1"/>
  <c r="O77" i="1"/>
  <c r="P77" i="1"/>
  <c r="P121" i="1"/>
  <c r="O121" i="1"/>
  <c r="O59" i="1"/>
  <c r="P59" i="1"/>
  <c r="P192" i="1"/>
  <c r="O192" i="1"/>
  <c r="P231" i="1"/>
  <c r="O231" i="1"/>
  <c r="L130" i="1"/>
  <c r="M130" i="1"/>
  <c r="L83" i="1"/>
  <c r="M83" i="1"/>
  <c r="L27" i="1"/>
  <c r="M27" i="1"/>
  <c r="L151" i="1"/>
  <c r="M151" i="1"/>
  <c r="P83" i="1"/>
  <c r="O83" i="1"/>
  <c r="O11" i="1"/>
  <c r="P11" i="1"/>
  <c r="L189" i="1"/>
  <c r="M189" i="1"/>
  <c r="M70" i="1"/>
  <c r="L70" i="1"/>
  <c r="M200" i="1"/>
  <c r="L200" i="1"/>
  <c r="L226" i="1"/>
  <c r="M226" i="1"/>
  <c r="P191" i="1"/>
  <c r="O191" i="1"/>
  <c r="L196" i="1"/>
  <c r="M196" i="1"/>
  <c r="L96" i="1"/>
  <c r="M96" i="1"/>
  <c r="M43" i="1"/>
  <c r="L43" i="1"/>
  <c r="M79" i="1"/>
  <c r="L79" i="1"/>
  <c r="L119" i="1"/>
  <c r="M119" i="1"/>
  <c r="L235" i="1"/>
  <c r="M235" i="1"/>
  <c r="P57" i="1"/>
  <c r="O57" i="1"/>
  <c r="L157" i="1"/>
  <c r="M157" i="1"/>
  <c r="L108" i="1"/>
  <c r="M108" i="1"/>
  <c r="O232" i="1"/>
  <c r="P232" i="1"/>
  <c r="P48" i="1"/>
  <c r="O48" i="1"/>
  <c r="M118" i="1"/>
  <c r="L118" i="1"/>
  <c r="M171" i="1"/>
  <c r="L171" i="1"/>
  <c r="L139" i="1"/>
  <c r="M139" i="1"/>
  <c r="P177" i="1"/>
  <c r="O177" i="1"/>
  <c r="M31" i="1"/>
  <c r="L31" i="1"/>
  <c r="P210" i="1"/>
  <c r="O210" i="1"/>
  <c r="L135" i="1"/>
  <c r="M135" i="1"/>
  <c r="O149" i="1"/>
  <c r="P149" i="1"/>
  <c r="M205" i="1"/>
  <c r="L205" i="1"/>
  <c r="L184" i="1"/>
  <c r="M184" i="1"/>
  <c r="L23" i="1"/>
  <c r="M23" i="1"/>
  <c r="O187" i="1"/>
  <c r="P187" i="1"/>
  <c r="M199" i="1"/>
  <c r="L199" i="1"/>
  <c r="L161" i="1"/>
  <c r="M161" i="1"/>
  <c r="P251" i="1"/>
  <c r="O251" i="1"/>
  <c r="P18" i="1"/>
  <c r="O18" i="1"/>
  <c r="P173" i="1"/>
  <c r="O173" i="1"/>
  <c r="L244" i="1"/>
  <c r="M244" i="1"/>
  <c r="M188" i="1"/>
  <c r="L188" i="1"/>
  <c r="M214" i="1"/>
  <c r="L214" i="1"/>
  <c r="O227" i="1"/>
  <c r="P227" i="1"/>
  <c r="P242" i="1"/>
  <c r="O242" i="1"/>
  <c r="P207" i="1"/>
  <c r="O207" i="1"/>
  <c r="P79" i="1"/>
  <c r="O79" i="1"/>
  <c r="O196" i="1"/>
  <c r="P196" i="1"/>
  <c r="O221" i="1"/>
  <c r="P221" i="1"/>
  <c r="P17" i="1"/>
  <c r="O17" i="1"/>
  <c r="P87" i="1"/>
  <c r="O87" i="1"/>
  <c r="P111" i="1"/>
  <c r="O111" i="1"/>
  <c r="O29" i="1"/>
  <c r="P29" i="1"/>
  <c r="O219" i="1"/>
  <c r="P219" i="1"/>
  <c r="P90" i="1"/>
  <c r="O90" i="1"/>
  <c r="O80" i="1"/>
  <c r="P80" i="1"/>
  <c r="P132" i="1"/>
  <c r="O132" i="1"/>
  <c r="P54" i="1"/>
  <c r="O54" i="1"/>
  <c r="M233" i="1"/>
  <c r="L233" i="1"/>
  <c r="L195" i="1"/>
  <c r="M195" i="1"/>
  <c r="M61" i="1"/>
  <c r="L61" i="1"/>
  <c r="O81" i="1"/>
  <c r="P81" i="1"/>
  <c r="L107" i="1"/>
  <c r="M107" i="1"/>
  <c r="L213" i="1"/>
  <c r="M213" i="1"/>
  <c r="M175" i="1"/>
  <c r="L175" i="1"/>
  <c r="M187" i="1"/>
  <c r="L187" i="1"/>
  <c r="M55" i="1"/>
  <c r="L55" i="1"/>
  <c r="L160" i="1"/>
  <c r="M160" i="1"/>
  <c r="L113" i="1"/>
  <c r="M113" i="1"/>
  <c r="M237" i="1"/>
  <c r="L237" i="1"/>
  <c r="L104" i="1"/>
  <c r="M104" i="1"/>
  <c r="L129" i="1"/>
  <c r="M129" i="1"/>
  <c r="M179" i="1"/>
  <c r="L179" i="1"/>
  <c r="P225" i="1"/>
  <c r="O225" i="1"/>
  <c r="L102" i="1"/>
  <c r="M102" i="1"/>
  <c r="M194" i="1"/>
  <c r="L194" i="1"/>
  <c r="M209" i="1"/>
  <c r="L209" i="1"/>
  <c r="L152" i="1"/>
  <c r="M152" i="1"/>
  <c r="M62" i="1"/>
  <c r="L62" i="1"/>
  <c r="L219" i="1"/>
  <c r="M219" i="1"/>
  <c r="O226" i="1"/>
  <c r="P226" i="1"/>
  <c r="L208" i="1"/>
  <c r="M208" i="1"/>
  <c r="L117" i="1"/>
  <c r="M117" i="1"/>
  <c r="L217" i="1"/>
  <c r="M217" i="1"/>
  <c r="M72" i="1"/>
  <c r="L72" i="1"/>
  <c r="L153" i="1"/>
  <c r="M153" i="1"/>
  <c r="M99" i="1"/>
  <c r="L99" i="1"/>
  <c r="M148" i="1"/>
  <c r="L148" i="1"/>
  <c r="P44" i="1"/>
  <c r="O44" i="1"/>
  <c r="L186" i="1"/>
  <c r="M186" i="1"/>
  <c r="L109" i="1"/>
  <c r="M109" i="1"/>
  <c r="M45" i="1"/>
  <c r="L45" i="1"/>
  <c r="M155" i="1"/>
  <c r="L155" i="1"/>
  <c r="P82" i="1"/>
  <c r="O82" i="1"/>
  <c r="M115" i="1"/>
  <c r="L115" i="1"/>
  <c r="L51" i="1"/>
  <c r="M51" i="1"/>
  <c r="P9" i="1"/>
  <c r="O9" i="1"/>
  <c r="M182" i="1"/>
  <c r="L182" i="1"/>
  <c r="P99" i="1"/>
  <c r="O99" i="1"/>
  <c r="P172" i="1"/>
  <c r="O172" i="1"/>
  <c r="P233" i="1"/>
  <c r="O233" i="1"/>
  <c r="O216" i="1"/>
  <c r="P216" i="1"/>
  <c r="P246" i="1"/>
  <c r="O246" i="1"/>
  <c r="L234" i="1"/>
  <c r="M234" i="1"/>
  <c r="P218" i="1"/>
  <c r="O218" i="1"/>
  <c r="M158" i="1"/>
  <c r="L158" i="1"/>
  <c r="P36" i="1"/>
  <c r="O36" i="1"/>
  <c r="M168" i="1"/>
  <c r="L168" i="1"/>
  <c r="O164" i="1"/>
  <c r="P164" i="1"/>
  <c r="P66" i="1"/>
  <c r="O66" i="1"/>
  <c r="M22" i="1"/>
  <c r="L22" i="1"/>
  <c r="O157" i="1"/>
  <c r="P157" i="1"/>
  <c r="P138" i="1"/>
  <c r="O138" i="1"/>
  <c r="L197" i="1"/>
  <c r="M197" i="1"/>
  <c r="L127" i="1"/>
  <c r="M127" i="1"/>
  <c r="O67" i="1"/>
  <c r="P67" i="1"/>
  <c r="P198" i="1"/>
  <c r="O198" i="1"/>
  <c r="O73" i="1"/>
  <c r="P73" i="1"/>
  <c r="O180" i="1"/>
  <c r="P180" i="1"/>
  <c r="O84" i="1"/>
  <c r="P84" i="1"/>
  <c r="O76" i="1"/>
  <c r="P76" i="1"/>
  <c r="P176" i="1"/>
  <c r="O176" i="1"/>
  <c r="O117" i="1"/>
  <c r="P117" i="1"/>
  <c r="P122" i="1"/>
  <c r="O122" i="1"/>
  <c r="O200" i="1"/>
  <c r="P200" i="1"/>
  <c r="O7" i="1"/>
  <c r="P7" i="1"/>
  <c r="P75" i="1"/>
  <c r="O75" i="1"/>
  <c r="P182" i="1"/>
  <c r="O182" i="1"/>
  <c r="O100" i="1"/>
  <c r="P100" i="1"/>
  <c r="O175" i="1"/>
  <c r="P175" i="1"/>
  <c r="P126" i="1"/>
  <c r="O126" i="1"/>
  <c r="O35" i="1"/>
  <c r="P35" i="1"/>
  <c r="P125" i="1"/>
  <c r="O125" i="1"/>
  <c r="P168" i="1"/>
  <c r="O168" i="1"/>
  <c r="O142" i="1"/>
  <c r="P142" i="1"/>
  <c r="P108" i="1"/>
  <c r="O108" i="1"/>
  <c r="P13" i="1"/>
  <c r="O13" i="1"/>
  <c r="P133" i="1"/>
  <c r="O133" i="1"/>
  <c r="L67" i="1"/>
  <c r="M67" i="1"/>
  <c r="L131" i="1"/>
  <c r="M131" i="1"/>
  <c r="O63" i="1"/>
  <c r="P63" i="1"/>
  <c r="P40" i="1"/>
  <c r="O40" i="1"/>
  <c r="L193" i="1"/>
  <c r="M193" i="1"/>
  <c r="M149" i="1"/>
  <c r="L149" i="1"/>
  <c r="L65" i="1"/>
  <c r="M65" i="1"/>
  <c r="M74" i="1"/>
  <c r="L74" i="1"/>
  <c r="M75" i="1"/>
  <c r="L75" i="1"/>
  <c r="M250" i="1"/>
  <c r="L250" i="1"/>
  <c r="M144" i="1"/>
  <c r="L144" i="1"/>
  <c r="M80" i="1"/>
  <c r="L80" i="1"/>
  <c r="P32" i="1"/>
  <c r="O32" i="1"/>
  <c r="P205" i="1"/>
  <c r="O205" i="1"/>
  <c r="O212" i="1"/>
  <c r="P212" i="1"/>
  <c r="P72" i="1"/>
  <c r="O72" i="1"/>
  <c r="M73" i="1"/>
  <c r="L73" i="1"/>
  <c r="P153" i="1"/>
  <c r="O153" i="1"/>
  <c r="P130" i="1"/>
  <c r="O130" i="1"/>
  <c r="O37" i="1"/>
  <c r="P37" i="1"/>
  <c r="L210" i="1"/>
  <c r="M210" i="1"/>
  <c r="M138" i="1"/>
  <c r="L138" i="1"/>
  <c r="P240" i="1"/>
  <c r="O240" i="1"/>
  <c r="P181" i="1"/>
  <c r="O181" i="1"/>
  <c r="M106" i="1"/>
  <c r="L106" i="1"/>
  <c r="L231" i="1"/>
  <c r="M231" i="1"/>
  <c r="L238" i="1"/>
  <c r="M238" i="1"/>
  <c r="O185" i="1"/>
  <c r="P185" i="1"/>
  <c r="P151" i="1"/>
  <c r="O151" i="1"/>
  <c r="L245" i="1"/>
  <c r="M245" i="1"/>
  <c r="P188" i="1"/>
  <c r="O188" i="1"/>
  <c r="O120" i="1"/>
  <c r="P120" i="1"/>
  <c r="P105" i="1"/>
  <c r="O105" i="1"/>
  <c r="L215" i="1"/>
  <c r="M215" i="1"/>
  <c r="M69" i="1"/>
  <c r="L69" i="1"/>
  <c r="M110" i="1"/>
  <c r="L110" i="1"/>
  <c r="P119" i="1"/>
  <c r="O119" i="1"/>
  <c r="P245" i="1"/>
  <c r="O245" i="1"/>
  <c r="P135" i="1"/>
  <c r="O135" i="1"/>
  <c r="O49" i="1"/>
  <c r="P49" i="1"/>
  <c r="P10" i="1"/>
  <c r="O10" i="1"/>
  <c r="O209" i="1"/>
  <c r="P209" i="1"/>
  <c r="P95" i="1"/>
  <c r="O95" i="1"/>
  <c r="P163" i="1"/>
  <c r="O163" i="1"/>
  <c r="O195" i="1"/>
  <c r="P195" i="1"/>
  <c r="O68" i="1"/>
  <c r="P68" i="1"/>
  <c r="P167" i="1"/>
  <c r="O167" i="1"/>
  <c r="O96" i="1"/>
  <c r="P96" i="1"/>
  <c r="L190" i="1"/>
  <c r="M190" i="1"/>
  <c r="M101" i="1"/>
  <c r="L101" i="1"/>
  <c r="P183" i="1"/>
  <c r="O183" i="1"/>
  <c r="M176" i="1"/>
  <c r="L176" i="1"/>
  <c r="L29" i="1"/>
  <c r="M29" i="1"/>
  <c r="M42" i="1"/>
  <c r="L42" i="1"/>
  <c r="M58" i="1"/>
  <c r="L58" i="1"/>
  <c r="P166" i="1"/>
  <c r="O166" i="1"/>
  <c r="P171" i="1"/>
  <c r="O171" i="1"/>
  <c r="W30" i="1"/>
  <c r="M227" i="1"/>
  <c r="L227" i="1"/>
  <c r="M145" i="1"/>
  <c r="L145" i="1"/>
  <c r="P211" i="1"/>
  <c r="O211" i="1"/>
  <c r="P112" i="1"/>
  <c r="O112" i="1"/>
  <c r="L77" i="1"/>
  <c r="M77" i="1"/>
  <c r="M76" i="1"/>
  <c r="L76" i="1"/>
  <c r="L204" i="1"/>
  <c r="M204" i="1"/>
  <c r="M142" i="1"/>
  <c r="L142" i="1"/>
  <c r="M211" i="1"/>
  <c r="L211" i="1"/>
  <c r="L34" i="1"/>
  <c r="M34" i="1"/>
  <c r="P14" i="1"/>
  <c r="O14" i="1"/>
  <c r="P131" i="1"/>
  <c r="O131" i="1"/>
  <c r="L165" i="1"/>
  <c r="M165" i="1"/>
  <c r="O15" i="1"/>
  <c r="P15" i="1"/>
  <c r="M133" i="1"/>
  <c r="L133" i="1"/>
  <c r="P223" i="1"/>
  <c r="O223" i="1"/>
  <c r="O101" i="1"/>
  <c r="P101" i="1"/>
  <c r="L30" i="1"/>
  <c r="M30" i="1"/>
  <c r="L21" i="1"/>
  <c r="M21" i="1"/>
  <c r="L241" i="1"/>
  <c r="M241" i="1"/>
  <c r="L243" i="1"/>
  <c r="M243" i="1"/>
  <c r="M198" i="1"/>
  <c r="L198" i="1"/>
  <c r="L134" i="1"/>
  <c r="M134" i="1"/>
  <c r="L181" i="1"/>
  <c r="M181" i="1"/>
  <c r="M174" i="1"/>
  <c r="L174" i="1"/>
  <c r="O109" i="1"/>
  <c r="P109" i="1"/>
  <c r="L114" i="1"/>
  <c r="M114" i="1"/>
  <c r="L154" i="1"/>
  <c r="M154" i="1"/>
  <c r="O141" i="1"/>
  <c r="P141" i="1"/>
  <c r="L47" i="1"/>
  <c r="M47" i="1"/>
  <c r="M172" i="1"/>
  <c r="L172" i="1"/>
  <c r="M71" i="1"/>
  <c r="L71" i="1"/>
  <c r="L162" i="1"/>
  <c r="M162" i="1"/>
  <c r="L216" i="1"/>
  <c r="M216" i="1"/>
  <c r="P178" i="1"/>
  <c r="O178" i="1"/>
  <c r="O61" i="1"/>
  <c r="P61" i="1"/>
  <c r="M116" i="1"/>
  <c r="L116" i="1"/>
  <c r="P213" i="1"/>
  <c r="O213" i="1"/>
  <c r="M56" i="1"/>
  <c r="L56" i="1"/>
  <c r="P208" i="1"/>
  <c r="O208" i="1"/>
  <c r="M221" i="1"/>
  <c r="L221" i="1"/>
  <c r="L137" i="1"/>
  <c r="M137" i="1"/>
  <c r="P179" i="1"/>
  <c r="O179" i="1"/>
  <c r="O21" i="1"/>
  <c r="P21" i="1"/>
  <c r="M82" i="1"/>
  <c r="L82" i="1"/>
  <c r="L156" i="1"/>
  <c r="M156" i="1"/>
  <c r="P184" i="1"/>
  <c r="O184" i="1"/>
  <c r="P127" i="1"/>
  <c r="O127" i="1"/>
  <c r="P52" i="1"/>
  <c r="O52" i="1"/>
  <c r="P98" i="1"/>
  <c r="O98" i="1"/>
  <c r="O69" i="1"/>
  <c r="P69" i="1"/>
  <c r="P107" i="1"/>
  <c r="O107" i="1"/>
  <c r="O214" i="1"/>
  <c r="P214" i="1"/>
  <c r="P123" i="1"/>
  <c r="O123" i="1"/>
  <c r="O238" i="1"/>
  <c r="P238" i="1"/>
  <c r="P91" i="1"/>
  <c r="O91" i="1"/>
  <c r="P102" i="1"/>
  <c r="O102" i="1"/>
  <c r="P224" i="1"/>
  <c r="O224" i="1"/>
  <c r="P55" i="1"/>
  <c r="O55" i="1"/>
  <c r="P129" i="1"/>
  <c r="O129" i="1"/>
  <c r="O53" i="1"/>
  <c r="P53" i="1"/>
  <c r="P114" i="1"/>
  <c r="O114" i="1"/>
  <c r="H171" i="1" l="1"/>
  <c r="I171" i="1"/>
  <c r="R15" i="1"/>
  <c r="H143" i="1"/>
  <c r="I143" i="1"/>
  <c r="I17" i="1"/>
  <c r="H17" i="1"/>
  <c r="I122" i="1"/>
  <c r="H122" i="1"/>
  <c r="H227" i="1"/>
  <c r="I227" i="1"/>
  <c r="H62" i="1"/>
  <c r="I62" i="1"/>
  <c r="I176" i="1"/>
  <c r="H176" i="1"/>
  <c r="H190" i="1"/>
  <c r="I190" i="1"/>
  <c r="H88" i="1"/>
  <c r="I88" i="1"/>
  <c r="I238" i="1"/>
  <c r="H238" i="1"/>
  <c r="H186" i="1"/>
  <c r="I186" i="1"/>
  <c r="I251" i="1"/>
  <c r="H251" i="1"/>
  <c r="H39" i="1"/>
  <c r="I39" i="1"/>
  <c r="H110" i="1"/>
  <c r="I110" i="1"/>
  <c r="H234" i="1"/>
  <c r="I234" i="1"/>
  <c r="H205" i="1"/>
  <c r="I205" i="1"/>
  <c r="H8" i="1"/>
  <c r="I8" i="1"/>
  <c r="H135" i="1"/>
  <c r="I135" i="1"/>
  <c r="I3" i="1"/>
  <c r="H3" i="1"/>
  <c r="H55" i="1"/>
  <c r="I55" i="1"/>
  <c r="I224" i="1"/>
  <c r="H224" i="1"/>
  <c r="H81" i="1"/>
  <c r="I81" i="1"/>
  <c r="I6" i="1"/>
  <c r="H6" i="1"/>
  <c r="H73" i="1"/>
  <c r="I73" i="1"/>
  <c r="H69" i="1"/>
  <c r="I69" i="1"/>
  <c r="H121" i="1"/>
  <c r="I121" i="1"/>
  <c r="I223" i="1"/>
  <c r="H223" i="1"/>
  <c r="H58" i="1"/>
  <c r="I58" i="1"/>
  <c r="H53" i="1"/>
  <c r="I53" i="1"/>
  <c r="I130" i="1"/>
  <c r="H130" i="1"/>
  <c r="H41" i="1"/>
  <c r="I41" i="1"/>
  <c r="I43" i="1"/>
  <c r="H43" i="1"/>
  <c r="I115" i="1"/>
  <c r="H115" i="1"/>
  <c r="H246" i="1"/>
  <c r="I246" i="1"/>
  <c r="H201" i="1"/>
  <c r="I201" i="1"/>
  <c r="H160" i="1"/>
  <c r="I160" i="1"/>
  <c r="I221" i="1"/>
  <c r="H221" i="1"/>
  <c r="H172" i="1"/>
  <c r="I172" i="1"/>
  <c r="H133" i="1"/>
  <c r="I133" i="1"/>
  <c r="H217" i="1"/>
  <c r="I217" i="1"/>
  <c r="I57" i="1"/>
  <c r="H57" i="1"/>
  <c r="I168" i="1"/>
  <c r="H168" i="1"/>
  <c r="H18" i="1"/>
  <c r="I18" i="1"/>
  <c r="I183" i="1"/>
  <c r="H183" i="1"/>
  <c r="H38" i="1"/>
  <c r="I38" i="1"/>
  <c r="I166" i="1"/>
  <c r="H166" i="1"/>
  <c r="H155" i="1"/>
  <c r="I155" i="1"/>
  <c r="H2" i="1"/>
  <c r="I2" i="1"/>
  <c r="I106" i="1"/>
  <c r="H106" i="1"/>
  <c r="I203" i="1"/>
  <c r="H203" i="1"/>
  <c r="H148" i="1"/>
  <c r="I148" i="1"/>
  <c r="I37" i="1"/>
  <c r="H37" i="1"/>
  <c r="H96" i="1"/>
  <c r="I96" i="1"/>
  <c r="I111" i="1"/>
  <c r="H111" i="1"/>
  <c r="H142" i="1"/>
  <c r="I142" i="1"/>
  <c r="H63" i="1"/>
  <c r="I63" i="1"/>
  <c r="H250" i="1"/>
  <c r="I250" i="1"/>
  <c r="I187" i="1"/>
  <c r="H187" i="1"/>
  <c r="I9" i="1"/>
  <c r="H9" i="1"/>
  <c r="I104" i="1"/>
  <c r="H104" i="1"/>
  <c r="H33" i="1"/>
  <c r="I33" i="1"/>
  <c r="H164" i="1"/>
  <c r="I164" i="1"/>
  <c r="H36" i="1"/>
  <c r="I36" i="1"/>
  <c r="H79" i="1"/>
  <c r="I79" i="1"/>
  <c r="H118" i="1"/>
  <c r="I118" i="1"/>
  <c r="I75" i="1"/>
  <c r="H75" i="1"/>
  <c r="H100" i="1"/>
  <c r="I100" i="1"/>
  <c r="H125" i="1"/>
  <c r="I125" i="1"/>
  <c r="H159" i="1"/>
  <c r="I159" i="1"/>
  <c r="I150" i="1"/>
  <c r="H150" i="1"/>
  <c r="I128" i="1"/>
  <c r="H128" i="1"/>
  <c r="I49" i="1"/>
  <c r="H49" i="1"/>
  <c r="I50" i="1"/>
  <c r="H50" i="1"/>
  <c r="H78" i="1"/>
  <c r="I78" i="1"/>
  <c r="I47" i="1"/>
  <c r="H47" i="1"/>
  <c r="H59" i="1"/>
  <c r="I59" i="1"/>
  <c r="H213" i="1"/>
  <c r="I213" i="1"/>
  <c r="H200" i="1"/>
  <c r="I200" i="1"/>
  <c r="H102" i="1"/>
  <c r="I102" i="1"/>
  <c r="I152" i="1"/>
  <c r="H152" i="1"/>
  <c r="I93" i="1"/>
  <c r="H93" i="1"/>
  <c r="H114" i="1"/>
  <c r="I114" i="1"/>
  <c r="H162" i="1"/>
  <c r="I162" i="1"/>
  <c r="H94" i="1"/>
  <c r="I94" i="1"/>
  <c r="I61" i="1"/>
  <c r="H61" i="1"/>
  <c r="H108" i="1"/>
  <c r="I108" i="1"/>
  <c r="H154" i="1"/>
  <c r="I154" i="1"/>
  <c r="H248" i="1"/>
  <c r="I248" i="1"/>
  <c r="H83" i="1"/>
  <c r="I83" i="1"/>
  <c r="I211" i="1"/>
  <c r="H211" i="1"/>
  <c r="H68" i="1"/>
  <c r="I68" i="1"/>
  <c r="H182" i="1"/>
  <c r="I182" i="1"/>
  <c r="H165" i="1"/>
  <c r="I165" i="1"/>
  <c r="I137" i="1"/>
  <c r="H137" i="1"/>
  <c r="H204" i="1"/>
  <c r="I204" i="1"/>
  <c r="I214" i="1"/>
  <c r="H214" i="1"/>
  <c r="H232" i="1"/>
  <c r="I232" i="1"/>
  <c r="H60" i="1"/>
  <c r="I60" i="1"/>
  <c r="H239" i="1"/>
  <c r="I239" i="1"/>
  <c r="H12" i="1"/>
  <c r="I12" i="1"/>
  <c r="H5" i="1"/>
  <c r="I5" i="1"/>
  <c r="H195" i="1"/>
  <c r="I195" i="1"/>
  <c r="I66" i="1"/>
  <c r="H66" i="1"/>
  <c r="I7" i="1"/>
  <c r="H7" i="1"/>
  <c r="H226" i="1"/>
  <c r="I226" i="1"/>
  <c r="H193" i="1"/>
  <c r="I193" i="1"/>
  <c r="H70" i="1"/>
  <c r="I70" i="1"/>
  <c r="H127" i="1"/>
  <c r="I127" i="1"/>
  <c r="H84" i="1"/>
  <c r="I84" i="1"/>
  <c r="H65" i="1"/>
  <c r="I65" i="1"/>
  <c r="H26" i="1"/>
  <c r="I26" i="1"/>
  <c r="H243" i="1"/>
  <c r="I243" i="1"/>
  <c r="I85" i="1"/>
  <c r="H85" i="1"/>
  <c r="H235" i="1"/>
  <c r="I235" i="1"/>
  <c r="I173" i="1"/>
  <c r="H173" i="1"/>
  <c r="H181" i="1"/>
  <c r="I181" i="1"/>
  <c r="I220" i="1"/>
  <c r="H220" i="1"/>
  <c r="H86" i="1"/>
  <c r="I86" i="1"/>
  <c r="H242" i="1"/>
  <c r="I242" i="1"/>
  <c r="H197" i="1"/>
  <c r="I197" i="1"/>
  <c r="I178" i="1"/>
  <c r="H178" i="1"/>
  <c r="H208" i="1"/>
  <c r="I208" i="1"/>
  <c r="H179" i="1"/>
  <c r="I179" i="1"/>
  <c r="I21" i="1"/>
  <c r="H21" i="1"/>
  <c r="H225" i="1"/>
  <c r="I225" i="1"/>
  <c r="H113" i="1"/>
  <c r="I113" i="1"/>
  <c r="I80" i="1"/>
  <c r="H80" i="1"/>
  <c r="H139" i="1"/>
  <c r="I139" i="1"/>
  <c r="H174" i="1"/>
  <c r="I174" i="1"/>
  <c r="H158" i="1"/>
  <c r="I158" i="1"/>
  <c r="I28" i="1"/>
  <c r="H28" i="1"/>
  <c r="H175" i="1"/>
  <c r="I175" i="1"/>
  <c r="H163" i="1"/>
  <c r="I163" i="1"/>
  <c r="H101" i="1"/>
  <c r="I101" i="1"/>
  <c r="H244" i="1"/>
  <c r="I244" i="1"/>
  <c r="H23" i="1"/>
  <c r="I23" i="1"/>
  <c r="H34" i="1"/>
  <c r="I34" i="1"/>
  <c r="I229" i="1"/>
  <c r="H229" i="1"/>
  <c r="H24" i="1"/>
  <c r="I24" i="1"/>
  <c r="H146" i="1"/>
  <c r="I146" i="1"/>
  <c r="I32" i="1"/>
  <c r="H32" i="1"/>
  <c r="H169" i="1"/>
  <c r="I169" i="1"/>
  <c r="H247" i="1"/>
  <c r="I247" i="1"/>
  <c r="I189" i="1"/>
  <c r="H189" i="1"/>
  <c r="H116" i="1"/>
  <c r="I116" i="1"/>
  <c r="I153" i="1"/>
  <c r="H153" i="1"/>
  <c r="H112" i="1"/>
  <c r="I112" i="1"/>
  <c r="I196" i="1"/>
  <c r="H196" i="1"/>
  <c r="I240" i="1"/>
  <c r="H240" i="1"/>
  <c r="I103" i="1"/>
  <c r="H103" i="1"/>
  <c r="I51" i="1"/>
  <c r="H51" i="1"/>
  <c r="H107" i="1"/>
  <c r="I107" i="1"/>
  <c r="H206" i="1"/>
  <c r="I206" i="1"/>
  <c r="H131" i="1"/>
  <c r="I131" i="1"/>
  <c r="H180" i="1"/>
  <c r="I180" i="1"/>
  <c r="I138" i="1"/>
  <c r="H138" i="1"/>
  <c r="H20" i="1"/>
  <c r="I20" i="1"/>
  <c r="I136" i="1"/>
  <c r="H136" i="1"/>
  <c r="I212" i="1"/>
  <c r="H212" i="1"/>
  <c r="H13" i="1"/>
  <c r="I13" i="1"/>
  <c r="I71" i="1"/>
  <c r="H71" i="1"/>
  <c r="I82" i="1"/>
  <c r="H82" i="1"/>
  <c r="H161" i="1"/>
  <c r="I161" i="1"/>
  <c r="H15" i="1"/>
  <c r="I15" i="1"/>
  <c r="H52" i="1"/>
  <c r="I52" i="1"/>
  <c r="H22" i="1"/>
  <c r="I22" i="1"/>
  <c r="I117" i="1"/>
  <c r="H117" i="1"/>
  <c r="H44" i="1"/>
  <c r="I44" i="1"/>
  <c r="H120" i="1"/>
  <c r="I120" i="1"/>
  <c r="H241" i="1"/>
  <c r="I241" i="1"/>
  <c r="H27" i="1"/>
  <c r="I27" i="1"/>
  <c r="H222" i="1"/>
  <c r="I222" i="1"/>
  <c r="H89" i="1"/>
  <c r="I89" i="1"/>
  <c r="I167" i="1"/>
  <c r="H167" i="1"/>
  <c r="I185" i="1"/>
  <c r="H185" i="1"/>
  <c r="H109" i="1"/>
  <c r="I109" i="1"/>
  <c r="H231" i="1"/>
  <c r="I231" i="1"/>
  <c r="H219" i="1"/>
  <c r="I219" i="1"/>
  <c r="H194" i="1"/>
  <c r="I194" i="1"/>
  <c r="H98" i="1"/>
  <c r="I98" i="1"/>
  <c r="H76" i="1"/>
  <c r="I76" i="1"/>
  <c r="I126" i="1"/>
  <c r="H126" i="1"/>
  <c r="I134" i="1"/>
  <c r="H134" i="1"/>
  <c r="I145" i="1"/>
  <c r="H145" i="1"/>
  <c r="I72" i="1"/>
  <c r="H72" i="1"/>
  <c r="H67" i="1"/>
  <c r="I67" i="1"/>
  <c r="H64" i="1"/>
  <c r="I64" i="1"/>
  <c r="I97" i="1"/>
  <c r="H97" i="1"/>
  <c r="H140" i="1"/>
  <c r="I140" i="1"/>
  <c r="H87" i="1"/>
  <c r="I87" i="1"/>
  <c r="Y29" i="1"/>
  <c r="W31" i="1"/>
  <c r="H209" i="1"/>
  <c r="I209" i="1"/>
  <c r="H10" i="1"/>
  <c r="I10" i="1"/>
  <c r="I202" i="1"/>
  <c r="H202" i="1"/>
  <c r="I170" i="1"/>
  <c r="H170" i="1"/>
  <c r="H141" i="1"/>
  <c r="I141" i="1"/>
  <c r="I74" i="1"/>
  <c r="H74" i="1"/>
  <c r="I91" i="1"/>
  <c r="H91" i="1"/>
  <c r="H233" i="1"/>
  <c r="I233" i="1"/>
  <c r="H19" i="1"/>
  <c r="I19" i="1"/>
  <c r="I147" i="1"/>
  <c r="H147" i="1"/>
  <c r="H157" i="1"/>
  <c r="I157" i="1"/>
  <c r="H119" i="1"/>
  <c r="I119" i="1"/>
  <c r="H156" i="1"/>
  <c r="I156" i="1"/>
  <c r="I40" i="1"/>
  <c r="H40" i="1"/>
  <c r="H42" i="1"/>
  <c r="I42" i="1"/>
  <c r="H90" i="1"/>
  <c r="I90" i="1"/>
  <c r="H237" i="1"/>
  <c r="I237" i="1"/>
  <c r="I230" i="1"/>
  <c r="H230" i="1"/>
  <c r="H46" i="1"/>
  <c r="I46" i="1"/>
  <c r="I4" i="1"/>
  <c r="H4" i="1"/>
  <c r="H149" i="1"/>
  <c r="I149" i="1"/>
  <c r="H123" i="1"/>
  <c r="I123" i="1"/>
  <c r="H198" i="1"/>
  <c r="I198" i="1"/>
  <c r="I124" i="1"/>
  <c r="H124" i="1"/>
  <c r="I132" i="1"/>
  <c r="H132" i="1"/>
  <c r="H192" i="1"/>
  <c r="I192" i="1"/>
  <c r="H45" i="1"/>
  <c r="I45" i="1"/>
  <c r="H31" i="1"/>
  <c r="I31" i="1"/>
  <c r="I99" i="1"/>
  <c r="H99" i="1"/>
  <c r="H25" i="1"/>
  <c r="I25" i="1"/>
  <c r="Q15" i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H210" i="1"/>
  <c r="I210" i="1"/>
  <c r="H11" i="1"/>
  <c r="I11" i="1"/>
  <c r="I48" i="1"/>
  <c r="H48" i="1"/>
  <c r="I14" i="1"/>
  <c r="H14" i="1"/>
  <c r="H188" i="1"/>
  <c r="I188" i="1"/>
  <c r="I216" i="1"/>
  <c r="H216" i="1"/>
  <c r="I144" i="1"/>
  <c r="H144" i="1"/>
  <c r="I129" i="1"/>
  <c r="H129" i="1"/>
  <c r="H199" i="1"/>
  <c r="I199" i="1"/>
  <c r="H228" i="1"/>
  <c r="I228" i="1"/>
  <c r="H207" i="1"/>
  <c r="I207" i="1"/>
  <c r="I77" i="1"/>
  <c r="H77" i="1"/>
  <c r="I95" i="1"/>
  <c r="H95" i="1"/>
  <c r="H151" i="1"/>
  <c r="I151" i="1"/>
  <c r="I56" i="1"/>
  <c r="H56" i="1"/>
  <c r="I249" i="1"/>
  <c r="H249" i="1"/>
  <c r="H184" i="1"/>
  <c r="I184" i="1"/>
  <c r="H218" i="1"/>
  <c r="I218" i="1"/>
  <c r="I30" i="1"/>
  <c r="H30" i="1"/>
  <c r="I245" i="1"/>
  <c r="H245" i="1"/>
  <c r="I215" i="1"/>
  <c r="H215" i="1"/>
  <c r="H35" i="1"/>
  <c r="I35" i="1"/>
  <c r="H54" i="1"/>
  <c r="I54" i="1"/>
  <c r="H16" i="1"/>
  <c r="I16" i="1"/>
  <c r="H191" i="1"/>
  <c r="I191" i="1"/>
  <c r="H236" i="1"/>
  <c r="I236" i="1"/>
  <c r="I105" i="1"/>
  <c r="H105" i="1"/>
  <c r="I177" i="1"/>
  <c r="H177" i="1"/>
  <c r="H92" i="1"/>
  <c r="I92" i="1"/>
  <c r="I29" i="1"/>
  <c r="H29" i="1"/>
  <c r="Y30" i="1" l="1"/>
  <c r="W32" i="1"/>
  <c r="R16" i="1"/>
  <c r="S15" i="1"/>
  <c r="T15" i="1" s="1"/>
  <c r="R17" i="1" l="1"/>
  <c r="S16" i="1"/>
  <c r="T16" i="1" s="1"/>
  <c r="Y31" i="1"/>
  <c r="W33" i="1"/>
  <c r="Y32" i="1" l="1"/>
  <c r="W34" i="1"/>
  <c r="R18" i="1"/>
  <c r="S17" i="1"/>
  <c r="T17" i="1" s="1"/>
  <c r="Y33" i="1" l="1"/>
  <c r="W35" i="1"/>
  <c r="R19" i="1"/>
  <c r="S18" i="1"/>
  <c r="T18" i="1" s="1"/>
  <c r="R20" i="1" l="1"/>
  <c r="S19" i="1"/>
  <c r="T19" i="1" s="1"/>
  <c r="Y34" i="1"/>
  <c r="W36" i="1"/>
  <c r="Y35" i="1" l="1"/>
  <c r="W37" i="1"/>
  <c r="R21" i="1"/>
  <c r="S20" i="1"/>
  <c r="T20" i="1" s="1"/>
  <c r="R22" i="1" l="1"/>
  <c r="S21" i="1"/>
  <c r="T21" i="1" s="1"/>
  <c r="Y36" i="1"/>
  <c r="Z36" i="1" s="1"/>
  <c r="W38" i="1"/>
  <c r="Y37" i="1" l="1"/>
  <c r="Z37" i="1" s="1"/>
  <c r="AA37" i="1" s="1"/>
  <c r="W39" i="1"/>
  <c r="R23" i="1"/>
  <c r="S22" i="1"/>
  <c r="T22" i="1" s="1"/>
  <c r="R24" i="1" l="1"/>
  <c r="S23" i="1"/>
  <c r="T23" i="1" s="1"/>
  <c r="Y38" i="1"/>
  <c r="Z38" i="1" s="1"/>
  <c r="AA38" i="1" s="1"/>
  <c r="W40" i="1"/>
  <c r="Y39" i="1" l="1"/>
  <c r="Z39" i="1" s="1"/>
  <c r="AA39" i="1" s="1"/>
  <c r="W41" i="1"/>
  <c r="R25" i="1"/>
  <c r="S24" i="1"/>
  <c r="T24" i="1" s="1"/>
  <c r="Y40" i="1" l="1"/>
  <c r="Z40" i="1" s="1"/>
  <c r="AA40" i="1" s="1"/>
  <c r="W42" i="1"/>
  <c r="R26" i="1"/>
  <c r="S25" i="1"/>
  <c r="T25" i="1" s="1"/>
  <c r="R27" i="1" l="1"/>
  <c r="S26" i="1"/>
  <c r="T26" i="1" s="1"/>
  <c r="Y41" i="1"/>
  <c r="Z41" i="1" s="1"/>
  <c r="AA41" i="1" s="1"/>
  <c r="W43" i="1"/>
  <c r="Y42" i="1" l="1"/>
  <c r="Z42" i="1" s="1"/>
  <c r="AA42" i="1" s="1"/>
  <c r="W44" i="1"/>
  <c r="R28" i="1"/>
  <c r="S27" i="1"/>
  <c r="T27" i="1" s="1"/>
  <c r="Y43" i="1" l="1"/>
  <c r="Z43" i="1" s="1"/>
  <c r="AA43" i="1" s="1"/>
  <c r="W45" i="1"/>
  <c r="R29" i="1"/>
  <c r="S28" i="1"/>
  <c r="T28" i="1" s="1"/>
  <c r="R30" i="1" l="1"/>
  <c r="S29" i="1"/>
  <c r="T29" i="1" s="1"/>
  <c r="Y44" i="1"/>
  <c r="Z44" i="1" s="1"/>
  <c r="AA44" i="1" s="1"/>
  <c r="W46" i="1"/>
  <c r="Y45" i="1" l="1"/>
  <c r="Z45" i="1" s="1"/>
  <c r="AA45" i="1" s="1"/>
  <c r="W47" i="1"/>
  <c r="R31" i="1"/>
  <c r="S30" i="1"/>
  <c r="T30" i="1" s="1"/>
  <c r="R32" i="1" l="1"/>
  <c r="S31" i="1"/>
  <c r="T31" i="1" s="1"/>
  <c r="Y46" i="1"/>
  <c r="Z46" i="1" s="1"/>
  <c r="AA46" i="1" s="1"/>
  <c r="W48" i="1"/>
  <c r="Y47" i="1" l="1"/>
  <c r="Z47" i="1" s="1"/>
  <c r="AA47" i="1" s="1"/>
  <c r="W49" i="1"/>
  <c r="S32" i="1"/>
  <c r="T32" i="1" s="1"/>
  <c r="R33" i="1"/>
  <c r="R34" i="1" l="1"/>
  <c r="S33" i="1"/>
  <c r="T33" i="1" s="1"/>
  <c r="Y48" i="1"/>
  <c r="Z48" i="1" s="1"/>
  <c r="AA48" i="1" s="1"/>
  <c r="W50" i="1"/>
  <c r="Y49" i="1" l="1"/>
  <c r="Z49" i="1" s="1"/>
  <c r="AA49" i="1" s="1"/>
  <c r="W51" i="1"/>
  <c r="R35" i="1"/>
  <c r="S34" i="1"/>
  <c r="T34" i="1" s="1"/>
  <c r="R36" i="1" l="1"/>
  <c r="S35" i="1"/>
  <c r="T35" i="1" s="1"/>
  <c r="Y50" i="1"/>
  <c r="Z50" i="1" s="1"/>
  <c r="AA50" i="1" s="1"/>
  <c r="W52" i="1"/>
  <c r="Y51" i="1" l="1"/>
  <c r="Z51" i="1" s="1"/>
  <c r="AA51" i="1" s="1"/>
  <c r="W53" i="1"/>
  <c r="R37" i="1"/>
  <c r="S36" i="1"/>
  <c r="T36" i="1" s="1"/>
  <c r="Y52" i="1" l="1"/>
  <c r="Z52" i="1" s="1"/>
  <c r="AA52" i="1" s="1"/>
  <c r="W54" i="1"/>
  <c r="R38" i="1"/>
  <c r="S37" i="1"/>
  <c r="T37" i="1" s="1"/>
  <c r="Y53" i="1" l="1"/>
  <c r="Z53" i="1" s="1"/>
  <c r="AA53" i="1" s="1"/>
  <c r="W55" i="1"/>
  <c r="R39" i="1"/>
  <c r="S38" i="1"/>
  <c r="T38" i="1" s="1"/>
  <c r="Y54" i="1" l="1"/>
  <c r="Z54" i="1" s="1"/>
  <c r="AA54" i="1" s="1"/>
  <c r="W56" i="1"/>
  <c r="R40" i="1"/>
  <c r="S39" i="1"/>
  <c r="T39" i="1" s="1"/>
  <c r="R41" i="1" l="1"/>
  <c r="S40" i="1"/>
  <c r="T40" i="1" s="1"/>
  <c r="Y55" i="1"/>
  <c r="Z55" i="1" s="1"/>
  <c r="AA55" i="1" s="1"/>
  <c r="W57" i="1"/>
  <c r="Y56" i="1" l="1"/>
  <c r="Z56" i="1" s="1"/>
  <c r="AA56" i="1" s="1"/>
  <c r="W58" i="1"/>
  <c r="R42" i="1"/>
  <c r="S41" i="1"/>
  <c r="T41" i="1" s="1"/>
  <c r="R43" i="1" l="1"/>
  <c r="S42" i="1"/>
  <c r="T42" i="1" s="1"/>
  <c r="Y57" i="1"/>
  <c r="Z57" i="1" s="1"/>
  <c r="AA57" i="1" s="1"/>
  <c r="W59" i="1"/>
  <c r="Y58" i="1" l="1"/>
  <c r="Z58" i="1" s="1"/>
  <c r="AA58" i="1" s="1"/>
  <c r="W60" i="1"/>
  <c r="R44" i="1"/>
  <c r="S43" i="1"/>
  <c r="T43" i="1" s="1"/>
  <c r="R45" i="1" l="1"/>
  <c r="S44" i="1"/>
  <c r="T44" i="1" s="1"/>
  <c r="Y59" i="1"/>
  <c r="Z59" i="1" s="1"/>
  <c r="AA59" i="1" s="1"/>
  <c r="W61" i="1"/>
  <c r="Y60" i="1" l="1"/>
  <c r="Z60" i="1" s="1"/>
  <c r="AA60" i="1" s="1"/>
  <c r="W62" i="1"/>
  <c r="R46" i="1"/>
  <c r="S45" i="1"/>
  <c r="T45" i="1" s="1"/>
  <c r="R47" i="1" l="1"/>
  <c r="S46" i="1"/>
  <c r="T46" i="1" s="1"/>
  <c r="Y61" i="1"/>
  <c r="Z61" i="1" s="1"/>
  <c r="AA61" i="1" s="1"/>
  <c r="W63" i="1"/>
  <c r="Y62" i="1" l="1"/>
  <c r="Z62" i="1" s="1"/>
  <c r="AA62" i="1" s="1"/>
  <c r="W64" i="1"/>
  <c r="R48" i="1"/>
  <c r="S47" i="1"/>
  <c r="T47" i="1" s="1"/>
  <c r="R49" i="1" l="1"/>
  <c r="S48" i="1"/>
  <c r="T48" i="1" s="1"/>
  <c r="Y63" i="1"/>
  <c r="Z63" i="1" s="1"/>
  <c r="AA63" i="1" s="1"/>
  <c r="W65" i="1"/>
  <c r="Y64" i="1" l="1"/>
  <c r="Z64" i="1" s="1"/>
  <c r="AA64" i="1" s="1"/>
  <c r="W66" i="1"/>
  <c r="R50" i="1"/>
  <c r="S49" i="1"/>
  <c r="T49" i="1" s="1"/>
  <c r="R51" i="1" l="1"/>
  <c r="S50" i="1"/>
  <c r="T50" i="1" s="1"/>
  <c r="Y65" i="1"/>
  <c r="Z65" i="1" s="1"/>
  <c r="AA65" i="1" s="1"/>
  <c r="W67" i="1"/>
  <c r="Y66" i="1" l="1"/>
  <c r="Z66" i="1" s="1"/>
  <c r="AA66" i="1" s="1"/>
  <c r="W68" i="1"/>
  <c r="R52" i="1"/>
  <c r="S51" i="1"/>
  <c r="T51" i="1" s="1"/>
  <c r="R53" i="1" l="1"/>
  <c r="S52" i="1"/>
  <c r="T52" i="1" s="1"/>
  <c r="Y67" i="1"/>
  <c r="Z67" i="1" s="1"/>
  <c r="AA67" i="1" s="1"/>
  <c r="W69" i="1"/>
  <c r="Y68" i="1" l="1"/>
  <c r="Z68" i="1" s="1"/>
  <c r="AA68" i="1" s="1"/>
  <c r="W70" i="1"/>
  <c r="R54" i="1"/>
  <c r="S53" i="1"/>
  <c r="T53" i="1" s="1"/>
  <c r="S54" i="1" l="1"/>
  <c r="T54" i="1" s="1"/>
  <c r="R55" i="1"/>
  <c r="Y69" i="1"/>
  <c r="Z69" i="1" s="1"/>
  <c r="AA69" i="1" s="1"/>
  <c r="W71" i="1"/>
  <c r="Y70" i="1" l="1"/>
  <c r="Z70" i="1" s="1"/>
  <c r="AA70" i="1" s="1"/>
  <c r="W72" i="1"/>
  <c r="S55" i="1"/>
  <c r="T55" i="1" s="1"/>
  <c r="R56" i="1"/>
  <c r="S56" i="1" l="1"/>
  <c r="T56" i="1" s="1"/>
  <c r="R57" i="1"/>
  <c r="Y71" i="1"/>
  <c r="Z71" i="1" s="1"/>
  <c r="AA71" i="1" s="1"/>
  <c r="W73" i="1"/>
  <c r="Y72" i="1" l="1"/>
  <c r="Z72" i="1" s="1"/>
  <c r="AA72" i="1" s="1"/>
  <c r="W74" i="1"/>
  <c r="R58" i="1"/>
  <c r="S57" i="1"/>
  <c r="T57" i="1" s="1"/>
  <c r="R59" i="1" l="1"/>
  <c r="S58" i="1"/>
  <c r="T58" i="1" s="1"/>
  <c r="Y73" i="1"/>
  <c r="Z73" i="1" s="1"/>
  <c r="AA73" i="1" s="1"/>
  <c r="W75" i="1"/>
  <c r="Y74" i="1" l="1"/>
  <c r="Z74" i="1" s="1"/>
  <c r="AA74" i="1" s="1"/>
  <c r="W76" i="1"/>
  <c r="R60" i="1"/>
  <c r="S59" i="1"/>
  <c r="T59" i="1" s="1"/>
  <c r="R61" i="1" l="1"/>
  <c r="S60" i="1"/>
  <c r="T60" i="1" s="1"/>
  <c r="Y75" i="1"/>
  <c r="Z75" i="1" s="1"/>
  <c r="AA75" i="1" s="1"/>
  <c r="W77" i="1"/>
  <c r="Y76" i="1" l="1"/>
  <c r="Z76" i="1" s="1"/>
  <c r="AA76" i="1" s="1"/>
  <c r="W78" i="1"/>
  <c r="R62" i="1"/>
  <c r="S61" i="1"/>
  <c r="T61" i="1" s="1"/>
  <c r="R63" i="1" l="1"/>
  <c r="S62" i="1"/>
  <c r="T62" i="1" s="1"/>
  <c r="Y77" i="1"/>
  <c r="Z77" i="1" s="1"/>
  <c r="AA77" i="1" s="1"/>
  <c r="W79" i="1"/>
  <c r="Y78" i="1" l="1"/>
  <c r="Z78" i="1" s="1"/>
  <c r="AA78" i="1" s="1"/>
  <c r="W80" i="1"/>
  <c r="R64" i="1"/>
  <c r="S63" i="1"/>
  <c r="T63" i="1" s="1"/>
  <c r="R65" i="1" l="1"/>
  <c r="S64" i="1"/>
  <c r="T64" i="1" s="1"/>
  <c r="Y79" i="1"/>
  <c r="Z79" i="1" s="1"/>
  <c r="AA79" i="1" s="1"/>
  <c r="W81" i="1"/>
  <c r="Y80" i="1" l="1"/>
  <c r="Z80" i="1" s="1"/>
  <c r="AA80" i="1" s="1"/>
  <c r="W82" i="1"/>
  <c r="R66" i="1"/>
  <c r="S65" i="1"/>
  <c r="T65" i="1" s="1"/>
  <c r="R67" i="1" l="1"/>
  <c r="S66" i="1"/>
  <c r="T66" i="1" s="1"/>
  <c r="Y81" i="1"/>
  <c r="Z81" i="1" s="1"/>
  <c r="AA81" i="1" s="1"/>
  <c r="W83" i="1"/>
  <c r="Y82" i="1" l="1"/>
  <c r="Z82" i="1" s="1"/>
  <c r="AA82" i="1" s="1"/>
  <c r="W84" i="1"/>
  <c r="R68" i="1"/>
  <c r="S67" i="1"/>
  <c r="T67" i="1" s="1"/>
  <c r="S68" i="1" l="1"/>
  <c r="T68" i="1" s="1"/>
  <c r="R69" i="1"/>
  <c r="Y83" i="1"/>
  <c r="Z83" i="1" s="1"/>
  <c r="AA83" i="1" s="1"/>
  <c r="W85" i="1"/>
  <c r="Y84" i="1" l="1"/>
  <c r="Z84" i="1" s="1"/>
  <c r="AA84" i="1" s="1"/>
  <c r="W86" i="1"/>
  <c r="R70" i="1"/>
  <c r="S69" i="1"/>
  <c r="T69" i="1" s="1"/>
  <c r="R71" i="1" l="1"/>
  <c r="S70" i="1"/>
  <c r="T70" i="1" s="1"/>
  <c r="Y85" i="1"/>
  <c r="Z85" i="1" s="1"/>
  <c r="AA85" i="1" s="1"/>
  <c r="W87" i="1"/>
  <c r="Y86" i="1" l="1"/>
  <c r="Z86" i="1" s="1"/>
  <c r="AA86" i="1" s="1"/>
  <c r="W88" i="1"/>
  <c r="R72" i="1"/>
  <c r="S71" i="1"/>
  <c r="T71" i="1" s="1"/>
  <c r="R73" i="1" l="1"/>
  <c r="S72" i="1"/>
  <c r="T72" i="1" s="1"/>
  <c r="Y87" i="1"/>
  <c r="Z87" i="1" s="1"/>
  <c r="AA87" i="1" s="1"/>
  <c r="W89" i="1"/>
  <c r="Y88" i="1" l="1"/>
  <c r="W90" i="1"/>
  <c r="R74" i="1"/>
  <c r="S73" i="1"/>
  <c r="T73" i="1" s="1"/>
  <c r="R75" i="1" l="1"/>
  <c r="S74" i="1"/>
  <c r="T74" i="1" s="1"/>
  <c r="Y89" i="1"/>
  <c r="W91" i="1"/>
  <c r="Z88" i="1"/>
  <c r="AA88" i="1" s="1"/>
  <c r="Y90" i="1" l="1"/>
  <c r="W92" i="1"/>
  <c r="Z89" i="1"/>
  <c r="AA89" i="1" s="1"/>
  <c r="R76" i="1"/>
  <c r="S75" i="1"/>
  <c r="T75" i="1" s="1"/>
  <c r="R77" i="1" l="1"/>
  <c r="S76" i="1"/>
  <c r="T76" i="1" s="1"/>
  <c r="Y91" i="1"/>
  <c r="W93" i="1"/>
  <c r="Z90" i="1"/>
  <c r="AA90" i="1" s="1"/>
  <c r="Y92" i="1" l="1"/>
  <c r="W94" i="1"/>
  <c r="Z91" i="1"/>
  <c r="AA91" i="1" s="1"/>
  <c r="R78" i="1"/>
  <c r="S77" i="1"/>
  <c r="T77" i="1" s="1"/>
  <c r="S78" i="1" l="1"/>
  <c r="T78" i="1" s="1"/>
  <c r="R79" i="1"/>
  <c r="Y93" i="1"/>
  <c r="W95" i="1"/>
  <c r="Z92" i="1"/>
  <c r="AA92" i="1" s="1"/>
  <c r="Y94" i="1" l="1"/>
  <c r="W96" i="1"/>
  <c r="Z93" i="1"/>
  <c r="AA93" i="1" s="1"/>
  <c r="R80" i="1"/>
  <c r="S79" i="1"/>
  <c r="T79" i="1" s="1"/>
  <c r="R81" i="1" l="1"/>
  <c r="S80" i="1"/>
  <c r="T80" i="1" s="1"/>
  <c r="Y95" i="1"/>
  <c r="W97" i="1"/>
  <c r="Z94" i="1"/>
  <c r="AA94" i="1" s="1"/>
  <c r="Y96" i="1" l="1"/>
  <c r="W98" i="1"/>
  <c r="Z95" i="1"/>
  <c r="AA95" i="1" s="1"/>
  <c r="R82" i="1"/>
  <c r="S81" i="1"/>
  <c r="T81" i="1" s="1"/>
  <c r="R83" i="1" l="1"/>
  <c r="S82" i="1"/>
  <c r="T82" i="1" s="1"/>
  <c r="Y97" i="1"/>
  <c r="W99" i="1"/>
  <c r="Z96" i="1"/>
  <c r="AA96" i="1" s="1"/>
  <c r="Y98" i="1" l="1"/>
  <c r="W100" i="1"/>
  <c r="Z97" i="1"/>
  <c r="AA97" i="1" s="1"/>
  <c r="R84" i="1"/>
  <c r="S83" i="1"/>
  <c r="T83" i="1" s="1"/>
  <c r="R85" i="1" l="1"/>
  <c r="S84" i="1"/>
  <c r="T84" i="1" s="1"/>
  <c r="Y99" i="1"/>
  <c r="W101" i="1"/>
  <c r="Z98" i="1"/>
  <c r="AA98" i="1" s="1"/>
  <c r="Y100" i="1" l="1"/>
  <c r="W102" i="1"/>
  <c r="Z99" i="1"/>
  <c r="AA99" i="1" s="1"/>
  <c r="R86" i="1"/>
  <c r="S85" i="1"/>
  <c r="T85" i="1" s="1"/>
  <c r="R87" i="1" l="1"/>
  <c r="S86" i="1"/>
  <c r="T86" i="1" s="1"/>
  <c r="Y101" i="1"/>
  <c r="W103" i="1"/>
  <c r="Z100" i="1"/>
  <c r="AA100" i="1" s="1"/>
  <c r="Y102" i="1" l="1"/>
  <c r="W104" i="1"/>
  <c r="Z101" i="1"/>
  <c r="AA101" i="1" s="1"/>
  <c r="R88" i="1"/>
  <c r="S87" i="1"/>
  <c r="T87" i="1" s="1"/>
  <c r="R89" i="1" l="1"/>
  <c r="S88" i="1"/>
  <c r="T88" i="1" s="1"/>
  <c r="Y103" i="1"/>
  <c r="W105" i="1"/>
  <c r="Z102" i="1"/>
  <c r="AA102" i="1" s="1"/>
  <c r="Y104" i="1" l="1"/>
  <c r="W106" i="1"/>
  <c r="Z103" i="1"/>
  <c r="AA103" i="1" s="1"/>
  <c r="R90" i="1"/>
  <c r="S89" i="1"/>
  <c r="T89" i="1" s="1"/>
  <c r="R91" i="1" l="1"/>
  <c r="S90" i="1"/>
  <c r="T90" i="1" s="1"/>
  <c r="Y105" i="1"/>
  <c r="W107" i="1"/>
  <c r="Z104" i="1"/>
  <c r="AA104" i="1" s="1"/>
  <c r="Y106" i="1" l="1"/>
  <c r="W108" i="1"/>
  <c r="Z105" i="1"/>
  <c r="AA105" i="1" s="1"/>
  <c r="R92" i="1"/>
  <c r="S91" i="1"/>
  <c r="T91" i="1" s="1"/>
  <c r="R93" i="1" l="1"/>
  <c r="S92" i="1"/>
  <c r="T92" i="1" s="1"/>
  <c r="Y107" i="1"/>
  <c r="W109" i="1"/>
  <c r="Z106" i="1"/>
  <c r="AA106" i="1" s="1"/>
  <c r="Z107" i="1" l="1"/>
  <c r="AA107" i="1" s="1"/>
  <c r="Y108" i="1"/>
  <c r="W110" i="1"/>
  <c r="R94" i="1"/>
  <c r="S93" i="1"/>
  <c r="T93" i="1" s="1"/>
  <c r="Z108" i="1" l="1"/>
  <c r="AA108" i="1" s="1"/>
  <c r="S94" i="1"/>
  <c r="T94" i="1" s="1"/>
  <c r="R95" i="1"/>
  <c r="Y109" i="1"/>
  <c r="W111" i="1"/>
  <c r="Z109" i="1" l="1"/>
  <c r="AA109" i="1" s="1"/>
  <c r="Y110" i="1"/>
  <c r="W112" i="1"/>
  <c r="R96" i="1"/>
  <c r="S95" i="1"/>
  <c r="T95" i="1" s="1"/>
  <c r="Z110" i="1" l="1"/>
  <c r="AA110" i="1" s="1"/>
  <c r="R97" i="1"/>
  <c r="S96" i="1"/>
  <c r="T96" i="1" s="1"/>
  <c r="Y111" i="1"/>
  <c r="W113" i="1"/>
  <c r="Z111" i="1" l="1"/>
  <c r="AA111" i="1" s="1"/>
  <c r="Y112" i="1"/>
  <c r="W114" i="1"/>
  <c r="S97" i="1"/>
  <c r="T97" i="1" s="1"/>
  <c r="R98" i="1"/>
  <c r="Z112" i="1" l="1"/>
  <c r="AA112" i="1" s="1"/>
  <c r="R99" i="1"/>
  <c r="S98" i="1"/>
  <c r="T98" i="1" s="1"/>
  <c r="Y113" i="1"/>
  <c r="W115" i="1"/>
  <c r="Z113" i="1" l="1"/>
  <c r="AA113" i="1" s="1"/>
  <c r="Y114" i="1"/>
  <c r="W116" i="1"/>
  <c r="R100" i="1"/>
  <c r="S99" i="1"/>
  <c r="T99" i="1" s="1"/>
  <c r="Z114" i="1" l="1"/>
  <c r="AA114" i="1" s="1"/>
  <c r="Y115" i="1"/>
  <c r="W117" i="1"/>
  <c r="R101" i="1"/>
  <c r="S100" i="1"/>
  <c r="T100" i="1" s="1"/>
  <c r="Z115" i="1" l="1"/>
  <c r="AA115" i="1" s="1"/>
  <c r="Y116" i="1"/>
  <c r="W118" i="1"/>
  <c r="R102" i="1"/>
  <c r="S101" i="1"/>
  <c r="T101" i="1" s="1"/>
  <c r="Z116" i="1" l="1"/>
  <c r="AA116" i="1" s="1"/>
  <c r="R103" i="1"/>
  <c r="S102" i="1"/>
  <c r="T102" i="1" s="1"/>
  <c r="Y117" i="1"/>
  <c r="W119" i="1"/>
  <c r="Z117" i="1" l="1"/>
  <c r="AA117" i="1" s="1"/>
  <c r="Y118" i="1"/>
  <c r="W120" i="1"/>
  <c r="R104" i="1"/>
  <c r="S103" i="1"/>
  <c r="T103" i="1" s="1"/>
  <c r="Z118" i="1" l="1"/>
  <c r="AA118" i="1" s="1"/>
  <c r="R105" i="1"/>
  <c r="S104" i="1"/>
  <c r="T104" i="1" s="1"/>
  <c r="Y119" i="1"/>
  <c r="W121" i="1"/>
  <c r="Z119" i="1" l="1"/>
  <c r="AA119" i="1" s="1"/>
  <c r="Y120" i="1"/>
  <c r="W122" i="1"/>
  <c r="R106" i="1"/>
  <c r="S105" i="1"/>
  <c r="T105" i="1" s="1"/>
  <c r="Z120" i="1" l="1"/>
  <c r="AA120" i="1" s="1"/>
  <c r="R107" i="1"/>
  <c r="S106" i="1"/>
  <c r="T106" i="1" s="1"/>
  <c r="Y121" i="1"/>
  <c r="W123" i="1"/>
  <c r="Z121" i="1" l="1"/>
  <c r="AA121" i="1" s="1"/>
  <c r="Y122" i="1"/>
  <c r="W124" i="1"/>
  <c r="S107" i="1"/>
  <c r="T107" i="1" s="1"/>
  <c r="R108" i="1"/>
  <c r="R109" i="1" l="1"/>
  <c r="S108" i="1"/>
  <c r="T108" i="1" s="1"/>
  <c r="Y123" i="1"/>
  <c r="W125" i="1"/>
  <c r="Z122" i="1"/>
  <c r="AA122" i="1" s="1"/>
  <c r="Y124" i="1" l="1"/>
  <c r="W126" i="1"/>
  <c r="Z123" i="1"/>
  <c r="AA123" i="1" s="1"/>
  <c r="R110" i="1"/>
  <c r="S109" i="1"/>
  <c r="T109" i="1" s="1"/>
  <c r="R111" i="1" l="1"/>
  <c r="S110" i="1"/>
  <c r="T110" i="1" s="1"/>
  <c r="Y125" i="1"/>
  <c r="W127" i="1"/>
  <c r="Z124" i="1"/>
  <c r="AA124" i="1" s="1"/>
  <c r="Y126" i="1" l="1"/>
  <c r="W128" i="1"/>
  <c r="Z125" i="1"/>
  <c r="AA125" i="1" s="1"/>
  <c r="R112" i="1"/>
  <c r="S111" i="1"/>
  <c r="T111" i="1" s="1"/>
  <c r="R113" i="1" l="1"/>
  <c r="S112" i="1"/>
  <c r="T112" i="1" s="1"/>
  <c r="Y127" i="1"/>
  <c r="W129" i="1"/>
  <c r="Z126" i="1"/>
  <c r="AA126" i="1" s="1"/>
  <c r="Y128" i="1" l="1"/>
  <c r="W130" i="1"/>
  <c r="Z127" i="1"/>
  <c r="AA127" i="1" s="1"/>
  <c r="R114" i="1"/>
  <c r="S113" i="1"/>
  <c r="T113" i="1" s="1"/>
  <c r="R115" i="1" l="1"/>
  <c r="S114" i="1"/>
  <c r="T114" i="1" s="1"/>
  <c r="Y129" i="1"/>
  <c r="W131" i="1"/>
  <c r="Z128" i="1"/>
  <c r="AA128" i="1" s="1"/>
  <c r="Y130" i="1" l="1"/>
  <c r="W132" i="1"/>
  <c r="Z129" i="1"/>
  <c r="AA129" i="1" s="1"/>
  <c r="R116" i="1"/>
  <c r="S115" i="1"/>
  <c r="T115" i="1" s="1"/>
  <c r="R117" i="1" l="1"/>
  <c r="S116" i="1"/>
  <c r="T116" i="1" s="1"/>
  <c r="Y131" i="1"/>
  <c r="W133" i="1"/>
  <c r="Z130" i="1"/>
  <c r="AA130" i="1" s="1"/>
  <c r="Y132" i="1" l="1"/>
  <c r="W134" i="1"/>
  <c r="Z131" i="1"/>
  <c r="AA131" i="1" s="1"/>
  <c r="R118" i="1"/>
  <c r="S117" i="1"/>
  <c r="T117" i="1" s="1"/>
  <c r="R119" i="1" l="1"/>
  <c r="S118" i="1"/>
  <c r="T118" i="1" s="1"/>
  <c r="Y133" i="1"/>
  <c r="W135" i="1"/>
  <c r="Z132" i="1"/>
  <c r="AA132" i="1" s="1"/>
  <c r="Y134" i="1" l="1"/>
  <c r="W136" i="1"/>
  <c r="Z133" i="1"/>
  <c r="AA133" i="1" s="1"/>
  <c r="R120" i="1"/>
  <c r="S119" i="1"/>
  <c r="T119" i="1" s="1"/>
  <c r="S120" i="1" l="1"/>
  <c r="T120" i="1" s="1"/>
  <c r="R121" i="1"/>
  <c r="Y135" i="1"/>
  <c r="W137" i="1"/>
  <c r="Z134" i="1"/>
  <c r="AA134" i="1" s="1"/>
  <c r="Y136" i="1" l="1"/>
  <c r="W138" i="1"/>
  <c r="Z135" i="1"/>
  <c r="AA135" i="1" s="1"/>
  <c r="R122" i="1"/>
  <c r="S121" i="1"/>
  <c r="T121" i="1" s="1"/>
  <c r="R123" i="1" l="1"/>
  <c r="S122" i="1"/>
  <c r="T122" i="1" s="1"/>
  <c r="Y137" i="1"/>
  <c r="W139" i="1"/>
  <c r="Z136" i="1"/>
  <c r="AA136" i="1" s="1"/>
  <c r="Y138" i="1" l="1"/>
  <c r="W140" i="1"/>
  <c r="Z137" i="1"/>
  <c r="AA137" i="1" s="1"/>
  <c r="R124" i="1"/>
  <c r="S123" i="1"/>
  <c r="T123" i="1" s="1"/>
  <c r="R125" i="1" l="1"/>
  <c r="S124" i="1"/>
  <c r="T124" i="1" s="1"/>
  <c r="Y139" i="1"/>
  <c r="W141" i="1"/>
  <c r="Z138" i="1"/>
  <c r="AA138" i="1" s="1"/>
  <c r="Y140" i="1" l="1"/>
  <c r="W142" i="1"/>
  <c r="Z139" i="1"/>
  <c r="AA139" i="1" s="1"/>
  <c r="R126" i="1"/>
  <c r="S125" i="1"/>
  <c r="T125" i="1" s="1"/>
  <c r="S126" i="1" l="1"/>
  <c r="T126" i="1" s="1"/>
  <c r="R127" i="1"/>
  <c r="Y141" i="1"/>
  <c r="W143" i="1"/>
  <c r="Z140" i="1"/>
  <c r="AA140" i="1" s="1"/>
  <c r="Y142" i="1" l="1"/>
  <c r="W144" i="1"/>
  <c r="Z141" i="1"/>
  <c r="AA141" i="1" s="1"/>
  <c r="R128" i="1"/>
  <c r="S127" i="1"/>
  <c r="T127" i="1" s="1"/>
  <c r="R129" i="1" l="1"/>
  <c r="S128" i="1"/>
  <c r="T128" i="1" s="1"/>
  <c r="Y143" i="1"/>
  <c r="W145" i="1"/>
  <c r="Z142" i="1"/>
  <c r="AA142" i="1" s="1"/>
  <c r="Y144" i="1" l="1"/>
  <c r="W146" i="1"/>
  <c r="Z143" i="1"/>
  <c r="AA143" i="1" s="1"/>
  <c r="R130" i="1"/>
  <c r="S129" i="1"/>
  <c r="T129" i="1" s="1"/>
  <c r="R131" i="1" l="1"/>
  <c r="S130" i="1"/>
  <c r="T130" i="1" s="1"/>
  <c r="Y145" i="1"/>
  <c r="W147" i="1"/>
  <c r="Z144" i="1"/>
  <c r="AA144" i="1" s="1"/>
  <c r="Y146" i="1" l="1"/>
  <c r="W148" i="1"/>
  <c r="Z145" i="1"/>
  <c r="AA145" i="1" s="1"/>
  <c r="R132" i="1"/>
  <c r="S131" i="1"/>
  <c r="T131" i="1" s="1"/>
  <c r="R133" i="1" l="1"/>
  <c r="S132" i="1"/>
  <c r="T132" i="1" s="1"/>
  <c r="Y147" i="1"/>
  <c r="W149" i="1"/>
  <c r="Z146" i="1"/>
  <c r="AA146" i="1" s="1"/>
  <c r="Z147" i="1" l="1"/>
  <c r="AA147" i="1" s="1"/>
  <c r="Y148" i="1"/>
  <c r="W150" i="1"/>
  <c r="R134" i="1"/>
  <c r="S133" i="1"/>
  <c r="T133" i="1" s="1"/>
  <c r="Z148" i="1" l="1"/>
  <c r="AA148" i="1" s="1"/>
  <c r="R135" i="1"/>
  <c r="S134" i="1"/>
  <c r="T134" i="1" s="1"/>
  <c r="Y149" i="1"/>
  <c r="W151" i="1"/>
  <c r="Z149" i="1" l="1"/>
  <c r="AA149" i="1" s="1"/>
  <c r="Y150" i="1"/>
  <c r="W152" i="1"/>
  <c r="R136" i="1"/>
  <c r="S135" i="1"/>
  <c r="T135" i="1" s="1"/>
  <c r="Z150" i="1" l="1"/>
  <c r="AA150" i="1" s="1"/>
  <c r="Y151" i="1"/>
  <c r="W153" i="1"/>
  <c r="R137" i="1"/>
  <c r="S136" i="1"/>
  <c r="T136" i="1" s="1"/>
  <c r="Z151" i="1" l="1"/>
  <c r="AA151" i="1" s="1"/>
  <c r="R138" i="1"/>
  <c r="S137" i="1"/>
  <c r="T137" i="1" s="1"/>
  <c r="Y152" i="1"/>
  <c r="W154" i="1"/>
  <c r="Z152" i="1" l="1"/>
  <c r="AA152" i="1" s="1"/>
  <c r="Y153" i="1"/>
  <c r="W155" i="1"/>
  <c r="R139" i="1"/>
  <c r="S138" i="1"/>
  <c r="T138" i="1" s="1"/>
  <c r="Z153" i="1" l="1"/>
  <c r="AA153" i="1" s="1"/>
  <c r="R140" i="1"/>
  <c r="S139" i="1"/>
  <c r="T139" i="1" s="1"/>
  <c r="Y154" i="1"/>
  <c r="W156" i="1"/>
  <c r="Z154" i="1" l="1"/>
  <c r="AA154" i="1" s="1"/>
  <c r="Y155" i="1"/>
  <c r="W157" i="1"/>
  <c r="R141" i="1"/>
  <c r="S140" i="1"/>
  <c r="T140" i="1" s="1"/>
  <c r="Z155" i="1" l="1"/>
  <c r="AA155" i="1" s="1"/>
  <c r="S141" i="1"/>
  <c r="T141" i="1" s="1"/>
  <c r="R142" i="1"/>
  <c r="Y156" i="1"/>
  <c r="W158" i="1"/>
  <c r="Y157" i="1" l="1"/>
  <c r="W159" i="1"/>
  <c r="Z156" i="1"/>
  <c r="AA156" i="1" s="1"/>
  <c r="R143" i="1"/>
  <c r="S142" i="1"/>
  <c r="T142" i="1" s="1"/>
  <c r="R144" i="1" l="1"/>
  <c r="S143" i="1"/>
  <c r="T143" i="1" s="1"/>
  <c r="Y158" i="1"/>
  <c r="W160" i="1"/>
  <c r="Z157" i="1"/>
  <c r="AA157" i="1" s="1"/>
  <c r="Y159" i="1" l="1"/>
  <c r="W161" i="1"/>
  <c r="Z158" i="1"/>
  <c r="AA158" i="1" s="1"/>
  <c r="R145" i="1"/>
  <c r="S144" i="1"/>
  <c r="T144" i="1" s="1"/>
  <c r="R146" i="1" l="1"/>
  <c r="S145" i="1"/>
  <c r="T145" i="1" s="1"/>
  <c r="Y160" i="1"/>
  <c r="W162" i="1"/>
  <c r="Z159" i="1"/>
  <c r="AA159" i="1" s="1"/>
  <c r="Y161" i="1" l="1"/>
  <c r="W163" i="1"/>
  <c r="Z160" i="1"/>
  <c r="AA160" i="1" s="1"/>
  <c r="R147" i="1"/>
  <c r="S146" i="1"/>
  <c r="T146" i="1" s="1"/>
  <c r="R148" i="1" l="1"/>
  <c r="S147" i="1"/>
  <c r="T147" i="1" s="1"/>
  <c r="Y162" i="1"/>
  <c r="W164" i="1"/>
  <c r="Z161" i="1"/>
  <c r="AA161" i="1" s="1"/>
  <c r="Y163" i="1" l="1"/>
  <c r="W165" i="1"/>
  <c r="Z162" i="1"/>
  <c r="AA162" i="1" s="1"/>
  <c r="R149" i="1"/>
  <c r="S148" i="1"/>
  <c r="T148" i="1" s="1"/>
  <c r="S149" i="1" l="1"/>
  <c r="T149" i="1" s="1"/>
  <c r="R150" i="1"/>
  <c r="Y164" i="1"/>
  <c r="W166" i="1"/>
  <c r="Z163" i="1"/>
  <c r="AA163" i="1" s="1"/>
  <c r="Y165" i="1" l="1"/>
  <c r="W167" i="1"/>
  <c r="Z164" i="1"/>
  <c r="AA164" i="1" s="1"/>
  <c r="R151" i="1"/>
  <c r="S150" i="1"/>
  <c r="T150" i="1" s="1"/>
  <c r="R152" i="1" l="1"/>
  <c r="S151" i="1"/>
  <c r="T151" i="1" s="1"/>
  <c r="Y166" i="1"/>
  <c r="W168" i="1"/>
  <c r="Z165" i="1"/>
  <c r="AA165" i="1" s="1"/>
  <c r="Y167" i="1" l="1"/>
  <c r="W169" i="1"/>
  <c r="Z166" i="1"/>
  <c r="AA166" i="1" s="1"/>
  <c r="S152" i="1"/>
  <c r="T152" i="1" s="1"/>
  <c r="R153" i="1"/>
  <c r="R154" i="1" l="1"/>
  <c r="S153" i="1"/>
  <c r="T153" i="1" s="1"/>
  <c r="Y168" i="1"/>
  <c r="W170" i="1"/>
  <c r="Z167" i="1"/>
  <c r="AA167" i="1" s="1"/>
  <c r="Y169" i="1" l="1"/>
  <c r="W171" i="1"/>
  <c r="Z168" i="1"/>
  <c r="AA168" i="1" s="1"/>
  <c r="R155" i="1"/>
  <c r="S154" i="1"/>
  <c r="T154" i="1" s="1"/>
  <c r="R156" i="1" l="1"/>
  <c r="S155" i="1"/>
  <c r="T155" i="1" s="1"/>
  <c r="Y170" i="1"/>
  <c r="W172" i="1"/>
  <c r="Z169" i="1"/>
  <c r="AA169" i="1" s="1"/>
  <c r="Y171" i="1" l="1"/>
  <c r="W173" i="1"/>
  <c r="Z170" i="1"/>
  <c r="AA170" i="1" s="1"/>
  <c r="R157" i="1"/>
  <c r="S156" i="1"/>
  <c r="T156" i="1" s="1"/>
  <c r="R158" i="1" l="1"/>
  <c r="S157" i="1"/>
  <c r="T157" i="1" s="1"/>
  <c r="Y172" i="1"/>
  <c r="W174" i="1"/>
  <c r="Z171" i="1"/>
  <c r="AA171" i="1" s="1"/>
  <c r="Y173" i="1" l="1"/>
  <c r="W175" i="1"/>
  <c r="Z172" i="1"/>
  <c r="AA172" i="1" s="1"/>
  <c r="R159" i="1"/>
  <c r="S158" i="1"/>
  <c r="T158" i="1" s="1"/>
  <c r="R160" i="1" l="1"/>
  <c r="S159" i="1"/>
  <c r="T159" i="1" s="1"/>
  <c r="Y174" i="1"/>
  <c r="W176" i="1"/>
  <c r="Z173" i="1"/>
  <c r="AA173" i="1" s="1"/>
  <c r="Y175" i="1" l="1"/>
  <c r="W177" i="1"/>
  <c r="Z174" i="1"/>
  <c r="AA174" i="1" s="1"/>
  <c r="R161" i="1"/>
  <c r="S160" i="1"/>
  <c r="T160" i="1" s="1"/>
  <c r="R162" i="1" l="1"/>
  <c r="S161" i="1"/>
  <c r="T161" i="1" s="1"/>
  <c r="Y176" i="1"/>
  <c r="W178" i="1"/>
  <c r="Z175" i="1"/>
  <c r="AA175" i="1" s="1"/>
  <c r="Y177" i="1" l="1"/>
  <c r="W179" i="1"/>
  <c r="Z176" i="1"/>
  <c r="AA176" i="1" s="1"/>
  <c r="R163" i="1"/>
  <c r="S162" i="1"/>
  <c r="T162" i="1" s="1"/>
  <c r="S163" i="1" l="1"/>
  <c r="T163" i="1" s="1"/>
  <c r="R164" i="1"/>
  <c r="Y178" i="1"/>
  <c r="W180" i="1"/>
  <c r="Z177" i="1"/>
  <c r="AA177" i="1" s="1"/>
  <c r="Y179" i="1" l="1"/>
  <c r="W181" i="1"/>
  <c r="Z178" i="1"/>
  <c r="AA178" i="1" s="1"/>
  <c r="R165" i="1"/>
  <c r="S164" i="1"/>
  <c r="T164" i="1" s="1"/>
  <c r="R166" i="1" l="1"/>
  <c r="S165" i="1"/>
  <c r="T165" i="1" s="1"/>
  <c r="Y180" i="1"/>
  <c r="W182" i="1"/>
  <c r="Z179" i="1"/>
  <c r="AA179" i="1" s="1"/>
  <c r="Y181" i="1" l="1"/>
  <c r="W183" i="1"/>
  <c r="Z180" i="1"/>
  <c r="AA180" i="1" s="1"/>
  <c r="R167" i="1"/>
  <c r="S166" i="1"/>
  <c r="T166" i="1" s="1"/>
  <c r="R168" i="1" l="1"/>
  <c r="S167" i="1"/>
  <c r="T167" i="1" s="1"/>
  <c r="Y182" i="1"/>
  <c r="W184" i="1"/>
  <c r="Z181" i="1"/>
  <c r="AA181" i="1" s="1"/>
  <c r="Y183" i="1" l="1"/>
  <c r="W185" i="1"/>
  <c r="Z182" i="1"/>
  <c r="AA182" i="1" s="1"/>
  <c r="R169" i="1"/>
  <c r="S168" i="1"/>
  <c r="T168" i="1" s="1"/>
  <c r="R170" i="1" l="1"/>
  <c r="S169" i="1"/>
  <c r="T169" i="1" s="1"/>
  <c r="Y184" i="1"/>
  <c r="W186" i="1"/>
  <c r="Z183" i="1"/>
  <c r="AA183" i="1" s="1"/>
  <c r="Y185" i="1" l="1"/>
  <c r="W187" i="1"/>
  <c r="Z184" i="1"/>
  <c r="AA184" i="1" s="1"/>
  <c r="R171" i="1"/>
  <c r="S170" i="1"/>
  <c r="T170" i="1" s="1"/>
  <c r="R172" i="1" l="1"/>
  <c r="S171" i="1"/>
  <c r="T171" i="1" s="1"/>
  <c r="Y186" i="1"/>
  <c r="W188" i="1"/>
  <c r="Z185" i="1"/>
  <c r="AA185" i="1" s="1"/>
  <c r="Y187" i="1" l="1"/>
  <c r="W189" i="1"/>
  <c r="Z186" i="1"/>
  <c r="AA186" i="1" s="1"/>
  <c r="R173" i="1"/>
  <c r="S172" i="1"/>
  <c r="T172" i="1" s="1"/>
  <c r="R174" i="1" l="1"/>
  <c r="S173" i="1"/>
  <c r="T173" i="1" s="1"/>
  <c r="Y188" i="1"/>
  <c r="W190" i="1"/>
  <c r="Z187" i="1"/>
  <c r="AA187" i="1" s="1"/>
  <c r="Y189" i="1" l="1"/>
  <c r="W191" i="1"/>
  <c r="Z188" i="1"/>
  <c r="AA188" i="1" s="1"/>
  <c r="R175" i="1"/>
  <c r="S174" i="1"/>
  <c r="T174" i="1" s="1"/>
  <c r="R176" i="1" l="1"/>
  <c r="S175" i="1"/>
  <c r="T175" i="1" s="1"/>
  <c r="Y190" i="1"/>
  <c r="W192" i="1"/>
  <c r="Z189" i="1"/>
  <c r="AA189" i="1" s="1"/>
  <c r="Y191" i="1" l="1"/>
  <c r="W193" i="1"/>
  <c r="Z190" i="1"/>
  <c r="AA190" i="1" s="1"/>
  <c r="R177" i="1"/>
  <c r="S176" i="1"/>
  <c r="T176" i="1" s="1"/>
  <c r="R178" i="1" l="1"/>
  <c r="S177" i="1"/>
  <c r="T177" i="1" s="1"/>
  <c r="Y192" i="1"/>
  <c r="W194" i="1"/>
  <c r="Z191" i="1"/>
  <c r="AA191" i="1" s="1"/>
  <c r="Y193" i="1" l="1"/>
  <c r="W195" i="1"/>
  <c r="Z192" i="1"/>
  <c r="AA192" i="1" s="1"/>
  <c r="R179" i="1"/>
  <c r="S178" i="1"/>
  <c r="T178" i="1" s="1"/>
  <c r="R180" i="1" l="1"/>
  <c r="S179" i="1"/>
  <c r="T179" i="1" s="1"/>
  <c r="Y194" i="1"/>
  <c r="W196" i="1"/>
  <c r="Z193" i="1"/>
  <c r="AA193" i="1" s="1"/>
  <c r="Y195" i="1" l="1"/>
  <c r="W197" i="1"/>
  <c r="Z194" i="1"/>
  <c r="AA194" i="1" s="1"/>
  <c r="R181" i="1"/>
  <c r="S180" i="1"/>
  <c r="T180" i="1" s="1"/>
  <c r="R182" i="1" l="1"/>
  <c r="S181" i="1"/>
  <c r="T181" i="1" s="1"/>
  <c r="Y196" i="1"/>
  <c r="W198" i="1"/>
  <c r="Z195" i="1"/>
  <c r="AA195" i="1" s="1"/>
  <c r="Y197" i="1" l="1"/>
  <c r="W199" i="1"/>
  <c r="Z196" i="1"/>
  <c r="AA196" i="1" s="1"/>
  <c r="R183" i="1"/>
  <c r="S182" i="1"/>
  <c r="T182" i="1" s="1"/>
  <c r="R184" i="1" l="1"/>
  <c r="S183" i="1"/>
  <c r="T183" i="1" s="1"/>
  <c r="Y198" i="1"/>
  <c r="W200" i="1"/>
  <c r="Z197" i="1"/>
  <c r="AA197" i="1" s="1"/>
  <c r="Y199" i="1" l="1"/>
  <c r="W201" i="1"/>
  <c r="Z198" i="1"/>
  <c r="AA198" i="1" s="1"/>
  <c r="R185" i="1"/>
  <c r="S184" i="1"/>
  <c r="T184" i="1" s="1"/>
  <c r="S185" i="1" l="1"/>
  <c r="T185" i="1" s="1"/>
  <c r="R186" i="1"/>
  <c r="Y200" i="1"/>
  <c r="W202" i="1"/>
  <c r="Z199" i="1"/>
  <c r="AA199" i="1" s="1"/>
  <c r="Y201" i="1" l="1"/>
  <c r="W203" i="1"/>
  <c r="Z200" i="1"/>
  <c r="AA200" i="1" s="1"/>
  <c r="R187" i="1"/>
  <c r="S186" i="1"/>
  <c r="T186" i="1" s="1"/>
  <c r="R188" i="1" l="1"/>
  <c r="S187" i="1"/>
  <c r="T187" i="1" s="1"/>
  <c r="Y202" i="1"/>
  <c r="W204" i="1"/>
  <c r="Z201" i="1"/>
  <c r="AA201" i="1" s="1"/>
  <c r="Y203" i="1" l="1"/>
  <c r="W205" i="1"/>
  <c r="Z202" i="1"/>
  <c r="AA202" i="1" s="1"/>
  <c r="R189" i="1"/>
  <c r="S188" i="1"/>
  <c r="T188" i="1" s="1"/>
  <c r="R190" i="1" l="1"/>
  <c r="S189" i="1"/>
  <c r="T189" i="1" s="1"/>
  <c r="Y204" i="1"/>
  <c r="W206" i="1"/>
  <c r="Z203" i="1"/>
  <c r="AA203" i="1" s="1"/>
  <c r="Y205" i="1" l="1"/>
  <c r="W207" i="1"/>
  <c r="Z204" i="1"/>
  <c r="AA204" i="1" s="1"/>
  <c r="R191" i="1"/>
  <c r="S190" i="1"/>
  <c r="T190" i="1" s="1"/>
  <c r="R192" i="1" l="1"/>
  <c r="S191" i="1"/>
  <c r="T191" i="1" s="1"/>
  <c r="Y206" i="1"/>
  <c r="W208" i="1"/>
  <c r="Z205" i="1"/>
  <c r="AA205" i="1" s="1"/>
  <c r="Y207" i="1" l="1"/>
  <c r="W209" i="1"/>
  <c r="Z206" i="1"/>
  <c r="AA206" i="1" s="1"/>
  <c r="R193" i="1"/>
  <c r="S192" i="1"/>
  <c r="T192" i="1" s="1"/>
  <c r="Z207" i="1" l="1"/>
  <c r="AA207" i="1" s="1"/>
  <c r="R194" i="1"/>
  <c r="S193" i="1"/>
  <c r="T193" i="1" s="1"/>
  <c r="Y208" i="1"/>
  <c r="W210" i="1"/>
  <c r="Z208" i="1" l="1"/>
  <c r="AA208" i="1" s="1"/>
  <c r="Y209" i="1"/>
  <c r="W211" i="1"/>
  <c r="R195" i="1"/>
  <c r="S194" i="1"/>
  <c r="T194" i="1" s="1"/>
  <c r="Z209" i="1" l="1"/>
  <c r="AA209" i="1" s="1"/>
  <c r="R196" i="1"/>
  <c r="S195" i="1"/>
  <c r="T195" i="1" s="1"/>
  <c r="Y210" i="1"/>
  <c r="W212" i="1"/>
  <c r="Z210" i="1" l="1"/>
  <c r="AA210" i="1" s="1"/>
  <c r="Y211" i="1"/>
  <c r="W213" i="1"/>
  <c r="R197" i="1"/>
  <c r="S196" i="1"/>
  <c r="T196" i="1" s="1"/>
  <c r="Z211" i="1" l="1"/>
  <c r="AA211" i="1" s="1"/>
  <c r="R198" i="1"/>
  <c r="S197" i="1"/>
  <c r="T197" i="1" s="1"/>
  <c r="Y212" i="1"/>
  <c r="W214" i="1"/>
  <c r="Z212" i="1" l="1"/>
  <c r="AA212" i="1" s="1"/>
  <c r="Y213" i="1"/>
  <c r="W215" i="1"/>
  <c r="R199" i="1"/>
  <c r="S198" i="1"/>
  <c r="T198" i="1" s="1"/>
  <c r="Z213" i="1" l="1"/>
  <c r="AA213" i="1" s="1"/>
  <c r="Y214" i="1"/>
  <c r="W216" i="1"/>
  <c r="R200" i="1"/>
  <c r="S199" i="1"/>
  <c r="T199" i="1" s="1"/>
  <c r="Z214" i="1" l="1"/>
  <c r="AA214" i="1" s="1"/>
  <c r="S200" i="1"/>
  <c r="T200" i="1" s="1"/>
  <c r="R201" i="1"/>
  <c r="Y215" i="1"/>
  <c r="W217" i="1"/>
  <c r="Z215" i="1" l="1"/>
  <c r="AA215" i="1" s="1"/>
  <c r="Y216" i="1"/>
  <c r="W218" i="1"/>
  <c r="R202" i="1"/>
  <c r="S201" i="1"/>
  <c r="T201" i="1" s="1"/>
  <c r="Z216" i="1" l="1"/>
  <c r="AA216" i="1" s="1"/>
  <c r="R203" i="1"/>
  <c r="S202" i="1"/>
  <c r="T202" i="1" s="1"/>
  <c r="Y217" i="1"/>
  <c r="W219" i="1"/>
  <c r="Z217" i="1" l="1"/>
  <c r="AA217" i="1" s="1"/>
  <c r="Y218" i="1"/>
  <c r="W220" i="1"/>
  <c r="R204" i="1"/>
  <c r="S203" i="1"/>
  <c r="T203" i="1" s="1"/>
  <c r="Z218" i="1" l="1"/>
  <c r="AA218" i="1" s="1"/>
  <c r="Y219" i="1"/>
  <c r="W221" i="1"/>
  <c r="R205" i="1"/>
  <c r="S204" i="1"/>
  <c r="T204" i="1" s="1"/>
  <c r="R206" i="1" l="1"/>
  <c r="S205" i="1"/>
  <c r="T205" i="1" s="1"/>
  <c r="Y220" i="1"/>
  <c r="W222" i="1"/>
  <c r="Z219" i="1"/>
  <c r="AA219" i="1" s="1"/>
  <c r="Z220" i="1" l="1"/>
  <c r="AA220" i="1" s="1"/>
  <c r="Y221" i="1"/>
  <c r="W223" i="1"/>
  <c r="R207" i="1"/>
  <c r="S206" i="1"/>
  <c r="T206" i="1" s="1"/>
  <c r="Z221" i="1" l="1"/>
  <c r="AA221" i="1" s="1"/>
  <c r="R208" i="1"/>
  <c r="S207" i="1"/>
  <c r="T207" i="1" s="1"/>
  <c r="Y222" i="1"/>
  <c r="W224" i="1"/>
  <c r="Z222" i="1" l="1"/>
  <c r="AA222" i="1" s="1"/>
  <c r="Y223" i="1"/>
  <c r="W225" i="1"/>
  <c r="R209" i="1"/>
  <c r="S208" i="1"/>
  <c r="T208" i="1" s="1"/>
  <c r="Z223" i="1" l="1"/>
  <c r="AA223" i="1" s="1"/>
  <c r="R210" i="1"/>
  <c r="S209" i="1"/>
  <c r="T209" i="1" s="1"/>
  <c r="Y224" i="1"/>
  <c r="W226" i="1"/>
  <c r="Z224" i="1" l="1"/>
  <c r="AA224" i="1" s="1"/>
  <c r="Y225" i="1"/>
  <c r="W227" i="1"/>
  <c r="R211" i="1"/>
  <c r="S210" i="1"/>
  <c r="T210" i="1" s="1"/>
  <c r="Z225" i="1" l="1"/>
  <c r="AA225" i="1" s="1"/>
  <c r="R212" i="1"/>
  <c r="S211" i="1"/>
  <c r="T211" i="1" s="1"/>
  <c r="Y226" i="1"/>
  <c r="W228" i="1"/>
  <c r="Z226" i="1" l="1"/>
  <c r="AA226" i="1" s="1"/>
  <c r="Y227" i="1"/>
  <c r="W229" i="1"/>
  <c r="R213" i="1"/>
  <c r="S212" i="1"/>
  <c r="T212" i="1" s="1"/>
  <c r="Z227" i="1" l="1"/>
  <c r="AA227" i="1" s="1"/>
  <c r="R214" i="1"/>
  <c r="S213" i="1"/>
  <c r="T213" i="1" s="1"/>
  <c r="Y228" i="1"/>
  <c r="W230" i="1"/>
  <c r="Z228" i="1" l="1"/>
  <c r="AA228" i="1" s="1"/>
  <c r="Y229" i="1"/>
  <c r="W231" i="1"/>
  <c r="R215" i="1"/>
  <c r="S214" i="1"/>
  <c r="T214" i="1" s="1"/>
  <c r="Z229" i="1" l="1"/>
  <c r="AA229" i="1" s="1"/>
  <c r="R216" i="1"/>
  <c r="S215" i="1"/>
  <c r="T215" i="1" s="1"/>
  <c r="Y230" i="1"/>
  <c r="W232" i="1"/>
  <c r="Z230" i="1" l="1"/>
  <c r="AA230" i="1" s="1"/>
  <c r="Y231" i="1"/>
  <c r="W233" i="1"/>
  <c r="R217" i="1"/>
  <c r="S216" i="1"/>
  <c r="T216" i="1" s="1"/>
  <c r="Z231" i="1" l="1"/>
  <c r="AA231" i="1" s="1"/>
  <c r="R218" i="1"/>
  <c r="S217" i="1"/>
  <c r="T217" i="1" s="1"/>
  <c r="Y232" i="1"/>
  <c r="W234" i="1"/>
  <c r="Z232" i="1" l="1"/>
  <c r="AA232" i="1" s="1"/>
  <c r="Y233" i="1"/>
  <c r="W235" i="1"/>
  <c r="R219" i="1"/>
  <c r="S218" i="1"/>
  <c r="T218" i="1" s="1"/>
  <c r="Z233" i="1" l="1"/>
  <c r="AA233" i="1" s="1"/>
  <c r="R220" i="1"/>
  <c r="S219" i="1"/>
  <c r="T219" i="1" s="1"/>
  <c r="Y234" i="1"/>
  <c r="W236" i="1"/>
  <c r="Z234" i="1" l="1"/>
  <c r="AA234" i="1" s="1"/>
  <c r="Y235" i="1"/>
  <c r="W237" i="1"/>
  <c r="R221" i="1"/>
  <c r="S220" i="1"/>
  <c r="T220" i="1" s="1"/>
  <c r="Z235" i="1" l="1"/>
  <c r="AA235" i="1" s="1"/>
  <c r="Y236" i="1"/>
  <c r="W238" i="1"/>
  <c r="R222" i="1"/>
  <c r="S221" i="1"/>
  <c r="T221" i="1" s="1"/>
  <c r="Z236" i="1" l="1"/>
  <c r="AA236" i="1" s="1"/>
  <c r="R223" i="1"/>
  <c r="S222" i="1"/>
  <c r="T222" i="1" s="1"/>
  <c r="Y237" i="1"/>
  <c r="W239" i="1"/>
  <c r="Z237" i="1" l="1"/>
  <c r="AA237" i="1" s="1"/>
  <c r="Y238" i="1"/>
  <c r="W240" i="1"/>
  <c r="R224" i="1"/>
  <c r="S223" i="1"/>
  <c r="T223" i="1" s="1"/>
  <c r="Z238" i="1" l="1"/>
  <c r="AA238" i="1" s="1"/>
  <c r="S224" i="1"/>
  <c r="T224" i="1" s="1"/>
  <c r="R225" i="1"/>
  <c r="Y239" i="1"/>
  <c r="W241" i="1"/>
  <c r="Z239" i="1" l="1"/>
  <c r="AA239" i="1" s="1"/>
  <c r="Y240" i="1"/>
  <c r="W242" i="1"/>
  <c r="R226" i="1"/>
  <c r="S225" i="1"/>
  <c r="T225" i="1" s="1"/>
  <c r="Z240" i="1" l="1"/>
  <c r="AA240" i="1" s="1"/>
  <c r="R227" i="1"/>
  <c r="S226" i="1"/>
  <c r="T226" i="1" s="1"/>
  <c r="Y241" i="1"/>
  <c r="W243" i="1"/>
  <c r="Z241" i="1" l="1"/>
  <c r="AA241" i="1" s="1"/>
  <c r="Y242" i="1"/>
  <c r="W244" i="1"/>
  <c r="R228" i="1"/>
  <c r="S227" i="1"/>
  <c r="T227" i="1" s="1"/>
  <c r="Z242" i="1" l="1"/>
  <c r="AA242" i="1" s="1"/>
  <c r="R229" i="1"/>
  <c r="S228" i="1"/>
  <c r="T228" i="1" s="1"/>
  <c r="Y243" i="1"/>
  <c r="Z243" i="1" s="1"/>
  <c r="AA243" i="1" s="1"/>
  <c r="W245" i="1"/>
  <c r="Y244" i="1" l="1"/>
  <c r="Z244" i="1" s="1"/>
  <c r="AA244" i="1" s="1"/>
  <c r="W246" i="1"/>
  <c r="R230" i="1"/>
  <c r="S229" i="1"/>
  <c r="T229" i="1" s="1"/>
  <c r="R231" i="1" l="1"/>
  <c r="S230" i="1"/>
  <c r="T230" i="1" s="1"/>
  <c r="Y245" i="1"/>
  <c r="Z245" i="1" s="1"/>
  <c r="AA245" i="1" s="1"/>
  <c r="W247" i="1"/>
  <c r="Y246" i="1" l="1"/>
  <c r="Z246" i="1" s="1"/>
  <c r="AA246" i="1" s="1"/>
  <c r="W248" i="1"/>
  <c r="R232" i="1"/>
  <c r="S231" i="1"/>
  <c r="T231" i="1" s="1"/>
  <c r="R233" i="1" l="1"/>
  <c r="S232" i="1"/>
  <c r="T232" i="1" s="1"/>
  <c r="Y247" i="1"/>
  <c r="Z247" i="1" s="1"/>
  <c r="AA247" i="1" s="1"/>
  <c r="W249" i="1"/>
  <c r="Y248" i="1" l="1"/>
  <c r="Z248" i="1" s="1"/>
  <c r="AA248" i="1" s="1"/>
  <c r="W250" i="1"/>
  <c r="R234" i="1"/>
  <c r="S233" i="1"/>
  <c r="T233" i="1" s="1"/>
  <c r="R235" i="1" l="1"/>
  <c r="S234" i="1"/>
  <c r="T234" i="1" s="1"/>
  <c r="Y249" i="1"/>
  <c r="Z249" i="1" s="1"/>
  <c r="AA249" i="1" s="1"/>
  <c r="W251" i="1"/>
  <c r="Y250" i="1" l="1"/>
  <c r="Z250" i="1" s="1"/>
  <c r="AA250" i="1" s="1"/>
  <c r="R236" i="1"/>
  <c r="S235" i="1"/>
  <c r="T235" i="1" s="1"/>
  <c r="R237" i="1" l="1"/>
  <c r="S236" i="1"/>
  <c r="T236" i="1" s="1"/>
  <c r="Z251" i="1"/>
  <c r="AA251" i="1" s="1"/>
  <c r="R238" i="1" l="1"/>
  <c r="S237" i="1"/>
  <c r="T237" i="1" s="1"/>
  <c r="R239" i="1" l="1"/>
  <c r="S238" i="1"/>
  <c r="T238" i="1" s="1"/>
  <c r="R240" i="1" l="1"/>
  <c r="S239" i="1"/>
  <c r="T239" i="1" s="1"/>
  <c r="R241" i="1" l="1"/>
  <c r="S240" i="1"/>
  <c r="T240" i="1" s="1"/>
  <c r="R242" i="1" l="1"/>
  <c r="S241" i="1"/>
  <c r="T241" i="1" s="1"/>
  <c r="R243" i="1" l="1"/>
  <c r="S242" i="1"/>
  <c r="T242" i="1" s="1"/>
  <c r="R244" i="1" l="1"/>
  <c r="S243" i="1"/>
  <c r="T243" i="1" s="1"/>
  <c r="R245" i="1" l="1"/>
  <c r="S244" i="1"/>
  <c r="T244" i="1" s="1"/>
  <c r="R246" i="1" l="1"/>
  <c r="S245" i="1"/>
  <c r="T245" i="1" s="1"/>
  <c r="R247" i="1" l="1"/>
  <c r="S246" i="1"/>
  <c r="T246" i="1" s="1"/>
  <c r="R248" i="1" l="1"/>
  <c r="S247" i="1"/>
  <c r="T247" i="1" s="1"/>
  <c r="R249" i="1" l="1"/>
  <c r="S248" i="1"/>
  <c r="T248" i="1" s="1"/>
  <c r="R250" i="1" l="1"/>
  <c r="S249" i="1"/>
  <c r="T249" i="1" s="1"/>
  <c r="R251" i="1" l="1"/>
  <c r="S250" i="1"/>
  <c r="T250" i="1" s="1"/>
  <c r="S251" i="1" l="1"/>
  <c r="T25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C8E6B2-37BE-49BF-96E1-BA4E7788D8D6}" keepAlive="1" name="Query - Forecast(1)" description="Connection to the 'Forecast' query in the workbook." type="5" refreshedVersion="8" background="1" saveData="1">
    <dbPr connection="Provider=Microsoft.Mashup.OleDb.1;Data Source=$Workbook$;Location=Forecast;Extended Properties=&quot;&quot;" command="SELECT * FROM [Forecast]"/>
  </connection>
  <connection id="2" xr16:uid="{EF8CC229-2D09-43EF-9C68-9323B916153D}" keepAlive="1" name="Query - Weekly" description="Connection to the 'Weekly' query in the workbook." type="5" refreshedVersion="8" background="1" saveData="1">
    <dbPr connection="Provider=Microsoft.Mashup.OleDb.1;Data Source=$Workbook$;Location=Weekly;Extended Properties=&quot;&quot;" command="SELECT * FROM [Weekl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74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</futureMetadata>
  <cellMetadata count="1">
    <bk>
      <rc t="1" v="0"/>
    </bk>
  </cellMetadata>
  <valueMetadata count="74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</valueMetadata>
</metadata>
</file>

<file path=xl/sharedStrings.xml><?xml version="1.0" encoding="utf-8"?>
<sst xmlns="http://schemas.openxmlformats.org/spreadsheetml/2006/main" count="57" uniqueCount="52">
  <si>
    <t>Pr x Vol</t>
  </si>
  <si>
    <t>VWAP</t>
  </si>
  <si>
    <t>StdDev</t>
  </si>
  <si>
    <t>Plus 1 Sd</t>
  </si>
  <si>
    <t>Minus 1 Sd</t>
  </si>
  <si>
    <t>Lower</t>
  </si>
  <si>
    <t>Upper</t>
  </si>
  <si>
    <t>20d SMA</t>
  </si>
  <si>
    <t>21d Sd</t>
  </si>
  <si>
    <t>Change</t>
  </si>
  <si>
    <t>Gain</t>
  </si>
  <si>
    <t>Loss</t>
  </si>
  <si>
    <t>AvgGain</t>
  </si>
  <si>
    <t>AvgLoss</t>
  </si>
  <si>
    <t>RS</t>
  </si>
  <si>
    <t>RSI</t>
  </si>
  <si>
    <t>RSI 70</t>
  </si>
  <si>
    <t>RSI 30</t>
  </si>
  <si>
    <t>EMA 12</t>
  </si>
  <si>
    <t>EMA 26</t>
  </si>
  <si>
    <t>MACD</t>
  </si>
  <si>
    <t>Signal</t>
  </si>
  <si>
    <t>Histogram</t>
  </si>
  <si>
    <t>100d SMA</t>
  </si>
  <si>
    <t>Chart</t>
  </si>
  <si>
    <t>Columns</t>
  </si>
  <si>
    <t>Stock Data</t>
  </si>
  <si>
    <t>A,B,C</t>
  </si>
  <si>
    <t>A,B,E,G,H</t>
  </si>
  <si>
    <t>Bollinger Bands</t>
  </si>
  <si>
    <t>A,B,I,k,L</t>
  </si>
  <si>
    <t>S,T,U</t>
  </si>
  <si>
    <t>X,Y,Z</t>
  </si>
  <si>
    <t>AA</t>
  </si>
  <si>
    <t>Weekly</t>
  </si>
  <si>
    <t>Weekly Average</t>
  </si>
  <si>
    <t>Forecast</t>
  </si>
  <si>
    <t>1 Qt 2026</t>
  </si>
  <si>
    <t>Stats</t>
  </si>
  <si>
    <t>Min</t>
  </si>
  <si>
    <t>Max</t>
  </si>
  <si>
    <t>Median</t>
  </si>
  <si>
    <t>Mean</t>
  </si>
  <si>
    <t>Close</t>
  </si>
  <si>
    <t>Volume</t>
  </si>
  <si>
    <t>Week</t>
  </si>
  <si>
    <t>Average</t>
  </si>
  <si>
    <t>XL Forecast</t>
  </si>
  <si>
    <t>Calc Forecast</t>
  </si>
  <si>
    <t>Simple ML</t>
  </si>
  <si>
    <t>Date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</si>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</sst>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AF2D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4" fillId="2" borderId="0" xfId="0" applyFont="1" applyFill="1"/>
    <xf numFmtId="0" fontId="0" fillId="3" borderId="0" xfId="0" applyFill="1"/>
    <xf numFmtId="0" fontId="0" fillId="4" borderId="0" xfId="0" applyFill="1"/>
    <xf numFmtId="0" fontId="0" fillId="8" borderId="0" xfId="0" applyFill="1"/>
    <xf numFmtId="0" fontId="0" fillId="9" borderId="0" xfId="0" applyFill="1"/>
    <xf numFmtId="43" fontId="2" fillId="4" borderId="0" xfId="1" applyFont="1" applyFill="1" applyAlignment="1">
      <alignment horizontal="center"/>
    </xf>
    <xf numFmtId="43" fontId="0" fillId="0" borderId="0" xfId="1" applyFon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10" borderId="0" xfId="0" applyFill="1"/>
    <xf numFmtId="0" fontId="6" fillId="0" borderId="1" xfId="0" applyFont="1" applyBorder="1" applyAlignment="1">
      <alignment horizontal="center" wrapText="1"/>
    </xf>
    <xf numFmtId="8" fontId="7" fillId="0" borderId="1" xfId="0" applyNumberFormat="1" applyFont="1" applyBorder="1" applyAlignment="1">
      <alignment horizontal="right" wrapText="1"/>
    </xf>
    <xf numFmtId="164" fontId="6" fillId="0" borderId="1" xfId="0" applyNumberFormat="1" applyFont="1" applyBorder="1" applyAlignment="1">
      <alignment horizontal="center" wrapText="1"/>
    </xf>
    <xf numFmtId="164" fontId="7" fillId="0" borderId="1" xfId="0" applyNumberFormat="1" applyFont="1" applyBorder="1" applyAlignment="1">
      <alignment horizontal="right" wrapText="1"/>
    </xf>
    <xf numFmtId="14" fontId="0" fillId="0" borderId="0" xfId="0" applyNumberFormat="1"/>
    <xf numFmtId="0" fontId="8" fillId="11" borderId="1" xfId="0" applyFont="1" applyFill="1" applyBorder="1" applyAlignment="1">
      <alignment horizontal="right" wrapText="1"/>
    </xf>
    <xf numFmtId="0" fontId="8" fillId="0" borderId="1" xfId="0" applyFont="1" applyBorder="1" applyAlignment="1">
      <alignment horizontal="right" wrapText="1"/>
    </xf>
    <xf numFmtId="0" fontId="9" fillId="0" borderId="1" xfId="0" applyFont="1" applyBorder="1" applyAlignment="1">
      <alignment wrapText="1"/>
    </xf>
    <xf numFmtId="164" fontId="9" fillId="0" borderId="1" xfId="0" applyNumberFormat="1" applyFont="1" applyBorder="1" applyAlignment="1">
      <alignment wrapText="1"/>
    </xf>
  </cellXfs>
  <cellStyles count="2">
    <cellStyle name="Comma" xfId="1" builtinId="3"/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ichStyles" Target="richData/rich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+ 20/100 Day SMA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Data!$C$2:$C$251</c:f>
              <c:numCache>
                <c:formatCode>_([$$-409]* #,##0.00_);_([$$-409]* \(#,##0.00\);_([$$-409]* "-"??_);_(@_)</c:formatCode>
                <c:ptCount val="250"/>
                <c:pt idx="0">
                  <c:v>103.78</c:v>
                </c:pt>
                <c:pt idx="1">
                  <c:v>104</c:v>
                </c:pt>
                <c:pt idx="2">
                  <c:v>97.21</c:v>
                </c:pt>
                <c:pt idx="3">
                  <c:v>94.78</c:v>
                </c:pt>
                <c:pt idx="4">
                  <c:v>93.67</c:v>
                </c:pt>
                <c:pt idx="5">
                  <c:v>97.69</c:v>
                </c:pt>
                <c:pt idx="6">
                  <c:v>96.2</c:v>
                </c:pt>
                <c:pt idx="7">
                  <c:v>96.79</c:v>
                </c:pt>
                <c:pt idx="8">
                  <c:v>98.61</c:v>
                </c:pt>
                <c:pt idx="9">
                  <c:v>97.59</c:v>
                </c:pt>
                <c:pt idx="10">
                  <c:v>94.97</c:v>
                </c:pt>
                <c:pt idx="11">
                  <c:v>95.98</c:v>
                </c:pt>
                <c:pt idx="12">
                  <c:v>94.64</c:v>
                </c:pt>
                <c:pt idx="13">
                  <c:v>91.72</c:v>
                </c:pt>
                <c:pt idx="14">
                  <c:v>87.82</c:v>
                </c:pt>
                <c:pt idx="15">
                  <c:v>87.44</c:v>
                </c:pt>
                <c:pt idx="16">
                  <c:v>85.2</c:v>
                </c:pt>
                <c:pt idx="17">
                  <c:v>84.5</c:v>
                </c:pt>
                <c:pt idx="18">
                  <c:v>85.35</c:v>
                </c:pt>
                <c:pt idx="19">
                  <c:v>87.46</c:v>
                </c:pt>
                <c:pt idx="20">
                  <c:v>85.59</c:v>
                </c:pt>
                <c:pt idx="21">
                  <c:v>86.33</c:v>
                </c:pt>
                <c:pt idx="22">
                  <c:v>85.81</c:v>
                </c:pt>
                <c:pt idx="23">
                  <c:v>85.98</c:v>
                </c:pt>
                <c:pt idx="24">
                  <c:v>87.49</c:v>
                </c:pt>
                <c:pt idx="25">
                  <c:v>84.76</c:v>
                </c:pt>
                <c:pt idx="26">
                  <c:v>85.21</c:v>
                </c:pt>
                <c:pt idx="27">
                  <c:v>85.63</c:v>
                </c:pt>
                <c:pt idx="28">
                  <c:v>85.15</c:v>
                </c:pt>
                <c:pt idx="29">
                  <c:v>87.79</c:v>
                </c:pt>
                <c:pt idx="30">
                  <c:v>88.83</c:v>
                </c:pt>
                <c:pt idx="31">
                  <c:v>89.76</c:v>
                </c:pt>
                <c:pt idx="32">
                  <c:v>87.26</c:v>
                </c:pt>
                <c:pt idx="33">
                  <c:v>83.19</c:v>
                </c:pt>
                <c:pt idx="34">
                  <c:v>83.83</c:v>
                </c:pt>
                <c:pt idx="35">
                  <c:v>81.790000000000006</c:v>
                </c:pt>
                <c:pt idx="36">
                  <c:v>89.6</c:v>
                </c:pt>
                <c:pt idx="37">
                  <c:v>90.61</c:v>
                </c:pt>
                <c:pt idx="38">
                  <c:v>92.8</c:v>
                </c:pt>
                <c:pt idx="39">
                  <c:v>94.73</c:v>
                </c:pt>
                <c:pt idx="40">
                  <c:v>93.97</c:v>
                </c:pt>
                <c:pt idx="41">
                  <c:v>91.19</c:v>
                </c:pt>
                <c:pt idx="42">
                  <c:v>93.22</c:v>
                </c:pt>
                <c:pt idx="43">
                  <c:v>92.41</c:v>
                </c:pt>
                <c:pt idx="44">
                  <c:v>94.85</c:v>
                </c:pt>
                <c:pt idx="45">
                  <c:v>94.96</c:v>
                </c:pt>
                <c:pt idx="46">
                  <c:v>95.84</c:v>
                </c:pt>
                <c:pt idx="47">
                  <c:v>95.09</c:v>
                </c:pt>
                <c:pt idx="48">
                  <c:v>95.22</c:v>
                </c:pt>
                <c:pt idx="49">
                  <c:v>96.04</c:v>
                </c:pt>
                <c:pt idx="50">
                  <c:v>97.25</c:v>
                </c:pt>
                <c:pt idx="51">
                  <c:v>97.41</c:v>
                </c:pt>
                <c:pt idx="52">
                  <c:v>98.75</c:v>
                </c:pt>
                <c:pt idx="53">
                  <c:v>99.33</c:v>
                </c:pt>
                <c:pt idx="54">
                  <c:v>98.55</c:v>
                </c:pt>
                <c:pt idx="55">
                  <c:v>98.83</c:v>
                </c:pt>
                <c:pt idx="56">
                  <c:v>97.43</c:v>
                </c:pt>
                <c:pt idx="57">
                  <c:v>96.72</c:v>
                </c:pt>
                <c:pt idx="58">
                  <c:v>96.75</c:v>
                </c:pt>
                <c:pt idx="59">
                  <c:v>95.88</c:v>
                </c:pt>
                <c:pt idx="60">
                  <c:v>96.83</c:v>
                </c:pt>
                <c:pt idx="61">
                  <c:v>96.35</c:v>
                </c:pt>
                <c:pt idx="62">
                  <c:v>98.24</c:v>
                </c:pt>
                <c:pt idx="63">
                  <c:v>98.12</c:v>
                </c:pt>
                <c:pt idx="64">
                  <c:v>97.8</c:v>
                </c:pt>
                <c:pt idx="65">
                  <c:v>96.43</c:v>
                </c:pt>
                <c:pt idx="66">
                  <c:v>95.93</c:v>
                </c:pt>
                <c:pt idx="67">
                  <c:v>96.34</c:v>
                </c:pt>
                <c:pt idx="68">
                  <c:v>97.58</c:v>
                </c:pt>
                <c:pt idx="69">
                  <c:v>97.24</c:v>
                </c:pt>
                <c:pt idx="70">
                  <c:v>97.1</c:v>
                </c:pt>
                <c:pt idx="71">
                  <c:v>98.72</c:v>
                </c:pt>
                <c:pt idx="72">
                  <c:v>99.77</c:v>
                </c:pt>
                <c:pt idx="73">
                  <c:v>99.98</c:v>
                </c:pt>
                <c:pt idx="74">
                  <c:v>99.35</c:v>
                </c:pt>
                <c:pt idx="75">
                  <c:v>97.96</c:v>
                </c:pt>
                <c:pt idx="76">
                  <c:v>97.47</c:v>
                </c:pt>
                <c:pt idx="77">
                  <c:v>97.45</c:v>
                </c:pt>
                <c:pt idx="78">
                  <c:v>97.32</c:v>
                </c:pt>
                <c:pt idx="79">
                  <c:v>95.8</c:v>
                </c:pt>
                <c:pt idx="80">
                  <c:v>94.83</c:v>
                </c:pt>
                <c:pt idx="81">
                  <c:v>94.44</c:v>
                </c:pt>
                <c:pt idx="82">
                  <c:v>94.29</c:v>
                </c:pt>
                <c:pt idx="83">
                  <c:v>94.25</c:v>
                </c:pt>
                <c:pt idx="84">
                  <c:v>95.09</c:v>
                </c:pt>
                <c:pt idx="85">
                  <c:v>96.12</c:v>
                </c:pt>
                <c:pt idx="86">
                  <c:v>97.87</c:v>
                </c:pt>
                <c:pt idx="87">
                  <c:v>98</c:v>
                </c:pt>
                <c:pt idx="88">
                  <c:v>97.26</c:v>
                </c:pt>
                <c:pt idx="89">
                  <c:v>96.02</c:v>
                </c:pt>
                <c:pt idx="90">
                  <c:v>97.27</c:v>
                </c:pt>
                <c:pt idx="91">
                  <c:v>97.78</c:v>
                </c:pt>
                <c:pt idx="92">
                  <c:v>98.24</c:v>
                </c:pt>
                <c:pt idx="93">
                  <c:v>97.61</c:v>
                </c:pt>
                <c:pt idx="94">
                  <c:v>98.36</c:v>
                </c:pt>
                <c:pt idx="95">
                  <c:v>99.35</c:v>
                </c:pt>
                <c:pt idx="96">
                  <c:v>97.09</c:v>
                </c:pt>
                <c:pt idx="97">
                  <c:v>96.81</c:v>
                </c:pt>
                <c:pt idx="98">
                  <c:v>94.86</c:v>
                </c:pt>
                <c:pt idx="99">
                  <c:v>94.4</c:v>
                </c:pt>
                <c:pt idx="100">
                  <c:v>95.78</c:v>
                </c:pt>
                <c:pt idx="101">
                  <c:v>95.39</c:v>
                </c:pt>
                <c:pt idx="102">
                  <c:v>95.15</c:v>
                </c:pt>
                <c:pt idx="103">
                  <c:v>95.09</c:v>
                </c:pt>
                <c:pt idx="104">
                  <c:v>95.05</c:v>
                </c:pt>
                <c:pt idx="105">
                  <c:v>95.67</c:v>
                </c:pt>
                <c:pt idx="106">
                  <c:v>95.85</c:v>
                </c:pt>
                <c:pt idx="107">
                  <c:v>95.68</c:v>
                </c:pt>
                <c:pt idx="108">
                  <c:v>96.6</c:v>
                </c:pt>
                <c:pt idx="109">
                  <c:v>97.47</c:v>
                </c:pt>
                <c:pt idx="110">
                  <c:v>97.61</c:v>
                </c:pt>
                <c:pt idx="111">
                  <c:v>98.33</c:v>
                </c:pt>
                <c:pt idx="112">
                  <c:v>97.59</c:v>
                </c:pt>
                <c:pt idx="113">
                  <c:v>97.98</c:v>
                </c:pt>
                <c:pt idx="114">
                  <c:v>98.49</c:v>
                </c:pt>
                <c:pt idx="115">
                  <c:v>99.59</c:v>
                </c:pt>
                <c:pt idx="116">
                  <c:v>99.31</c:v>
                </c:pt>
                <c:pt idx="117">
                  <c:v>103.36</c:v>
                </c:pt>
                <c:pt idx="118">
                  <c:v>103.12</c:v>
                </c:pt>
                <c:pt idx="119">
                  <c:v>103.73</c:v>
                </c:pt>
                <c:pt idx="120">
                  <c:v>103.93</c:v>
                </c:pt>
                <c:pt idx="121">
                  <c:v>103.62</c:v>
                </c:pt>
                <c:pt idx="122">
                  <c:v>100.99</c:v>
                </c:pt>
                <c:pt idx="123">
                  <c:v>100.85</c:v>
                </c:pt>
                <c:pt idx="124">
                  <c:v>100</c:v>
                </c:pt>
                <c:pt idx="125">
                  <c:v>100.7</c:v>
                </c:pt>
                <c:pt idx="126">
                  <c:v>101.29</c:v>
                </c:pt>
                <c:pt idx="127">
                  <c:v>102.57</c:v>
                </c:pt>
                <c:pt idx="128">
                  <c:v>97.96</c:v>
                </c:pt>
                <c:pt idx="129">
                  <c:v>96.83</c:v>
                </c:pt>
                <c:pt idx="130">
                  <c:v>96.07</c:v>
                </c:pt>
                <c:pt idx="131">
                  <c:v>96.05</c:v>
                </c:pt>
                <c:pt idx="132">
                  <c:v>96.08</c:v>
                </c:pt>
                <c:pt idx="133">
                  <c:v>96.11</c:v>
                </c:pt>
                <c:pt idx="134">
                  <c:v>96.98</c:v>
                </c:pt>
                <c:pt idx="135">
                  <c:v>97.85</c:v>
                </c:pt>
                <c:pt idx="136">
                  <c:v>99.44</c:v>
                </c:pt>
                <c:pt idx="137">
                  <c:v>100.93</c:v>
                </c:pt>
                <c:pt idx="138">
                  <c:v>100.51</c:v>
                </c:pt>
                <c:pt idx="139">
                  <c:v>102.28</c:v>
                </c:pt>
                <c:pt idx="140">
                  <c:v>102.29</c:v>
                </c:pt>
                <c:pt idx="141">
                  <c:v>100.41</c:v>
                </c:pt>
                <c:pt idx="142">
                  <c:v>102.65</c:v>
                </c:pt>
                <c:pt idx="143">
                  <c:v>103.49</c:v>
                </c:pt>
                <c:pt idx="144">
                  <c:v>103.69</c:v>
                </c:pt>
                <c:pt idx="145">
                  <c:v>103.42</c:v>
                </c:pt>
                <c:pt idx="146">
                  <c:v>104.27</c:v>
                </c:pt>
                <c:pt idx="147">
                  <c:v>103.6</c:v>
                </c:pt>
                <c:pt idx="148">
                  <c:v>102.33</c:v>
                </c:pt>
                <c:pt idx="149">
                  <c:v>102.82</c:v>
                </c:pt>
                <c:pt idx="150">
                  <c:v>102.52</c:v>
                </c:pt>
                <c:pt idx="151">
                  <c:v>102.73</c:v>
                </c:pt>
                <c:pt idx="152">
                  <c:v>103.05</c:v>
                </c:pt>
                <c:pt idx="153">
                  <c:v>103.16</c:v>
                </c:pt>
                <c:pt idx="154">
                  <c:v>103.08</c:v>
                </c:pt>
                <c:pt idx="155">
                  <c:v>103.06</c:v>
                </c:pt>
                <c:pt idx="156">
                  <c:v>101.96</c:v>
                </c:pt>
                <c:pt idx="157">
                  <c:v>101.7</c:v>
                </c:pt>
                <c:pt idx="158">
                  <c:v>102.07</c:v>
                </c:pt>
                <c:pt idx="159">
                  <c:v>102.7</c:v>
                </c:pt>
                <c:pt idx="160">
                  <c:v>103.24</c:v>
                </c:pt>
                <c:pt idx="161">
                  <c:v>102.9</c:v>
                </c:pt>
                <c:pt idx="162">
                  <c:v>101.77</c:v>
                </c:pt>
                <c:pt idx="163">
                  <c:v>101.84</c:v>
                </c:pt>
                <c:pt idx="164">
                  <c:v>102.12</c:v>
                </c:pt>
                <c:pt idx="165">
                  <c:v>107.21</c:v>
                </c:pt>
                <c:pt idx="166">
                  <c:v>109.03</c:v>
                </c:pt>
                <c:pt idx="167">
                  <c:v>106.47</c:v>
                </c:pt>
                <c:pt idx="168">
                  <c:v>107.73</c:v>
                </c:pt>
                <c:pt idx="169">
                  <c:v>107.05</c:v>
                </c:pt>
                <c:pt idx="170">
                  <c:v>106.22</c:v>
                </c:pt>
                <c:pt idx="171">
                  <c:v>107.14</c:v>
                </c:pt>
                <c:pt idx="172">
                  <c:v>106.86</c:v>
                </c:pt>
                <c:pt idx="173">
                  <c:v>106.17</c:v>
                </c:pt>
                <c:pt idx="174">
                  <c:v>104.47</c:v>
                </c:pt>
                <c:pt idx="175">
                  <c:v>103.17</c:v>
                </c:pt>
                <c:pt idx="176">
                  <c:v>102.46</c:v>
                </c:pt>
                <c:pt idx="177">
                  <c:v>102.23</c:v>
                </c:pt>
                <c:pt idx="178">
                  <c:v>101.18</c:v>
                </c:pt>
                <c:pt idx="179">
                  <c:v>101.59</c:v>
                </c:pt>
                <c:pt idx="180">
                  <c:v>102.27</c:v>
                </c:pt>
                <c:pt idx="181">
                  <c:v>101.47</c:v>
                </c:pt>
                <c:pt idx="182">
                  <c:v>101.68</c:v>
                </c:pt>
                <c:pt idx="183">
                  <c:v>102.59</c:v>
                </c:pt>
                <c:pt idx="184">
                  <c:v>102.42</c:v>
                </c:pt>
                <c:pt idx="185">
                  <c:v>103.44</c:v>
                </c:pt>
                <c:pt idx="186">
                  <c:v>103.44</c:v>
                </c:pt>
                <c:pt idx="187">
                  <c:v>102.54</c:v>
                </c:pt>
                <c:pt idx="188">
                  <c:v>102.48</c:v>
                </c:pt>
                <c:pt idx="189">
                  <c:v>102.95</c:v>
                </c:pt>
                <c:pt idx="190">
                  <c:v>101.39</c:v>
                </c:pt>
                <c:pt idx="191">
                  <c:v>100.61</c:v>
                </c:pt>
                <c:pt idx="192">
                  <c:v>107.11</c:v>
                </c:pt>
                <c:pt idx="193">
                  <c:v>105.32</c:v>
                </c:pt>
                <c:pt idx="194">
                  <c:v>104.06</c:v>
                </c:pt>
                <c:pt idx="195">
                  <c:v>107</c:v>
                </c:pt>
                <c:pt idx="196">
                  <c:v>109.1</c:v>
                </c:pt>
                <c:pt idx="197">
                  <c:v>110.51</c:v>
                </c:pt>
                <c:pt idx="198">
                  <c:v>111.53</c:v>
                </c:pt>
                <c:pt idx="199">
                  <c:v>112.41</c:v>
                </c:pt>
                <c:pt idx="200">
                  <c:v>114.41</c:v>
                </c:pt>
                <c:pt idx="201">
                  <c:v>114.84</c:v>
                </c:pt>
                <c:pt idx="202">
                  <c:v>115.11</c:v>
                </c:pt>
                <c:pt idx="203">
                  <c:v>113.56</c:v>
                </c:pt>
                <c:pt idx="204">
                  <c:v>115.06</c:v>
                </c:pt>
                <c:pt idx="205">
                  <c:v>113.18</c:v>
                </c:pt>
                <c:pt idx="206">
                  <c:v>115.52</c:v>
                </c:pt>
                <c:pt idx="207">
                  <c:v>116.7</c:v>
                </c:pt>
                <c:pt idx="208">
                  <c:v>116.79</c:v>
                </c:pt>
                <c:pt idx="209">
                  <c:v>115.42</c:v>
                </c:pt>
                <c:pt idx="210">
                  <c:v>115.66</c:v>
                </c:pt>
                <c:pt idx="211">
                  <c:v>114.83</c:v>
                </c:pt>
                <c:pt idx="212">
                  <c:v>114.36</c:v>
                </c:pt>
                <c:pt idx="213">
                  <c:v>112.6</c:v>
                </c:pt>
                <c:pt idx="214">
                  <c:v>110.9</c:v>
                </c:pt>
                <c:pt idx="215">
                  <c:v>111.61</c:v>
                </c:pt>
                <c:pt idx="216">
                  <c:v>111.74</c:v>
                </c:pt>
                <c:pt idx="217">
                  <c:v>112.53</c:v>
                </c:pt>
                <c:pt idx="218">
                  <c:v>111.92</c:v>
                </c:pt>
                <c:pt idx="219">
                  <c:v>111.41</c:v>
                </c:pt>
                <c:pt idx="220">
                  <c:v>112.76</c:v>
                </c:pt>
                <c:pt idx="221">
                  <c:v>112.71</c:v>
                </c:pt>
                <c:pt idx="222">
                  <c:v>114.34</c:v>
                </c:pt>
                <c:pt idx="223">
                  <c:v>112.72</c:v>
                </c:pt>
                <c:pt idx="224">
                  <c:v>113.07</c:v>
                </c:pt>
                <c:pt idx="225">
                  <c:v>114.53</c:v>
                </c:pt>
                <c:pt idx="226">
                  <c:v>117.97</c:v>
                </c:pt>
                <c:pt idx="227">
                  <c:v>120.36</c:v>
                </c:pt>
                <c:pt idx="228">
                  <c:v>120.04</c:v>
                </c:pt>
                <c:pt idx="229">
                  <c:v>119.2</c:v>
                </c:pt>
                <c:pt idx="230">
                  <c:v>119.7</c:v>
                </c:pt>
                <c:pt idx="231">
                  <c:v>118.71</c:v>
                </c:pt>
                <c:pt idx="232">
                  <c:v>119.36</c:v>
                </c:pt>
                <c:pt idx="233">
                  <c:v>117.83</c:v>
                </c:pt>
                <c:pt idx="234">
                  <c:v>117.73</c:v>
                </c:pt>
                <c:pt idx="235">
                  <c:v>117.64</c:v>
                </c:pt>
                <c:pt idx="236">
                  <c:v>116.94</c:v>
                </c:pt>
                <c:pt idx="237">
                  <c:v>116.57</c:v>
                </c:pt>
                <c:pt idx="238">
                  <c:v>117.41</c:v>
                </c:pt>
                <c:pt idx="239">
                  <c:v>119.14</c:v>
                </c:pt>
                <c:pt idx="240">
                  <c:v>124.06</c:v>
                </c:pt>
                <c:pt idx="241">
                  <c:v>127.71</c:v>
                </c:pt>
                <c:pt idx="242">
                  <c:v>128</c:v>
                </c:pt>
                <c:pt idx="243">
                  <c:v>126.94</c:v>
                </c:pt>
                <c:pt idx="244">
                  <c:v>131.18</c:v>
                </c:pt>
                <c:pt idx="245">
                  <c:v>129.02000000000001</c:v>
                </c:pt>
                <c:pt idx="246">
                  <c:v>126.7</c:v>
                </c:pt>
                <c:pt idx="247">
                  <c:v>128.77000000000001</c:v>
                </c:pt>
                <c:pt idx="248">
                  <c:v>133.63999999999999</c:v>
                </c:pt>
                <c:pt idx="249">
                  <c:v>133.88999999999999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C8-4DB4-AE30-74EB1B0E3ECC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Data!$J$2:$J$251</c:f>
              <c:numCache>
                <c:formatCode>General</c:formatCode>
                <c:ptCount val="250"/>
                <c:pt idx="19">
                  <c:v>93.77000000000001</c:v>
                </c:pt>
                <c:pt idx="20">
                  <c:v>92.860500000000002</c:v>
                </c:pt>
                <c:pt idx="21">
                  <c:v>91.977000000000004</c:v>
                </c:pt>
                <c:pt idx="22">
                  <c:v>91.406999999999996</c:v>
                </c:pt>
                <c:pt idx="23">
                  <c:v>90.966999999999999</c:v>
                </c:pt>
                <c:pt idx="24">
                  <c:v>90.657999999999987</c:v>
                </c:pt>
                <c:pt idx="25">
                  <c:v>90.011499999999998</c:v>
                </c:pt>
                <c:pt idx="26">
                  <c:v>89.462000000000003</c:v>
                </c:pt>
                <c:pt idx="27">
                  <c:v>88.903999999999996</c:v>
                </c:pt>
                <c:pt idx="28">
                  <c:v>88.231000000000023</c:v>
                </c:pt>
                <c:pt idx="29">
                  <c:v>87.741000000000014</c:v>
                </c:pt>
                <c:pt idx="30">
                  <c:v>87.434000000000012</c:v>
                </c:pt>
                <c:pt idx="31">
                  <c:v>87.123000000000019</c:v>
                </c:pt>
                <c:pt idx="32">
                  <c:v>86.753999999999991</c:v>
                </c:pt>
                <c:pt idx="33">
                  <c:v>86.327500000000015</c:v>
                </c:pt>
                <c:pt idx="34">
                  <c:v>86.128</c:v>
                </c:pt>
                <c:pt idx="35">
                  <c:v>85.845499999999987</c:v>
                </c:pt>
                <c:pt idx="36">
                  <c:v>86.065499999999986</c:v>
                </c:pt>
                <c:pt idx="37">
                  <c:v>86.370999999999981</c:v>
                </c:pt>
                <c:pt idx="38">
                  <c:v>86.743499999999983</c:v>
                </c:pt>
                <c:pt idx="39">
                  <c:v>87.106999999999999</c:v>
                </c:pt>
                <c:pt idx="40">
                  <c:v>87.525999999999982</c:v>
                </c:pt>
                <c:pt idx="41">
                  <c:v>87.768999999999977</c:v>
                </c:pt>
                <c:pt idx="42">
                  <c:v>88.139499999999984</c:v>
                </c:pt>
                <c:pt idx="43">
                  <c:v>88.460999999999999</c:v>
                </c:pt>
                <c:pt idx="44">
                  <c:v>88.828999999999994</c:v>
                </c:pt>
                <c:pt idx="45">
                  <c:v>89.338999999999999</c:v>
                </c:pt>
                <c:pt idx="46">
                  <c:v>89.870500000000007</c:v>
                </c:pt>
                <c:pt idx="47">
                  <c:v>90.343499999999992</c:v>
                </c:pt>
                <c:pt idx="48">
                  <c:v>90.846999999999994</c:v>
                </c:pt>
                <c:pt idx="49">
                  <c:v>91.259499999999989</c:v>
                </c:pt>
                <c:pt idx="50">
                  <c:v>91.680499999999995</c:v>
                </c:pt>
                <c:pt idx="51">
                  <c:v>92.063000000000002</c:v>
                </c:pt>
                <c:pt idx="52">
                  <c:v>92.637500000000003</c:v>
                </c:pt>
                <c:pt idx="53">
                  <c:v>93.444499999999991</c:v>
                </c:pt>
                <c:pt idx="54">
                  <c:v>94.180499999999995</c:v>
                </c:pt>
                <c:pt idx="55">
                  <c:v>95.032499999999999</c:v>
                </c:pt>
                <c:pt idx="56">
                  <c:v>95.424000000000007</c:v>
                </c:pt>
                <c:pt idx="57">
                  <c:v>95.729500000000002</c:v>
                </c:pt>
                <c:pt idx="58">
                  <c:v>95.927000000000007</c:v>
                </c:pt>
                <c:pt idx="59">
                  <c:v>95.984499999999997</c:v>
                </c:pt>
                <c:pt idx="60">
                  <c:v>96.127499999999984</c:v>
                </c:pt>
                <c:pt idx="61">
                  <c:v>96.385499999999979</c:v>
                </c:pt>
                <c:pt idx="62">
                  <c:v>96.636499999999984</c:v>
                </c:pt>
                <c:pt idx="63">
                  <c:v>96.921999999999997</c:v>
                </c:pt>
                <c:pt idx="64">
                  <c:v>97.069500000000005</c:v>
                </c:pt>
                <c:pt idx="65">
                  <c:v>97.143000000000001</c:v>
                </c:pt>
                <c:pt idx="66">
                  <c:v>97.147500000000008</c:v>
                </c:pt>
                <c:pt idx="67">
                  <c:v>97.21</c:v>
                </c:pt>
                <c:pt idx="68">
                  <c:v>97.328000000000003</c:v>
                </c:pt>
                <c:pt idx="69">
                  <c:v>97.388000000000005</c:v>
                </c:pt>
                <c:pt idx="70">
                  <c:v>97.380499999999998</c:v>
                </c:pt>
                <c:pt idx="71">
                  <c:v>97.445999999999998</c:v>
                </c:pt>
                <c:pt idx="72">
                  <c:v>97.497</c:v>
                </c:pt>
                <c:pt idx="73">
                  <c:v>97.529499999999999</c:v>
                </c:pt>
                <c:pt idx="74">
                  <c:v>97.569499999999991</c:v>
                </c:pt>
                <c:pt idx="75">
                  <c:v>97.525999999999982</c:v>
                </c:pt>
                <c:pt idx="76">
                  <c:v>97.527999999999992</c:v>
                </c:pt>
                <c:pt idx="77">
                  <c:v>97.564499999999995</c:v>
                </c:pt>
                <c:pt idx="78">
                  <c:v>97.592999999999989</c:v>
                </c:pt>
                <c:pt idx="79">
                  <c:v>97.588999999999999</c:v>
                </c:pt>
                <c:pt idx="80">
                  <c:v>97.489000000000004</c:v>
                </c:pt>
                <c:pt idx="81">
                  <c:v>97.393500000000003</c:v>
                </c:pt>
                <c:pt idx="82">
                  <c:v>97.195999999999998</c:v>
                </c:pt>
                <c:pt idx="83">
                  <c:v>97.002499999999998</c:v>
                </c:pt>
                <c:pt idx="84">
                  <c:v>96.86699999999999</c:v>
                </c:pt>
                <c:pt idx="85">
                  <c:v>96.851499999999987</c:v>
                </c:pt>
                <c:pt idx="86">
                  <c:v>96.948499999999996</c:v>
                </c:pt>
                <c:pt idx="87">
                  <c:v>97.03149999999998</c:v>
                </c:pt>
                <c:pt idx="88">
                  <c:v>97.015499999999989</c:v>
                </c:pt>
                <c:pt idx="89">
                  <c:v>96.954499999999996</c:v>
                </c:pt>
                <c:pt idx="90">
                  <c:v>96.96299999999998</c:v>
                </c:pt>
                <c:pt idx="91">
                  <c:v>96.915999999999983</c:v>
                </c:pt>
                <c:pt idx="92">
                  <c:v>96.839499999999987</c:v>
                </c:pt>
                <c:pt idx="93">
                  <c:v>96.720999999999975</c:v>
                </c:pt>
                <c:pt idx="94">
                  <c:v>96.67149999999998</c:v>
                </c:pt>
                <c:pt idx="95">
                  <c:v>96.740999999999971</c:v>
                </c:pt>
                <c:pt idx="96">
                  <c:v>96.72199999999998</c:v>
                </c:pt>
                <c:pt idx="97">
                  <c:v>96.689999999999984</c:v>
                </c:pt>
                <c:pt idx="98">
                  <c:v>96.566999999999979</c:v>
                </c:pt>
                <c:pt idx="99">
                  <c:v>96.496999999999986</c:v>
                </c:pt>
                <c:pt idx="100">
                  <c:v>96.544499999999985</c:v>
                </c:pt>
                <c:pt idx="101">
                  <c:v>96.59199999999997</c:v>
                </c:pt>
                <c:pt idx="102">
                  <c:v>96.634999999999991</c:v>
                </c:pt>
                <c:pt idx="103">
                  <c:v>96.676999999999992</c:v>
                </c:pt>
                <c:pt idx="104">
                  <c:v>96.674999999999983</c:v>
                </c:pt>
                <c:pt idx="105">
                  <c:v>96.652500000000003</c:v>
                </c:pt>
                <c:pt idx="106">
                  <c:v>96.551500000000004</c:v>
                </c:pt>
                <c:pt idx="107">
                  <c:v>96.435500000000019</c:v>
                </c:pt>
                <c:pt idx="108">
                  <c:v>96.402500000000003</c:v>
                </c:pt>
                <c:pt idx="109">
                  <c:v>96.474999999999994</c:v>
                </c:pt>
                <c:pt idx="110">
                  <c:v>96.49199999999999</c:v>
                </c:pt>
                <c:pt idx="111">
                  <c:v>96.519499999999979</c:v>
                </c:pt>
                <c:pt idx="112">
                  <c:v>96.486999999999981</c:v>
                </c:pt>
                <c:pt idx="113">
                  <c:v>96.505499999999984</c:v>
                </c:pt>
                <c:pt idx="114">
                  <c:v>96.511999999999972</c:v>
                </c:pt>
                <c:pt idx="115">
                  <c:v>96.523999999999972</c:v>
                </c:pt>
                <c:pt idx="116">
                  <c:v>96.634999999999977</c:v>
                </c:pt>
                <c:pt idx="117">
                  <c:v>96.962499999999963</c:v>
                </c:pt>
                <c:pt idx="118">
                  <c:v>97.37549999999996</c:v>
                </c:pt>
                <c:pt idx="119">
                  <c:v>97.841999999999985</c:v>
                </c:pt>
                <c:pt idx="120">
                  <c:v>98.249499999999998</c:v>
                </c:pt>
                <c:pt idx="121">
                  <c:v>98.661000000000016</c:v>
                </c:pt>
                <c:pt idx="122">
                  <c:v>98.953000000000003</c:v>
                </c:pt>
                <c:pt idx="123">
                  <c:v>99.241</c:v>
                </c:pt>
                <c:pt idx="124">
                  <c:v>99.488500000000016</c:v>
                </c:pt>
                <c:pt idx="125">
                  <c:v>99.740000000000009</c:v>
                </c:pt>
                <c:pt idx="126">
                  <c:v>100.01200000000001</c:v>
                </c:pt>
                <c:pt idx="127">
                  <c:v>100.3565</c:v>
                </c:pt>
                <c:pt idx="128">
                  <c:v>100.42449999999999</c:v>
                </c:pt>
                <c:pt idx="129">
                  <c:v>100.39250000000001</c:v>
                </c:pt>
                <c:pt idx="130">
                  <c:v>100.3155</c:v>
                </c:pt>
                <c:pt idx="131">
                  <c:v>100.20149999999998</c:v>
                </c:pt>
                <c:pt idx="132">
                  <c:v>100.12599999999999</c:v>
                </c:pt>
                <c:pt idx="133">
                  <c:v>100.03249999999998</c:v>
                </c:pt>
                <c:pt idx="134">
                  <c:v>99.956999999999979</c:v>
                </c:pt>
                <c:pt idx="135">
                  <c:v>99.869999999999976</c:v>
                </c:pt>
                <c:pt idx="136">
                  <c:v>99.876499999999993</c:v>
                </c:pt>
                <c:pt idx="137">
                  <c:v>99.754999999999981</c:v>
                </c:pt>
                <c:pt idx="138">
                  <c:v>99.624499999999983</c:v>
                </c:pt>
                <c:pt idx="139">
                  <c:v>99.551999999999992</c:v>
                </c:pt>
                <c:pt idx="140">
                  <c:v>99.47</c:v>
                </c:pt>
                <c:pt idx="141">
                  <c:v>99.309499999999986</c:v>
                </c:pt>
                <c:pt idx="142">
                  <c:v>99.392500000000013</c:v>
                </c:pt>
                <c:pt idx="143">
                  <c:v>99.524500000000018</c:v>
                </c:pt>
                <c:pt idx="144">
                  <c:v>99.709000000000017</c:v>
                </c:pt>
                <c:pt idx="145">
                  <c:v>99.845000000000013</c:v>
                </c:pt>
                <c:pt idx="146">
                  <c:v>99.994000000000014</c:v>
                </c:pt>
                <c:pt idx="147">
                  <c:v>100.04550000000002</c:v>
                </c:pt>
                <c:pt idx="148">
                  <c:v>100.26400000000001</c:v>
                </c:pt>
                <c:pt idx="149">
                  <c:v>100.5635</c:v>
                </c:pt>
                <c:pt idx="150">
                  <c:v>100.886</c:v>
                </c:pt>
                <c:pt idx="151">
                  <c:v>101.22</c:v>
                </c:pt>
                <c:pt idx="152">
                  <c:v>101.56849999999999</c:v>
                </c:pt>
                <c:pt idx="153">
                  <c:v>101.92099999999999</c:v>
                </c:pt>
                <c:pt idx="154">
                  <c:v>102.22599999999998</c:v>
                </c:pt>
                <c:pt idx="155">
                  <c:v>102.48650000000001</c:v>
                </c:pt>
                <c:pt idx="156">
                  <c:v>102.61249999999998</c:v>
                </c:pt>
                <c:pt idx="157">
                  <c:v>102.65099999999998</c:v>
                </c:pt>
                <c:pt idx="158">
                  <c:v>102.729</c:v>
                </c:pt>
                <c:pt idx="159">
                  <c:v>102.75</c:v>
                </c:pt>
                <c:pt idx="160">
                  <c:v>102.79749999999999</c:v>
                </c:pt>
                <c:pt idx="161">
                  <c:v>102.922</c:v>
                </c:pt>
                <c:pt idx="162">
                  <c:v>102.87800000000001</c:v>
                </c:pt>
                <c:pt idx="163">
                  <c:v>102.79550000000002</c:v>
                </c:pt>
                <c:pt idx="164">
                  <c:v>102.71699999999998</c:v>
                </c:pt>
                <c:pt idx="165">
                  <c:v>102.90650000000001</c:v>
                </c:pt>
                <c:pt idx="166">
                  <c:v>103.14450000000002</c:v>
                </c:pt>
                <c:pt idx="167">
                  <c:v>103.28800000000001</c:v>
                </c:pt>
                <c:pt idx="168">
                  <c:v>103.55800000000002</c:v>
                </c:pt>
                <c:pt idx="169">
                  <c:v>103.76950000000002</c:v>
                </c:pt>
                <c:pt idx="170">
                  <c:v>103.95450000000001</c:v>
                </c:pt>
                <c:pt idx="171">
                  <c:v>104.175</c:v>
                </c:pt>
                <c:pt idx="172">
                  <c:v>104.3655</c:v>
                </c:pt>
                <c:pt idx="173">
                  <c:v>104.51600000000001</c:v>
                </c:pt>
                <c:pt idx="174">
                  <c:v>104.5855</c:v>
                </c:pt>
                <c:pt idx="175">
                  <c:v>104.59100000000001</c:v>
                </c:pt>
                <c:pt idx="176">
                  <c:v>104.61600000000001</c:v>
                </c:pt>
                <c:pt idx="177">
                  <c:v>104.6425</c:v>
                </c:pt>
                <c:pt idx="178">
                  <c:v>104.598</c:v>
                </c:pt>
                <c:pt idx="179">
                  <c:v>104.54250000000002</c:v>
                </c:pt>
                <c:pt idx="180">
                  <c:v>104.494</c:v>
                </c:pt>
                <c:pt idx="181">
                  <c:v>104.42250000000001</c:v>
                </c:pt>
                <c:pt idx="182">
                  <c:v>104.41800000000001</c:v>
                </c:pt>
                <c:pt idx="183">
                  <c:v>104.4555</c:v>
                </c:pt>
                <c:pt idx="184">
                  <c:v>104.47049999999999</c:v>
                </c:pt>
                <c:pt idx="185">
                  <c:v>104.282</c:v>
                </c:pt>
                <c:pt idx="186">
                  <c:v>104.00250000000001</c:v>
                </c:pt>
                <c:pt idx="187">
                  <c:v>103.80600000000001</c:v>
                </c:pt>
                <c:pt idx="188">
                  <c:v>103.54349999999999</c:v>
                </c:pt>
                <c:pt idx="189">
                  <c:v>103.3385</c:v>
                </c:pt>
                <c:pt idx="190">
                  <c:v>103.09700000000002</c:v>
                </c:pt>
                <c:pt idx="191">
                  <c:v>102.77050000000001</c:v>
                </c:pt>
                <c:pt idx="192">
                  <c:v>102.78300000000002</c:v>
                </c:pt>
                <c:pt idx="193">
                  <c:v>102.7405</c:v>
                </c:pt>
                <c:pt idx="194">
                  <c:v>102.72</c:v>
                </c:pt>
                <c:pt idx="195">
                  <c:v>102.9115</c:v>
                </c:pt>
                <c:pt idx="196">
                  <c:v>103.2435</c:v>
                </c:pt>
                <c:pt idx="197">
                  <c:v>103.65749999999998</c:v>
                </c:pt>
                <c:pt idx="198">
                  <c:v>104.175</c:v>
                </c:pt>
                <c:pt idx="199">
                  <c:v>104.71599999999998</c:v>
                </c:pt>
                <c:pt idx="200">
                  <c:v>105.32299999999998</c:v>
                </c:pt>
                <c:pt idx="201">
                  <c:v>105.9915</c:v>
                </c:pt>
                <c:pt idx="202">
                  <c:v>106.66299999999998</c:v>
                </c:pt>
                <c:pt idx="203">
                  <c:v>107.2115</c:v>
                </c:pt>
                <c:pt idx="204">
                  <c:v>107.84349999999999</c:v>
                </c:pt>
                <c:pt idx="205">
                  <c:v>108.33049999999999</c:v>
                </c:pt>
                <c:pt idx="206">
                  <c:v>108.93449999999999</c:v>
                </c:pt>
                <c:pt idx="207">
                  <c:v>109.6425</c:v>
                </c:pt>
                <c:pt idx="208">
                  <c:v>110.35799999999999</c:v>
                </c:pt>
                <c:pt idx="209">
                  <c:v>110.98150000000001</c:v>
                </c:pt>
                <c:pt idx="210">
                  <c:v>111.69499999999998</c:v>
                </c:pt>
                <c:pt idx="211">
                  <c:v>112.40599999999999</c:v>
                </c:pt>
                <c:pt idx="212">
                  <c:v>112.76850000000002</c:v>
                </c:pt>
                <c:pt idx="213">
                  <c:v>113.13250000000001</c:v>
                </c:pt>
                <c:pt idx="214">
                  <c:v>113.47450000000001</c:v>
                </c:pt>
                <c:pt idx="215">
                  <c:v>113.70500000000001</c:v>
                </c:pt>
                <c:pt idx="216">
                  <c:v>113.83699999999999</c:v>
                </c:pt>
                <c:pt idx="217">
                  <c:v>113.93800000000002</c:v>
                </c:pt>
                <c:pt idx="218">
                  <c:v>113.95750000000001</c:v>
                </c:pt>
                <c:pt idx="219">
                  <c:v>113.9075</c:v>
                </c:pt>
                <c:pt idx="220">
                  <c:v>113.825</c:v>
                </c:pt>
                <c:pt idx="221">
                  <c:v>113.71849999999999</c:v>
                </c:pt>
                <c:pt idx="222">
                  <c:v>113.67999999999999</c:v>
                </c:pt>
                <c:pt idx="223">
                  <c:v>113.63799999999999</c:v>
                </c:pt>
                <c:pt idx="224">
                  <c:v>113.5385</c:v>
                </c:pt>
                <c:pt idx="225">
                  <c:v>113.60600000000002</c:v>
                </c:pt>
                <c:pt idx="226">
                  <c:v>113.72850000000001</c:v>
                </c:pt>
                <c:pt idx="227">
                  <c:v>113.9115</c:v>
                </c:pt>
                <c:pt idx="228">
                  <c:v>114.074</c:v>
                </c:pt>
                <c:pt idx="229">
                  <c:v>114.26299999999999</c:v>
                </c:pt>
                <c:pt idx="230">
                  <c:v>114.46499999999996</c:v>
                </c:pt>
                <c:pt idx="231">
                  <c:v>114.65899999999996</c:v>
                </c:pt>
                <c:pt idx="232">
                  <c:v>114.90899999999999</c:v>
                </c:pt>
                <c:pt idx="233">
                  <c:v>115.17049999999999</c:v>
                </c:pt>
                <c:pt idx="234">
                  <c:v>115.51200000000001</c:v>
                </c:pt>
                <c:pt idx="235">
                  <c:v>115.8135</c:v>
                </c:pt>
                <c:pt idx="236">
                  <c:v>116.0735</c:v>
                </c:pt>
                <c:pt idx="237">
                  <c:v>116.27550000000001</c:v>
                </c:pt>
                <c:pt idx="238">
                  <c:v>116.55</c:v>
                </c:pt>
                <c:pt idx="239">
                  <c:v>116.9365</c:v>
                </c:pt>
                <c:pt idx="240">
                  <c:v>117.50149999999999</c:v>
                </c:pt>
                <c:pt idx="241">
                  <c:v>118.25150000000001</c:v>
                </c:pt>
                <c:pt idx="242">
                  <c:v>118.9345</c:v>
                </c:pt>
                <c:pt idx="243">
                  <c:v>119.64550000000001</c:v>
                </c:pt>
                <c:pt idx="244">
                  <c:v>120.55100000000002</c:v>
                </c:pt>
                <c:pt idx="245">
                  <c:v>121.27550000000001</c:v>
                </c:pt>
                <c:pt idx="246">
                  <c:v>121.71200000000002</c:v>
                </c:pt>
                <c:pt idx="247">
                  <c:v>122.13250000000001</c:v>
                </c:pt>
                <c:pt idx="248">
                  <c:v>122.8125</c:v>
                </c:pt>
                <c:pt idx="249">
                  <c:v>123.54699999999998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C8-4DB4-AE30-74EB1B0E3ECC}"/>
            </c:ext>
          </c:extLst>
        </c:ser>
        <c:ser>
          <c:idx val="2"/>
          <c:order val="2"/>
          <c:tx>
            <c:strRef>
              <c:f>Data!$AB$1</c:f>
              <c:strCache>
                <c:ptCount val="1"/>
                <c:pt idx="0">
                  <c:v>100d SMA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Data!$AB$2:$AB$251</c:f>
              <c:numCache>
                <c:formatCode>General</c:formatCode>
                <c:ptCount val="250"/>
                <c:pt idx="99">
                  <c:v>94.189500000000038</c:v>
                </c:pt>
                <c:pt idx="100">
                  <c:v>94.10950000000004</c:v>
                </c:pt>
                <c:pt idx="101">
                  <c:v>94.023400000000038</c:v>
                </c:pt>
                <c:pt idx="102">
                  <c:v>94.002800000000036</c:v>
                </c:pt>
                <c:pt idx="103">
                  <c:v>94.00590000000004</c:v>
                </c:pt>
                <c:pt idx="104">
                  <c:v>94.019700000000029</c:v>
                </c:pt>
                <c:pt idx="105">
                  <c:v>93.999500000000026</c:v>
                </c:pt>
                <c:pt idx="106">
                  <c:v>93.996000000000024</c:v>
                </c:pt>
                <c:pt idx="107">
                  <c:v>93.98490000000001</c:v>
                </c:pt>
                <c:pt idx="108">
                  <c:v>93.964800000000011</c:v>
                </c:pt>
                <c:pt idx="109">
                  <c:v>93.963600000000028</c:v>
                </c:pt>
                <c:pt idx="110">
                  <c:v>93.990000000000023</c:v>
                </c:pt>
                <c:pt idx="111">
                  <c:v>94.013500000000022</c:v>
                </c:pt>
                <c:pt idx="112">
                  <c:v>94.042999999999992</c:v>
                </c:pt>
                <c:pt idx="113">
                  <c:v>94.105599999999995</c:v>
                </c:pt>
                <c:pt idx="114">
                  <c:v>94.212299999999999</c:v>
                </c:pt>
                <c:pt idx="115">
                  <c:v>94.333799999999997</c:v>
                </c:pt>
                <c:pt idx="116">
                  <c:v>94.474899999999991</c:v>
                </c:pt>
                <c:pt idx="117">
                  <c:v>94.663499999999999</c:v>
                </c:pt>
                <c:pt idx="118">
                  <c:v>94.841200000000015</c:v>
                </c:pt>
                <c:pt idx="119">
                  <c:v>95.003900000000016</c:v>
                </c:pt>
                <c:pt idx="120">
                  <c:v>95.187300000000008</c:v>
                </c:pt>
                <c:pt idx="121">
                  <c:v>95.360200000000006</c:v>
                </c:pt>
                <c:pt idx="122">
                  <c:v>95.512</c:v>
                </c:pt>
                <c:pt idx="123">
                  <c:v>95.66070000000002</c:v>
                </c:pt>
                <c:pt idx="124">
                  <c:v>95.785800000000023</c:v>
                </c:pt>
                <c:pt idx="125">
                  <c:v>95.945200000000028</c:v>
                </c:pt>
                <c:pt idx="126">
                  <c:v>96.106000000000023</c:v>
                </c:pt>
                <c:pt idx="127">
                  <c:v>96.275400000000033</c:v>
                </c:pt>
                <c:pt idx="128">
                  <c:v>96.403500000000022</c:v>
                </c:pt>
                <c:pt idx="129">
                  <c:v>96.493900000000011</c:v>
                </c:pt>
                <c:pt idx="130">
                  <c:v>96.566300000000012</c:v>
                </c:pt>
                <c:pt idx="131">
                  <c:v>96.629199999999997</c:v>
                </c:pt>
                <c:pt idx="132">
                  <c:v>96.717399999999998</c:v>
                </c:pt>
                <c:pt idx="133">
                  <c:v>96.846599999999995</c:v>
                </c:pt>
                <c:pt idx="134">
                  <c:v>96.978099999999998</c:v>
                </c:pt>
                <c:pt idx="135">
                  <c:v>97.138699999999986</c:v>
                </c:pt>
                <c:pt idx="136">
                  <c:v>97.237099999999998</c:v>
                </c:pt>
                <c:pt idx="137">
                  <c:v>97.340300000000013</c:v>
                </c:pt>
                <c:pt idx="138">
                  <c:v>97.417400000000001</c:v>
                </c:pt>
                <c:pt idx="139">
                  <c:v>97.492900000000006</c:v>
                </c:pt>
                <c:pt idx="140">
                  <c:v>97.576100000000011</c:v>
                </c:pt>
                <c:pt idx="141">
                  <c:v>97.668300000000002</c:v>
                </c:pt>
                <c:pt idx="142">
                  <c:v>97.762600000000006</c:v>
                </c:pt>
                <c:pt idx="143">
                  <c:v>97.873400000000004</c:v>
                </c:pt>
                <c:pt idx="144">
                  <c:v>97.961799999999997</c:v>
                </c:pt>
                <c:pt idx="145">
                  <c:v>98.046400000000006</c:v>
                </c:pt>
                <c:pt idx="146">
                  <c:v>98.130700000000019</c:v>
                </c:pt>
                <c:pt idx="147">
                  <c:v>98.215800000000016</c:v>
                </c:pt>
                <c:pt idx="148">
                  <c:v>98.286900000000017</c:v>
                </c:pt>
                <c:pt idx="149">
                  <c:v>98.354700000000037</c:v>
                </c:pt>
                <c:pt idx="150">
                  <c:v>98.407400000000038</c:v>
                </c:pt>
                <c:pt idx="151">
                  <c:v>98.460600000000014</c:v>
                </c:pt>
                <c:pt idx="152">
                  <c:v>98.503600000000006</c:v>
                </c:pt>
                <c:pt idx="153">
                  <c:v>98.541899999999998</c:v>
                </c:pt>
                <c:pt idx="154">
                  <c:v>98.587199999999996</c:v>
                </c:pt>
                <c:pt idx="155">
                  <c:v>98.629499999999993</c:v>
                </c:pt>
                <c:pt idx="156">
                  <c:v>98.674799999999976</c:v>
                </c:pt>
                <c:pt idx="157">
                  <c:v>98.724599999999995</c:v>
                </c:pt>
                <c:pt idx="158">
                  <c:v>98.777799999999985</c:v>
                </c:pt>
                <c:pt idx="159">
                  <c:v>98.845999999999989</c:v>
                </c:pt>
                <c:pt idx="160">
                  <c:v>98.910099999999986</c:v>
                </c:pt>
                <c:pt idx="161">
                  <c:v>98.975599999999972</c:v>
                </c:pt>
                <c:pt idx="162">
                  <c:v>99.010899999999964</c:v>
                </c:pt>
                <c:pt idx="163">
                  <c:v>99.048099999999977</c:v>
                </c:pt>
                <c:pt idx="164">
                  <c:v>99.09129999999999</c:v>
                </c:pt>
                <c:pt idx="165">
                  <c:v>99.199099999999987</c:v>
                </c:pt>
                <c:pt idx="166">
                  <c:v>99.330099999999959</c:v>
                </c:pt>
                <c:pt idx="167">
                  <c:v>99.431399999999982</c:v>
                </c:pt>
                <c:pt idx="168">
                  <c:v>99.53289999999997</c:v>
                </c:pt>
                <c:pt idx="169">
                  <c:v>99.630999999999943</c:v>
                </c:pt>
                <c:pt idx="170">
                  <c:v>99.722199999999958</c:v>
                </c:pt>
                <c:pt idx="171">
                  <c:v>99.806399999999954</c:v>
                </c:pt>
                <c:pt idx="172">
                  <c:v>99.877299999999963</c:v>
                </c:pt>
                <c:pt idx="173">
                  <c:v>99.939199999999971</c:v>
                </c:pt>
                <c:pt idx="174">
                  <c:v>99.990399999999951</c:v>
                </c:pt>
                <c:pt idx="175">
                  <c:v>100.04249999999996</c:v>
                </c:pt>
                <c:pt idx="176">
                  <c:v>100.09239999999994</c:v>
                </c:pt>
                <c:pt idx="177">
                  <c:v>100.14019999999995</c:v>
                </c:pt>
                <c:pt idx="178">
                  <c:v>100.17879999999994</c:v>
                </c:pt>
                <c:pt idx="179">
                  <c:v>100.23669999999994</c:v>
                </c:pt>
                <c:pt idx="180">
                  <c:v>100.31109999999995</c:v>
                </c:pt>
                <c:pt idx="181">
                  <c:v>100.38139999999993</c:v>
                </c:pt>
                <c:pt idx="182">
                  <c:v>100.45529999999994</c:v>
                </c:pt>
                <c:pt idx="183">
                  <c:v>100.53869999999993</c:v>
                </c:pt>
                <c:pt idx="184">
                  <c:v>100.61199999999994</c:v>
                </c:pt>
                <c:pt idx="185">
                  <c:v>100.68519999999995</c:v>
                </c:pt>
                <c:pt idx="186">
                  <c:v>100.74089999999997</c:v>
                </c:pt>
                <c:pt idx="187">
                  <c:v>100.78629999999997</c:v>
                </c:pt>
                <c:pt idx="188">
                  <c:v>100.83849999999998</c:v>
                </c:pt>
                <c:pt idx="189">
                  <c:v>100.90779999999999</c:v>
                </c:pt>
                <c:pt idx="190">
                  <c:v>100.949</c:v>
                </c:pt>
                <c:pt idx="191">
                  <c:v>100.97729999999997</c:v>
                </c:pt>
                <c:pt idx="192">
                  <c:v>101.066</c:v>
                </c:pt>
                <c:pt idx="193">
                  <c:v>101.14309999999999</c:v>
                </c:pt>
                <c:pt idx="194">
                  <c:v>101.20010000000001</c:v>
                </c:pt>
                <c:pt idx="195">
                  <c:v>101.27660000000002</c:v>
                </c:pt>
                <c:pt idx="196">
                  <c:v>101.3967</c:v>
                </c:pt>
                <c:pt idx="197">
                  <c:v>101.53370000000001</c:v>
                </c:pt>
                <c:pt idx="198">
                  <c:v>101.70040000000003</c:v>
                </c:pt>
                <c:pt idx="199">
                  <c:v>101.88050000000003</c:v>
                </c:pt>
                <c:pt idx="200">
                  <c:v>102.06680000000004</c:v>
                </c:pt>
                <c:pt idx="201">
                  <c:v>102.26130000000005</c:v>
                </c:pt>
                <c:pt idx="202">
                  <c:v>102.46090000000005</c:v>
                </c:pt>
                <c:pt idx="203">
                  <c:v>102.64560000000004</c:v>
                </c:pt>
                <c:pt idx="204">
                  <c:v>102.84570000000005</c:v>
                </c:pt>
                <c:pt idx="205">
                  <c:v>103.02080000000004</c:v>
                </c:pt>
                <c:pt idx="206">
                  <c:v>103.21750000000003</c:v>
                </c:pt>
                <c:pt idx="207">
                  <c:v>103.42770000000002</c:v>
                </c:pt>
                <c:pt idx="208">
                  <c:v>103.62960000000002</c:v>
                </c:pt>
                <c:pt idx="209">
                  <c:v>103.80910000000003</c:v>
                </c:pt>
                <c:pt idx="210">
                  <c:v>103.98960000000002</c:v>
                </c:pt>
                <c:pt idx="211">
                  <c:v>104.15460000000002</c:v>
                </c:pt>
                <c:pt idx="212">
                  <c:v>104.32230000000003</c:v>
                </c:pt>
                <c:pt idx="213">
                  <c:v>104.46850000000002</c:v>
                </c:pt>
                <c:pt idx="214">
                  <c:v>104.59260000000003</c:v>
                </c:pt>
                <c:pt idx="215">
                  <c:v>104.71280000000003</c:v>
                </c:pt>
                <c:pt idx="216">
                  <c:v>104.83710000000002</c:v>
                </c:pt>
                <c:pt idx="217">
                  <c:v>104.92880000000002</c:v>
                </c:pt>
                <c:pt idx="218">
                  <c:v>105.01680000000005</c:v>
                </c:pt>
                <c:pt idx="219">
                  <c:v>105.09360000000004</c:v>
                </c:pt>
                <c:pt idx="220">
                  <c:v>105.18190000000004</c:v>
                </c:pt>
                <c:pt idx="221">
                  <c:v>105.27280000000002</c:v>
                </c:pt>
                <c:pt idx="222">
                  <c:v>105.40630000000003</c:v>
                </c:pt>
                <c:pt idx="223">
                  <c:v>105.52500000000002</c:v>
                </c:pt>
                <c:pt idx="224">
                  <c:v>105.65570000000001</c:v>
                </c:pt>
                <c:pt idx="225">
                  <c:v>105.79400000000004</c:v>
                </c:pt>
                <c:pt idx="226">
                  <c:v>105.96080000000003</c:v>
                </c:pt>
                <c:pt idx="227">
                  <c:v>106.13870000000003</c:v>
                </c:pt>
                <c:pt idx="228">
                  <c:v>106.35950000000004</c:v>
                </c:pt>
                <c:pt idx="229">
                  <c:v>106.58320000000003</c:v>
                </c:pt>
                <c:pt idx="230">
                  <c:v>106.81950000000002</c:v>
                </c:pt>
                <c:pt idx="231">
                  <c:v>107.04610000000002</c:v>
                </c:pt>
                <c:pt idx="232">
                  <c:v>107.27890000000004</c:v>
                </c:pt>
                <c:pt idx="233">
                  <c:v>107.49610000000004</c:v>
                </c:pt>
                <c:pt idx="234">
                  <c:v>107.70360000000002</c:v>
                </c:pt>
                <c:pt idx="235">
                  <c:v>107.9015</c:v>
                </c:pt>
                <c:pt idx="236">
                  <c:v>108.07650000000001</c:v>
                </c:pt>
                <c:pt idx="237">
                  <c:v>108.23290000000001</c:v>
                </c:pt>
                <c:pt idx="238">
                  <c:v>108.40190000000001</c:v>
                </c:pt>
                <c:pt idx="239">
                  <c:v>108.5705</c:v>
                </c:pt>
                <c:pt idx="240">
                  <c:v>108.78819999999997</c:v>
                </c:pt>
                <c:pt idx="241">
                  <c:v>109.06119999999997</c:v>
                </c:pt>
                <c:pt idx="242">
                  <c:v>109.31469999999997</c:v>
                </c:pt>
                <c:pt idx="243">
                  <c:v>109.54919999999997</c:v>
                </c:pt>
                <c:pt idx="244">
                  <c:v>109.82409999999996</c:v>
                </c:pt>
                <c:pt idx="245">
                  <c:v>110.08009999999999</c:v>
                </c:pt>
                <c:pt idx="246">
                  <c:v>110.3044</c:v>
                </c:pt>
                <c:pt idx="247">
                  <c:v>110.55610000000003</c:v>
                </c:pt>
                <c:pt idx="248">
                  <c:v>110.86920000000001</c:v>
                </c:pt>
                <c:pt idx="249">
                  <c:v>111.1799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C8-4DB4-AE30-74EB1B0E3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2162719"/>
        <c:axId val="822160319"/>
      </c:lineChart>
      <c:dateAx>
        <c:axId val="822162719"/>
        <c:scaling>
          <c:orientation val="minMax"/>
          <c:min val="459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160319"/>
        <c:crosses val="autoZero"/>
        <c:auto val="1"/>
        <c:lblOffset val="100"/>
        <c:baseTimeUnit val="days"/>
      </c:dateAx>
      <c:valAx>
        <c:axId val="822160319"/>
        <c:scaling>
          <c:orientation val="minMax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162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+ VWAP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Data!$C$2:$C$251</c:f>
              <c:numCache>
                <c:formatCode>_([$$-409]* #,##0.00_);_([$$-409]* \(#,##0.00\);_([$$-409]* "-"??_);_(@_)</c:formatCode>
                <c:ptCount val="250"/>
                <c:pt idx="0">
                  <c:v>103.78</c:v>
                </c:pt>
                <c:pt idx="1">
                  <c:v>104</c:v>
                </c:pt>
                <c:pt idx="2">
                  <c:v>97.21</c:v>
                </c:pt>
                <c:pt idx="3">
                  <c:v>94.78</c:v>
                </c:pt>
                <c:pt idx="4">
                  <c:v>93.67</c:v>
                </c:pt>
                <c:pt idx="5">
                  <c:v>97.69</c:v>
                </c:pt>
                <c:pt idx="6">
                  <c:v>96.2</c:v>
                </c:pt>
                <c:pt idx="7">
                  <c:v>96.79</c:v>
                </c:pt>
                <c:pt idx="8">
                  <c:v>98.61</c:v>
                </c:pt>
                <c:pt idx="9">
                  <c:v>97.59</c:v>
                </c:pt>
                <c:pt idx="10">
                  <c:v>94.97</c:v>
                </c:pt>
                <c:pt idx="11">
                  <c:v>95.98</c:v>
                </c:pt>
                <c:pt idx="12">
                  <c:v>94.64</c:v>
                </c:pt>
                <c:pt idx="13">
                  <c:v>91.72</c:v>
                </c:pt>
                <c:pt idx="14">
                  <c:v>87.82</c:v>
                </c:pt>
                <c:pt idx="15">
                  <c:v>87.44</c:v>
                </c:pt>
                <c:pt idx="16">
                  <c:v>85.2</c:v>
                </c:pt>
                <c:pt idx="17">
                  <c:v>84.5</c:v>
                </c:pt>
                <c:pt idx="18">
                  <c:v>85.35</c:v>
                </c:pt>
                <c:pt idx="19">
                  <c:v>87.46</c:v>
                </c:pt>
                <c:pt idx="20">
                  <c:v>85.59</c:v>
                </c:pt>
                <c:pt idx="21">
                  <c:v>86.33</c:v>
                </c:pt>
                <c:pt idx="22">
                  <c:v>85.81</c:v>
                </c:pt>
                <c:pt idx="23">
                  <c:v>85.98</c:v>
                </c:pt>
                <c:pt idx="24">
                  <c:v>87.49</c:v>
                </c:pt>
                <c:pt idx="25">
                  <c:v>84.76</c:v>
                </c:pt>
                <c:pt idx="26">
                  <c:v>85.21</c:v>
                </c:pt>
                <c:pt idx="27">
                  <c:v>85.63</c:v>
                </c:pt>
                <c:pt idx="28">
                  <c:v>85.15</c:v>
                </c:pt>
                <c:pt idx="29">
                  <c:v>87.79</c:v>
                </c:pt>
                <c:pt idx="30">
                  <c:v>88.83</c:v>
                </c:pt>
                <c:pt idx="31">
                  <c:v>89.76</c:v>
                </c:pt>
                <c:pt idx="32">
                  <c:v>87.26</c:v>
                </c:pt>
                <c:pt idx="33">
                  <c:v>83.19</c:v>
                </c:pt>
                <c:pt idx="34">
                  <c:v>83.83</c:v>
                </c:pt>
                <c:pt idx="35">
                  <c:v>81.790000000000006</c:v>
                </c:pt>
                <c:pt idx="36">
                  <c:v>89.6</c:v>
                </c:pt>
                <c:pt idx="37">
                  <c:v>90.61</c:v>
                </c:pt>
                <c:pt idx="38">
                  <c:v>92.8</c:v>
                </c:pt>
                <c:pt idx="39">
                  <c:v>94.73</c:v>
                </c:pt>
                <c:pt idx="40">
                  <c:v>93.97</c:v>
                </c:pt>
                <c:pt idx="41">
                  <c:v>91.19</c:v>
                </c:pt>
                <c:pt idx="42">
                  <c:v>93.22</c:v>
                </c:pt>
                <c:pt idx="43">
                  <c:v>92.41</c:v>
                </c:pt>
                <c:pt idx="44">
                  <c:v>94.85</c:v>
                </c:pt>
                <c:pt idx="45">
                  <c:v>94.96</c:v>
                </c:pt>
                <c:pt idx="46">
                  <c:v>95.84</c:v>
                </c:pt>
                <c:pt idx="47">
                  <c:v>95.09</c:v>
                </c:pt>
                <c:pt idx="48">
                  <c:v>95.22</c:v>
                </c:pt>
                <c:pt idx="49">
                  <c:v>96.04</c:v>
                </c:pt>
                <c:pt idx="50">
                  <c:v>97.25</c:v>
                </c:pt>
                <c:pt idx="51">
                  <c:v>97.41</c:v>
                </c:pt>
                <c:pt idx="52">
                  <c:v>98.75</c:v>
                </c:pt>
                <c:pt idx="53">
                  <c:v>99.33</c:v>
                </c:pt>
                <c:pt idx="54">
                  <c:v>98.55</c:v>
                </c:pt>
                <c:pt idx="55">
                  <c:v>98.83</c:v>
                </c:pt>
                <c:pt idx="56">
                  <c:v>97.43</c:v>
                </c:pt>
                <c:pt idx="57">
                  <c:v>96.72</c:v>
                </c:pt>
                <c:pt idx="58">
                  <c:v>96.75</c:v>
                </c:pt>
                <c:pt idx="59">
                  <c:v>95.88</c:v>
                </c:pt>
                <c:pt idx="60">
                  <c:v>96.83</c:v>
                </c:pt>
                <c:pt idx="61">
                  <c:v>96.35</c:v>
                </c:pt>
                <c:pt idx="62">
                  <c:v>98.24</c:v>
                </c:pt>
                <c:pt idx="63">
                  <c:v>98.12</c:v>
                </c:pt>
                <c:pt idx="64">
                  <c:v>97.8</c:v>
                </c:pt>
                <c:pt idx="65">
                  <c:v>96.43</c:v>
                </c:pt>
                <c:pt idx="66">
                  <c:v>95.93</c:v>
                </c:pt>
                <c:pt idx="67">
                  <c:v>96.34</c:v>
                </c:pt>
                <c:pt idx="68">
                  <c:v>97.58</c:v>
                </c:pt>
                <c:pt idx="69">
                  <c:v>97.24</c:v>
                </c:pt>
                <c:pt idx="70">
                  <c:v>97.1</c:v>
                </c:pt>
                <c:pt idx="71">
                  <c:v>98.72</c:v>
                </c:pt>
                <c:pt idx="72">
                  <c:v>99.77</c:v>
                </c:pt>
                <c:pt idx="73">
                  <c:v>99.98</c:v>
                </c:pt>
                <c:pt idx="74">
                  <c:v>99.35</c:v>
                </c:pt>
                <c:pt idx="75">
                  <c:v>97.96</c:v>
                </c:pt>
                <c:pt idx="76">
                  <c:v>97.47</c:v>
                </c:pt>
                <c:pt idx="77">
                  <c:v>97.45</c:v>
                </c:pt>
                <c:pt idx="78">
                  <c:v>97.32</c:v>
                </c:pt>
                <c:pt idx="79">
                  <c:v>95.8</c:v>
                </c:pt>
                <c:pt idx="80">
                  <c:v>94.83</c:v>
                </c:pt>
                <c:pt idx="81">
                  <c:v>94.44</c:v>
                </c:pt>
                <c:pt idx="82">
                  <c:v>94.29</c:v>
                </c:pt>
                <c:pt idx="83">
                  <c:v>94.25</c:v>
                </c:pt>
                <c:pt idx="84">
                  <c:v>95.09</c:v>
                </c:pt>
                <c:pt idx="85">
                  <c:v>96.12</c:v>
                </c:pt>
                <c:pt idx="86">
                  <c:v>97.87</c:v>
                </c:pt>
                <c:pt idx="87">
                  <c:v>98</c:v>
                </c:pt>
                <c:pt idx="88">
                  <c:v>97.26</c:v>
                </c:pt>
                <c:pt idx="89">
                  <c:v>96.02</c:v>
                </c:pt>
                <c:pt idx="90">
                  <c:v>97.27</c:v>
                </c:pt>
                <c:pt idx="91">
                  <c:v>97.78</c:v>
                </c:pt>
                <c:pt idx="92">
                  <c:v>98.24</c:v>
                </c:pt>
                <c:pt idx="93">
                  <c:v>97.61</c:v>
                </c:pt>
                <c:pt idx="94">
                  <c:v>98.36</c:v>
                </c:pt>
                <c:pt idx="95">
                  <c:v>99.35</c:v>
                </c:pt>
                <c:pt idx="96">
                  <c:v>97.09</c:v>
                </c:pt>
                <c:pt idx="97">
                  <c:v>96.81</c:v>
                </c:pt>
                <c:pt idx="98">
                  <c:v>94.86</c:v>
                </c:pt>
                <c:pt idx="99">
                  <c:v>94.4</c:v>
                </c:pt>
                <c:pt idx="100">
                  <c:v>95.78</c:v>
                </c:pt>
                <c:pt idx="101">
                  <c:v>95.39</c:v>
                </c:pt>
                <c:pt idx="102">
                  <c:v>95.15</c:v>
                </c:pt>
                <c:pt idx="103">
                  <c:v>95.09</c:v>
                </c:pt>
                <c:pt idx="104">
                  <c:v>95.05</c:v>
                </c:pt>
                <c:pt idx="105">
                  <c:v>95.67</c:v>
                </c:pt>
                <c:pt idx="106">
                  <c:v>95.85</c:v>
                </c:pt>
                <c:pt idx="107">
                  <c:v>95.68</c:v>
                </c:pt>
                <c:pt idx="108">
                  <c:v>96.6</c:v>
                </c:pt>
                <c:pt idx="109">
                  <c:v>97.47</c:v>
                </c:pt>
                <c:pt idx="110">
                  <c:v>97.61</c:v>
                </c:pt>
                <c:pt idx="111">
                  <c:v>98.33</c:v>
                </c:pt>
                <c:pt idx="112">
                  <c:v>97.59</c:v>
                </c:pt>
                <c:pt idx="113">
                  <c:v>97.98</c:v>
                </c:pt>
                <c:pt idx="114">
                  <c:v>98.49</c:v>
                </c:pt>
                <c:pt idx="115">
                  <c:v>99.59</c:v>
                </c:pt>
                <c:pt idx="116">
                  <c:v>99.31</c:v>
                </c:pt>
                <c:pt idx="117">
                  <c:v>103.36</c:v>
                </c:pt>
                <c:pt idx="118">
                  <c:v>103.12</c:v>
                </c:pt>
                <c:pt idx="119">
                  <c:v>103.73</c:v>
                </c:pt>
                <c:pt idx="120">
                  <c:v>103.93</c:v>
                </c:pt>
                <c:pt idx="121">
                  <c:v>103.62</c:v>
                </c:pt>
                <c:pt idx="122">
                  <c:v>100.99</c:v>
                </c:pt>
                <c:pt idx="123">
                  <c:v>100.85</c:v>
                </c:pt>
                <c:pt idx="124">
                  <c:v>100</c:v>
                </c:pt>
                <c:pt idx="125">
                  <c:v>100.7</c:v>
                </c:pt>
                <c:pt idx="126">
                  <c:v>101.29</c:v>
                </c:pt>
                <c:pt idx="127">
                  <c:v>102.57</c:v>
                </c:pt>
                <c:pt idx="128">
                  <c:v>97.96</c:v>
                </c:pt>
                <c:pt idx="129">
                  <c:v>96.83</c:v>
                </c:pt>
                <c:pt idx="130">
                  <c:v>96.07</c:v>
                </c:pt>
                <c:pt idx="131">
                  <c:v>96.05</c:v>
                </c:pt>
                <c:pt idx="132">
                  <c:v>96.08</c:v>
                </c:pt>
                <c:pt idx="133">
                  <c:v>96.11</c:v>
                </c:pt>
                <c:pt idx="134">
                  <c:v>96.98</c:v>
                </c:pt>
                <c:pt idx="135">
                  <c:v>97.85</c:v>
                </c:pt>
                <c:pt idx="136">
                  <c:v>99.44</c:v>
                </c:pt>
                <c:pt idx="137">
                  <c:v>100.93</c:v>
                </c:pt>
                <c:pt idx="138">
                  <c:v>100.51</c:v>
                </c:pt>
                <c:pt idx="139">
                  <c:v>102.28</c:v>
                </c:pt>
                <c:pt idx="140">
                  <c:v>102.29</c:v>
                </c:pt>
                <c:pt idx="141">
                  <c:v>100.41</c:v>
                </c:pt>
                <c:pt idx="142">
                  <c:v>102.65</c:v>
                </c:pt>
                <c:pt idx="143">
                  <c:v>103.49</c:v>
                </c:pt>
                <c:pt idx="144">
                  <c:v>103.69</c:v>
                </c:pt>
                <c:pt idx="145">
                  <c:v>103.42</c:v>
                </c:pt>
                <c:pt idx="146">
                  <c:v>104.27</c:v>
                </c:pt>
                <c:pt idx="147">
                  <c:v>103.6</c:v>
                </c:pt>
                <c:pt idx="148">
                  <c:v>102.33</c:v>
                </c:pt>
                <c:pt idx="149">
                  <c:v>102.82</c:v>
                </c:pt>
                <c:pt idx="150">
                  <c:v>102.52</c:v>
                </c:pt>
                <c:pt idx="151">
                  <c:v>102.73</c:v>
                </c:pt>
                <c:pt idx="152">
                  <c:v>103.05</c:v>
                </c:pt>
                <c:pt idx="153">
                  <c:v>103.16</c:v>
                </c:pt>
                <c:pt idx="154">
                  <c:v>103.08</c:v>
                </c:pt>
                <c:pt idx="155">
                  <c:v>103.06</c:v>
                </c:pt>
                <c:pt idx="156">
                  <c:v>101.96</c:v>
                </c:pt>
                <c:pt idx="157">
                  <c:v>101.7</c:v>
                </c:pt>
                <c:pt idx="158">
                  <c:v>102.07</c:v>
                </c:pt>
                <c:pt idx="159">
                  <c:v>102.7</c:v>
                </c:pt>
                <c:pt idx="160">
                  <c:v>103.24</c:v>
                </c:pt>
                <c:pt idx="161">
                  <c:v>102.9</c:v>
                </c:pt>
                <c:pt idx="162">
                  <c:v>101.77</c:v>
                </c:pt>
                <c:pt idx="163">
                  <c:v>101.84</c:v>
                </c:pt>
                <c:pt idx="164">
                  <c:v>102.12</c:v>
                </c:pt>
                <c:pt idx="165">
                  <c:v>107.21</c:v>
                </c:pt>
                <c:pt idx="166">
                  <c:v>109.03</c:v>
                </c:pt>
                <c:pt idx="167">
                  <c:v>106.47</c:v>
                </c:pt>
                <c:pt idx="168">
                  <c:v>107.73</c:v>
                </c:pt>
                <c:pt idx="169">
                  <c:v>107.05</c:v>
                </c:pt>
                <c:pt idx="170">
                  <c:v>106.22</c:v>
                </c:pt>
                <c:pt idx="171">
                  <c:v>107.14</c:v>
                </c:pt>
                <c:pt idx="172">
                  <c:v>106.86</c:v>
                </c:pt>
                <c:pt idx="173">
                  <c:v>106.17</c:v>
                </c:pt>
                <c:pt idx="174">
                  <c:v>104.47</c:v>
                </c:pt>
                <c:pt idx="175">
                  <c:v>103.17</c:v>
                </c:pt>
                <c:pt idx="176">
                  <c:v>102.46</c:v>
                </c:pt>
                <c:pt idx="177">
                  <c:v>102.23</c:v>
                </c:pt>
                <c:pt idx="178">
                  <c:v>101.18</c:v>
                </c:pt>
                <c:pt idx="179">
                  <c:v>101.59</c:v>
                </c:pt>
                <c:pt idx="180">
                  <c:v>102.27</c:v>
                </c:pt>
                <c:pt idx="181">
                  <c:v>101.47</c:v>
                </c:pt>
                <c:pt idx="182">
                  <c:v>101.68</c:v>
                </c:pt>
                <c:pt idx="183">
                  <c:v>102.59</c:v>
                </c:pt>
                <c:pt idx="184">
                  <c:v>102.42</c:v>
                </c:pt>
                <c:pt idx="185">
                  <c:v>103.44</c:v>
                </c:pt>
                <c:pt idx="186">
                  <c:v>103.44</c:v>
                </c:pt>
                <c:pt idx="187">
                  <c:v>102.54</c:v>
                </c:pt>
                <c:pt idx="188">
                  <c:v>102.48</c:v>
                </c:pt>
                <c:pt idx="189">
                  <c:v>102.95</c:v>
                </c:pt>
                <c:pt idx="190">
                  <c:v>101.39</c:v>
                </c:pt>
                <c:pt idx="191">
                  <c:v>100.61</c:v>
                </c:pt>
                <c:pt idx="192">
                  <c:v>107.11</c:v>
                </c:pt>
                <c:pt idx="193">
                  <c:v>105.32</c:v>
                </c:pt>
                <c:pt idx="194">
                  <c:v>104.06</c:v>
                </c:pt>
                <c:pt idx="195">
                  <c:v>107</c:v>
                </c:pt>
                <c:pt idx="196">
                  <c:v>109.1</c:v>
                </c:pt>
                <c:pt idx="197">
                  <c:v>110.51</c:v>
                </c:pt>
                <c:pt idx="198">
                  <c:v>111.53</c:v>
                </c:pt>
                <c:pt idx="199">
                  <c:v>112.41</c:v>
                </c:pt>
                <c:pt idx="200">
                  <c:v>114.41</c:v>
                </c:pt>
                <c:pt idx="201">
                  <c:v>114.84</c:v>
                </c:pt>
                <c:pt idx="202">
                  <c:v>115.11</c:v>
                </c:pt>
                <c:pt idx="203">
                  <c:v>113.56</c:v>
                </c:pt>
                <c:pt idx="204">
                  <c:v>115.06</c:v>
                </c:pt>
                <c:pt idx="205">
                  <c:v>113.18</c:v>
                </c:pt>
                <c:pt idx="206">
                  <c:v>115.52</c:v>
                </c:pt>
                <c:pt idx="207">
                  <c:v>116.7</c:v>
                </c:pt>
                <c:pt idx="208">
                  <c:v>116.79</c:v>
                </c:pt>
                <c:pt idx="209">
                  <c:v>115.42</c:v>
                </c:pt>
                <c:pt idx="210">
                  <c:v>115.66</c:v>
                </c:pt>
                <c:pt idx="211">
                  <c:v>114.83</c:v>
                </c:pt>
                <c:pt idx="212">
                  <c:v>114.36</c:v>
                </c:pt>
                <c:pt idx="213">
                  <c:v>112.6</c:v>
                </c:pt>
                <c:pt idx="214">
                  <c:v>110.9</c:v>
                </c:pt>
                <c:pt idx="215">
                  <c:v>111.61</c:v>
                </c:pt>
                <c:pt idx="216">
                  <c:v>111.74</c:v>
                </c:pt>
                <c:pt idx="217">
                  <c:v>112.53</c:v>
                </c:pt>
                <c:pt idx="218">
                  <c:v>111.92</c:v>
                </c:pt>
                <c:pt idx="219">
                  <c:v>111.41</c:v>
                </c:pt>
                <c:pt idx="220">
                  <c:v>112.76</c:v>
                </c:pt>
                <c:pt idx="221">
                  <c:v>112.71</c:v>
                </c:pt>
                <c:pt idx="222">
                  <c:v>114.34</c:v>
                </c:pt>
                <c:pt idx="223">
                  <c:v>112.72</c:v>
                </c:pt>
                <c:pt idx="224">
                  <c:v>113.07</c:v>
                </c:pt>
                <c:pt idx="225">
                  <c:v>114.53</c:v>
                </c:pt>
                <c:pt idx="226">
                  <c:v>117.97</c:v>
                </c:pt>
                <c:pt idx="227">
                  <c:v>120.36</c:v>
                </c:pt>
                <c:pt idx="228">
                  <c:v>120.04</c:v>
                </c:pt>
                <c:pt idx="229">
                  <c:v>119.2</c:v>
                </c:pt>
                <c:pt idx="230">
                  <c:v>119.7</c:v>
                </c:pt>
                <c:pt idx="231">
                  <c:v>118.71</c:v>
                </c:pt>
                <c:pt idx="232">
                  <c:v>119.36</c:v>
                </c:pt>
                <c:pt idx="233">
                  <c:v>117.83</c:v>
                </c:pt>
                <c:pt idx="234">
                  <c:v>117.73</c:v>
                </c:pt>
                <c:pt idx="235">
                  <c:v>117.64</c:v>
                </c:pt>
                <c:pt idx="236">
                  <c:v>116.94</c:v>
                </c:pt>
                <c:pt idx="237">
                  <c:v>116.57</c:v>
                </c:pt>
                <c:pt idx="238">
                  <c:v>117.41</c:v>
                </c:pt>
                <c:pt idx="239">
                  <c:v>119.14</c:v>
                </c:pt>
                <c:pt idx="240">
                  <c:v>124.06</c:v>
                </c:pt>
                <c:pt idx="241">
                  <c:v>127.71</c:v>
                </c:pt>
                <c:pt idx="242">
                  <c:v>128</c:v>
                </c:pt>
                <c:pt idx="243">
                  <c:v>126.94</c:v>
                </c:pt>
                <c:pt idx="244">
                  <c:v>131.18</c:v>
                </c:pt>
                <c:pt idx="245">
                  <c:v>129.02000000000001</c:v>
                </c:pt>
                <c:pt idx="246">
                  <c:v>126.7</c:v>
                </c:pt>
                <c:pt idx="247">
                  <c:v>128.77000000000001</c:v>
                </c:pt>
                <c:pt idx="248">
                  <c:v>133.63999999999999</c:v>
                </c:pt>
                <c:pt idx="249">
                  <c:v>133.88999999999999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F3-4286-B685-6DA9EDFDA266}"/>
            </c:ext>
          </c:extLst>
        </c:ser>
        <c:ser>
          <c:idx val="1"/>
          <c:order val="1"/>
          <c:tx>
            <c:strRef>
              <c:f>Data!$F$1</c:f>
              <c:strCache>
                <c:ptCount val="1"/>
                <c:pt idx="0">
                  <c:v>VWAP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Data!$F$2:$F$251</c:f>
              <c:numCache>
                <c:formatCode>General</c:formatCode>
                <c:ptCount val="250"/>
                <c:pt idx="0">
                  <c:v>103.78</c:v>
                </c:pt>
                <c:pt idx="1">
                  <c:v>103.89078011535481</c:v>
                </c:pt>
                <c:pt idx="2">
                  <c:v>99.873096335942364</c:v>
                </c:pt>
                <c:pt idx="3">
                  <c:v>98.471332907748533</c:v>
                </c:pt>
                <c:pt idx="4">
                  <c:v>97.561212617206735</c:v>
                </c:pt>
                <c:pt idx="5">
                  <c:v>97.58148810270653</c:v>
                </c:pt>
                <c:pt idx="6">
                  <c:v>97.453214299359871</c:v>
                </c:pt>
                <c:pt idx="7">
                  <c:v>97.404083869386199</c:v>
                </c:pt>
                <c:pt idx="8">
                  <c:v>97.528212390769767</c:v>
                </c:pt>
                <c:pt idx="9">
                  <c:v>97.532485862180877</c:v>
                </c:pt>
                <c:pt idx="10">
                  <c:v>97.310229568408346</c:v>
                </c:pt>
                <c:pt idx="11">
                  <c:v>97.234171514910116</c:v>
                </c:pt>
                <c:pt idx="12">
                  <c:v>97.076543756067991</c:v>
                </c:pt>
                <c:pt idx="13">
                  <c:v>96.548590789063169</c:v>
                </c:pt>
                <c:pt idx="14">
                  <c:v>95.780668126259584</c:v>
                </c:pt>
                <c:pt idx="15">
                  <c:v>95.221887494985083</c:v>
                </c:pt>
                <c:pt idx="16">
                  <c:v>94.498726197137159</c:v>
                </c:pt>
                <c:pt idx="17">
                  <c:v>93.859725985705879</c:v>
                </c:pt>
                <c:pt idx="18">
                  <c:v>93.288124845075856</c:v>
                </c:pt>
                <c:pt idx="19">
                  <c:v>93.011876352064462</c:v>
                </c:pt>
                <c:pt idx="20">
                  <c:v>92.780524180863338</c:v>
                </c:pt>
                <c:pt idx="21">
                  <c:v>92.515298966183721</c:v>
                </c:pt>
                <c:pt idx="22">
                  <c:v>92.317154824771151</c:v>
                </c:pt>
                <c:pt idx="23">
                  <c:v>92.052725035743336</c:v>
                </c:pt>
                <c:pt idx="24">
                  <c:v>91.928992974437463</c:v>
                </c:pt>
                <c:pt idx="25">
                  <c:v>91.638189926114435</c:v>
                </c:pt>
                <c:pt idx="26">
                  <c:v>91.393363179149944</c:v>
                </c:pt>
                <c:pt idx="27">
                  <c:v>91.261231425028512</c:v>
                </c:pt>
                <c:pt idx="28">
                  <c:v>91.140201471847277</c:v>
                </c:pt>
                <c:pt idx="29">
                  <c:v>91.009705234457087</c:v>
                </c:pt>
                <c:pt idx="30">
                  <c:v>90.949482784486506</c:v>
                </c:pt>
                <c:pt idx="31">
                  <c:v>90.921314971907918</c:v>
                </c:pt>
                <c:pt idx="32">
                  <c:v>90.779377088420503</c:v>
                </c:pt>
                <c:pt idx="33">
                  <c:v>90.469837912272638</c:v>
                </c:pt>
                <c:pt idx="34">
                  <c:v>90.204975442584271</c:v>
                </c:pt>
                <c:pt idx="35">
                  <c:v>89.903554270592409</c:v>
                </c:pt>
                <c:pt idx="36">
                  <c:v>89.889478273819577</c:v>
                </c:pt>
                <c:pt idx="37">
                  <c:v>89.913534242415153</c:v>
                </c:pt>
                <c:pt idx="38">
                  <c:v>89.982610692641501</c:v>
                </c:pt>
                <c:pt idx="39">
                  <c:v>90.103040142064131</c:v>
                </c:pt>
                <c:pt idx="40">
                  <c:v>90.178857516273766</c:v>
                </c:pt>
                <c:pt idx="41">
                  <c:v>90.198613166551539</c:v>
                </c:pt>
                <c:pt idx="42">
                  <c:v>90.254378338560173</c:v>
                </c:pt>
                <c:pt idx="43">
                  <c:v>90.287991912609883</c:v>
                </c:pt>
                <c:pt idx="44">
                  <c:v>90.346915730261202</c:v>
                </c:pt>
                <c:pt idx="45">
                  <c:v>90.415664914418585</c:v>
                </c:pt>
                <c:pt idx="46">
                  <c:v>90.475227122034767</c:v>
                </c:pt>
                <c:pt idx="47">
                  <c:v>90.532244817468936</c:v>
                </c:pt>
                <c:pt idx="48">
                  <c:v>90.580706776847748</c:v>
                </c:pt>
                <c:pt idx="49">
                  <c:v>90.635410246110979</c:v>
                </c:pt>
                <c:pt idx="50">
                  <c:v>90.746630899089041</c:v>
                </c:pt>
                <c:pt idx="51">
                  <c:v>90.81413719731691</c:v>
                </c:pt>
                <c:pt idx="52">
                  <c:v>90.910797560275498</c:v>
                </c:pt>
                <c:pt idx="53">
                  <c:v>90.989621724836908</c:v>
                </c:pt>
                <c:pt idx="54">
                  <c:v>91.049608025358097</c:v>
                </c:pt>
                <c:pt idx="55">
                  <c:v>91.114764549173756</c:v>
                </c:pt>
                <c:pt idx="56">
                  <c:v>91.181668604823926</c:v>
                </c:pt>
                <c:pt idx="57">
                  <c:v>91.236692975016695</c:v>
                </c:pt>
                <c:pt idx="58">
                  <c:v>91.341757238634216</c:v>
                </c:pt>
                <c:pt idx="59">
                  <c:v>91.404634088683892</c:v>
                </c:pt>
                <c:pt idx="60">
                  <c:v>91.50043772204782</c:v>
                </c:pt>
                <c:pt idx="61">
                  <c:v>91.643262129229711</c:v>
                </c:pt>
                <c:pt idx="62">
                  <c:v>91.788891338963069</c:v>
                </c:pt>
                <c:pt idx="63">
                  <c:v>91.870822521030078</c:v>
                </c:pt>
                <c:pt idx="64">
                  <c:v>91.929988041177509</c:v>
                </c:pt>
                <c:pt idx="65">
                  <c:v>91.974822953932758</c:v>
                </c:pt>
                <c:pt idx="66">
                  <c:v>92.00885222609395</c:v>
                </c:pt>
                <c:pt idx="67">
                  <c:v>92.045682051684622</c:v>
                </c:pt>
                <c:pt idx="68">
                  <c:v>92.104210305125918</c:v>
                </c:pt>
                <c:pt idx="69">
                  <c:v>92.139436797152257</c:v>
                </c:pt>
                <c:pt idx="70">
                  <c:v>92.182555661275345</c:v>
                </c:pt>
                <c:pt idx="71">
                  <c:v>92.299208464191182</c:v>
                </c:pt>
                <c:pt idx="72">
                  <c:v>92.374038814903599</c:v>
                </c:pt>
                <c:pt idx="73">
                  <c:v>92.443309589790218</c:v>
                </c:pt>
                <c:pt idx="74">
                  <c:v>92.487844899498128</c:v>
                </c:pt>
                <c:pt idx="75">
                  <c:v>92.537623266349058</c:v>
                </c:pt>
                <c:pt idx="76">
                  <c:v>92.581457687352909</c:v>
                </c:pt>
                <c:pt idx="77">
                  <c:v>92.61904154552488</c:v>
                </c:pt>
                <c:pt idx="78">
                  <c:v>92.664212712976507</c:v>
                </c:pt>
                <c:pt idx="79">
                  <c:v>92.692725760017325</c:v>
                </c:pt>
                <c:pt idx="80">
                  <c:v>92.713678626922132</c:v>
                </c:pt>
                <c:pt idx="81">
                  <c:v>92.731227657476111</c:v>
                </c:pt>
                <c:pt idx="82">
                  <c:v>92.743740212594261</c:v>
                </c:pt>
                <c:pt idx="83">
                  <c:v>92.755778105864465</c:v>
                </c:pt>
                <c:pt idx="84">
                  <c:v>92.769848772797573</c:v>
                </c:pt>
                <c:pt idx="85">
                  <c:v>92.806165187076886</c:v>
                </c:pt>
                <c:pt idx="86">
                  <c:v>92.860019689670452</c:v>
                </c:pt>
                <c:pt idx="87">
                  <c:v>92.919267102208565</c:v>
                </c:pt>
                <c:pt idx="88">
                  <c:v>92.94403697252568</c:v>
                </c:pt>
                <c:pt idx="89">
                  <c:v>92.974204628780498</c:v>
                </c:pt>
                <c:pt idx="90">
                  <c:v>93.041529789118272</c:v>
                </c:pt>
                <c:pt idx="91">
                  <c:v>93.083222194283778</c:v>
                </c:pt>
                <c:pt idx="92">
                  <c:v>93.122766279772449</c:v>
                </c:pt>
                <c:pt idx="93">
                  <c:v>93.150111660195051</c:v>
                </c:pt>
                <c:pt idx="94">
                  <c:v>93.16955823996733</c:v>
                </c:pt>
                <c:pt idx="95">
                  <c:v>93.208126757490945</c:v>
                </c:pt>
                <c:pt idx="96">
                  <c:v>93.239484566028182</c:v>
                </c:pt>
                <c:pt idx="97">
                  <c:v>93.262752440421067</c:v>
                </c:pt>
                <c:pt idx="98">
                  <c:v>93.276977413471414</c:v>
                </c:pt>
                <c:pt idx="99">
                  <c:v>93.284650212189007</c:v>
                </c:pt>
                <c:pt idx="100">
                  <c:v>93.300642819030941</c:v>
                </c:pt>
                <c:pt idx="101">
                  <c:v>93.310749814313866</c:v>
                </c:pt>
                <c:pt idx="102">
                  <c:v>93.320220086987433</c:v>
                </c:pt>
                <c:pt idx="103">
                  <c:v>93.329272728172725</c:v>
                </c:pt>
                <c:pt idx="104">
                  <c:v>93.340734010025372</c:v>
                </c:pt>
                <c:pt idx="105">
                  <c:v>93.354904757692964</c:v>
                </c:pt>
                <c:pt idx="106">
                  <c:v>93.365075667409258</c:v>
                </c:pt>
                <c:pt idx="107">
                  <c:v>93.375177531533097</c:v>
                </c:pt>
                <c:pt idx="108">
                  <c:v>93.396715641873413</c:v>
                </c:pt>
                <c:pt idx="109">
                  <c:v>93.419934721853025</c:v>
                </c:pt>
                <c:pt idx="110">
                  <c:v>93.442627923767063</c:v>
                </c:pt>
                <c:pt idx="111">
                  <c:v>93.472661223766721</c:v>
                </c:pt>
                <c:pt idx="112">
                  <c:v>93.497505004763738</c:v>
                </c:pt>
                <c:pt idx="113">
                  <c:v>93.527832238698963</c:v>
                </c:pt>
                <c:pt idx="114">
                  <c:v>93.5635040151097</c:v>
                </c:pt>
                <c:pt idx="115">
                  <c:v>93.612375578388239</c:v>
                </c:pt>
                <c:pt idx="116">
                  <c:v>93.655646095215516</c:v>
                </c:pt>
                <c:pt idx="117">
                  <c:v>93.75199919549776</c:v>
                </c:pt>
                <c:pt idx="118">
                  <c:v>93.800759565940709</c:v>
                </c:pt>
                <c:pt idx="119">
                  <c:v>93.851704342939499</c:v>
                </c:pt>
                <c:pt idx="120">
                  <c:v>93.905057295690867</c:v>
                </c:pt>
                <c:pt idx="121">
                  <c:v>93.976213200877766</c:v>
                </c:pt>
                <c:pt idx="122">
                  <c:v>94.031387873598931</c:v>
                </c:pt>
                <c:pt idx="123">
                  <c:v>94.061281225372696</c:v>
                </c:pt>
                <c:pt idx="124">
                  <c:v>94.093724253857616</c:v>
                </c:pt>
                <c:pt idx="125">
                  <c:v>94.124500467590877</c:v>
                </c:pt>
                <c:pt idx="126">
                  <c:v>94.17285456046308</c:v>
                </c:pt>
                <c:pt idx="127">
                  <c:v>94.234583167033776</c:v>
                </c:pt>
                <c:pt idx="128">
                  <c:v>94.309141076217216</c:v>
                </c:pt>
                <c:pt idx="129">
                  <c:v>94.340572374193982</c:v>
                </c:pt>
                <c:pt idx="130">
                  <c:v>94.352984729964746</c:v>
                </c:pt>
                <c:pt idx="131">
                  <c:v>94.367174262667262</c:v>
                </c:pt>
                <c:pt idx="132">
                  <c:v>94.375446414444369</c:v>
                </c:pt>
                <c:pt idx="133">
                  <c:v>94.387827856520843</c:v>
                </c:pt>
                <c:pt idx="134">
                  <c:v>94.402743134504433</c:v>
                </c:pt>
                <c:pt idx="135">
                  <c:v>94.422152079636746</c:v>
                </c:pt>
                <c:pt idx="136">
                  <c:v>94.456869367725886</c:v>
                </c:pt>
                <c:pt idx="137">
                  <c:v>94.493536505872612</c:v>
                </c:pt>
                <c:pt idx="138">
                  <c:v>94.523344938682627</c:v>
                </c:pt>
                <c:pt idx="139">
                  <c:v>94.561412054713884</c:v>
                </c:pt>
                <c:pt idx="140">
                  <c:v>94.594031438296895</c:v>
                </c:pt>
                <c:pt idx="141">
                  <c:v>94.631041375205854</c:v>
                </c:pt>
                <c:pt idx="142">
                  <c:v>94.676028827632251</c:v>
                </c:pt>
                <c:pt idx="143">
                  <c:v>94.712084281501404</c:v>
                </c:pt>
                <c:pt idx="144">
                  <c:v>94.745890591695144</c:v>
                </c:pt>
                <c:pt idx="145">
                  <c:v>94.789641728832606</c:v>
                </c:pt>
                <c:pt idx="146">
                  <c:v>94.872716364735666</c:v>
                </c:pt>
                <c:pt idx="147">
                  <c:v>94.917288765078879</c:v>
                </c:pt>
                <c:pt idx="148">
                  <c:v>95.004824616234487</c:v>
                </c:pt>
                <c:pt idx="149">
                  <c:v>95.038794057513186</c:v>
                </c:pt>
                <c:pt idx="150">
                  <c:v>95.071914736577085</c:v>
                </c:pt>
                <c:pt idx="151">
                  <c:v>95.101154140222448</c:v>
                </c:pt>
                <c:pt idx="152">
                  <c:v>95.136606338064752</c:v>
                </c:pt>
                <c:pt idx="153">
                  <c:v>95.168230141605761</c:v>
                </c:pt>
                <c:pt idx="154">
                  <c:v>95.208718940433826</c:v>
                </c:pt>
                <c:pt idx="155">
                  <c:v>95.244570283382956</c:v>
                </c:pt>
                <c:pt idx="156">
                  <c:v>95.280062464823473</c:v>
                </c:pt>
                <c:pt idx="157">
                  <c:v>95.312696618428362</c:v>
                </c:pt>
                <c:pt idx="158">
                  <c:v>95.338717625649323</c:v>
                </c:pt>
                <c:pt idx="159">
                  <c:v>95.370358079043456</c:v>
                </c:pt>
                <c:pt idx="160">
                  <c:v>95.409669654289871</c:v>
                </c:pt>
                <c:pt idx="161">
                  <c:v>95.442237226431089</c:v>
                </c:pt>
                <c:pt idx="162">
                  <c:v>95.481502989145085</c:v>
                </c:pt>
                <c:pt idx="163">
                  <c:v>95.518740622115175</c:v>
                </c:pt>
                <c:pt idx="164">
                  <c:v>95.541356475667499</c:v>
                </c:pt>
                <c:pt idx="165">
                  <c:v>95.653743336199994</c:v>
                </c:pt>
                <c:pt idx="166">
                  <c:v>95.742559473139806</c:v>
                </c:pt>
                <c:pt idx="167">
                  <c:v>95.796716890680557</c:v>
                </c:pt>
                <c:pt idx="168">
                  <c:v>95.847065332495745</c:v>
                </c:pt>
                <c:pt idx="169">
                  <c:v>95.883359507048496</c:v>
                </c:pt>
                <c:pt idx="170">
                  <c:v>95.917740445195022</c:v>
                </c:pt>
                <c:pt idx="171">
                  <c:v>95.959692896846533</c:v>
                </c:pt>
                <c:pt idx="172">
                  <c:v>95.997367583267959</c:v>
                </c:pt>
                <c:pt idx="173">
                  <c:v>96.029067921571908</c:v>
                </c:pt>
                <c:pt idx="174">
                  <c:v>96.070610037103734</c:v>
                </c:pt>
                <c:pt idx="175">
                  <c:v>96.098922751030187</c:v>
                </c:pt>
                <c:pt idx="176">
                  <c:v>96.121664448791378</c:v>
                </c:pt>
                <c:pt idx="177">
                  <c:v>96.147182651533754</c:v>
                </c:pt>
                <c:pt idx="178">
                  <c:v>96.177253115662822</c:v>
                </c:pt>
                <c:pt idx="179">
                  <c:v>96.200820404632069</c:v>
                </c:pt>
                <c:pt idx="180">
                  <c:v>96.223281389098432</c:v>
                </c:pt>
                <c:pt idx="181">
                  <c:v>96.243725699107728</c:v>
                </c:pt>
                <c:pt idx="182">
                  <c:v>96.267200309519552</c:v>
                </c:pt>
                <c:pt idx="183">
                  <c:v>96.298721156496882</c:v>
                </c:pt>
                <c:pt idx="184">
                  <c:v>96.324280653899365</c:v>
                </c:pt>
                <c:pt idx="185">
                  <c:v>96.351175851421047</c:v>
                </c:pt>
                <c:pt idx="186">
                  <c:v>96.375653360553883</c:v>
                </c:pt>
                <c:pt idx="187">
                  <c:v>96.407350387194697</c:v>
                </c:pt>
                <c:pt idx="188">
                  <c:v>96.447519264100734</c:v>
                </c:pt>
                <c:pt idx="189">
                  <c:v>96.475473279361623</c:v>
                </c:pt>
                <c:pt idx="190">
                  <c:v>96.49967997093681</c:v>
                </c:pt>
                <c:pt idx="191">
                  <c:v>96.525004080347614</c:v>
                </c:pt>
                <c:pt idx="192">
                  <c:v>96.671228331710509</c:v>
                </c:pt>
                <c:pt idx="193">
                  <c:v>96.768362776666436</c:v>
                </c:pt>
                <c:pt idx="194">
                  <c:v>96.851468706380174</c:v>
                </c:pt>
                <c:pt idx="195">
                  <c:v>96.90615859145484</c:v>
                </c:pt>
                <c:pt idx="196">
                  <c:v>96.963699113913137</c:v>
                </c:pt>
                <c:pt idx="197">
                  <c:v>96.999000506108587</c:v>
                </c:pt>
                <c:pt idx="198">
                  <c:v>97.064988101893007</c:v>
                </c:pt>
                <c:pt idx="199">
                  <c:v>97.140264317719001</c:v>
                </c:pt>
                <c:pt idx="200">
                  <c:v>97.250383812628399</c:v>
                </c:pt>
                <c:pt idx="201">
                  <c:v>97.368285275898756</c:v>
                </c:pt>
                <c:pt idx="202">
                  <c:v>97.47758288639649</c:v>
                </c:pt>
                <c:pt idx="203">
                  <c:v>97.570920488823035</c:v>
                </c:pt>
                <c:pt idx="204">
                  <c:v>97.679019683675619</c:v>
                </c:pt>
                <c:pt idx="205">
                  <c:v>97.768532391043777</c:v>
                </c:pt>
                <c:pt idx="206">
                  <c:v>97.864807677810049</c:v>
                </c:pt>
                <c:pt idx="207">
                  <c:v>97.954725989480451</c:v>
                </c:pt>
                <c:pt idx="208">
                  <c:v>98.042450793139281</c:v>
                </c:pt>
                <c:pt idx="209">
                  <c:v>98.126989144158259</c:v>
                </c:pt>
                <c:pt idx="210">
                  <c:v>98.196958823946872</c:v>
                </c:pt>
                <c:pt idx="211">
                  <c:v>98.284614330717872</c:v>
                </c:pt>
                <c:pt idx="212">
                  <c:v>98.479621791699699</c:v>
                </c:pt>
                <c:pt idx="213">
                  <c:v>98.552742878617863</c:v>
                </c:pt>
                <c:pt idx="214">
                  <c:v>98.612950942533686</c:v>
                </c:pt>
                <c:pt idx="215">
                  <c:v>98.640990809331626</c:v>
                </c:pt>
                <c:pt idx="216">
                  <c:v>98.669171575696723</c:v>
                </c:pt>
                <c:pt idx="217">
                  <c:v>98.712025809003734</c:v>
                </c:pt>
                <c:pt idx="218">
                  <c:v>98.748829245509214</c:v>
                </c:pt>
                <c:pt idx="219">
                  <c:v>98.783283729974826</c:v>
                </c:pt>
                <c:pt idx="220">
                  <c:v>98.830492192061854</c:v>
                </c:pt>
                <c:pt idx="221">
                  <c:v>98.894284580910579</c:v>
                </c:pt>
                <c:pt idx="222">
                  <c:v>98.966976094201783</c:v>
                </c:pt>
                <c:pt idx="223">
                  <c:v>99.041541096917939</c:v>
                </c:pt>
                <c:pt idx="224">
                  <c:v>99.119617430321185</c:v>
                </c:pt>
                <c:pt idx="225">
                  <c:v>99.197307307404941</c:v>
                </c:pt>
                <c:pt idx="226">
                  <c:v>99.40744064693348</c:v>
                </c:pt>
                <c:pt idx="227">
                  <c:v>99.555278255515375</c:v>
                </c:pt>
                <c:pt idx="228">
                  <c:v>99.705838424558763</c:v>
                </c:pt>
                <c:pt idx="229">
                  <c:v>99.855806809995343</c:v>
                </c:pt>
                <c:pt idx="230">
                  <c:v>101.53451424672873</c:v>
                </c:pt>
                <c:pt idx="231">
                  <c:v>101.69172475910825</c:v>
                </c:pt>
                <c:pt idx="232">
                  <c:v>101.815042675618</c:v>
                </c:pt>
                <c:pt idx="233">
                  <c:v>101.89347674360228</c:v>
                </c:pt>
                <c:pt idx="234">
                  <c:v>101.95894681645296</c:v>
                </c:pt>
                <c:pt idx="235">
                  <c:v>102.01962926082206</c:v>
                </c:pt>
                <c:pt idx="236">
                  <c:v>102.08714988927413</c:v>
                </c:pt>
                <c:pt idx="237">
                  <c:v>102.13363189040044</c:v>
                </c:pt>
                <c:pt idx="238">
                  <c:v>102.18262039792577</c:v>
                </c:pt>
                <c:pt idx="239">
                  <c:v>102.25604789348806</c:v>
                </c:pt>
                <c:pt idx="240">
                  <c:v>102.38788630747105</c:v>
                </c:pt>
                <c:pt idx="241">
                  <c:v>102.54399598225427</c:v>
                </c:pt>
                <c:pt idx="242">
                  <c:v>102.67822765929895</c:v>
                </c:pt>
                <c:pt idx="243">
                  <c:v>102.81921331479812</c:v>
                </c:pt>
                <c:pt idx="244">
                  <c:v>102.96210213351726</c:v>
                </c:pt>
                <c:pt idx="245">
                  <c:v>103.09568128050311</c:v>
                </c:pt>
                <c:pt idx="246">
                  <c:v>103.20489532491364</c:v>
                </c:pt>
                <c:pt idx="247">
                  <c:v>103.29680698232168</c:v>
                </c:pt>
                <c:pt idx="248">
                  <c:v>103.48498817816125</c:v>
                </c:pt>
                <c:pt idx="249">
                  <c:v>103.62068656983621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F3-4286-B685-6DA9EDFDA266}"/>
            </c:ext>
          </c:extLst>
        </c:ser>
        <c:ser>
          <c:idx val="2"/>
          <c:order val="2"/>
          <c:tx>
            <c:strRef>
              <c:f>Data!$H$1</c:f>
              <c:strCache>
                <c:ptCount val="1"/>
                <c:pt idx="0">
                  <c:v>Plus 1 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Data!$H$2:$H$251</c:f>
              <c:numCache>
                <c:formatCode>General</c:formatCode>
                <c:ptCount val="250"/>
                <c:pt idx="0">
                  <c:v>103.78</c:v>
                </c:pt>
                <c:pt idx="1">
                  <c:v>104.00078011535481</c:v>
                </c:pt>
                <c:pt idx="2">
                  <c:v>103.023359111578</c:v>
                </c:pt>
                <c:pt idx="3">
                  <c:v>102.51199111526869</c:v>
                </c:pt>
                <c:pt idx="4">
                  <c:v>101.96082805494672</c:v>
                </c:pt>
                <c:pt idx="5">
                  <c:v>101.61495400961863</c:v>
                </c:pt>
                <c:pt idx="6">
                  <c:v>101.2748295150956</c:v>
                </c:pt>
                <c:pt idx="7">
                  <c:v>101.00873711207127</c:v>
                </c:pt>
                <c:pt idx="8">
                  <c:v>100.93185241757912</c:v>
                </c:pt>
                <c:pt idx="9">
                  <c:v>100.76482185956729</c:v>
                </c:pt>
                <c:pt idx="10">
                  <c:v>100.51538811710981</c:v>
                </c:pt>
                <c:pt idx="11">
                  <c:v>100.34178436706672</c:v>
                </c:pt>
                <c:pt idx="12">
                  <c:v>100.16506631509733</c:v>
                </c:pt>
                <c:pt idx="13">
                  <c:v>99.862303870751916</c:v>
                </c:pt>
                <c:pt idx="14">
                  <c:v>99.712857790499541</c:v>
                </c:pt>
                <c:pt idx="15">
                  <c:v>99.599251097585963</c:v>
                </c:pt>
                <c:pt idx="16">
                  <c:v>99.42431273765861</c:v>
                </c:pt>
                <c:pt idx="17">
                  <c:v>99.235624101886614</c:v>
                </c:pt>
                <c:pt idx="18">
                  <c:v>98.912601034906544</c:v>
                </c:pt>
                <c:pt idx="19">
                  <c:v>98.681848133299354</c:v>
                </c:pt>
                <c:pt idx="20">
                  <c:v>98.581581946634515</c:v>
                </c:pt>
                <c:pt idx="21">
                  <c:v>98.370162523323827</c:v>
                </c:pt>
                <c:pt idx="22">
                  <c:v>98.231119778546258</c:v>
                </c:pt>
                <c:pt idx="23">
                  <c:v>97.997891475217969</c:v>
                </c:pt>
                <c:pt idx="24">
                  <c:v>97.834992635798784</c:v>
                </c:pt>
                <c:pt idx="25">
                  <c:v>97.606584395683171</c:v>
                </c:pt>
                <c:pt idx="26">
                  <c:v>97.387929465855464</c:v>
                </c:pt>
                <c:pt idx="27">
                  <c:v>97.255455941262483</c:v>
                </c:pt>
                <c:pt idx="28">
                  <c:v>97.143304335803862</c:v>
                </c:pt>
                <c:pt idx="29">
                  <c:v>96.945213487523731</c:v>
                </c:pt>
                <c:pt idx="30">
                  <c:v>96.803107949753098</c:v>
                </c:pt>
                <c:pt idx="31">
                  <c:v>96.687437401330811</c:v>
                </c:pt>
                <c:pt idx="32">
                  <c:v>96.494588245280156</c:v>
                </c:pt>
                <c:pt idx="33">
                  <c:v>96.250592882662033</c:v>
                </c:pt>
                <c:pt idx="34">
                  <c:v>96.016737084957015</c:v>
                </c:pt>
                <c:pt idx="35">
                  <c:v>95.81066820734091</c:v>
                </c:pt>
                <c:pt idx="36">
                  <c:v>95.717239171296342</c:v>
                </c:pt>
                <c:pt idx="37">
                  <c:v>95.66438510683686</c:v>
                </c:pt>
                <c:pt idx="38">
                  <c:v>95.673395208186506</c:v>
                </c:pt>
                <c:pt idx="39">
                  <c:v>95.764103006050007</c:v>
                </c:pt>
                <c:pt idx="40">
                  <c:v>95.796930746249558</c:v>
                </c:pt>
                <c:pt idx="41">
                  <c:v>95.750328453774529</c:v>
                </c:pt>
                <c:pt idx="42">
                  <c:v>95.756001069820726</c:v>
                </c:pt>
                <c:pt idx="43">
                  <c:v>95.733401662577407</c:v>
                </c:pt>
                <c:pt idx="44">
                  <c:v>95.767058983800624</c:v>
                </c:pt>
                <c:pt idx="45">
                  <c:v>95.811821286474753</c:v>
                </c:pt>
                <c:pt idx="46">
                  <c:v>95.862417896961006</c:v>
                </c:pt>
                <c:pt idx="47">
                  <c:v>95.895942329285191</c:v>
                </c:pt>
                <c:pt idx="48">
                  <c:v>95.922466014536781</c:v>
                </c:pt>
                <c:pt idx="49">
                  <c:v>95.968371378540127</c:v>
                </c:pt>
                <c:pt idx="50">
                  <c:v>96.093116412333188</c:v>
                </c:pt>
                <c:pt idx="51">
                  <c:v>96.174505058021154</c:v>
                </c:pt>
                <c:pt idx="52">
                  <c:v>96.312652238278616</c:v>
                </c:pt>
                <c:pt idx="53">
                  <c:v>96.44226639658325</c:v>
                </c:pt>
                <c:pt idx="54">
                  <c:v>96.528900602004825</c:v>
                </c:pt>
                <c:pt idx="55">
                  <c:v>96.623083579471555</c:v>
                </c:pt>
                <c:pt idx="56">
                  <c:v>96.688270842647327</c:v>
                </c:pt>
                <c:pt idx="57">
                  <c:v>96.729100630584028</c:v>
                </c:pt>
                <c:pt idx="58">
                  <c:v>96.81971983722346</c:v>
                </c:pt>
                <c:pt idx="59">
                  <c:v>96.856856293640533</c:v>
                </c:pt>
                <c:pt idx="60">
                  <c:v>96.938468097260042</c:v>
                </c:pt>
                <c:pt idx="61">
                  <c:v>97.060607467593186</c:v>
                </c:pt>
                <c:pt idx="62">
                  <c:v>97.211974729370198</c:v>
                </c:pt>
                <c:pt idx="63">
                  <c:v>97.296036746261052</c:v>
                </c:pt>
                <c:pt idx="64">
                  <c:v>97.351134093509074</c:v>
                </c:pt>
                <c:pt idx="65">
                  <c:v>97.374150931366358</c:v>
                </c:pt>
                <c:pt idx="66">
                  <c:v>97.381655491185015</c:v>
                </c:pt>
                <c:pt idx="67">
                  <c:v>97.395925544106319</c:v>
                </c:pt>
                <c:pt idx="68">
                  <c:v>97.445637878276997</c:v>
                </c:pt>
                <c:pt idx="69">
                  <c:v>97.467398326782941</c:v>
                </c:pt>
                <c:pt idx="70">
                  <c:v>97.495172519040011</c:v>
                </c:pt>
                <c:pt idx="71">
                  <c:v>97.616650542718006</c:v>
                </c:pt>
                <c:pt idx="72">
                  <c:v>97.711376297372169</c:v>
                </c:pt>
                <c:pt idx="73">
                  <c:v>97.801929898630632</c:v>
                </c:pt>
                <c:pt idx="74">
                  <c:v>97.855771499426837</c:v>
                </c:pt>
                <c:pt idx="75">
                  <c:v>97.895668365249961</c:v>
                </c:pt>
                <c:pt idx="76">
                  <c:v>97.924175036476484</c:v>
                </c:pt>
                <c:pt idx="77">
                  <c:v>97.946096851051507</c:v>
                </c:pt>
                <c:pt idx="78">
                  <c:v>97.974312922624208</c:v>
                </c:pt>
                <c:pt idx="79">
                  <c:v>97.975269120878167</c:v>
                </c:pt>
                <c:pt idx="80">
                  <c:v>97.965233193142268</c:v>
                </c:pt>
                <c:pt idx="81">
                  <c:v>97.951423794566807</c:v>
                </c:pt>
                <c:pt idx="82">
                  <c:v>97.932882329217932</c:v>
                </c:pt>
                <c:pt idx="83">
                  <c:v>97.914356748938545</c:v>
                </c:pt>
                <c:pt idx="84">
                  <c:v>97.90033456699183</c:v>
                </c:pt>
                <c:pt idx="85">
                  <c:v>97.913495946664639</c:v>
                </c:pt>
                <c:pt idx="86">
                  <c:v>97.957348821219014</c:v>
                </c:pt>
                <c:pt idx="87">
                  <c:v>98.00756870210293</c:v>
                </c:pt>
                <c:pt idx="88">
                  <c:v>98.016841257656139</c:v>
                </c:pt>
                <c:pt idx="89">
                  <c:v>98.023952985791553</c:v>
                </c:pt>
                <c:pt idx="90">
                  <c:v>98.076040443040213</c:v>
                </c:pt>
                <c:pt idx="91">
                  <c:v>98.106474454319937</c:v>
                </c:pt>
                <c:pt idx="92">
                  <c:v>98.138607989207699</c:v>
                </c:pt>
                <c:pt idx="93">
                  <c:v>98.153054809373927</c:v>
                </c:pt>
                <c:pt idx="94">
                  <c:v>98.165753040212252</c:v>
                </c:pt>
                <c:pt idx="95">
                  <c:v>98.207082419911217</c:v>
                </c:pt>
                <c:pt idx="96">
                  <c:v>98.221628949000163</c:v>
                </c:pt>
                <c:pt idx="97">
                  <c:v>98.226597718406012</c:v>
                </c:pt>
                <c:pt idx="98">
                  <c:v>98.216156502393133</c:v>
                </c:pt>
                <c:pt idx="99">
                  <c:v>98.199116892308012</c:v>
                </c:pt>
                <c:pt idx="100">
                  <c:v>98.193254867978183</c:v>
                </c:pt>
                <c:pt idx="101">
                  <c:v>98.180718606820093</c:v>
                </c:pt>
                <c:pt idx="102">
                  <c:v>98.167354249170316</c:v>
                </c:pt>
                <c:pt idx="103">
                  <c:v>98.153784001210511</c:v>
                </c:pt>
                <c:pt idx="104">
                  <c:v>98.142870122017115</c:v>
                </c:pt>
                <c:pt idx="105">
                  <c:v>98.136328744701288</c:v>
                </c:pt>
                <c:pt idx="106">
                  <c:v>98.126576633389931</c:v>
                </c:pt>
                <c:pt idx="107">
                  <c:v>98.116505904944191</c:v>
                </c:pt>
                <c:pt idx="108">
                  <c:v>98.121410004845444</c:v>
                </c:pt>
                <c:pt idx="109">
                  <c:v>98.132689646014327</c:v>
                </c:pt>
                <c:pt idx="110">
                  <c:v>98.144310121210438</c:v>
                </c:pt>
                <c:pt idx="111">
                  <c:v>98.168158982557173</c:v>
                </c:pt>
                <c:pt idx="112">
                  <c:v>98.181726799694601</c:v>
                </c:pt>
                <c:pt idx="113">
                  <c:v>98.20321959647093</c:v>
                </c:pt>
                <c:pt idx="114">
                  <c:v>98.233548566655386</c:v>
                </c:pt>
                <c:pt idx="115">
                  <c:v>98.286062116933863</c:v>
                </c:pt>
                <c:pt idx="116">
                  <c:v>98.330014035407558</c:v>
                </c:pt>
                <c:pt idx="117">
                  <c:v>98.475626708353403</c:v>
                </c:pt>
                <c:pt idx="118">
                  <c:v>98.567589446889301</c:v>
                </c:pt>
                <c:pt idx="119">
                  <c:v>98.668726186101523</c:v>
                </c:pt>
                <c:pt idx="120">
                  <c:v>98.772849595230454</c:v>
                </c:pt>
                <c:pt idx="121">
                  <c:v>98.887736978244718</c:v>
                </c:pt>
                <c:pt idx="122">
                  <c:v>98.952930075549588</c:v>
                </c:pt>
                <c:pt idx="123">
                  <c:v>98.990836437982935</c:v>
                </c:pt>
                <c:pt idx="124">
                  <c:v>99.023349911694126</c:v>
                </c:pt>
                <c:pt idx="125">
                  <c:v>99.059771013778956</c:v>
                </c:pt>
                <c:pt idx="126">
                  <c:v>99.118754119718702</c:v>
                </c:pt>
                <c:pt idx="127">
                  <c:v>99.203965435669986</c:v>
                </c:pt>
                <c:pt idx="128">
                  <c:v>99.265001853954459</c:v>
                </c:pt>
                <c:pt idx="129">
                  <c:v>99.279256410039679</c:v>
                </c:pt>
                <c:pt idx="130">
                  <c:v>99.273280829928865</c:v>
                </c:pt>
                <c:pt idx="131">
                  <c:v>99.269261922431511</c:v>
                </c:pt>
                <c:pt idx="132">
                  <c:v>99.259562217583408</c:v>
                </c:pt>
                <c:pt idx="133">
                  <c:v>99.2542048816657</c:v>
                </c:pt>
                <c:pt idx="134">
                  <c:v>99.253228594348542</c:v>
                </c:pt>
                <c:pt idx="135">
                  <c:v>99.259670839715</c:v>
                </c:pt>
                <c:pt idx="136">
                  <c:v>99.289436361109196</c:v>
                </c:pt>
                <c:pt idx="137">
                  <c:v>99.331756361517932</c:v>
                </c:pt>
                <c:pt idx="138">
                  <c:v>99.363498372690458</c:v>
                </c:pt>
                <c:pt idx="139">
                  <c:v>99.41864063116337</c:v>
                </c:pt>
                <c:pt idx="140">
                  <c:v>99.467651745692507</c:v>
                </c:pt>
                <c:pt idx="141">
                  <c:v>99.504615778026576</c:v>
                </c:pt>
                <c:pt idx="142">
                  <c:v>99.568338250199091</c:v>
                </c:pt>
                <c:pt idx="143">
                  <c:v>99.631101758875147</c:v>
                </c:pt>
                <c:pt idx="144">
                  <c:v>99.692708439610286</c:v>
                </c:pt>
                <c:pt idx="145">
                  <c:v>99.760229269094069</c:v>
                </c:pt>
                <c:pt idx="146">
                  <c:v>99.875369394971003</c:v>
                </c:pt>
                <c:pt idx="147">
                  <c:v>99.943478125594936</c:v>
                </c:pt>
                <c:pt idx="148">
                  <c:v>100.04170175394511</c:v>
                </c:pt>
                <c:pt idx="149">
                  <c:v>100.09010372267264</c:v>
                </c:pt>
                <c:pt idx="150">
                  <c:v>100.13440617551475</c:v>
                </c:pt>
                <c:pt idx="151">
                  <c:v>100.17608055125436</c:v>
                </c:pt>
                <c:pt idx="152">
                  <c:v>100.2261885576474</c:v>
                </c:pt>
                <c:pt idx="153">
                  <c:v>100.27280870375792</c:v>
                </c:pt>
                <c:pt idx="154">
                  <c:v>100.32695703803394</c:v>
                </c:pt>
                <c:pt idx="155">
                  <c:v>100.37570450456566</c:v>
                </c:pt>
                <c:pt idx="156">
                  <c:v>100.41503367642628</c:v>
                </c:pt>
                <c:pt idx="157">
                  <c:v>100.4494323692735</c:v>
                </c:pt>
                <c:pt idx="158">
                  <c:v>100.47947822043487</c:v>
                </c:pt>
                <c:pt idx="159">
                  <c:v>100.51943048906001</c:v>
                </c:pt>
                <c:pt idx="160">
                  <c:v>100.57089094615131</c:v>
                </c:pt>
                <c:pt idx="161">
                  <c:v>100.6124070791732</c:v>
                </c:pt>
                <c:pt idx="162">
                  <c:v>100.65238361250287</c:v>
                </c:pt>
                <c:pt idx="163">
                  <c:v>100.69055750806967</c:v>
                </c:pt>
                <c:pt idx="164">
                  <c:v>100.71567250868578</c:v>
                </c:pt>
                <c:pt idx="165">
                  <c:v>100.87776549291323</c:v>
                </c:pt>
                <c:pt idx="166">
                  <c:v>101.03802014551331</c:v>
                </c:pt>
                <c:pt idx="167">
                  <c:v>101.12954521199563</c:v>
                </c:pt>
                <c:pt idx="168">
                  <c:v>101.23019468788047</c:v>
                </c:pt>
                <c:pt idx="169">
                  <c:v>101.3072421129399</c:v>
                </c:pt>
                <c:pt idx="170">
                  <c:v>101.37233627279031</c:v>
                </c:pt>
                <c:pt idx="171">
                  <c:v>101.45337475478786</c:v>
                </c:pt>
                <c:pt idx="172">
                  <c:v>101.52587901929236</c:v>
                </c:pt>
                <c:pt idx="173">
                  <c:v>101.58451460553619</c:v>
                </c:pt>
                <c:pt idx="174">
                  <c:v>101.63785246445481</c:v>
                </c:pt>
                <c:pt idx="175">
                  <c:v>101.66870869691307</c:v>
                </c:pt>
                <c:pt idx="176">
                  <c:v>101.68972906811528</c:v>
                </c:pt>
                <c:pt idx="177">
                  <c:v>101.71220460570974</c:v>
                </c:pt>
                <c:pt idx="178">
                  <c:v>101.73444689234337</c:v>
                </c:pt>
                <c:pt idx="179">
                  <c:v>101.75185650411636</c:v>
                </c:pt>
                <c:pt idx="180">
                  <c:v>101.7712426865629</c:v>
                </c:pt>
                <c:pt idx="181">
                  <c:v>101.78492196272087</c:v>
                </c:pt>
                <c:pt idx="182">
                  <c:v>101.80247757026899</c:v>
                </c:pt>
                <c:pt idx="183">
                  <c:v>101.83227778041335</c:v>
                </c:pt>
                <c:pt idx="184">
                  <c:v>101.85514705949025</c:v>
                </c:pt>
                <c:pt idx="185">
                  <c:v>101.8846800667469</c:v>
                </c:pt>
                <c:pt idx="186">
                  <c:v>101.91157987780602</c:v>
                </c:pt>
                <c:pt idx="187">
                  <c:v>101.94075640835361</c:v>
                </c:pt>
                <c:pt idx="188">
                  <c:v>101.9780164751038</c:v>
                </c:pt>
                <c:pt idx="189">
                  <c:v>102.00527121589028</c:v>
                </c:pt>
                <c:pt idx="190">
                  <c:v>102.02187507035552</c:v>
                </c:pt>
                <c:pt idx="191">
                  <c:v>102.03709287437695</c:v>
                </c:pt>
                <c:pt idx="192">
                  <c:v>102.2112177671254</c:v>
                </c:pt>
                <c:pt idx="193">
                  <c:v>102.32126340813818</c:v>
                </c:pt>
                <c:pt idx="194">
                  <c:v>102.4087540823085</c:v>
                </c:pt>
                <c:pt idx="195">
                  <c:v>102.48849528804212</c:v>
                </c:pt>
                <c:pt idx="196">
                  <c:v>102.58973674719984</c:v>
                </c:pt>
                <c:pt idx="197">
                  <c:v>102.68233972069882</c:v>
                </c:pt>
                <c:pt idx="198">
                  <c:v>102.8154382830464</c:v>
                </c:pt>
                <c:pt idx="199">
                  <c:v>102.96613197841985</c:v>
                </c:pt>
                <c:pt idx="200">
                  <c:v>103.17484755267806</c:v>
                </c:pt>
                <c:pt idx="201">
                  <c:v>103.39349854956285</c:v>
                </c:pt>
                <c:pt idx="202">
                  <c:v>103.60344257995172</c:v>
                </c:pt>
                <c:pt idx="203">
                  <c:v>103.77420309330967</c:v>
                </c:pt>
                <c:pt idx="204">
                  <c:v>103.97562355494776</c:v>
                </c:pt>
                <c:pt idx="205">
                  <c:v>104.1328460314818</c:v>
                </c:pt>
                <c:pt idx="206">
                  <c:v>104.32234285566047</c:v>
                </c:pt>
                <c:pt idx="207">
                  <c:v>104.51734960834995</c:v>
                </c:pt>
                <c:pt idx="208">
                  <c:v>104.70756501139614</c:v>
                </c:pt>
                <c:pt idx="209">
                  <c:v>104.87432941614928</c:v>
                </c:pt>
                <c:pt idx="210">
                  <c:v>105.02662926499823</c:v>
                </c:pt>
                <c:pt idx="211">
                  <c:v>105.18475534985768</c:v>
                </c:pt>
                <c:pt idx="212">
                  <c:v>105.44315624759254</c:v>
                </c:pt>
                <c:pt idx="213">
                  <c:v>105.56097616914731</c:v>
                </c:pt>
                <c:pt idx="214">
                  <c:v>105.65053656920119</c:v>
                </c:pt>
                <c:pt idx="215">
                  <c:v>105.71270296335429</c:v>
                </c:pt>
                <c:pt idx="216">
                  <c:v>105.77511812621145</c:v>
                </c:pt>
                <c:pt idx="217">
                  <c:v>105.85775237028109</c:v>
                </c:pt>
                <c:pt idx="218">
                  <c:v>105.92828578316301</c:v>
                </c:pt>
                <c:pt idx="219">
                  <c:v>105.99164074222912</c:v>
                </c:pt>
                <c:pt idx="220">
                  <c:v>106.07755583938577</c:v>
                </c:pt>
                <c:pt idx="221">
                  <c:v>106.17860795704712</c:v>
                </c:pt>
                <c:pt idx="222">
                  <c:v>106.30139445549162</c:v>
                </c:pt>
                <c:pt idx="223">
                  <c:v>106.41115313776874</c:v>
                </c:pt>
                <c:pt idx="224">
                  <c:v>106.52624737989181</c:v>
                </c:pt>
                <c:pt idx="225">
                  <c:v>106.65208389124368</c:v>
                </c:pt>
                <c:pt idx="226">
                  <c:v>106.94199357657439</c:v>
                </c:pt>
                <c:pt idx="227">
                  <c:v>107.19358836463633</c:v>
                </c:pt>
                <c:pt idx="228">
                  <c:v>107.44097304615852</c:v>
                </c:pt>
                <c:pt idx="229">
                  <c:v>107.67570833241977</c:v>
                </c:pt>
                <c:pt idx="230">
                  <c:v>109.44194230143995</c:v>
                </c:pt>
                <c:pt idx="231">
                  <c:v>109.67402548841652</c:v>
                </c:pt>
                <c:pt idx="232">
                  <c:v>109.87655306840654</c:v>
                </c:pt>
                <c:pt idx="233">
                  <c:v>110.01740849848163</c:v>
                </c:pt>
                <c:pt idx="234">
                  <c:v>110.14273762998639</c:v>
                </c:pt>
                <c:pt idx="235">
                  <c:v>110.26091105714269</c:v>
                </c:pt>
                <c:pt idx="236">
                  <c:v>110.37852254421641</c:v>
                </c:pt>
                <c:pt idx="237">
                  <c:v>110.47084141177368</c:v>
                </c:pt>
                <c:pt idx="238">
                  <c:v>110.5712761971519</c:v>
                </c:pt>
                <c:pt idx="239">
                  <c:v>110.70964906728113</c:v>
                </c:pt>
                <c:pt idx="240">
                  <c:v>110.95392364380446</c:v>
                </c:pt>
                <c:pt idx="241">
                  <c:v>111.26198367594215</c:v>
                </c:pt>
                <c:pt idx="242">
                  <c:v>111.54657019999541</c:v>
                </c:pt>
                <c:pt idx="243">
                  <c:v>111.82026851166333</c:v>
                </c:pt>
                <c:pt idx="244">
                  <c:v>112.14383686093932</c:v>
                </c:pt>
                <c:pt idx="245">
                  <c:v>112.42482440248254</c:v>
                </c:pt>
                <c:pt idx="246">
                  <c:v>112.65069785122624</c:v>
                </c:pt>
                <c:pt idx="247">
                  <c:v>112.87847696627134</c:v>
                </c:pt>
                <c:pt idx="248">
                  <c:v>113.25713799470124</c:v>
                </c:pt>
                <c:pt idx="249">
                  <c:v>113.57975484826467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F3-4286-B685-6DA9EDFDA266}"/>
            </c:ext>
          </c:extLst>
        </c:ser>
        <c:ser>
          <c:idx val="3"/>
          <c:order val="3"/>
          <c:tx>
            <c:strRef>
              <c:f>Data!$I$1</c:f>
              <c:strCache>
                <c:ptCount val="1"/>
                <c:pt idx="0">
                  <c:v>Minus 1 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Data!$I$2:$I$251</c:f>
              <c:numCache>
                <c:formatCode>General</c:formatCode>
                <c:ptCount val="250"/>
                <c:pt idx="0">
                  <c:v>103.78</c:v>
                </c:pt>
                <c:pt idx="1">
                  <c:v>103.78078011535482</c:v>
                </c:pt>
                <c:pt idx="2">
                  <c:v>96.722833560306725</c:v>
                </c:pt>
                <c:pt idx="3">
                  <c:v>94.43067470022838</c:v>
                </c:pt>
                <c:pt idx="4">
                  <c:v>93.161597179466753</c:v>
                </c:pt>
                <c:pt idx="5">
                  <c:v>93.548022195794431</c:v>
                </c:pt>
                <c:pt idx="6">
                  <c:v>93.631599083624138</c:v>
                </c:pt>
                <c:pt idx="7">
                  <c:v>93.799430626701124</c:v>
                </c:pt>
                <c:pt idx="8">
                  <c:v>94.124572363960411</c:v>
                </c:pt>
                <c:pt idx="9">
                  <c:v>94.300149864794463</c:v>
                </c:pt>
                <c:pt idx="10">
                  <c:v>94.105071019706884</c:v>
                </c:pt>
                <c:pt idx="11">
                  <c:v>94.12655866275351</c:v>
                </c:pt>
                <c:pt idx="12">
                  <c:v>93.988021197038648</c:v>
                </c:pt>
                <c:pt idx="13">
                  <c:v>93.234877707374423</c:v>
                </c:pt>
                <c:pt idx="14">
                  <c:v>91.848478462019628</c:v>
                </c:pt>
                <c:pt idx="15">
                  <c:v>90.844523892384203</c:v>
                </c:pt>
                <c:pt idx="16">
                  <c:v>89.573139656615709</c:v>
                </c:pt>
                <c:pt idx="17">
                  <c:v>88.483827869525143</c:v>
                </c:pt>
                <c:pt idx="18">
                  <c:v>87.663648655245169</c:v>
                </c:pt>
                <c:pt idx="19">
                  <c:v>87.34190457082957</c:v>
                </c:pt>
                <c:pt idx="20">
                  <c:v>86.979466415092162</c:v>
                </c:pt>
                <c:pt idx="21">
                  <c:v>86.660435409043615</c:v>
                </c:pt>
                <c:pt idx="22">
                  <c:v>86.403189870996044</c:v>
                </c:pt>
                <c:pt idx="23">
                  <c:v>86.107558596268703</c:v>
                </c:pt>
                <c:pt idx="24">
                  <c:v>86.022993313076142</c:v>
                </c:pt>
                <c:pt idx="25">
                  <c:v>85.6697954565457</c:v>
                </c:pt>
                <c:pt idx="26">
                  <c:v>85.398796892444423</c:v>
                </c:pt>
                <c:pt idx="27">
                  <c:v>85.267006908794542</c:v>
                </c:pt>
                <c:pt idx="28">
                  <c:v>85.137098607890692</c:v>
                </c:pt>
                <c:pt idx="29">
                  <c:v>85.074196981390443</c:v>
                </c:pt>
                <c:pt idx="30">
                  <c:v>85.095857619219913</c:v>
                </c:pt>
                <c:pt idx="31">
                  <c:v>85.155192542485025</c:v>
                </c:pt>
                <c:pt idx="32">
                  <c:v>85.064165931560851</c:v>
                </c:pt>
                <c:pt idx="33">
                  <c:v>84.689082941883242</c:v>
                </c:pt>
                <c:pt idx="34">
                  <c:v>84.393213800211527</c:v>
                </c:pt>
                <c:pt idx="35">
                  <c:v>83.996440333843907</c:v>
                </c:pt>
                <c:pt idx="36">
                  <c:v>84.061717376342813</c:v>
                </c:pt>
                <c:pt idx="37">
                  <c:v>84.162683377993446</c:v>
                </c:pt>
                <c:pt idx="38">
                  <c:v>84.291826177096496</c:v>
                </c:pt>
                <c:pt idx="39">
                  <c:v>84.441977278078255</c:v>
                </c:pt>
                <c:pt idx="40">
                  <c:v>84.560784286297974</c:v>
                </c:pt>
                <c:pt idx="41">
                  <c:v>84.646897879328549</c:v>
                </c:pt>
                <c:pt idx="42">
                  <c:v>84.752755607299619</c:v>
                </c:pt>
                <c:pt idx="43">
                  <c:v>84.842582162642358</c:v>
                </c:pt>
                <c:pt idx="44">
                  <c:v>84.92677247672178</c:v>
                </c:pt>
                <c:pt idx="45">
                  <c:v>85.019508542362416</c:v>
                </c:pt>
                <c:pt idx="46">
                  <c:v>85.088036347108527</c:v>
                </c:pt>
                <c:pt idx="47">
                  <c:v>85.16854730565268</c:v>
                </c:pt>
                <c:pt idx="48">
                  <c:v>85.238947539158715</c:v>
                </c:pt>
                <c:pt idx="49">
                  <c:v>85.302449113681831</c:v>
                </c:pt>
                <c:pt idx="50">
                  <c:v>85.400145385844894</c:v>
                </c:pt>
                <c:pt idx="51">
                  <c:v>85.453769336612666</c:v>
                </c:pt>
                <c:pt idx="52">
                  <c:v>85.508942882272379</c:v>
                </c:pt>
                <c:pt idx="53">
                  <c:v>85.536977053090567</c:v>
                </c:pt>
                <c:pt idx="54">
                  <c:v>85.570315448711369</c:v>
                </c:pt>
                <c:pt idx="55">
                  <c:v>85.606445518875958</c:v>
                </c:pt>
                <c:pt idx="56">
                  <c:v>85.675066367000525</c:v>
                </c:pt>
                <c:pt idx="57">
                  <c:v>85.744285319449361</c:v>
                </c:pt>
                <c:pt idx="58">
                  <c:v>85.863794640044972</c:v>
                </c:pt>
                <c:pt idx="59">
                  <c:v>85.952411883727251</c:v>
                </c:pt>
                <c:pt idx="60">
                  <c:v>86.062407346835599</c:v>
                </c:pt>
                <c:pt idx="61">
                  <c:v>86.225916790866236</c:v>
                </c:pt>
                <c:pt idx="62">
                  <c:v>86.36580794855594</c:v>
                </c:pt>
                <c:pt idx="63">
                  <c:v>86.445608295799104</c:v>
                </c:pt>
                <c:pt idx="64">
                  <c:v>86.508841988845944</c:v>
                </c:pt>
                <c:pt idx="65">
                  <c:v>86.575494976499158</c:v>
                </c:pt>
                <c:pt idx="66">
                  <c:v>86.636048961002885</c:v>
                </c:pt>
                <c:pt idx="67">
                  <c:v>86.695438559262925</c:v>
                </c:pt>
                <c:pt idx="68">
                  <c:v>86.762782731974838</c:v>
                </c:pt>
                <c:pt idx="69">
                  <c:v>86.811475267521573</c:v>
                </c:pt>
                <c:pt idx="70">
                  <c:v>86.869938803510678</c:v>
                </c:pt>
                <c:pt idx="71">
                  <c:v>86.981766385664358</c:v>
                </c:pt>
                <c:pt idx="72">
                  <c:v>87.03670133243503</c:v>
                </c:pt>
                <c:pt idx="73">
                  <c:v>87.084689280949803</c:v>
                </c:pt>
                <c:pt idx="74">
                  <c:v>87.11991829956942</c:v>
                </c:pt>
                <c:pt idx="75">
                  <c:v>87.179578167448156</c:v>
                </c:pt>
                <c:pt idx="76">
                  <c:v>87.238740338229334</c:v>
                </c:pt>
                <c:pt idx="77">
                  <c:v>87.291986239998252</c:v>
                </c:pt>
                <c:pt idx="78">
                  <c:v>87.354112503328807</c:v>
                </c:pt>
                <c:pt idx="79">
                  <c:v>87.410182399156483</c:v>
                </c:pt>
                <c:pt idx="80">
                  <c:v>87.462124060701996</c:v>
                </c:pt>
                <c:pt idx="81">
                  <c:v>87.511031520385416</c:v>
                </c:pt>
                <c:pt idx="82">
                  <c:v>87.55459809597059</c:v>
                </c:pt>
                <c:pt idx="83">
                  <c:v>87.597199462790385</c:v>
                </c:pt>
                <c:pt idx="84">
                  <c:v>87.639362978603316</c:v>
                </c:pt>
                <c:pt idx="85">
                  <c:v>87.698834427489132</c:v>
                </c:pt>
                <c:pt idx="86">
                  <c:v>87.762690558121889</c:v>
                </c:pt>
                <c:pt idx="87">
                  <c:v>87.8309655023142</c:v>
                </c:pt>
                <c:pt idx="88">
                  <c:v>87.871232687395221</c:v>
                </c:pt>
                <c:pt idx="89">
                  <c:v>87.924456271769444</c:v>
                </c:pt>
                <c:pt idx="90">
                  <c:v>88.00701913519633</c:v>
                </c:pt>
                <c:pt idx="91">
                  <c:v>88.059969934247619</c:v>
                </c:pt>
                <c:pt idx="92">
                  <c:v>88.106924570337199</c:v>
                </c:pt>
                <c:pt idx="93">
                  <c:v>88.147168511016176</c:v>
                </c:pt>
                <c:pt idx="94">
                  <c:v>88.173363439722408</c:v>
                </c:pt>
                <c:pt idx="95">
                  <c:v>88.209171095070673</c:v>
                </c:pt>
                <c:pt idx="96">
                  <c:v>88.257340183056201</c:v>
                </c:pt>
                <c:pt idx="97">
                  <c:v>88.298907162436123</c:v>
                </c:pt>
                <c:pt idx="98">
                  <c:v>88.337798324549695</c:v>
                </c:pt>
                <c:pt idx="99">
                  <c:v>88.370183532070001</c:v>
                </c:pt>
                <c:pt idx="100">
                  <c:v>88.408030770083698</c:v>
                </c:pt>
                <c:pt idx="101">
                  <c:v>88.440781021807638</c:v>
                </c:pt>
                <c:pt idx="102">
                  <c:v>88.47308592480455</c:v>
                </c:pt>
                <c:pt idx="103">
                  <c:v>88.50476145513494</c:v>
                </c:pt>
                <c:pt idx="104">
                  <c:v>88.538597898033629</c:v>
                </c:pt>
                <c:pt idx="105">
                  <c:v>88.57348077068464</c:v>
                </c:pt>
                <c:pt idx="106">
                  <c:v>88.603574701428585</c:v>
                </c:pt>
                <c:pt idx="107">
                  <c:v>88.633849158122004</c:v>
                </c:pt>
                <c:pt idx="108">
                  <c:v>88.672021278901383</c:v>
                </c:pt>
                <c:pt idx="109">
                  <c:v>88.707179797691722</c:v>
                </c:pt>
                <c:pt idx="110">
                  <c:v>88.740945726323687</c:v>
                </c:pt>
                <c:pt idx="111">
                  <c:v>88.777163464976269</c:v>
                </c:pt>
                <c:pt idx="112">
                  <c:v>88.813283209832875</c:v>
                </c:pt>
                <c:pt idx="113">
                  <c:v>88.852444880926996</c:v>
                </c:pt>
                <c:pt idx="114">
                  <c:v>88.893459463564014</c:v>
                </c:pt>
                <c:pt idx="115">
                  <c:v>88.938689039842615</c:v>
                </c:pt>
                <c:pt idx="116">
                  <c:v>88.981278155023475</c:v>
                </c:pt>
                <c:pt idx="117">
                  <c:v>89.028371682642117</c:v>
                </c:pt>
                <c:pt idx="118">
                  <c:v>89.033929684992117</c:v>
                </c:pt>
                <c:pt idx="119">
                  <c:v>89.034682499777475</c:v>
                </c:pt>
                <c:pt idx="120">
                  <c:v>89.037264996151279</c:v>
                </c:pt>
                <c:pt idx="121">
                  <c:v>89.064689423510814</c:v>
                </c:pt>
                <c:pt idx="122">
                  <c:v>89.109845671648273</c:v>
                </c:pt>
                <c:pt idx="123">
                  <c:v>89.131726012762456</c:v>
                </c:pt>
                <c:pt idx="124">
                  <c:v>89.164098596021105</c:v>
                </c:pt>
                <c:pt idx="125">
                  <c:v>89.189229921402799</c:v>
                </c:pt>
                <c:pt idx="126">
                  <c:v>89.226955001207457</c:v>
                </c:pt>
                <c:pt idx="127">
                  <c:v>89.265200898397566</c:v>
                </c:pt>
                <c:pt idx="128">
                  <c:v>89.353280298479973</c:v>
                </c:pt>
                <c:pt idx="129">
                  <c:v>89.401888338348286</c:v>
                </c:pt>
                <c:pt idx="130">
                  <c:v>89.432688630000627</c:v>
                </c:pt>
                <c:pt idx="131">
                  <c:v>89.465086602903014</c:v>
                </c:pt>
                <c:pt idx="132">
                  <c:v>89.49133061130533</c:v>
                </c:pt>
                <c:pt idx="133">
                  <c:v>89.521450831375986</c:v>
                </c:pt>
                <c:pt idx="134">
                  <c:v>89.552257674660325</c:v>
                </c:pt>
                <c:pt idx="135">
                  <c:v>89.584633319558492</c:v>
                </c:pt>
                <c:pt idx="136">
                  <c:v>89.624302374342577</c:v>
                </c:pt>
                <c:pt idx="137">
                  <c:v>89.655316650227292</c:v>
                </c:pt>
                <c:pt idx="138">
                  <c:v>89.683191504674795</c:v>
                </c:pt>
                <c:pt idx="139">
                  <c:v>89.704183478264397</c:v>
                </c:pt>
                <c:pt idx="140">
                  <c:v>89.720411130901283</c:v>
                </c:pt>
                <c:pt idx="141">
                  <c:v>89.757466972385131</c:v>
                </c:pt>
                <c:pt idx="142">
                  <c:v>89.783719405065412</c:v>
                </c:pt>
                <c:pt idx="143">
                  <c:v>89.793066804127662</c:v>
                </c:pt>
                <c:pt idx="144">
                  <c:v>89.799072743780002</c:v>
                </c:pt>
                <c:pt idx="145">
                  <c:v>89.819054188571144</c:v>
                </c:pt>
                <c:pt idx="146">
                  <c:v>89.87006333450033</c:v>
                </c:pt>
                <c:pt idx="147">
                  <c:v>89.891099404562823</c:v>
                </c:pt>
                <c:pt idx="148">
                  <c:v>89.967947478523868</c:v>
                </c:pt>
                <c:pt idx="149">
                  <c:v>89.987484392353736</c:v>
                </c:pt>
                <c:pt idx="150">
                  <c:v>90.009423297639415</c:v>
                </c:pt>
                <c:pt idx="151">
                  <c:v>90.026227729190538</c:v>
                </c:pt>
                <c:pt idx="152">
                  <c:v>90.047024118482099</c:v>
                </c:pt>
                <c:pt idx="153">
                  <c:v>90.063651579453605</c:v>
                </c:pt>
                <c:pt idx="154">
                  <c:v>90.090480842833713</c:v>
                </c:pt>
                <c:pt idx="155">
                  <c:v>90.11343606220025</c:v>
                </c:pt>
                <c:pt idx="156">
                  <c:v>90.14509125322067</c:v>
                </c:pt>
                <c:pt idx="157">
                  <c:v>90.175960867583228</c:v>
                </c:pt>
                <c:pt idx="158">
                  <c:v>90.197957030863776</c:v>
                </c:pt>
                <c:pt idx="159">
                  <c:v>90.221285669026898</c:v>
                </c:pt>
                <c:pt idx="160">
                  <c:v>90.248448362428434</c:v>
                </c:pt>
                <c:pt idx="161">
                  <c:v>90.272067373688984</c:v>
                </c:pt>
                <c:pt idx="162">
                  <c:v>90.310622365787296</c:v>
                </c:pt>
                <c:pt idx="163">
                  <c:v>90.346923736160676</c:v>
                </c:pt>
                <c:pt idx="164">
                  <c:v>90.367040442649213</c:v>
                </c:pt>
                <c:pt idx="165">
                  <c:v>90.429721179486762</c:v>
                </c:pt>
                <c:pt idx="166">
                  <c:v>90.447098800766298</c:v>
                </c:pt>
                <c:pt idx="167">
                  <c:v>90.46388856936548</c:v>
                </c:pt>
                <c:pt idx="168">
                  <c:v>90.463935977111021</c:v>
                </c:pt>
                <c:pt idx="169">
                  <c:v>90.459476901157089</c:v>
                </c:pt>
                <c:pt idx="170">
                  <c:v>90.463144617599738</c:v>
                </c:pt>
                <c:pt idx="171">
                  <c:v>90.466011038905208</c:v>
                </c:pt>
                <c:pt idx="172">
                  <c:v>90.468856147243557</c:v>
                </c:pt>
                <c:pt idx="173">
                  <c:v>90.473621237607631</c:v>
                </c:pt>
                <c:pt idx="174">
                  <c:v>90.503367609752658</c:v>
                </c:pt>
                <c:pt idx="175">
                  <c:v>90.529136805147303</c:v>
                </c:pt>
                <c:pt idx="176">
                  <c:v>90.553599829467473</c:v>
                </c:pt>
                <c:pt idx="177">
                  <c:v>90.582160697357764</c:v>
                </c:pt>
                <c:pt idx="178">
                  <c:v>90.620059338982273</c:v>
                </c:pt>
                <c:pt idx="179">
                  <c:v>90.649784305147776</c:v>
                </c:pt>
                <c:pt idx="180">
                  <c:v>90.675320091633964</c:v>
                </c:pt>
                <c:pt idx="181">
                  <c:v>90.702529435494583</c:v>
                </c:pt>
                <c:pt idx="182">
                  <c:v>90.731923048770113</c:v>
                </c:pt>
                <c:pt idx="183">
                  <c:v>90.765164532580414</c:v>
                </c:pt>
                <c:pt idx="184">
                  <c:v>90.79341424830848</c:v>
                </c:pt>
                <c:pt idx="185">
                  <c:v>90.817671636095199</c:v>
                </c:pt>
                <c:pt idx="186">
                  <c:v>90.839726843301747</c:v>
                </c:pt>
                <c:pt idx="187">
                  <c:v>90.873944366035786</c:v>
                </c:pt>
                <c:pt idx="188">
                  <c:v>90.917022053097668</c:v>
                </c:pt>
                <c:pt idx="189">
                  <c:v>90.945675342832971</c:v>
                </c:pt>
                <c:pt idx="190">
                  <c:v>90.977484871518101</c:v>
                </c:pt>
                <c:pt idx="191">
                  <c:v>91.012915286318275</c:v>
                </c:pt>
                <c:pt idx="192">
                  <c:v>91.131238896295613</c:v>
                </c:pt>
                <c:pt idx="193">
                  <c:v>91.215462145194692</c:v>
                </c:pt>
                <c:pt idx="194">
                  <c:v>91.294183330451844</c:v>
                </c:pt>
                <c:pt idx="195">
                  <c:v>91.323821894867564</c:v>
                </c:pt>
                <c:pt idx="196">
                  <c:v>91.337661480626437</c:v>
                </c:pt>
                <c:pt idx="197">
                  <c:v>91.315661291518353</c:v>
                </c:pt>
                <c:pt idx="198">
                  <c:v>91.31453792073961</c:v>
                </c:pt>
                <c:pt idx="199">
                  <c:v>91.31439665701815</c:v>
                </c:pt>
                <c:pt idx="200">
                  <c:v>91.325920072578739</c:v>
                </c:pt>
                <c:pt idx="201">
                  <c:v>91.343072002234663</c:v>
                </c:pt>
                <c:pt idx="202">
                  <c:v>91.351723192841263</c:v>
                </c:pt>
                <c:pt idx="203">
                  <c:v>91.367637884336403</c:v>
                </c:pt>
                <c:pt idx="204">
                  <c:v>91.38241581240348</c:v>
                </c:pt>
                <c:pt idx="205">
                  <c:v>91.40421875060575</c:v>
                </c:pt>
                <c:pt idx="206">
                  <c:v>91.407272499959632</c:v>
                </c:pt>
                <c:pt idx="207">
                  <c:v>91.392102370610957</c:v>
                </c:pt>
                <c:pt idx="208">
                  <c:v>91.37733657488242</c:v>
                </c:pt>
                <c:pt idx="209">
                  <c:v>91.379648872167238</c:v>
                </c:pt>
                <c:pt idx="210">
                  <c:v>91.367288382895509</c:v>
                </c:pt>
                <c:pt idx="211">
                  <c:v>91.384473311578063</c:v>
                </c:pt>
                <c:pt idx="212">
                  <c:v>91.516087335806859</c:v>
                </c:pt>
                <c:pt idx="213">
                  <c:v>91.544509588088417</c:v>
                </c:pt>
                <c:pt idx="214">
                  <c:v>91.575365315866179</c:v>
                </c:pt>
                <c:pt idx="215">
                  <c:v>91.569278655308963</c:v>
                </c:pt>
                <c:pt idx="216">
                  <c:v>91.563225025181993</c:v>
                </c:pt>
                <c:pt idx="217">
                  <c:v>91.566299247726377</c:v>
                </c:pt>
                <c:pt idx="218">
                  <c:v>91.569372707855422</c:v>
                </c:pt>
                <c:pt idx="219">
                  <c:v>91.57492671772053</c:v>
                </c:pt>
                <c:pt idx="220">
                  <c:v>91.583428544737941</c:v>
                </c:pt>
                <c:pt idx="221">
                  <c:v>91.609961204774038</c:v>
                </c:pt>
                <c:pt idx="222">
                  <c:v>91.632557732911948</c:v>
                </c:pt>
                <c:pt idx="223">
                  <c:v>91.671929056067142</c:v>
                </c:pt>
                <c:pt idx="224">
                  <c:v>91.712987480750556</c:v>
                </c:pt>
                <c:pt idx="225">
                  <c:v>91.742530723566205</c:v>
                </c:pt>
                <c:pt idx="226">
                  <c:v>91.872887717292571</c:v>
                </c:pt>
                <c:pt idx="227">
                  <c:v>91.916968146394424</c:v>
                </c:pt>
                <c:pt idx="228">
                  <c:v>91.970703802959008</c:v>
                </c:pt>
                <c:pt idx="229">
                  <c:v>92.035905287570912</c:v>
                </c:pt>
                <c:pt idx="230">
                  <c:v>93.627086192017515</c:v>
                </c:pt>
                <c:pt idx="231">
                  <c:v>93.70942402979999</c:v>
                </c:pt>
                <c:pt idx="232">
                  <c:v>93.753532282829468</c:v>
                </c:pt>
                <c:pt idx="233">
                  <c:v>93.769544988722927</c:v>
                </c:pt>
                <c:pt idx="234">
                  <c:v>93.775156002919545</c:v>
                </c:pt>
                <c:pt idx="235">
                  <c:v>93.778347464501422</c:v>
                </c:pt>
                <c:pt idx="236">
                  <c:v>93.795777234331851</c:v>
                </c:pt>
                <c:pt idx="237">
                  <c:v>93.796422369027198</c:v>
                </c:pt>
                <c:pt idx="238">
                  <c:v>93.793964598699645</c:v>
                </c:pt>
                <c:pt idx="239">
                  <c:v>93.802446719694984</c:v>
                </c:pt>
                <c:pt idx="240">
                  <c:v>93.821848971137641</c:v>
                </c:pt>
                <c:pt idx="241">
                  <c:v>93.826008288566399</c:v>
                </c:pt>
                <c:pt idx="242">
                  <c:v>93.809885118602494</c:v>
                </c:pt>
                <c:pt idx="243">
                  <c:v>93.81815811793291</c:v>
                </c:pt>
                <c:pt idx="244">
                  <c:v>93.780367406095209</c:v>
                </c:pt>
                <c:pt idx="245">
                  <c:v>93.766538158523687</c:v>
                </c:pt>
                <c:pt idx="246">
                  <c:v>93.759092798601031</c:v>
                </c:pt>
                <c:pt idx="247">
                  <c:v>93.715136998372031</c:v>
                </c:pt>
                <c:pt idx="248">
                  <c:v>93.712838361621252</c:v>
                </c:pt>
                <c:pt idx="249">
                  <c:v>93.661618291407748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F3-4286-B685-6DA9EDFDA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4162927"/>
        <c:axId val="834156687"/>
      </c:lineChart>
      <c:dateAx>
        <c:axId val="834162927"/>
        <c:scaling>
          <c:orientation val="minMax"/>
          <c:min val="459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156687"/>
        <c:crosses val="autoZero"/>
        <c:auto val="1"/>
        <c:lblOffset val="100"/>
        <c:baseTimeUnit val="days"/>
      </c:dateAx>
      <c:valAx>
        <c:axId val="834156687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162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Bollinger Bands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Data!$C$2:$C$251</c:f>
              <c:numCache>
                <c:formatCode>_([$$-409]* #,##0.00_);_([$$-409]* \(#,##0.00\);_([$$-409]* "-"??_);_(@_)</c:formatCode>
                <c:ptCount val="250"/>
                <c:pt idx="0">
                  <c:v>103.78</c:v>
                </c:pt>
                <c:pt idx="1">
                  <c:v>104</c:v>
                </c:pt>
                <c:pt idx="2">
                  <c:v>97.21</c:v>
                </c:pt>
                <c:pt idx="3">
                  <c:v>94.78</c:v>
                </c:pt>
                <c:pt idx="4">
                  <c:v>93.67</c:v>
                </c:pt>
                <c:pt idx="5">
                  <c:v>97.69</c:v>
                </c:pt>
                <c:pt idx="6">
                  <c:v>96.2</c:v>
                </c:pt>
                <c:pt idx="7">
                  <c:v>96.79</c:v>
                </c:pt>
                <c:pt idx="8">
                  <c:v>98.61</c:v>
                </c:pt>
                <c:pt idx="9">
                  <c:v>97.59</c:v>
                </c:pt>
                <c:pt idx="10">
                  <c:v>94.97</c:v>
                </c:pt>
                <c:pt idx="11">
                  <c:v>95.98</c:v>
                </c:pt>
                <c:pt idx="12">
                  <c:v>94.64</c:v>
                </c:pt>
                <c:pt idx="13">
                  <c:v>91.72</c:v>
                </c:pt>
                <c:pt idx="14">
                  <c:v>87.82</c:v>
                </c:pt>
                <c:pt idx="15">
                  <c:v>87.44</c:v>
                </c:pt>
                <c:pt idx="16">
                  <c:v>85.2</c:v>
                </c:pt>
                <c:pt idx="17">
                  <c:v>84.5</c:v>
                </c:pt>
                <c:pt idx="18">
                  <c:v>85.35</c:v>
                </c:pt>
                <c:pt idx="19">
                  <c:v>87.46</c:v>
                </c:pt>
                <c:pt idx="20">
                  <c:v>85.59</c:v>
                </c:pt>
                <c:pt idx="21">
                  <c:v>86.33</c:v>
                </c:pt>
                <c:pt idx="22">
                  <c:v>85.81</c:v>
                </c:pt>
                <c:pt idx="23">
                  <c:v>85.98</c:v>
                </c:pt>
                <c:pt idx="24">
                  <c:v>87.49</c:v>
                </c:pt>
                <c:pt idx="25">
                  <c:v>84.76</c:v>
                </c:pt>
                <c:pt idx="26">
                  <c:v>85.21</c:v>
                </c:pt>
                <c:pt idx="27">
                  <c:v>85.63</c:v>
                </c:pt>
                <c:pt idx="28">
                  <c:v>85.15</c:v>
                </c:pt>
                <c:pt idx="29">
                  <c:v>87.79</c:v>
                </c:pt>
                <c:pt idx="30">
                  <c:v>88.83</c:v>
                </c:pt>
                <c:pt idx="31">
                  <c:v>89.76</c:v>
                </c:pt>
                <c:pt idx="32">
                  <c:v>87.26</c:v>
                </c:pt>
                <c:pt idx="33">
                  <c:v>83.19</c:v>
                </c:pt>
                <c:pt idx="34">
                  <c:v>83.83</c:v>
                </c:pt>
                <c:pt idx="35">
                  <c:v>81.790000000000006</c:v>
                </c:pt>
                <c:pt idx="36">
                  <c:v>89.6</c:v>
                </c:pt>
                <c:pt idx="37">
                  <c:v>90.61</c:v>
                </c:pt>
                <c:pt idx="38">
                  <c:v>92.8</c:v>
                </c:pt>
                <c:pt idx="39">
                  <c:v>94.73</c:v>
                </c:pt>
                <c:pt idx="40">
                  <c:v>93.97</c:v>
                </c:pt>
                <c:pt idx="41">
                  <c:v>91.19</c:v>
                </c:pt>
                <c:pt idx="42">
                  <c:v>93.22</c:v>
                </c:pt>
                <c:pt idx="43">
                  <c:v>92.41</c:v>
                </c:pt>
                <c:pt idx="44">
                  <c:v>94.85</c:v>
                </c:pt>
                <c:pt idx="45">
                  <c:v>94.96</c:v>
                </c:pt>
                <c:pt idx="46">
                  <c:v>95.84</c:v>
                </c:pt>
                <c:pt idx="47">
                  <c:v>95.09</c:v>
                </c:pt>
                <c:pt idx="48">
                  <c:v>95.22</c:v>
                </c:pt>
                <c:pt idx="49">
                  <c:v>96.04</c:v>
                </c:pt>
                <c:pt idx="50">
                  <c:v>97.25</c:v>
                </c:pt>
                <c:pt idx="51">
                  <c:v>97.41</c:v>
                </c:pt>
                <c:pt idx="52">
                  <c:v>98.75</c:v>
                </c:pt>
                <c:pt idx="53">
                  <c:v>99.33</c:v>
                </c:pt>
                <c:pt idx="54">
                  <c:v>98.55</c:v>
                </c:pt>
                <c:pt idx="55">
                  <c:v>98.83</c:v>
                </c:pt>
                <c:pt idx="56">
                  <c:v>97.43</c:v>
                </c:pt>
                <c:pt idx="57">
                  <c:v>96.72</c:v>
                </c:pt>
                <c:pt idx="58">
                  <c:v>96.75</c:v>
                </c:pt>
                <c:pt idx="59">
                  <c:v>95.88</c:v>
                </c:pt>
                <c:pt idx="60">
                  <c:v>96.83</c:v>
                </c:pt>
                <c:pt idx="61">
                  <c:v>96.35</c:v>
                </c:pt>
                <c:pt idx="62">
                  <c:v>98.24</c:v>
                </c:pt>
                <c:pt idx="63">
                  <c:v>98.12</c:v>
                </c:pt>
                <c:pt idx="64">
                  <c:v>97.8</c:v>
                </c:pt>
                <c:pt idx="65">
                  <c:v>96.43</c:v>
                </c:pt>
                <c:pt idx="66">
                  <c:v>95.93</c:v>
                </c:pt>
                <c:pt idx="67">
                  <c:v>96.34</c:v>
                </c:pt>
                <c:pt idx="68">
                  <c:v>97.58</c:v>
                </c:pt>
                <c:pt idx="69">
                  <c:v>97.24</c:v>
                </c:pt>
                <c:pt idx="70">
                  <c:v>97.1</c:v>
                </c:pt>
                <c:pt idx="71">
                  <c:v>98.72</c:v>
                </c:pt>
                <c:pt idx="72">
                  <c:v>99.77</c:v>
                </c:pt>
                <c:pt idx="73">
                  <c:v>99.98</c:v>
                </c:pt>
                <c:pt idx="74">
                  <c:v>99.35</c:v>
                </c:pt>
                <c:pt idx="75">
                  <c:v>97.96</c:v>
                </c:pt>
                <c:pt idx="76">
                  <c:v>97.47</c:v>
                </c:pt>
                <c:pt idx="77">
                  <c:v>97.45</c:v>
                </c:pt>
                <c:pt idx="78">
                  <c:v>97.32</c:v>
                </c:pt>
                <c:pt idx="79">
                  <c:v>95.8</c:v>
                </c:pt>
                <c:pt idx="80">
                  <c:v>94.83</c:v>
                </c:pt>
                <c:pt idx="81">
                  <c:v>94.44</c:v>
                </c:pt>
                <c:pt idx="82">
                  <c:v>94.29</c:v>
                </c:pt>
                <c:pt idx="83">
                  <c:v>94.25</c:v>
                </c:pt>
                <c:pt idx="84">
                  <c:v>95.09</c:v>
                </c:pt>
                <c:pt idx="85">
                  <c:v>96.12</c:v>
                </c:pt>
                <c:pt idx="86">
                  <c:v>97.87</c:v>
                </c:pt>
                <c:pt idx="87">
                  <c:v>98</c:v>
                </c:pt>
                <c:pt idx="88">
                  <c:v>97.26</c:v>
                </c:pt>
                <c:pt idx="89">
                  <c:v>96.02</c:v>
                </c:pt>
                <c:pt idx="90">
                  <c:v>97.27</c:v>
                </c:pt>
                <c:pt idx="91">
                  <c:v>97.78</c:v>
                </c:pt>
                <c:pt idx="92">
                  <c:v>98.24</c:v>
                </c:pt>
                <c:pt idx="93">
                  <c:v>97.61</c:v>
                </c:pt>
                <c:pt idx="94">
                  <c:v>98.36</c:v>
                </c:pt>
                <c:pt idx="95">
                  <c:v>99.35</c:v>
                </c:pt>
                <c:pt idx="96">
                  <c:v>97.09</c:v>
                </c:pt>
                <c:pt idx="97">
                  <c:v>96.81</c:v>
                </c:pt>
                <c:pt idx="98">
                  <c:v>94.86</c:v>
                </c:pt>
                <c:pt idx="99">
                  <c:v>94.4</c:v>
                </c:pt>
                <c:pt idx="100">
                  <c:v>95.78</c:v>
                </c:pt>
                <c:pt idx="101">
                  <c:v>95.39</c:v>
                </c:pt>
                <c:pt idx="102">
                  <c:v>95.15</c:v>
                </c:pt>
                <c:pt idx="103">
                  <c:v>95.09</c:v>
                </c:pt>
                <c:pt idx="104">
                  <c:v>95.05</c:v>
                </c:pt>
                <c:pt idx="105">
                  <c:v>95.67</c:v>
                </c:pt>
                <c:pt idx="106">
                  <c:v>95.85</c:v>
                </c:pt>
                <c:pt idx="107">
                  <c:v>95.68</c:v>
                </c:pt>
                <c:pt idx="108">
                  <c:v>96.6</c:v>
                </c:pt>
                <c:pt idx="109">
                  <c:v>97.47</c:v>
                </c:pt>
                <c:pt idx="110">
                  <c:v>97.61</c:v>
                </c:pt>
                <c:pt idx="111">
                  <c:v>98.33</c:v>
                </c:pt>
                <c:pt idx="112">
                  <c:v>97.59</c:v>
                </c:pt>
                <c:pt idx="113">
                  <c:v>97.98</c:v>
                </c:pt>
                <c:pt idx="114">
                  <c:v>98.49</c:v>
                </c:pt>
                <c:pt idx="115">
                  <c:v>99.59</c:v>
                </c:pt>
                <c:pt idx="116">
                  <c:v>99.31</c:v>
                </c:pt>
                <c:pt idx="117">
                  <c:v>103.36</c:v>
                </c:pt>
                <c:pt idx="118">
                  <c:v>103.12</c:v>
                </c:pt>
                <c:pt idx="119">
                  <c:v>103.73</c:v>
                </c:pt>
                <c:pt idx="120">
                  <c:v>103.93</c:v>
                </c:pt>
                <c:pt idx="121">
                  <c:v>103.62</c:v>
                </c:pt>
                <c:pt idx="122">
                  <c:v>100.99</c:v>
                </c:pt>
                <c:pt idx="123">
                  <c:v>100.85</c:v>
                </c:pt>
                <c:pt idx="124">
                  <c:v>100</c:v>
                </c:pt>
                <c:pt idx="125">
                  <c:v>100.7</c:v>
                </c:pt>
                <c:pt idx="126">
                  <c:v>101.29</c:v>
                </c:pt>
                <c:pt idx="127">
                  <c:v>102.57</c:v>
                </c:pt>
                <c:pt idx="128">
                  <c:v>97.96</c:v>
                </c:pt>
                <c:pt idx="129">
                  <c:v>96.83</c:v>
                </c:pt>
                <c:pt idx="130">
                  <c:v>96.07</c:v>
                </c:pt>
                <c:pt idx="131">
                  <c:v>96.05</c:v>
                </c:pt>
                <c:pt idx="132">
                  <c:v>96.08</c:v>
                </c:pt>
                <c:pt idx="133">
                  <c:v>96.11</c:v>
                </c:pt>
                <c:pt idx="134">
                  <c:v>96.98</c:v>
                </c:pt>
                <c:pt idx="135">
                  <c:v>97.85</c:v>
                </c:pt>
                <c:pt idx="136">
                  <c:v>99.44</c:v>
                </c:pt>
                <c:pt idx="137">
                  <c:v>100.93</c:v>
                </c:pt>
                <c:pt idx="138">
                  <c:v>100.51</c:v>
                </c:pt>
                <c:pt idx="139">
                  <c:v>102.28</c:v>
                </c:pt>
                <c:pt idx="140">
                  <c:v>102.29</c:v>
                </c:pt>
                <c:pt idx="141">
                  <c:v>100.41</c:v>
                </c:pt>
                <c:pt idx="142">
                  <c:v>102.65</c:v>
                </c:pt>
                <c:pt idx="143">
                  <c:v>103.49</c:v>
                </c:pt>
                <c:pt idx="144">
                  <c:v>103.69</c:v>
                </c:pt>
                <c:pt idx="145">
                  <c:v>103.42</c:v>
                </c:pt>
                <c:pt idx="146">
                  <c:v>104.27</c:v>
                </c:pt>
                <c:pt idx="147">
                  <c:v>103.6</c:v>
                </c:pt>
                <c:pt idx="148">
                  <c:v>102.33</c:v>
                </c:pt>
                <c:pt idx="149">
                  <c:v>102.82</c:v>
                </c:pt>
                <c:pt idx="150">
                  <c:v>102.52</c:v>
                </c:pt>
                <c:pt idx="151">
                  <c:v>102.73</c:v>
                </c:pt>
                <c:pt idx="152">
                  <c:v>103.05</c:v>
                </c:pt>
                <c:pt idx="153">
                  <c:v>103.16</c:v>
                </c:pt>
                <c:pt idx="154">
                  <c:v>103.08</c:v>
                </c:pt>
                <c:pt idx="155">
                  <c:v>103.06</c:v>
                </c:pt>
                <c:pt idx="156">
                  <c:v>101.96</c:v>
                </c:pt>
                <c:pt idx="157">
                  <c:v>101.7</c:v>
                </c:pt>
                <c:pt idx="158">
                  <c:v>102.07</c:v>
                </c:pt>
                <c:pt idx="159">
                  <c:v>102.7</c:v>
                </c:pt>
                <c:pt idx="160">
                  <c:v>103.24</c:v>
                </c:pt>
                <c:pt idx="161">
                  <c:v>102.9</c:v>
                </c:pt>
                <c:pt idx="162">
                  <c:v>101.77</c:v>
                </c:pt>
                <c:pt idx="163">
                  <c:v>101.84</c:v>
                </c:pt>
                <c:pt idx="164">
                  <c:v>102.12</c:v>
                </c:pt>
                <c:pt idx="165">
                  <c:v>107.21</c:v>
                </c:pt>
                <c:pt idx="166">
                  <c:v>109.03</c:v>
                </c:pt>
                <c:pt idx="167">
                  <c:v>106.47</c:v>
                </c:pt>
                <c:pt idx="168">
                  <c:v>107.73</c:v>
                </c:pt>
                <c:pt idx="169">
                  <c:v>107.05</c:v>
                </c:pt>
                <c:pt idx="170">
                  <c:v>106.22</c:v>
                </c:pt>
                <c:pt idx="171">
                  <c:v>107.14</c:v>
                </c:pt>
                <c:pt idx="172">
                  <c:v>106.86</c:v>
                </c:pt>
                <c:pt idx="173">
                  <c:v>106.17</c:v>
                </c:pt>
                <c:pt idx="174">
                  <c:v>104.47</c:v>
                </c:pt>
                <c:pt idx="175">
                  <c:v>103.17</c:v>
                </c:pt>
                <c:pt idx="176">
                  <c:v>102.46</c:v>
                </c:pt>
                <c:pt idx="177">
                  <c:v>102.23</c:v>
                </c:pt>
                <c:pt idx="178">
                  <c:v>101.18</c:v>
                </c:pt>
                <c:pt idx="179">
                  <c:v>101.59</c:v>
                </c:pt>
                <c:pt idx="180">
                  <c:v>102.27</c:v>
                </c:pt>
                <c:pt idx="181">
                  <c:v>101.47</c:v>
                </c:pt>
                <c:pt idx="182">
                  <c:v>101.68</c:v>
                </c:pt>
                <c:pt idx="183">
                  <c:v>102.59</c:v>
                </c:pt>
                <c:pt idx="184">
                  <c:v>102.42</c:v>
                </c:pt>
                <c:pt idx="185">
                  <c:v>103.44</c:v>
                </c:pt>
                <c:pt idx="186">
                  <c:v>103.44</c:v>
                </c:pt>
                <c:pt idx="187">
                  <c:v>102.54</c:v>
                </c:pt>
                <c:pt idx="188">
                  <c:v>102.48</c:v>
                </c:pt>
                <c:pt idx="189">
                  <c:v>102.95</c:v>
                </c:pt>
                <c:pt idx="190">
                  <c:v>101.39</c:v>
                </c:pt>
                <c:pt idx="191">
                  <c:v>100.61</c:v>
                </c:pt>
                <c:pt idx="192">
                  <c:v>107.11</c:v>
                </c:pt>
                <c:pt idx="193">
                  <c:v>105.32</c:v>
                </c:pt>
                <c:pt idx="194">
                  <c:v>104.06</c:v>
                </c:pt>
                <c:pt idx="195">
                  <c:v>107</c:v>
                </c:pt>
                <c:pt idx="196">
                  <c:v>109.1</c:v>
                </c:pt>
                <c:pt idx="197">
                  <c:v>110.51</c:v>
                </c:pt>
                <c:pt idx="198">
                  <c:v>111.53</c:v>
                </c:pt>
                <c:pt idx="199">
                  <c:v>112.41</c:v>
                </c:pt>
                <c:pt idx="200">
                  <c:v>114.41</c:v>
                </c:pt>
                <c:pt idx="201">
                  <c:v>114.84</c:v>
                </c:pt>
                <c:pt idx="202">
                  <c:v>115.11</c:v>
                </c:pt>
                <c:pt idx="203">
                  <c:v>113.56</c:v>
                </c:pt>
                <c:pt idx="204">
                  <c:v>115.06</c:v>
                </c:pt>
                <c:pt idx="205">
                  <c:v>113.18</c:v>
                </c:pt>
                <c:pt idx="206">
                  <c:v>115.52</c:v>
                </c:pt>
                <c:pt idx="207">
                  <c:v>116.7</c:v>
                </c:pt>
                <c:pt idx="208">
                  <c:v>116.79</c:v>
                </c:pt>
                <c:pt idx="209">
                  <c:v>115.42</c:v>
                </c:pt>
                <c:pt idx="210">
                  <c:v>115.66</c:v>
                </c:pt>
                <c:pt idx="211">
                  <c:v>114.83</c:v>
                </c:pt>
                <c:pt idx="212">
                  <c:v>114.36</c:v>
                </c:pt>
                <c:pt idx="213">
                  <c:v>112.6</c:v>
                </c:pt>
                <c:pt idx="214">
                  <c:v>110.9</c:v>
                </c:pt>
                <c:pt idx="215">
                  <c:v>111.61</c:v>
                </c:pt>
                <c:pt idx="216">
                  <c:v>111.74</c:v>
                </c:pt>
                <c:pt idx="217">
                  <c:v>112.53</c:v>
                </c:pt>
                <c:pt idx="218">
                  <c:v>111.92</c:v>
                </c:pt>
                <c:pt idx="219">
                  <c:v>111.41</c:v>
                </c:pt>
                <c:pt idx="220">
                  <c:v>112.76</c:v>
                </c:pt>
                <c:pt idx="221">
                  <c:v>112.71</c:v>
                </c:pt>
                <c:pt idx="222">
                  <c:v>114.34</c:v>
                </c:pt>
                <c:pt idx="223">
                  <c:v>112.72</c:v>
                </c:pt>
                <c:pt idx="224">
                  <c:v>113.07</c:v>
                </c:pt>
                <c:pt idx="225">
                  <c:v>114.53</c:v>
                </c:pt>
                <c:pt idx="226">
                  <c:v>117.97</c:v>
                </c:pt>
                <c:pt idx="227">
                  <c:v>120.36</c:v>
                </c:pt>
                <c:pt idx="228">
                  <c:v>120.04</c:v>
                </c:pt>
                <c:pt idx="229">
                  <c:v>119.2</c:v>
                </c:pt>
                <c:pt idx="230">
                  <c:v>119.7</c:v>
                </c:pt>
                <c:pt idx="231">
                  <c:v>118.71</c:v>
                </c:pt>
                <c:pt idx="232">
                  <c:v>119.36</c:v>
                </c:pt>
                <c:pt idx="233">
                  <c:v>117.83</c:v>
                </c:pt>
                <c:pt idx="234">
                  <c:v>117.73</c:v>
                </c:pt>
                <c:pt idx="235">
                  <c:v>117.64</c:v>
                </c:pt>
                <c:pt idx="236">
                  <c:v>116.94</c:v>
                </c:pt>
                <c:pt idx="237">
                  <c:v>116.57</c:v>
                </c:pt>
                <c:pt idx="238">
                  <c:v>117.41</c:v>
                </c:pt>
                <c:pt idx="239">
                  <c:v>119.14</c:v>
                </c:pt>
                <c:pt idx="240">
                  <c:v>124.06</c:v>
                </c:pt>
                <c:pt idx="241">
                  <c:v>127.71</c:v>
                </c:pt>
                <c:pt idx="242">
                  <c:v>128</c:v>
                </c:pt>
                <c:pt idx="243">
                  <c:v>126.94</c:v>
                </c:pt>
                <c:pt idx="244">
                  <c:v>131.18</c:v>
                </c:pt>
                <c:pt idx="245">
                  <c:v>129.02000000000001</c:v>
                </c:pt>
                <c:pt idx="246">
                  <c:v>126.7</c:v>
                </c:pt>
                <c:pt idx="247">
                  <c:v>128.77000000000001</c:v>
                </c:pt>
                <c:pt idx="248">
                  <c:v>133.63999999999999</c:v>
                </c:pt>
                <c:pt idx="249">
                  <c:v>133.88999999999999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74-4F01-A62E-9994C954A937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Data!$J$2:$J$251</c:f>
              <c:numCache>
                <c:formatCode>General</c:formatCode>
                <c:ptCount val="250"/>
                <c:pt idx="19">
                  <c:v>93.77000000000001</c:v>
                </c:pt>
                <c:pt idx="20">
                  <c:v>92.860500000000002</c:v>
                </c:pt>
                <c:pt idx="21">
                  <c:v>91.977000000000004</c:v>
                </c:pt>
                <c:pt idx="22">
                  <c:v>91.406999999999996</c:v>
                </c:pt>
                <c:pt idx="23">
                  <c:v>90.966999999999999</c:v>
                </c:pt>
                <c:pt idx="24">
                  <c:v>90.657999999999987</c:v>
                </c:pt>
                <c:pt idx="25">
                  <c:v>90.011499999999998</c:v>
                </c:pt>
                <c:pt idx="26">
                  <c:v>89.462000000000003</c:v>
                </c:pt>
                <c:pt idx="27">
                  <c:v>88.903999999999996</c:v>
                </c:pt>
                <c:pt idx="28">
                  <c:v>88.231000000000023</c:v>
                </c:pt>
                <c:pt idx="29">
                  <c:v>87.741000000000014</c:v>
                </c:pt>
                <c:pt idx="30">
                  <c:v>87.434000000000012</c:v>
                </c:pt>
                <c:pt idx="31">
                  <c:v>87.123000000000019</c:v>
                </c:pt>
                <c:pt idx="32">
                  <c:v>86.753999999999991</c:v>
                </c:pt>
                <c:pt idx="33">
                  <c:v>86.327500000000015</c:v>
                </c:pt>
                <c:pt idx="34">
                  <c:v>86.128</c:v>
                </c:pt>
                <c:pt idx="35">
                  <c:v>85.845499999999987</c:v>
                </c:pt>
                <c:pt idx="36">
                  <c:v>86.065499999999986</c:v>
                </c:pt>
                <c:pt idx="37">
                  <c:v>86.370999999999981</c:v>
                </c:pt>
                <c:pt idx="38">
                  <c:v>86.743499999999983</c:v>
                </c:pt>
                <c:pt idx="39">
                  <c:v>87.106999999999999</c:v>
                </c:pt>
                <c:pt idx="40">
                  <c:v>87.525999999999982</c:v>
                </c:pt>
                <c:pt idx="41">
                  <c:v>87.768999999999977</c:v>
                </c:pt>
                <c:pt idx="42">
                  <c:v>88.139499999999984</c:v>
                </c:pt>
                <c:pt idx="43">
                  <c:v>88.460999999999999</c:v>
                </c:pt>
                <c:pt idx="44">
                  <c:v>88.828999999999994</c:v>
                </c:pt>
                <c:pt idx="45">
                  <c:v>89.338999999999999</c:v>
                </c:pt>
                <c:pt idx="46">
                  <c:v>89.870500000000007</c:v>
                </c:pt>
                <c:pt idx="47">
                  <c:v>90.343499999999992</c:v>
                </c:pt>
                <c:pt idx="48">
                  <c:v>90.846999999999994</c:v>
                </c:pt>
                <c:pt idx="49">
                  <c:v>91.259499999999989</c:v>
                </c:pt>
                <c:pt idx="50">
                  <c:v>91.680499999999995</c:v>
                </c:pt>
                <c:pt idx="51">
                  <c:v>92.063000000000002</c:v>
                </c:pt>
                <c:pt idx="52">
                  <c:v>92.637500000000003</c:v>
                </c:pt>
                <c:pt idx="53">
                  <c:v>93.444499999999991</c:v>
                </c:pt>
                <c:pt idx="54">
                  <c:v>94.180499999999995</c:v>
                </c:pt>
                <c:pt idx="55">
                  <c:v>95.032499999999999</c:v>
                </c:pt>
                <c:pt idx="56">
                  <c:v>95.424000000000007</c:v>
                </c:pt>
                <c:pt idx="57">
                  <c:v>95.729500000000002</c:v>
                </c:pt>
                <c:pt idx="58">
                  <c:v>95.927000000000007</c:v>
                </c:pt>
                <c:pt idx="59">
                  <c:v>95.984499999999997</c:v>
                </c:pt>
                <c:pt idx="60">
                  <c:v>96.127499999999984</c:v>
                </c:pt>
                <c:pt idx="61">
                  <c:v>96.385499999999979</c:v>
                </c:pt>
                <c:pt idx="62">
                  <c:v>96.636499999999984</c:v>
                </c:pt>
                <c:pt idx="63">
                  <c:v>96.921999999999997</c:v>
                </c:pt>
                <c:pt idx="64">
                  <c:v>97.069500000000005</c:v>
                </c:pt>
                <c:pt idx="65">
                  <c:v>97.143000000000001</c:v>
                </c:pt>
                <c:pt idx="66">
                  <c:v>97.147500000000008</c:v>
                </c:pt>
                <c:pt idx="67">
                  <c:v>97.21</c:v>
                </c:pt>
                <c:pt idx="68">
                  <c:v>97.328000000000003</c:v>
                </c:pt>
                <c:pt idx="69">
                  <c:v>97.388000000000005</c:v>
                </c:pt>
                <c:pt idx="70">
                  <c:v>97.380499999999998</c:v>
                </c:pt>
                <c:pt idx="71">
                  <c:v>97.445999999999998</c:v>
                </c:pt>
                <c:pt idx="72">
                  <c:v>97.497</c:v>
                </c:pt>
                <c:pt idx="73">
                  <c:v>97.529499999999999</c:v>
                </c:pt>
                <c:pt idx="74">
                  <c:v>97.569499999999991</c:v>
                </c:pt>
                <c:pt idx="75">
                  <c:v>97.525999999999982</c:v>
                </c:pt>
                <c:pt idx="76">
                  <c:v>97.527999999999992</c:v>
                </c:pt>
                <c:pt idx="77">
                  <c:v>97.564499999999995</c:v>
                </c:pt>
                <c:pt idx="78">
                  <c:v>97.592999999999989</c:v>
                </c:pt>
                <c:pt idx="79">
                  <c:v>97.588999999999999</c:v>
                </c:pt>
                <c:pt idx="80">
                  <c:v>97.489000000000004</c:v>
                </c:pt>
                <c:pt idx="81">
                  <c:v>97.393500000000003</c:v>
                </c:pt>
                <c:pt idx="82">
                  <c:v>97.195999999999998</c:v>
                </c:pt>
                <c:pt idx="83">
                  <c:v>97.002499999999998</c:v>
                </c:pt>
                <c:pt idx="84">
                  <c:v>96.86699999999999</c:v>
                </c:pt>
                <c:pt idx="85">
                  <c:v>96.851499999999987</c:v>
                </c:pt>
                <c:pt idx="86">
                  <c:v>96.948499999999996</c:v>
                </c:pt>
                <c:pt idx="87">
                  <c:v>97.03149999999998</c:v>
                </c:pt>
                <c:pt idx="88">
                  <c:v>97.015499999999989</c:v>
                </c:pt>
                <c:pt idx="89">
                  <c:v>96.954499999999996</c:v>
                </c:pt>
                <c:pt idx="90">
                  <c:v>96.96299999999998</c:v>
                </c:pt>
                <c:pt idx="91">
                  <c:v>96.915999999999983</c:v>
                </c:pt>
                <c:pt idx="92">
                  <c:v>96.839499999999987</c:v>
                </c:pt>
                <c:pt idx="93">
                  <c:v>96.720999999999975</c:v>
                </c:pt>
                <c:pt idx="94">
                  <c:v>96.67149999999998</c:v>
                </c:pt>
                <c:pt idx="95">
                  <c:v>96.740999999999971</c:v>
                </c:pt>
                <c:pt idx="96">
                  <c:v>96.72199999999998</c:v>
                </c:pt>
                <c:pt idx="97">
                  <c:v>96.689999999999984</c:v>
                </c:pt>
                <c:pt idx="98">
                  <c:v>96.566999999999979</c:v>
                </c:pt>
                <c:pt idx="99">
                  <c:v>96.496999999999986</c:v>
                </c:pt>
                <c:pt idx="100">
                  <c:v>96.544499999999985</c:v>
                </c:pt>
                <c:pt idx="101">
                  <c:v>96.59199999999997</c:v>
                </c:pt>
                <c:pt idx="102">
                  <c:v>96.634999999999991</c:v>
                </c:pt>
                <c:pt idx="103">
                  <c:v>96.676999999999992</c:v>
                </c:pt>
                <c:pt idx="104">
                  <c:v>96.674999999999983</c:v>
                </c:pt>
                <c:pt idx="105">
                  <c:v>96.652500000000003</c:v>
                </c:pt>
                <c:pt idx="106">
                  <c:v>96.551500000000004</c:v>
                </c:pt>
                <c:pt idx="107">
                  <c:v>96.435500000000019</c:v>
                </c:pt>
                <c:pt idx="108">
                  <c:v>96.402500000000003</c:v>
                </c:pt>
                <c:pt idx="109">
                  <c:v>96.474999999999994</c:v>
                </c:pt>
                <c:pt idx="110">
                  <c:v>96.49199999999999</c:v>
                </c:pt>
                <c:pt idx="111">
                  <c:v>96.519499999999979</c:v>
                </c:pt>
                <c:pt idx="112">
                  <c:v>96.486999999999981</c:v>
                </c:pt>
                <c:pt idx="113">
                  <c:v>96.505499999999984</c:v>
                </c:pt>
                <c:pt idx="114">
                  <c:v>96.511999999999972</c:v>
                </c:pt>
                <c:pt idx="115">
                  <c:v>96.523999999999972</c:v>
                </c:pt>
                <c:pt idx="116">
                  <c:v>96.634999999999977</c:v>
                </c:pt>
                <c:pt idx="117">
                  <c:v>96.962499999999963</c:v>
                </c:pt>
                <c:pt idx="118">
                  <c:v>97.37549999999996</c:v>
                </c:pt>
                <c:pt idx="119">
                  <c:v>97.841999999999985</c:v>
                </c:pt>
                <c:pt idx="120">
                  <c:v>98.249499999999998</c:v>
                </c:pt>
                <c:pt idx="121">
                  <c:v>98.661000000000016</c:v>
                </c:pt>
                <c:pt idx="122">
                  <c:v>98.953000000000003</c:v>
                </c:pt>
                <c:pt idx="123">
                  <c:v>99.241</c:v>
                </c:pt>
                <c:pt idx="124">
                  <c:v>99.488500000000016</c:v>
                </c:pt>
                <c:pt idx="125">
                  <c:v>99.740000000000009</c:v>
                </c:pt>
                <c:pt idx="126">
                  <c:v>100.01200000000001</c:v>
                </c:pt>
                <c:pt idx="127">
                  <c:v>100.3565</c:v>
                </c:pt>
                <c:pt idx="128">
                  <c:v>100.42449999999999</c:v>
                </c:pt>
                <c:pt idx="129">
                  <c:v>100.39250000000001</c:v>
                </c:pt>
                <c:pt idx="130">
                  <c:v>100.3155</c:v>
                </c:pt>
                <c:pt idx="131">
                  <c:v>100.20149999999998</c:v>
                </c:pt>
                <c:pt idx="132">
                  <c:v>100.12599999999999</c:v>
                </c:pt>
                <c:pt idx="133">
                  <c:v>100.03249999999998</c:v>
                </c:pt>
                <c:pt idx="134">
                  <c:v>99.956999999999979</c:v>
                </c:pt>
                <c:pt idx="135">
                  <c:v>99.869999999999976</c:v>
                </c:pt>
                <c:pt idx="136">
                  <c:v>99.876499999999993</c:v>
                </c:pt>
                <c:pt idx="137">
                  <c:v>99.754999999999981</c:v>
                </c:pt>
                <c:pt idx="138">
                  <c:v>99.624499999999983</c:v>
                </c:pt>
                <c:pt idx="139">
                  <c:v>99.551999999999992</c:v>
                </c:pt>
                <c:pt idx="140">
                  <c:v>99.47</c:v>
                </c:pt>
                <c:pt idx="141">
                  <c:v>99.309499999999986</c:v>
                </c:pt>
                <c:pt idx="142">
                  <c:v>99.392500000000013</c:v>
                </c:pt>
                <c:pt idx="143">
                  <c:v>99.524500000000018</c:v>
                </c:pt>
                <c:pt idx="144">
                  <c:v>99.709000000000017</c:v>
                </c:pt>
                <c:pt idx="145">
                  <c:v>99.845000000000013</c:v>
                </c:pt>
                <c:pt idx="146">
                  <c:v>99.994000000000014</c:v>
                </c:pt>
                <c:pt idx="147">
                  <c:v>100.04550000000002</c:v>
                </c:pt>
                <c:pt idx="148">
                  <c:v>100.26400000000001</c:v>
                </c:pt>
                <c:pt idx="149">
                  <c:v>100.5635</c:v>
                </c:pt>
                <c:pt idx="150">
                  <c:v>100.886</c:v>
                </c:pt>
                <c:pt idx="151">
                  <c:v>101.22</c:v>
                </c:pt>
                <c:pt idx="152">
                  <c:v>101.56849999999999</c:v>
                </c:pt>
                <c:pt idx="153">
                  <c:v>101.92099999999999</c:v>
                </c:pt>
                <c:pt idx="154">
                  <c:v>102.22599999999998</c:v>
                </c:pt>
                <c:pt idx="155">
                  <c:v>102.48650000000001</c:v>
                </c:pt>
                <c:pt idx="156">
                  <c:v>102.61249999999998</c:v>
                </c:pt>
                <c:pt idx="157">
                  <c:v>102.65099999999998</c:v>
                </c:pt>
                <c:pt idx="158">
                  <c:v>102.729</c:v>
                </c:pt>
                <c:pt idx="159">
                  <c:v>102.75</c:v>
                </c:pt>
                <c:pt idx="160">
                  <c:v>102.79749999999999</c:v>
                </c:pt>
                <c:pt idx="161">
                  <c:v>102.922</c:v>
                </c:pt>
                <c:pt idx="162">
                  <c:v>102.87800000000001</c:v>
                </c:pt>
                <c:pt idx="163">
                  <c:v>102.79550000000002</c:v>
                </c:pt>
                <c:pt idx="164">
                  <c:v>102.71699999999998</c:v>
                </c:pt>
                <c:pt idx="165">
                  <c:v>102.90650000000001</c:v>
                </c:pt>
                <c:pt idx="166">
                  <c:v>103.14450000000002</c:v>
                </c:pt>
                <c:pt idx="167">
                  <c:v>103.28800000000001</c:v>
                </c:pt>
                <c:pt idx="168">
                  <c:v>103.55800000000002</c:v>
                </c:pt>
                <c:pt idx="169">
                  <c:v>103.76950000000002</c:v>
                </c:pt>
                <c:pt idx="170">
                  <c:v>103.95450000000001</c:v>
                </c:pt>
                <c:pt idx="171">
                  <c:v>104.175</c:v>
                </c:pt>
                <c:pt idx="172">
                  <c:v>104.3655</c:v>
                </c:pt>
                <c:pt idx="173">
                  <c:v>104.51600000000001</c:v>
                </c:pt>
                <c:pt idx="174">
                  <c:v>104.5855</c:v>
                </c:pt>
                <c:pt idx="175">
                  <c:v>104.59100000000001</c:v>
                </c:pt>
                <c:pt idx="176">
                  <c:v>104.61600000000001</c:v>
                </c:pt>
                <c:pt idx="177">
                  <c:v>104.6425</c:v>
                </c:pt>
                <c:pt idx="178">
                  <c:v>104.598</c:v>
                </c:pt>
                <c:pt idx="179">
                  <c:v>104.54250000000002</c:v>
                </c:pt>
                <c:pt idx="180">
                  <c:v>104.494</c:v>
                </c:pt>
                <c:pt idx="181">
                  <c:v>104.42250000000001</c:v>
                </c:pt>
                <c:pt idx="182">
                  <c:v>104.41800000000001</c:v>
                </c:pt>
                <c:pt idx="183">
                  <c:v>104.4555</c:v>
                </c:pt>
                <c:pt idx="184">
                  <c:v>104.47049999999999</c:v>
                </c:pt>
                <c:pt idx="185">
                  <c:v>104.282</c:v>
                </c:pt>
                <c:pt idx="186">
                  <c:v>104.00250000000001</c:v>
                </c:pt>
                <c:pt idx="187">
                  <c:v>103.80600000000001</c:v>
                </c:pt>
                <c:pt idx="188">
                  <c:v>103.54349999999999</c:v>
                </c:pt>
                <c:pt idx="189">
                  <c:v>103.3385</c:v>
                </c:pt>
                <c:pt idx="190">
                  <c:v>103.09700000000002</c:v>
                </c:pt>
                <c:pt idx="191">
                  <c:v>102.77050000000001</c:v>
                </c:pt>
                <c:pt idx="192">
                  <c:v>102.78300000000002</c:v>
                </c:pt>
                <c:pt idx="193">
                  <c:v>102.7405</c:v>
                </c:pt>
                <c:pt idx="194">
                  <c:v>102.72</c:v>
                </c:pt>
                <c:pt idx="195">
                  <c:v>102.9115</c:v>
                </c:pt>
                <c:pt idx="196">
                  <c:v>103.2435</c:v>
                </c:pt>
                <c:pt idx="197">
                  <c:v>103.65749999999998</c:v>
                </c:pt>
                <c:pt idx="198">
                  <c:v>104.175</c:v>
                </c:pt>
                <c:pt idx="199">
                  <c:v>104.71599999999998</c:v>
                </c:pt>
                <c:pt idx="200">
                  <c:v>105.32299999999998</c:v>
                </c:pt>
                <c:pt idx="201">
                  <c:v>105.9915</c:v>
                </c:pt>
                <c:pt idx="202">
                  <c:v>106.66299999999998</c:v>
                </c:pt>
                <c:pt idx="203">
                  <c:v>107.2115</c:v>
                </c:pt>
                <c:pt idx="204">
                  <c:v>107.84349999999999</c:v>
                </c:pt>
                <c:pt idx="205">
                  <c:v>108.33049999999999</c:v>
                </c:pt>
                <c:pt idx="206">
                  <c:v>108.93449999999999</c:v>
                </c:pt>
                <c:pt idx="207">
                  <c:v>109.6425</c:v>
                </c:pt>
                <c:pt idx="208">
                  <c:v>110.35799999999999</c:v>
                </c:pt>
                <c:pt idx="209">
                  <c:v>110.98150000000001</c:v>
                </c:pt>
                <c:pt idx="210">
                  <c:v>111.69499999999998</c:v>
                </c:pt>
                <c:pt idx="211">
                  <c:v>112.40599999999999</c:v>
                </c:pt>
                <c:pt idx="212">
                  <c:v>112.76850000000002</c:v>
                </c:pt>
                <c:pt idx="213">
                  <c:v>113.13250000000001</c:v>
                </c:pt>
                <c:pt idx="214">
                  <c:v>113.47450000000001</c:v>
                </c:pt>
                <c:pt idx="215">
                  <c:v>113.70500000000001</c:v>
                </c:pt>
                <c:pt idx="216">
                  <c:v>113.83699999999999</c:v>
                </c:pt>
                <c:pt idx="217">
                  <c:v>113.93800000000002</c:v>
                </c:pt>
                <c:pt idx="218">
                  <c:v>113.95750000000001</c:v>
                </c:pt>
                <c:pt idx="219">
                  <c:v>113.9075</c:v>
                </c:pt>
                <c:pt idx="220">
                  <c:v>113.825</c:v>
                </c:pt>
                <c:pt idx="221">
                  <c:v>113.71849999999999</c:v>
                </c:pt>
                <c:pt idx="222">
                  <c:v>113.67999999999999</c:v>
                </c:pt>
                <c:pt idx="223">
                  <c:v>113.63799999999999</c:v>
                </c:pt>
                <c:pt idx="224">
                  <c:v>113.5385</c:v>
                </c:pt>
                <c:pt idx="225">
                  <c:v>113.60600000000002</c:v>
                </c:pt>
                <c:pt idx="226">
                  <c:v>113.72850000000001</c:v>
                </c:pt>
                <c:pt idx="227">
                  <c:v>113.9115</c:v>
                </c:pt>
                <c:pt idx="228">
                  <c:v>114.074</c:v>
                </c:pt>
                <c:pt idx="229">
                  <c:v>114.26299999999999</c:v>
                </c:pt>
                <c:pt idx="230">
                  <c:v>114.46499999999996</c:v>
                </c:pt>
                <c:pt idx="231">
                  <c:v>114.65899999999996</c:v>
                </c:pt>
                <c:pt idx="232">
                  <c:v>114.90899999999999</c:v>
                </c:pt>
                <c:pt idx="233">
                  <c:v>115.17049999999999</c:v>
                </c:pt>
                <c:pt idx="234">
                  <c:v>115.51200000000001</c:v>
                </c:pt>
                <c:pt idx="235">
                  <c:v>115.8135</c:v>
                </c:pt>
                <c:pt idx="236">
                  <c:v>116.0735</c:v>
                </c:pt>
                <c:pt idx="237">
                  <c:v>116.27550000000001</c:v>
                </c:pt>
                <c:pt idx="238">
                  <c:v>116.55</c:v>
                </c:pt>
                <c:pt idx="239">
                  <c:v>116.9365</c:v>
                </c:pt>
                <c:pt idx="240">
                  <c:v>117.50149999999999</c:v>
                </c:pt>
                <c:pt idx="241">
                  <c:v>118.25150000000001</c:v>
                </c:pt>
                <c:pt idx="242">
                  <c:v>118.9345</c:v>
                </c:pt>
                <c:pt idx="243">
                  <c:v>119.64550000000001</c:v>
                </c:pt>
                <c:pt idx="244">
                  <c:v>120.55100000000002</c:v>
                </c:pt>
                <c:pt idx="245">
                  <c:v>121.27550000000001</c:v>
                </c:pt>
                <c:pt idx="246">
                  <c:v>121.71200000000002</c:v>
                </c:pt>
                <c:pt idx="247">
                  <c:v>122.13250000000001</c:v>
                </c:pt>
                <c:pt idx="248">
                  <c:v>122.8125</c:v>
                </c:pt>
                <c:pt idx="249">
                  <c:v>123.54699999999998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74-4F01-A62E-9994C954A937}"/>
            </c:ext>
          </c:extLst>
        </c:ser>
        <c:ser>
          <c:idx val="2"/>
          <c:order val="2"/>
          <c:tx>
            <c:strRef>
              <c:f>Data!$L$1</c:f>
              <c:strCache>
                <c:ptCount val="1"/>
                <c:pt idx="0">
                  <c:v>Upper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Data!$L$2:$L$251</c:f>
              <c:numCache>
                <c:formatCode>General</c:formatCode>
                <c:ptCount val="250"/>
                <c:pt idx="19">
                  <c:v>105.40453660896142</c:v>
                </c:pt>
                <c:pt idx="20">
                  <c:v>104.03509614247282</c:v>
                </c:pt>
                <c:pt idx="21">
                  <c:v>102.19656451847966</c:v>
                </c:pt>
                <c:pt idx="22">
                  <c:v>101.66921705809074</c:v>
                </c:pt>
                <c:pt idx="23">
                  <c:v>101.37388456339309</c:v>
                </c:pt>
                <c:pt idx="24">
                  <c:v>101.09391087492958</c:v>
                </c:pt>
                <c:pt idx="25">
                  <c:v>100.21255520857628</c:v>
                </c:pt>
                <c:pt idx="26">
                  <c:v>99.441031911700506</c:v>
                </c:pt>
                <c:pt idx="27">
                  <c:v>98.39380039721317</c:v>
                </c:pt>
                <c:pt idx="28">
                  <c:v>96.67393513443109</c:v>
                </c:pt>
                <c:pt idx="29">
                  <c:v>94.943288817488963</c:v>
                </c:pt>
                <c:pt idx="30">
                  <c:v>93.815537184887773</c:v>
                </c:pt>
                <c:pt idx="31">
                  <c:v>92.229875035829551</c:v>
                </c:pt>
                <c:pt idx="32">
                  <c:v>90.443846095777744</c:v>
                </c:pt>
                <c:pt idx="33">
                  <c:v>89.541743792542007</c:v>
                </c:pt>
                <c:pt idx="34">
                  <c:v>89.445828078411353</c:v>
                </c:pt>
                <c:pt idx="35">
                  <c:v>89.623237975366507</c:v>
                </c:pt>
                <c:pt idx="36">
                  <c:v>90.182225704527283</c:v>
                </c:pt>
                <c:pt idx="37">
                  <c:v>90.886129653672583</c:v>
                </c:pt>
                <c:pt idx="38">
                  <c:v>92.061787318300858</c:v>
                </c:pt>
                <c:pt idx="39">
                  <c:v>93.513871639928979</c:v>
                </c:pt>
                <c:pt idx="40">
                  <c:v>94.57867817737943</c:v>
                </c:pt>
                <c:pt idx="41">
                  <c:v>94.981267035369214</c:v>
                </c:pt>
                <c:pt idx="42">
                  <c:v>95.681803082578512</c:v>
                </c:pt>
                <c:pt idx="43">
                  <c:v>96.162217675420592</c:v>
                </c:pt>
                <c:pt idx="44">
                  <c:v>97.022509369584782</c:v>
                </c:pt>
                <c:pt idx="45">
                  <c:v>97.733421455880517</c:v>
                </c:pt>
                <c:pt idx="46">
                  <c:v>98.50676984537337</c:v>
                </c:pt>
                <c:pt idx="47">
                  <c:v>99.037917507198131</c:v>
                </c:pt>
                <c:pt idx="48">
                  <c:v>99.440802173047359</c:v>
                </c:pt>
                <c:pt idx="49">
                  <c:v>100.02573540397442</c:v>
                </c:pt>
                <c:pt idx="50">
                  <c:v>100.75865764986428</c:v>
                </c:pt>
                <c:pt idx="51">
                  <c:v>101.44017520028511</c:v>
                </c:pt>
                <c:pt idx="52">
                  <c:v>102.18208099215411</c:v>
                </c:pt>
                <c:pt idx="53">
                  <c:v>102.33245394132743</c:v>
                </c:pt>
                <c:pt idx="54">
                  <c:v>102.10146877381734</c:v>
                </c:pt>
                <c:pt idx="55">
                  <c:v>100.68187956537567</c:v>
                </c:pt>
                <c:pt idx="56">
                  <c:v>100.54915119160813</c:v>
                </c:pt>
                <c:pt idx="57">
                  <c:v>100.34999199932102</c:v>
                </c:pt>
                <c:pt idx="58">
                  <c:v>100.35387533856081</c:v>
                </c:pt>
                <c:pt idx="59">
                  <c:v>100.37564168106175</c:v>
                </c:pt>
                <c:pt idx="60">
                  <c:v>100.42775152263151</c:v>
                </c:pt>
                <c:pt idx="61">
                  <c:v>100.0034987198508</c:v>
                </c:pt>
                <c:pt idx="62">
                  <c:v>100.01867790313001</c:v>
                </c:pt>
                <c:pt idx="63">
                  <c:v>99.714588687749654</c:v>
                </c:pt>
                <c:pt idx="64">
                  <c:v>99.708706220378431</c:v>
                </c:pt>
                <c:pt idx="65">
                  <c:v>99.611181516825695</c:v>
                </c:pt>
                <c:pt idx="66">
                  <c:v>99.605987982052127</c:v>
                </c:pt>
                <c:pt idx="67">
                  <c:v>99.50646868497104</c:v>
                </c:pt>
                <c:pt idx="68">
                  <c:v>99.428061151991827</c:v>
                </c:pt>
                <c:pt idx="69">
                  <c:v>99.39983446007291</c:v>
                </c:pt>
                <c:pt idx="70">
                  <c:v>99.395616295455554</c:v>
                </c:pt>
                <c:pt idx="71">
                  <c:v>99.548423664050105</c:v>
                </c:pt>
                <c:pt idx="72">
                  <c:v>99.774783779766736</c:v>
                </c:pt>
                <c:pt idx="73">
                  <c:v>99.932511049758858</c:v>
                </c:pt>
                <c:pt idx="74">
                  <c:v>100.06874177975725</c:v>
                </c:pt>
                <c:pt idx="75">
                  <c:v>99.962359665782643</c:v>
                </c:pt>
                <c:pt idx="76">
                  <c:v>99.964093507841469</c:v>
                </c:pt>
                <c:pt idx="77">
                  <c:v>99.971319040712615</c:v>
                </c:pt>
                <c:pt idx="78">
                  <c:v>99.9725541378033</c:v>
                </c:pt>
                <c:pt idx="79">
                  <c:v>99.980915330309244</c:v>
                </c:pt>
                <c:pt idx="80">
                  <c:v>100.16489552152271</c:v>
                </c:pt>
                <c:pt idx="81">
                  <c:v>100.36099602048242</c:v>
                </c:pt>
                <c:pt idx="82">
                  <c:v>100.43924983214124</c:v>
                </c:pt>
                <c:pt idx="83">
                  <c:v>100.46781611681729</c:v>
                </c:pt>
                <c:pt idx="84">
                  <c:v>100.41203121506558</c:v>
                </c:pt>
                <c:pt idx="85">
                  <c:v>100.40727084691764</c:v>
                </c:pt>
                <c:pt idx="86">
                  <c:v>100.50427084691765</c:v>
                </c:pt>
                <c:pt idx="87">
                  <c:v>100.60491808946352</c:v>
                </c:pt>
                <c:pt idx="88">
                  <c:v>100.58143517666971</c:v>
                </c:pt>
                <c:pt idx="89">
                  <c:v>100.54591359062798</c:v>
                </c:pt>
                <c:pt idx="90">
                  <c:v>100.55666752994615</c:v>
                </c:pt>
                <c:pt idx="91">
                  <c:v>100.43676187927076</c:v>
                </c:pt>
                <c:pt idx="92">
                  <c:v>100.15994686276125</c:v>
                </c:pt>
                <c:pt idx="93">
                  <c:v>99.723475469902837</c:v>
                </c:pt>
                <c:pt idx="94">
                  <c:v>99.520184091406321</c:v>
                </c:pt>
                <c:pt idx="95">
                  <c:v>99.783290688211565</c:v>
                </c:pt>
                <c:pt idx="96">
                  <c:v>99.749832992682855</c:v>
                </c:pt>
                <c:pt idx="97">
                  <c:v>99.698906078539764</c:v>
                </c:pt>
                <c:pt idx="98">
                  <c:v>99.667207802882331</c:v>
                </c:pt>
                <c:pt idx="99">
                  <c:v>99.730483375068133</c:v>
                </c:pt>
                <c:pt idx="100">
                  <c:v>99.701890494829868</c:v>
                </c:pt>
                <c:pt idx="101">
                  <c:v>99.642871143926257</c:v>
                </c:pt>
                <c:pt idx="102">
                  <c:v>99.571352911530312</c:v>
                </c:pt>
                <c:pt idx="103">
                  <c:v>99.491205319259294</c:v>
                </c:pt>
                <c:pt idx="104">
                  <c:v>99.494006917338069</c:v>
                </c:pt>
                <c:pt idx="105">
                  <c:v>99.497224572737551</c:v>
                </c:pt>
                <c:pt idx="106">
                  <c:v>99.357390608213933</c:v>
                </c:pt>
                <c:pt idx="107">
                  <c:v>99.18041280659142</c:v>
                </c:pt>
                <c:pt idx="108">
                  <c:v>99.121422967879596</c:v>
                </c:pt>
                <c:pt idx="109">
                  <c:v>99.228092041591353</c:v>
                </c:pt>
                <c:pt idx="110">
                  <c:v>99.269849224812134</c:v>
                </c:pt>
                <c:pt idx="111">
                  <c:v>99.36119315725675</c:v>
                </c:pt>
                <c:pt idx="112">
                  <c:v>99.259876902386637</c:v>
                </c:pt>
                <c:pt idx="113">
                  <c:v>99.314624044028093</c:v>
                </c:pt>
                <c:pt idx="114">
                  <c:v>99.339731841674677</c:v>
                </c:pt>
                <c:pt idx="115">
                  <c:v>99.403995614031714</c:v>
                </c:pt>
                <c:pt idx="116">
                  <c:v>99.766950796145039</c:v>
                </c:pt>
                <c:pt idx="117">
                  <c:v>101.30671999539857</c:v>
                </c:pt>
                <c:pt idx="118">
                  <c:v>102.3960073134306</c:v>
                </c:pt>
                <c:pt idx="119">
                  <c:v>103.40313808874632</c:v>
                </c:pt>
                <c:pt idx="120">
                  <c:v>104.34333631652767</c:v>
                </c:pt>
                <c:pt idx="121">
                  <c:v>105.04633484263995</c:v>
                </c:pt>
                <c:pt idx="122">
                  <c:v>105.19481518807673</c:v>
                </c:pt>
                <c:pt idx="123">
                  <c:v>105.25988571607385</c:v>
                </c:pt>
                <c:pt idx="124">
                  <c:v>105.17994612092292</c:v>
                </c:pt>
                <c:pt idx="125">
                  <c:v>105.15899971348375</c:v>
                </c:pt>
                <c:pt idx="126">
                  <c:v>105.14757499471247</c:v>
                </c:pt>
                <c:pt idx="127">
                  <c:v>105.18363067218154</c:v>
                </c:pt>
                <c:pt idx="128">
                  <c:v>105.06346755754984</c:v>
                </c:pt>
                <c:pt idx="129">
                  <c:v>105.1251630980876</c:v>
                </c:pt>
                <c:pt idx="130">
                  <c:v>105.28305992202887</c:v>
                </c:pt>
                <c:pt idx="131">
                  <c:v>105.45720276737062</c:v>
                </c:pt>
                <c:pt idx="132">
                  <c:v>105.57932887230118</c:v>
                </c:pt>
                <c:pt idx="133">
                  <c:v>105.70064505998678</c:v>
                </c:pt>
                <c:pt idx="134">
                  <c:v>105.75049580859522</c:v>
                </c:pt>
                <c:pt idx="135">
                  <c:v>105.73847420320512</c:v>
                </c:pt>
                <c:pt idx="136">
                  <c:v>105.74265008690583</c:v>
                </c:pt>
                <c:pt idx="137">
                  <c:v>105.41437508173732</c:v>
                </c:pt>
                <c:pt idx="138">
                  <c:v>105.07362730820748</c:v>
                </c:pt>
                <c:pt idx="139">
                  <c:v>104.80623378158785</c:v>
                </c:pt>
                <c:pt idx="140">
                  <c:v>104.48216205055789</c:v>
                </c:pt>
                <c:pt idx="141">
                  <c:v>103.95423204711247</c:v>
                </c:pt>
                <c:pt idx="142">
                  <c:v>104.21942830297959</c:v>
                </c:pt>
                <c:pt idx="143">
                  <c:v>104.65414746916345</c:v>
                </c:pt>
                <c:pt idx="144">
                  <c:v>105.16567297902304</c:v>
                </c:pt>
                <c:pt idx="145">
                  <c:v>105.53621391176556</c:v>
                </c:pt>
                <c:pt idx="146">
                  <c:v>105.99225729077338</c:v>
                </c:pt>
                <c:pt idx="147">
                  <c:v>106.15356360908527</c:v>
                </c:pt>
                <c:pt idx="148">
                  <c:v>106.37059488198061</c:v>
                </c:pt>
                <c:pt idx="149">
                  <c:v>106.54727903827902</c:v>
                </c:pt>
                <c:pt idx="150">
                  <c:v>106.53601872376962</c:v>
                </c:pt>
                <c:pt idx="151">
                  <c:v>106.43970356085075</c:v>
                </c:pt>
                <c:pt idx="152">
                  <c:v>106.24577889854098</c:v>
                </c:pt>
                <c:pt idx="153">
                  <c:v>105.87249485371642</c:v>
                </c:pt>
                <c:pt idx="154">
                  <c:v>105.44558742044607</c:v>
                </c:pt>
                <c:pt idx="155">
                  <c:v>104.97547590438951</c:v>
                </c:pt>
                <c:pt idx="156">
                  <c:v>104.66982452727474</c:v>
                </c:pt>
                <c:pt idx="157">
                  <c:v>104.60181521421173</c:v>
                </c:pt>
                <c:pt idx="158">
                  <c:v>104.42785286373822</c:v>
                </c:pt>
                <c:pt idx="159">
                  <c:v>104.43581699699831</c:v>
                </c:pt>
                <c:pt idx="160">
                  <c:v>104.4822786048524</c:v>
                </c:pt>
                <c:pt idx="161">
                  <c:v>104.17714687754483</c:v>
                </c:pt>
                <c:pt idx="162">
                  <c:v>104.2311654895486</c:v>
                </c:pt>
                <c:pt idx="163">
                  <c:v>104.19205930584307</c:v>
                </c:pt>
                <c:pt idx="164">
                  <c:v>104.07789908361694</c:v>
                </c:pt>
                <c:pt idx="165">
                  <c:v>105.3244963432126</c:v>
                </c:pt>
                <c:pt idx="166">
                  <c:v>106.76540698146489</c:v>
                </c:pt>
                <c:pt idx="167">
                  <c:v>107.2006440111381</c:v>
                </c:pt>
                <c:pt idx="168">
                  <c:v>107.91260603088394</c:v>
                </c:pt>
                <c:pt idx="169">
                  <c:v>108.37675046444248</c:v>
                </c:pt>
                <c:pt idx="170">
                  <c:v>108.64685200815339</c:v>
                </c:pt>
                <c:pt idx="171">
                  <c:v>109.03648991673604</c:v>
                </c:pt>
                <c:pt idx="172">
                  <c:v>109.33868483151602</c:v>
                </c:pt>
                <c:pt idx="173">
                  <c:v>109.51767719238678</c:v>
                </c:pt>
                <c:pt idx="174">
                  <c:v>109.54158281227274</c:v>
                </c:pt>
                <c:pt idx="175">
                  <c:v>109.54019408644106</c:v>
                </c:pt>
                <c:pt idx="176">
                  <c:v>109.51402280194991</c:v>
                </c:pt>
                <c:pt idx="177">
                  <c:v>109.47944934306412</c:v>
                </c:pt>
                <c:pt idx="178">
                  <c:v>109.54961685449149</c:v>
                </c:pt>
                <c:pt idx="179">
                  <c:v>109.60727983103335</c:v>
                </c:pt>
                <c:pt idx="180">
                  <c:v>109.62938150071587</c:v>
                </c:pt>
                <c:pt idx="181">
                  <c:v>109.68946107327257</c:v>
                </c:pt>
                <c:pt idx="182">
                  <c:v>109.69464805883831</c:v>
                </c:pt>
                <c:pt idx="183">
                  <c:v>109.6652417857015</c:v>
                </c:pt>
                <c:pt idx="184">
                  <c:v>109.65358778117526</c:v>
                </c:pt>
                <c:pt idx="185">
                  <c:v>109.3177107897391</c:v>
                </c:pt>
                <c:pt idx="186">
                  <c:v>108.52275558196834</c:v>
                </c:pt>
                <c:pt idx="187">
                  <c:v>108.21492587467981</c:v>
                </c:pt>
                <c:pt idx="188">
                  <c:v>107.57797916158493</c:v>
                </c:pt>
                <c:pt idx="189">
                  <c:v>107.02437788586025</c:v>
                </c:pt>
                <c:pt idx="190">
                  <c:v>106.61714413580499</c:v>
                </c:pt>
                <c:pt idx="191">
                  <c:v>105.90154976510739</c:v>
                </c:pt>
                <c:pt idx="192">
                  <c:v>105.9840070783723</c:v>
                </c:pt>
                <c:pt idx="193">
                  <c:v>105.77014632294022</c:v>
                </c:pt>
                <c:pt idx="194">
                  <c:v>105.70560053026452</c:v>
                </c:pt>
                <c:pt idx="195">
                  <c:v>106.4573813765892</c:v>
                </c:pt>
                <c:pt idx="196">
                  <c:v>107.73002379793907</c:v>
                </c:pt>
                <c:pt idx="197">
                  <c:v>109.16269706612233</c:v>
                </c:pt>
                <c:pt idx="198">
                  <c:v>110.57304739950524</c:v>
                </c:pt>
                <c:pt idx="199">
                  <c:v>111.9667085679154</c:v>
                </c:pt>
                <c:pt idx="200">
                  <c:v>113.66241080841917</c:v>
                </c:pt>
                <c:pt idx="201">
                  <c:v>115.13517489176621</c:v>
                </c:pt>
                <c:pt idx="202">
                  <c:v>116.42513975681452</c:v>
                </c:pt>
                <c:pt idx="203">
                  <c:v>117.23919066136366</c:v>
                </c:pt>
                <c:pt idx="204">
                  <c:v>118.18794936338222</c:v>
                </c:pt>
                <c:pt idx="205">
                  <c:v>118.71905944625725</c:v>
                </c:pt>
                <c:pt idx="206">
                  <c:v>119.52849924485554</c:v>
                </c:pt>
                <c:pt idx="207">
                  <c:v>120.32937315797922</c:v>
                </c:pt>
                <c:pt idx="208">
                  <c:v>120.94140826606986</c:v>
                </c:pt>
                <c:pt idx="209">
                  <c:v>121.18996764107854</c:v>
                </c:pt>
                <c:pt idx="210">
                  <c:v>121.0389617428921</c:v>
                </c:pt>
                <c:pt idx="211">
                  <c:v>120.24062329057773</c:v>
                </c:pt>
                <c:pt idx="212">
                  <c:v>120.2335576195471</c:v>
                </c:pt>
                <c:pt idx="213">
                  <c:v>119.72758549084688</c:v>
                </c:pt>
                <c:pt idx="214">
                  <c:v>118.64397508278925</c:v>
                </c:pt>
                <c:pt idx="215">
                  <c:v>117.99528523159255</c:v>
                </c:pt>
                <c:pt idx="216">
                  <c:v>117.66866364857216</c:v>
                </c:pt>
                <c:pt idx="217">
                  <c:v>117.49721694522236</c:v>
                </c:pt>
                <c:pt idx="218">
                  <c:v>117.46506700802558</c:v>
                </c:pt>
                <c:pt idx="219">
                  <c:v>117.53442779955128</c:v>
                </c:pt>
                <c:pt idx="220">
                  <c:v>117.47876518128902</c:v>
                </c:pt>
                <c:pt idx="221">
                  <c:v>117.37186629195018</c:v>
                </c:pt>
                <c:pt idx="222">
                  <c:v>117.28756515059527</c:v>
                </c:pt>
                <c:pt idx="223">
                  <c:v>117.27091734299758</c:v>
                </c:pt>
                <c:pt idx="224">
                  <c:v>117.11601619217345</c:v>
                </c:pt>
                <c:pt idx="225">
                  <c:v>117.2059087707739</c:v>
                </c:pt>
                <c:pt idx="226">
                  <c:v>117.74525058513197</c:v>
                </c:pt>
                <c:pt idx="227">
                  <c:v>118.74809416923674</c:v>
                </c:pt>
                <c:pt idx="228">
                  <c:v>119.50024577013377</c:v>
                </c:pt>
                <c:pt idx="229">
                  <c:v>120.13190862265316</c:v>
                </c:pt>
                <c:pt idx="230">
                  <c:v>120.79625413700698</c:v>
                </c:pt>
                <c:pt idx="231">
                  <c:v>121.26898893223053</c:v>
                </c:pt>
                <c:pt idx="232">
                  <c:v>121.84171086949398</c:v>
                </c:pt>
                <c:pt idx="233">
                  <c:v>122.13098841299002</c:v>
                </c:pt>
                <c:pt idx="234">
                  <c:v>122.2571552984346</c:v>
                </c:pt>
                <c:pt idx="235">
                  <c:v>122.36043266869464</c:v>
                </c:pt>
                <c:pt idx="236">
                  <c:v>122.34657789811266</c:v>
                </c:pt>
                <c:pt idx="237">
                  <c:v>122.32431362878619</c:v>
                </c:pt>
                <c:pt idx="238">
                  <c:v>122.25509283101742</c:v>
                </c:pt>
                <c:pt idx="239">
                  <c:v>122.20616003097973</c:v>
                </c:pt>
                <c:pt idx="240">
                  <c:v>123.28388441074996</c:v>
                </c:pt>
                <c:pt idx="241">
                  <c:v>125.19223945704104</c:v>
                </c:pt>
                <c:pt idx="242">
                  <c:v>126.87148199304337</c:v>
                </c:pt>
                <c:pt idx="243">
                  <c:v>127.78361170390671</c:v>
                </c:pt>
                <c:pt idx="244">
                  <c:v>129.58888494120868</c:v>
                </c:pt>
                <c:pt idx="245">
                  <c:v>130.59971290596636</c:v>
                </c:pt>
                <c:pt idx="246">
                  <c:v>131.20058283467699</c:v>
                </c:pt>
                <c:pt idx="247">
                  <c:v>132.10201959989206</c:v>
                </c:pt>
                <c:pt idx="248">
                  <c:v>133.96601985980919</c:v>
                </c:pt>
                <c:pt idx="249">
                  <c:v>135.59755858063281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74-4F01-A62E-9994C954A937}"/>
            </c:ext>
          </c:extLst>
        </c:ser>
        <c:ser>
          <c:idx val="3"/>
          <c:order val="3"/>
          <c:tx>
            <c:strRef>
              <c:f>Data!$M$1</c:f>
              <c:strCache>
                <c:ptCount val="1"/>
                <c:pt idx="0">
                  <c:v>Lower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Data!$M$2:$M$251</c:f>
              <c:numCache>
                <c:formatCode>General</c:formatCode>
                <c:ptCount val="250"/>
                <c:pt idx="19">
                  <c:v>82.135463391038599</c:v>
                </c:pt>
                <c:pt idx="20">
                  <c:v>81.68590385752718</c:v>
                </c:pt>
                <c:pt idx="21">
                  <c:v>81.757435481520346</c:v>
                </c:pt>
                <c:pt idx="22">
                  <c:v>81.144782941909256</c:v>
                </c:pt>
                <c:pt idx="23">
                  <c:v>80.560115436606907</c:v>
                </c:pt>
                <c:pt idx="24">
                  <c:v>80.222089125070397</c:v>
                </c:pt>
                <c:pt idx="25">
                  <c:v>79.81044479142372</c:v>
                </c:pt>
                <c:pt idx="26">
                  <c:v>79.482968088299501</c:v>
                </c:pt>
                <c:pt idx="27">
                  <c:v>79.414199602786823</c:v>
                </c:pt>
                <c:pt idx="28">
                  <c:v>79.788064865568955</c:v>
                </c:pt>
                <c:pt idx="29">
                  <c:v>80.538711182511065</c:v>
                </c:pt>
                <c:pt idx="30">
                  <c:v>81.05246281511225</c:v>
                </c:pt>
                <c:pt idx="31">
                  <c:v>82.016124964170487</c:v>
                </c:pt>
                <c:pt idx="32">
                  <c:v>83.064153904222238</c:v>
                </c:pt>
                <c:pt idx="33">
                  <c:v>83.113256207458022</c:v>
                </c:pt>
                <c:pt idx="34">
                  <c:v>82.810171921588648</c:v>
                </c:pt>
                <c:pt idx="35">
                  <c:v>82.067762024633467</c:v>
                </c:pt>
                <c:pt idx="36">
                  <c:v>81.948774295472688</c:v>
                </c:pt>
                <c:pt idx="37">
                  <c:v>81.855870346327379</c:v>
                </c:pt>
                <c:pt idx="38">
                  <c:v>81.425212681699108</c:v>
                </c:pt>
                <c:pt idx="39">
                  <c:v>80.70012836007102</c:v>
                </c:pt>
                <c:pt idx="40">
                  <c:v>80.473321822620534</c:v>
                </c:pt>
                <c:pt idx="41">
                  <c:v>80.55673296463074</c:v>
                </c:pt>
                <c:pt idx="42">
                  <c:v>80.597196917421456</c:v>
                </c:pt>
                <c:pt idx="43">
                  <c:v>80.759782324579405</c:v>
                </c:pt>
                <c:pt idx="44">
                  <c:v>80.635490630415205</c:v>
                </c:pt>
                <c:pt idx="45">
                  <c:v>80.94457854411948</c:v>
                </c:pt>
                <c:pt idx="46">
                  <c:v>81.234230154626644</c:v>
                </c:pt>
                <c:pt idx="47">
                  <c:v>81.649082492801853</c:v>
                </c:pt>
                <c:pt idx="48">
                  <c:v>82.253197826952629</c:v>
                </c:pt>
                <c:pt idx="49">
                  <c:v>82.493264596025554</c:v>
                </c:pt>
                <c:pt idx="50">
                  <c:v>82.602342350135714</c:v>
                </c:pt>
                <c:pt idx="51">
                  <c:v>82.685824799714894</c:v>
                </c:pt>
                <c:pt idx="52">
                  <c:v>83.092919007845893</c:v>
                </c:pt>
                <c:pt idx="53">
                  <c:v>84.556546058672552</c:v>
                </c:pt>
                <c:pt idx="54">
                  <c:v>86.259531226182645</c:v>
                </c:pt>
                <c:pt idx="55">
                  <c:v>89.383120434624331</c:v>
                </c:pt>
                <c:pt idx="56">
                  <c:v>90.298848808391881</c:v>
                </c:pt>
                <c:pt idx="57">
                  <c:v>91.109008000678983</c:v>
                </c:pt>
                <c:pt idx="58">
                  <c:v>91.500124661439202</c:v>
                </c:pt>
                <c:pt idx="59">
                  <c:v>91.593358318938243</c:v>
                </c:pt>
                <c:pt idx="60">
                  <c:v>91.827248477368457</c:v>
                </c:pt>
                <c:pt idx="61">
                  <c:v>92.767501280149162</c:v>
                </c:pt>
                <c:pt idx="62">
                  <c:v>93.254322096869956</c:v>
                </c:pt>
                <c:pt idx="63">
                  <c:v>94.12941131225034</c:v>
                </c:pt>
                <c:pt idx="64">
                  <c:v>94.430293779621579</c:v>
                </c:pt>
                <c:pt idx="65">
                  <c:v>94.674818483174306</c:v>
                </c:pt>
                <c:pt idx="66">
                  <c:v>94.689012017947888</c:v>
                </c:pt>
                <c:pt idx="67">
                  <c:v>94.913531315028948</c:v>
                </c:pt>
                <c:pt idx="68">
                  <c:v>95.227938848008179</c:v>
                </c:pt>
                <c:pt idx="69">
                  <c:v>95.376165539927101</c:v>
                </c:pt>
                <c:pt idx="70">
                  <c:v>95.365383704544442</c:v>
                </c:pt>
                <c:pt idx="71">
                  <c:v>95.343576335949891</c:v>
                </c:pt>
                <c:pt idx="72">
                  <c:v>95.219216220233264</c:v>
                </c:pt>
                <c:pt idx="73">
                  <c:v>95.126488950241139</c:v>
                </c:pt>
                <c:pt idx="74">
                  <c:v>95.070258220242735</c:v>
                </c:pt>
                <c:pt idx="75">
                  <c:v>95.089640334217322</c:v>
                </c:pt>
                <c:pt idx="76">
                  <c:v>95.091906492158515</c:v>
                </c:pt>
                <c:pt idx="77">
                  <c:v>95.157680959287376</c:v>
                </c:pt>
                <c:pt idx="78">
                  <c:v>95.213445862196679</c:v>
                </c:pt>
                <c:pt idx="79">
                  <c:v>95.197084669690753</c:v>
                </c:pt>
                <c:pt idx="80">
                  <c:v>94.8131044784773</c:v>
                </c:pt>
                <c:pt idx="81">
                  <c:v>94.426003979517589</c:v>
                </c:pt>
                <c:pt idx="82">
                  <c:v>93.952750167858753</c:v>
                </c:pt>
                <c:pt idx="83">
                  <c:v>93.537183883182706</c:v>
                </c:pt>
                <c:pt idx="84">
                  <c:v>93.321968784934398</c:v>
                </c:pt>
                <c:pt idx="85">
                  <c:v>93.295729153082334</c:v>
                </c:pt>
                <c:pt idx="86">
                  <c:v>93.392729153082342</c:v>
                </c:pt>
                <c:pt idx="87">
                  <c:v>93.458081910536436</c:v>
                </c:pt>
                <c:pt idx="88">
                  <c:v>93.449564823330263</c:v>
                </c:pt>
                <c:pt idx="89">
                  <c:v>93.363086409372016</c:v>
                </c:pt>
                <c:pt idx="90">
                  <c:v>93.369332470053806</c:v>
                </c:pt>
                <c:pt idx="91">
                  <c:v>93.395238120729204</c:v>
                </c:pt>
                <c:pt idx="92">
                  <c:v>93.519053137238728</c:v>
                </c:pt>
                <c:pt idx="93">
                  <c:v>93.718524530097113</c:v>
                </c:pt>
                <c:pt idx="94">
                  <c:v>93.82281590859364</c:v>
                </c:pt>
                <c:pt idx="95">
                  <c:v>93.698709311788377</c:v>
                </c:pt>
                <c:pt idx="96">
                  <c:v>93.694167007317105</c:v>
                </c:pt>
                <c:pt idx="97">
                  <c:v>93.681093921460203</c:v>
                </c:pt>
                <c:pt idx="98">
                  <c:v>93.466792197117627</c:v>
                </c:pt>
                <c:pt idx="99">
                  <c:v>93.263516624931839</c:v>
                </c:pt>
                <c:pt idx="100">
                  <c:v>93.387109505170102</c:v>
                </c:pt>
                <c:pt idx="101">
                  <c:v>93.541128856073684</c:v>
                </c:pt>
                <c:pt idx="102">
                  <c:v>93.69864708846967</c:v>
                </c:pt>
                <c:pt idx="103">
                  <c:v>93.862794680740691</c:v>
                </c:pt>
                <c:pt idx="104">
                  <c:v>93.855993082661897</c:v>
                </c:pt>
                <c:pt idx="105">
                  <c:v>93.807775427262456</c:v>
                </c:pt>
                <c:pt idx="106">
                  <c:v>93.745609391786076</c:v>
                </c:pt>
                <c:pt idx="107">
                  <c:v>93.690587193408618</c:v>
                </c:pt>
                <c:pt idx="108">
                  <c:v>93.683577032120411</c:v>
                </c:pt>
                <c:pt idx="109">
                  <c:v>93.721907958408636</c:v>
                </c:pt>
                <c:pt idx="110">
                  <c:v>93.714150775187846</c:v>
                </c:pt>
                <c:pt idx="111">
                  <c:v>93.677806842743209</c:v>
                </c:pt>
                <c:pt idx="112">
                  <c:v>93.714123097613324</c:v>
                </c:pt>
                <c:pt idx="113">
                  <c:v>93.696375955971874</c:v>
                </c:pt>
                <c:pt idx="114">
                  <c:v>93.684268158325267</c:v>
                </c:pt>
                <c:pt idx="115">
                  <c:v>93.644004385968231</c:v>
                </c:pt>
                <c:pt idx="116">
                  <c:v>93.503049203854914</c:v>
                </c:pt>
                <c:pt idx="117">
                  <c:v>92.61828000460136</c:v>
                </c:pt>
                <c:pt idx="118">
                  <c:v>92.354992686569318</c:v>
                </c:pt>
                <c:pt idx="119">
                  <c:v>92.280861911253652</c:v>
                </c:pt>
                <c:pt idx="120">
                  <c:v>92.155663683472326</c:v>
                </c:pt>
                <c:pt idx="121">
                  <c:v>92.275665157360081</c:v>
                </c:pt>
                <c:pt idx="122">
                  <c:v>92.711184811923275</c:v>
                </c:pt>
                <c:pt idx="123">
                  <c:v>93.222114283926146</c:v>
                </c:pt>
                <c:pt idx="124">
                  <c:v>93.797053879077112</c:v>
                </c:pt>
                <c:pt idx="125">
                  <c:v>94.321000286516266</c:v>
                </c:pt>
                <c:pt idx="126">
                  <c:v>94.876425005287558</c:v>
                </c:pt>
                <c:pt idx="127">
                  <c:v>95.529369327818458</c:v>
                </c:pt>
                <c:pt idx="128">
                  <c:v>95.785532442450148</c:v>
                </c:pt>
                <c:pt idx="129">
                  <c:v>95.659836901912428</c:v>
                </c:pt>
                <c:pt idx="130">
                  <c:v>95.347940077971131</c:v>
                </c:pt>
                <c:pt idx="131">
                  <c:v>94.945797232629346</c:v>
                </c:pt>
                <c:pt idx="132">
                  <c:v>94.672671127698806</c:v>
                </c:pt>
                <c:pt idx="133">
                  <c:v>94.364354940013186</c:v>
                </c:pt>
                <c:pt idx="134">
                  <c:v>94.163504191404741</c:v>
                </c:pt>
                <c:pt idx="135">
                  <c:v>94.001525796794837</c:v>
                </c:pt>
                <c:pt idx="136">
                  <c:v>94.01034991309416</c:v>
                </c:pt>
                <c:pt idx="137">
                  <c:v>94.095624918262644</c:v>
                </c:pt>
                <c:pt idx="138">
                  <c:v>94.175372691792489</c:v>
                </c:pt>
                <c:pt idx="139">
                  <c:v>94.297766218412136</c:v>
                </c:pt>
                <c:pt idx="140">
                  <c:v>94.457837949442109</c:v>
                </c:pt>
                <c:pt idx="141">
                  <c:v>94.664767952887502</c:v>
                </c:pt>
                <c:pt idx="142">
                  <c:v>94.565571697020431</c:v>
                </c:pt>
                <c:pt idx="143">
                  <c:v>94.394852530836587</c:v>
                </c:pt>
                <c:pt idx="144">
                  <c:v>94.252327020976992</c:v>
                </c:pt>
                <c:pt idx="145">
                  <c:v>94.153786088234469</c:v>
                </c:pt>
                <c:pt idx="146">
                  <c:v>93.995742709226647</c:v>
                </c:pt>
                <c:pt idx="147">
                  <c:v>93.937436390914769</c:v>
                </c:pt>
                <c:pt idx="148">
                  <c:v>94.157405118019412</c:v>
                </c:pt>
                <c:pt idx="149">
                  <c:v>94.579720961720994</c:v>
                </c:pt>
                <c:pt idx="150">
                  <c:v>95.235981276230376</c:v>
                </c:pt>
                <c:pt idx="151">
                  <c:v>96.000296439149253</c:v>
                </c:pt>
                <c:pt idx="152">
                  <c:v>96.891221101458996</c:v>
                </c:pt>
                <c:pt idx="153">
                  <c:v>97.969505146283566</c:v>
                </c:pt>
                <c:pt idx="154">
                  <c:v>99.006412579553896</c:v>
                </c:pt>
                <c:pt idx="155">
                  <c:v>99.997524095610501</c:v>
                </c:pt>
                <c:pt idx="156">
                  <c:v>100.55517547272522</c:v>
                </c:pt>
                <c:pt idx="157">
                  <c:v>100.70018478578824</c:v>
                </c:pt>
                <c:pt idx="158">
                  <c:v>101.03014713626177</c:v>
                </c:pt>
                <c:pt idx="159">
                  <c:v>101.06418300300169</c:v>
                </c:pt>
                <c:pt idx="160">
                  <c:v>101.11272139514757</c:v>
                </c:pt>
                <c:pt idx="161">
                  <c:v>101.66685312245517</c:v>
                </c:pt>
                <c:pt idx="162">
                  <c:v>101.52483451045143</c:v>
                </c:pt>
                <c:pt idx="163">
                  <c:v>101.39894069415696</c:v>
                </c:pt>
                <c:pt idx="164">
                  <c:v>101.35610091638303</c:v>
                </c:pt>
                <c:pt idx="165">
                  <c:v>100.48850365678742</c:v>
                </c:pt>
                <c:pt idx="166">
                  <c:v>99.523593018535152</c:v>
                </c:pt>
                <c:pt idx="167">
                  <c:v>99.375355988861926</c:v>
                </c:pt>
                <c:pt idx="168">
                  <c:v>99.203393969116107</c:v>
                </c:pt>
                <c:pt idx="169">
                  <c:v>99.162249535557564</c:v>
                </c:pt>
                <c:pt idx="170">
                  <c:v>99.262147991846632</c:v>
                </c:pt>
                <c:pt idx="171">
                  <c:v>99.313510083263949</c:v>
                </c:pt>
                <c:pt idx="172">
                  <c:v>99.392315168483975</c:v>
                </c:pt>
                <c:pt idx="173">
                  <c:v>99.514322807613226</c:v>
                </c:pt>
                <c:pt idx="174">
                  <c:v>99.629417187727256</c:v>
                </c:pt>
                <c:pt idx="175">
                  <c:v>99.641805913558954</c:v>
                </c:pt>
                <c:pt idx="176">
                  <c:v>99.717977198050122</c:v>
                </c:pt>
                <c:pt idx="177">
                  <c:v>99.805550656935878</c:v>
                </c:pt>
                <c:pt idx="178">
                  <c:v>99.646383145508509</c:v>
                </c:pt>
                <c:pt idx="179">
                  <c:v>99.477720168966684</c:v>
                </c:pt>
                <c:pt idx="180">
                  <c:v>99.358618499284134</c:v>
                </c:pt>
                <c:pt idx="181">
                  <c:v>99.155538926727459</c:v>
                </c:pt>
                <c:pt idx="182">
                  <c:v>99.141351941161702</c:v>
                </c:pt>
                <c:pt idx="183">
                  <c:v>99.245758214298505</c:v>
                </c:pt>
                <c:pt idx="184">
                  <c:v>99.287412218824713</c:v>
                </c:pt>
                <c:pt idx="185">
                  <c:v>99.246289210260898</c:v>
                </c:pt>
                <c:pt idx="186">
                  <c:v>99.482244418031684</c:v>
                </c:pt>
                <c:pt idx="187">
                  <c:v>99.397074125320216</c:v>
                </c:pt>
                <c:pt idx="188">
                  <c:v>99.509020838415054</c:v>
                </c:pt>
                <c:pt idx="189">
                  <c:v>99.652622114139746</c:v>
                </c:pt>
                <c:pt idx="190">
                  <c:v>99.576855864195053</c:v>
                </c:pt>
                <c:pt idx="191">
                  <c:v>99.639450234892635</c:v>
                </c:pt>
                <c:pt idx="192">
                  <c:v>99.58199292162773</c:v>
                </c:pt>
                <c:pt idx="193">
                  <c:v>99.710853677059774</c:v>
                </c:pt>
                <c:pt idx="194">
                  <c:v>99.734399469735479</c:v>
                </c:pt>
                <c:pt idx="195">
                  <c:v>99.365618623410811</c:v>
                </c:pt>
                <c:pt idx="196">
                  <c:v>98.756976202060926</c:v>
                </c:pt>
                <c:pt idx="197">
                  <c:v>98.152302933877635</c:v>
                </c:pt>
                <c:pt idx="198">
                  <c:v>97.776952600494752</c:v>
                </c:pt>
                <c:pt idx="199">
                  <c:v>97.465291432084555</c:v>
                </c:pt>
                <c:pt idx="200">
                  <c:v>96.983589191580791</c:v>
                </c:pt>
                <c:pt idx="201">
                  <c:v>96.847825108233792</c:v>
                </c:pt>
                <c:pt idx="202">
                  <c:v>96.900860243185448</c:v>
                </c:pt>
                <c:pt idx="203">
                  <c:v>97.183809338636337</c:v>
                </c:pt>
                <c:pt idx="204">
                  <c:v>97.499050636617767</c:v>
                </c:pt>
                <c:pt idx="205">
                  <c:v>97.941940553742725</c:v>
                </c:pt>
                <c:pt idx="206">
                  <c:v>98.340500755144433</c:v>
                </c:pt>
                <c:pt idx="207">
                  <c:v>98.955626842020777</c:v>
                </c:pt>
                <c:pt idx="208">
                  <c:v>99.774591733930123</c:v>
                </c:pt>
                <c:pt idx="209">
                  <c:v>100.77303235892148</c:v>
                </c:pt>
                <c:pt idx="210">
                  <c:v>102.35103825710786</c:v>
                </c:pt>
                <c:pt idx="211">
                  <c:v>104.57137670942225</c:v>
                </c:pt>
                <c:pt idx="212">
                  <c:v>105.30344238045294</c:v>
                </c:pt>
                <c:pt idx="213">
                  <c:v>106.53741450915314</c:v>
                </c:pt>
                <c:pt idx="214">
                  <c:v>108.30502491721076</c:v>
                </c:pt>
                <c:pt idx="215">
                  <c:v>109.41471476840748</c:v>
                </c:pt>
                <c:pt idx="216">
                  <c:v>110.00533635142781</c:v>
                </c:pt>
                <c:pt idx="217">
                  <c:v>110.37878305477767</c:v>
                </c:pt>
                <c:pt idx="218">
                  <c:v>110.44993299197444</c:v>
                </c:pt>
                <c:pt idx="219">
                  <c:v>110.28057220044872</c:v>
                </c:pt>
                <c:pt idx="220">
                  <c:v>110.17123481871099</c:v>
                </c:pt>
                <c:pt idx="221">
                  <c:v>110.0651337080498</c:v>
                </c:pt>
                <c:pt idx="222">
                  <c:v>110.07243484940471</c:v>
                </c:pt>
                <c:pt idx="223">
                  <c:v>110.0050826570024</c:v>
                </c:pt>
                <c:pt idx="224">
                  <c:v>109.96098380782655</c:v>
                </c:pt>
                <c:pt idx="225">
                  <c:v>110.00609122922614</c:v>
                </c:pt>
                <c:pt idx="226">
                  <c:v>109.71174941486805</c:v>
                </c:pt>
                <c:pt idx="227">
                  <c:v>109.07490583076327</c:v>
                </c:pt>
                <c:pt idx="228">
                  <c:v>108.64775422986622</c:v>
                </c:pt>
                <c:pt idx="229">
                  <c:v>108.39409137734683</c:v>
                </c:pt>
                <c:pt idx="230">
                  <c:v>108.13374586299294</c:v>
                </c:pt>
                <c:pt idx="231">
                  <c:v>108.0490110677694</c:v>
                </c:pt>
                <c:pt idx="232">
                  <c:v>107.976289130506</c:v>
                </c:pt>
                <c:pt idx="233">
                  <c:v>108.21001158700996</c:v>
                </c:pt>
                <c:pt idx="234">
                  <c:v>108.76684470156543</c:v>
                </c:pt>
                <c:pt idx="235">
                  <c:v>109.26656733130537</c:v>
                </c:pt>
                <c:pt idx="236">
                  <c:v>109.80042210188734</c:v>
                </c:pt>
                <c:pt idx="237">
                  <c:v>110.22668637121383</c:v>
                </c:pt>
                <c:pt idx="238">
                  <c:v>110.84490716898257</c:v>
                </c:pt>
                <c:pt idx="239">
                  <c:v>111.66683996902026</c:v>
                </c:pt>
                <c:pt idx="240">
                  <c:v>111.71911558925002</c:v>
                </c:pt>
                <c:pt idx="241">
                  <c:v>111.31076054295897</c:v>
                </c:pt>
                <c:pt idx="242">
                  <c:v>110.99751800695662</c:v>
                </c:pt>
                <c:pt idx="243">
                  <c:v>111.50738829609331</c:v>
                </c:pt>
                <c:pt idx="244">
                  <c:v>111.51311505879136</c:v>
                </c:pt>
                <c:pt idx="245">
                  <c:v>111.95128709403366</c:v>
                </c:pt>
                <c:pt idx="246">
                  <c:v>112.22341716532306</c:v>
                </c:pt>
                <c:pt idx="247">
                  <c:v>112.16298040010795</c:v>
                </c:pt>
                <c:pt idx="248">
                  <c:v>111.65898014019081</c:v>
                </c:pt>
                <c:pt idx="249">
                  <c:v>111.49644141936717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74-4F01-A62E-9994C954A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7605311"/>
        <c:axId val="687606751"/>
      </c:lineChart>
      <c:dateAx>
        <c:axId val="687605311"/>
        <c:scaling>
          <c:orientation val="minMax"/>
          <c:min val="459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06751"/>
        <c:crosses val="autoZero"/>
        <c:auto val="1"/>
        <c:lblOffset val="100"/>
        <c:baseTimeUnit val="days"/>
      </c:dateAx>
      <c:valAx>
        <c:axId val="687606751"/>
        <c:scaling>
          <c:orientation val="minMax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05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Data!$AA$1</c:f>
              <c:strCache>
                <c:ptCount val="1"/>
                <c:pt idx="0">
                  <c:v>Histogram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Data!$AA$2:$AA$251</c:f>
              <c:numCache>
                <c:formatCode>General</c:formatCode>
                <c:ptCount val="250"/>
                <c:pt idx="35">
                  <c:v>0.64709712778609907</c:v>
                </c:pt>
                <c:pt idx="36">
                  <c:v>0.93614618848052</c:v>
                </c:pt>
                <c:pt idx="37">
                  <c:v>1.2334083427170066</c:v>
                </c:pt>
                <c:pt idx="38">
                  <c:v>1.5008315518455739</c:v>
                </c:pt>
                <c:pt idx="39">
                  <c:v>1.5604433073753474</c:v>
                </c:pt>
                <c:pt idx="40">
                  <c:v>1.3542096761832425</c:v>
                </c:pt>
                <c:pt idx="41">
                  <c:v>1.2960368597893399</c:v>
                </c:pt>
                <c:pt idx="42">
                  <c:v>1.149519113450777</c:v>
                </c:pt>
                <c:pt idx="43">
                  <c:v>1.1600965997448252</c:v>
                </c:pt>
                <c:pt idx="44">
                  <c:v>1.1172445935931985</c:v>
                </c:pt>
                <c:pt idx="45">
                  <c:v>1.0897435643653806</c:v>
                </c:pt>
                <c:pt idx="46">
                  <c:v>0.96679934143256985</c:v>
                </c:pt>
                <c:pt idx="47">
                  <c:v>0.84443412594624234</c:v>
                </c:pt>
                <c:pt idx="48">
                  <c:v>0.77095595975453568</c:v>
                </c:pt>
                <c:pt idx="49">
                  <c:v>0.75510282015813279</c:v>
                </c:pt>
                <c:pt idx="50">
                  <c:v>0.70746939954580368</c:v>
                </c:pt>
                <c:pt idx="51">
                  <c:v>0.71610611453495743</c:v>
                </c:pt>
                <c:pt idx="52">
                  <c:v>0.70942553432441136</c:v>
                </c:pt>
                <c:pt idx="53">
                  <c:v>0.60508563019500428</c:v>
                </c:pt>
                <c:pt idx="54">
                  <c:v>0.51127203509599739</c:v>
                </c:pt>
                <c:pt idx="55">
                  <c:v>0.32059502264211104</c:v>
                </c:pt>
                <c:pt idx="56">
                  <c:v>0.12250498794594589</c:v>
                </c:pt>
                <c:pt idx="57">
                  <c:v>-2.2901320953189197E-2</c:v>
                </c:pt>
                <c:pt idx="58">
                  <c:v>-0.18504775288409481</c:v>
                </c:pt>
                <c:pt idx="59">
                  <c:v>-0.23261667631685956</c:v>
                </c:pt>
                <c:pt idx="60">
                  <c:v>-0.29660607438833697</c:v>
                </c:pt>
                <c:pt idx="61">
                  <c:v>-0.21560918937291351</c:v>
                </c:pt>
                <c:pt idx="62">
                  <c:v>-0.17576578884086391</c:v>
                </c:pt>
                <c:pt idx="63">
                  <c:v>-0.17616817897850368</c:v>
                </c:pt>
                <c:pt idx="64">
                  <c:v>-0.26838178115494049</c:v>
                </c:pt>
                <c:pt idx="65">
                  <c:v>-0.35717381906800716</c:v>
                </c:pt>
                <c:pt idx="66">
                  <c:v>-0.3802785159816704</c:v>
                </c:pt>
                <c:pt idx="67">
                  <c:v>-0.30716508111224683</c:v>
                </c:pt>
                <c:pt idx="68">
                  <c:v>-0.27770852984515515</c:v>
                </c:pt>
                <c:pt idx="69">
                  <c:v>-0.26376294186001026</c:v>
                </c:pt>
                <c:pt idx="70">
                  <c:v>-0.14735011851150981</c:v>
                </c:pt>
                <c:pt idx="71">
                  <c:v>-8.8555973706081481E-3</c:v>
                </c:pt>
                <c:pt idx="72">
                  <c:v>8.2632538594330951E-2</c:v>
                </c:pt>
                <c:pt idx="73">
                  <c:v>8.6066849854574023E-2</c:v>
                </c:pt>
                <c:pt idx="74">
                  <c:v>-1.4566890856986703E-2</c:v>
                </c:pt>
                <c:pt idx="75">
                  <c:v>-0.11768398510704681</c:v>
                </c:pt>
                <c:pt idx="76">
                  <c:v>-0.18668950116960781</c:v>
                </c:pt>
                <c:pt idx="77">
                  <c:v>-0.23729159758050666</c:v>
                </c:pt>
                <c:pt idx="78">
                  <c:v>-0.36187185873386474</c:v>
                </c:pt>
                <c:pt idx="79">
                  <c:v>-0.49036500293889396</c:v>
                </c:pt>
                <c:pt idx="80">
                  <c:v>-0.57644295744489105</c:v>
                </c:pt>
                <c:pt idx="81">
                  <c:v>-0.61479347473536561</c:v>
                </c:pt>
                <c:pt idx="82">
                  <c:v>-0.61279777981685668</c:v>
                </c:pt>
                <c:pt idx="83">
                  <c:v>-0.52806224409114133</c:v>
                </c:pt>
                <c:pt idx="84">
                  <c:v>-0.38258003909049521</c:v>
                </c:pt>
                <c:pt idx="85">
                  <c:v>-0.15982872098514633</c:v>
                </c:pt>
                <c:pt idx="86">
                  <c:v>-3.3439453109053892E-3</c:v>
                </c:pt>
                <c:pt idx="87">
                  <c:v>4.788930885049239E-2</c:v>
                </c:pt>
                <c:pt idx="88">
                  <c:v>-1.5507647843101061E-3</c:v>
                </c:pt>
                <c:pt idx="89">
                  <c:v>4.7410317853077137E-2</c:v>
                </c:pt>
                <c:pt idx="90">
                  <c:v>0.10814758910890898</c:v>
                </c:pt>
                <c:pt idx="91">
                  <c:v>0.16964462570282349</c:v>
                </c:pt>
                <c:pt idx="92">
                  <c:v>0.15844618423544202</c:v>
                </c:pt>
                <c:pt idx="93">
                  <c:v>0.18997791143508308</c:v>
                </c:pt>
                <c:pt idx="94">
                  <c:v>0.26152237651824939</c:v>
                </c:pt>
                <c:pt idx="95">
                  <c:v>0.14639210164597688</c:v>
                </c:pt>
                <c:pt idx="96">
                  <c:v>4.6318352660117967E-2</c:v>
                </c:pt>
                <c:pt idx="97">
                  <c:v>-0.14575329377809496</c:v>
                </c:pt>
                <c:pt idx="98">
                  <c:v>-0.28999820662664511</c:v>
                </c:pt>
                <c:pt idx="99">
                  <c:v>-0.27861922673606315</c:v>
                </c:pt>
                <c:pt idx="100">
                  <c:v>-0.28261694612179544</c:v>
                </c:pt>
                <c:pt idx="101">
                  <c:v>-0.28582612490123749</c:v>
                </c:pt>
                <c:pt idx="102">
                  <c:v>-0.27623419620819295</c:v>
                </c:pt>
                <c:pt idx="103">
                  <c:v>-0.25721565921612605</c:v>
                </c:pt>
                <c:pt idx="104">
                  <c:v>-0.19057978526534244</c:v>
                </c:pt>
                <c:pt idx="105">
                  <c:v>-0.12523685183183508</c:v>
                </c:pt>
                <c:pt idx="106">
                  <c:v>-8.6180435228850605E-2</c:v>
                </c:pt>
                <c:pt idx="107">
                  <c:v>4.1103761888765522E-3</c:v>
                </c:pt>
                <c:pt idx="108">
                  <c:v>0.11858046859863425</c:v>
                </c:pt>
                <c:pt idx="109">
                  <c:v>0.19534779104552413</c:v>
                </c:pt>
                <c:pt idx="110">
                  <c:v>0.2810284856927211</c:v>
                </c:pt>
                <c:pt idx="111">
                  <c:v>0.27399007582142076</c:v>
                </c:pt>
                <c:pt idx="112">
                  <c:v>0.28069557389001509</c:v>
                </c:pt>
                <c:pt idx="113">
                  <c:v>0.30268233156886087</c:v>
                </c:pt>
                <c:pt idx="114">
                  <c:v>0.37005705194775423</c:v>
                </c:pt>
                <c:pt idx="115">
                  <c:v>0.3734363629177555</c:v>
                </c:pt>
                <c:pt idx="116">
                  <c:v>0.61200678932325248</c:v>
                </c:pt>
                <c:pt idx="117">
                  <c:v>0.7103115294566289</c:v>
                </c:pt>
                <c:pt idx="118">
                  <c:v>0.76817322850202752</c:v>
                </c:pt>
                <c:pt idx="119">
                  <c:v>0.76973674269103642</c:v>
                </c:pt>
                <c:pt idx="120">
                  <c:v>0.70163028900642432</c:v>
                </c:pt>
                <c:pt idx="121">
                  <c:v>0.44377016462210039</c:v>
                </c:pt>
                <c:pt idx="122">
                  <c:v>0.23838811033190743</c:v>
                </c:pt>
                <c:pt idx="123">
                  <c:v>3.0810884336241573E-2</c:v>
                </c:pt>
                <c:pt idx="124">
                  <c:v>-6.8413536885514326E-2</c:v>
                </c:pt>
                <c:pt idx="125">
                  <c:v>-0.1013870258273406</c:v>
                </c:pt>
                <c:pt idx="126">
                  <c:v>-4.6841919558998413E-2</c:v>
                </c:pt>
                <c:pt idx="127">
                  <c:v>-0.31608047560816743</c:v>
                </c:pt>
                <c:pt idx="128">
                  <c:v>-0.55134054703643764</c:v>
                </c:pt>
                <c:pt idx="129">
                  <c:v>-0.72810168863989488</c:v>
                </c:pt>
                <c:pt idx="130">
                  <c:v>-0.81004616096165516</c:v>
                </c:pt>
                <c:pt idx="131">
                  <c:v>-0.82322857498865631</c:v>
                </c:pt>
                <c:pt idx="132">
                  <c:v>-0.79074491464831043</c:v>
                </c:pt>
                <c:pt idx="133">
                  <c:v>-0.67593238552658153</c:v>
                </c:pt>
                <c:pt idx="134">
                  <c:v>-0.51399579228949699</c:v>
                </c:pt>
                <c:pt idx="135">
                  <c:v>-0.28389151408476138</c:v>
                </c:pt>
                <c:pt idx="136">
                  <c:v>-2.8858218258418084E-2</c:v>
                </c:pt>
                <c:pt idx="137">
                  <c:v>0.10660487189316184</c:v>
                </c:pt>
                <c:pt idx="138">
                  <c:v>0.29954018425342555</c:v>
                </c:pt>
                <c:pt idx="139">
                  <c:v>0.40538218319795349</c:v>
                </c:pt>
                <c:pt idx="140">
                  <c:v>0.32954803547979405</c:v>
                </c:pt>
                <c:pt idx="141">
                  <c:v>0.40599581831391296</c:v>
                </c:pt>
                <c:pt idx="142">
                  <c:v>0.48361336998760962</c:v>
                </c:pt>
                <c:pt idx="143">
                  <c:v>0.5159497122536898</c:v>
                </c:pt>
                <c:pt idx="144">
                  <c:v>0.48703928945659802</c:v>
                </c:pt>
                <c:pt idx="145">
                  <c:v>0.4916218354173405</c:v>
                </c:pt>
                <c:pt idx="146">
                  <c:v>0.41883354608667633</c:v>
                </c:pt>
                <c:pt idx="147">
                  <c:v>0.26212119385773081</c:v>
                </c:pt>
                <c:pt idx="148">
                  <c:v>0.17274364643874984</c:v>
                </c:pt>
                <c:pt idx="149">
                  <c:v>7.9445896779193559E-2</c:v>
                </c:pt>
                <c:pt idx="150">
                  <c:v>2.0947797784562683E-2</c:v>
                </c:pt>
                <c:pt idx="151">
                  <c:v>-5.6997885902736467E-3</c:v>
                </c:pt>
                <c:pt idx="152">
                  <c:v>-2.4375898621709968E-2</c:v>
                </c:pt>
                <c:pt idx="153">
                  <c:v>-4.914640768729206E-2</c:v>
                </c:pt>
                <c:pt idx="154">
                  <c:v>-7.2497182549309813E-2</c:v>
                </c:pt>
                <c:pt idx="155">
                  <c:v>-0.16249185049315185</c:v>
                </c:pt>
                <c:pt idx="156">
                  <c:v>-0.23556276090831529</c:v>
                </c:pt>
                <c:pt idx="157">
                  <c:v>-0.25345366671758118</c:v>
                </c:pt>
                <c:pt idx="158">
                  <c:v>-0.21865067904090418</c:v>
                </c:pt>
                <c:pt idx="159">
                  <c:v>-0.15788985051838056</c:v>
                </c:pt>
                <c:pt idx="160">
                  <c:v>-0.13984401452668793</c:v>
                </c:pt>
                <c:pt idx="161">
                  <c:v>-0.19961432248773048</c:v>
                </c:pt>
                <c:pt idx="162">
                  <c:v>-0.22798886562005494</c:v>
                </c:pt>
                <c:pt idx="163">
                  <c:v>-0.22127636901322445</c:v>
                </c:pt>
                <c:pt idx="164">
                  <c:v>0.11454342075674084</c:v>
                </c:pt>
                <c:pt idx="165">
                  <c:v>0.43009222940851966</c:v>
                </c:pt>
                <c:pt idx="166">
                  <c:v>0.43589235512945712</c:v>
                </c:pt>
                <c:pt idx="167">
                  <c:v>0.49003394397817868</c:v>
                </c:pt>
                <c:pt idx="168">
                  <c:v>0.44671367954518004</c:v>
                </c:pt>
                <c:pt idx="169">
                  <c:v>0.3339863330607471</c:v>
                </c:pt>
                <c:pt idx="170">
                  <c:v>0.29458501523031133</c:v>
                </c:pt>
                <c:pt idx="171">
                  <c:v>0.22595589836788599</c:v>
                </c:pt>
                <c:pt idx="172">
                  <c:v>0.11592477365514942</c:v>
                </c:pt>
                <c:pt idx="173">
                  <c:v>-7.9008370576902909E-2</c:v>
                </c:pt>
                <c:pt idx="174">
                  <c:v>-0.29123059670045182</c:v>
                </c:pt>
                <c:pt idx="175">
                  <c:v>-0.46484804954224668</c:v>
                </c:pt>
                <c:pt idx="176">
                  <c:v>-0.57347550325608199</c:v>
                </c:pt>
                <c:pt idx="177">
                  <c:v>-0.68669747161637085</c:v>
                </c:pt>
                <c:pt idx="178">
                  <c:v>-0.70212499845843113</c:v>
                </c:pt>
                <c:pt idx="179">
                  <c:v>-0.63661707337264573</c:v>
                </c:pt>
                <c:pt idx="180">
                  <c:v>-0.61681357204399612</c:v>
                </c:pt>
                <c:pt idx="181">
                  <c:v>-0.56083316699281438</c:v>
                </c:pt>
                <c:pt idx="182">
                  <c:v>-0.43916174798260355</c:v>
                </c:pt>
                <c:pt idx="183">
                  <c:v>-0.35061682937244509</c:v>
                </c:pt>
                <c:pt idx="184">
                  <c:v>-0.21073448377351564</c:v>
                </c:pt>
                <c:pt idx="185">
                  <c:v>-0.11062140778845567</c:v>
                </c:pt>
                <c:pt idx="186">
                  <c:v>-9.7866801281871696E-2</c:v>
                </c:pt>
                <c:pt idx="187">
                  <c:v>-8.6705512735310408E-2</c:v>
                </c:pt>
                <c:pt idx="188">
                  <c:v>-4.3106996981523982E-2</c:v>
                </c:pt>
                <c:pt idx="189">
                  <c:v>-0.11091456985081088</c:v>
                </c:pt>
                <c:pt idx="190">
                  <c:v>-0.19496416123975402</c:v>
                </c:pt>
                <c:pt idx="191">
                  <c:v>0.18024903864257924</c:v>
                </c:pt>
                <c:pt idx="192">
                  <c:v>0.29419070567857408</c:v>
                </c:pt>
                <c:pt idx="193">
                  <c:v>0.27155226882797506</c:v>
                </c:pt>
                <c:pt idx="194">
                  <c:v>0.43191007860966713</c:v>
                </c:pt>
                <c:pt idx="195">
                  <c:v>0.64396892114415794</c:v>
                </c:pt>
                <c:pt idx="196">
                  <c:v>0.83181457098937162</c:v>
                </c:pt>
                <c:pt idx="197">
                  <c:v>0.96785191882437882</c:v>
                </c:pt>
                <c:pt idx="198">
                  <c:v>1.0531451208546279</c:v>
                </c:pt>
                <c:pt idx="199">
                  <c:v>1.1712371174971887</c:v>
                </c:pt>
                <c:pt idx="200">
                  <c:v>1.2008329670812743</c:v>
                </c:pt>
                <c:pt idx="201">
                  <c:v>1.1604619153580233</c:v>
                </c:pt>
                <c:pt idx="202">
                  <c:v>0.95956020703026423</c:v>
                </c:pt>
                <c:pt idx="203">
                  <c:v>0.86102943549625444</c:v>
                </c:pt>
                <c:pt idx="204">
                  <c:v>0.61416176579260018</c:v>
                </c:pt>
                <c:pt idx="205">
                  <c:v>0.5551713556689819</c:v>
                </c:pt>
                <c:pt idx="206">
                  <c:v>0.54173730899079242</c:v>
                </c:pt>
                <c:pt idx="207">
                  <c:v>0.48676536080174859</c:v>
                </c:pt>
                <c:pt idx="208">
                  <c:v>0.31435675513587924</c:v>
                </c:pt>
                <c:pt idx="209">
                  <c:v>0.17940902780404988</c:v>
                </c:pt>
                <c:pt idx="210">
                  <c:v>6.3214263814934668E-3</c:v>
                </c:pt>
                <c:pt idx="211">
                  <c:v>-0.15863801998377491</c:v>
                </c:pt>
                <c:pt idx="212">
                  <c:v>-0.39181866765472284</c:v>
                </c:pt>
                <c:pt idx="213">
                  <c:v>-0.65081323394668233</c:v>
                </c:pt>
                <c:pt idx="214">
                  <c:v>-0.75712663639163003</c:v>
                </c:pt>
                <c:pt idx="215">
                  <c:v>-0.79745791929113752</c:v>
                </c:pt>
                <c:pt idx="216">
                  <c:v>-0.75038142942488872</c:v>
                </c:pt>
                <c:pt idx="217">
                  <c:v>-0.73862172662854664</c:v>
                </c:pt>
                <c:pt idx="218">
                  <c:v>-0.74154913011576218</c:v>
                </c:pt>
                <c:pt idx="219">
                  <c:v>-0.63313767278851119</c:v>
                </c:pt>
                <c:pt idx="220">
                  <c:v>-0.54852596274733156</c:v>
                </c:pt>
                <c:pt idx="221">
                  <c:v>-0.37480308204375001</c:v>
                </c:pt>
                <c:pt idx="222">
                  <c:v>-0.36088704177771724</c:v>
                </c:pt>
                <c:pt idx="223">
                  <c:v>-0.32132100266192221</c:v>
                </c:pt>
                <c:pt idx="224">
                  <c:v>-0.19618219594115427</c:v>
                </c:pt>
                <c:pt idx="225">
                  <c:v>0.10283809393114951</c:v>
                </c:pt>
                <c:pt idx="226">
                  <c:v>0.42792585526937765</c:v>
                </c:pt>
                <c:pt idx="227">
                  <c:v>0.57838936654967377</c:v>
                </c:pt>
                <c:pt idx="228">
                  <c:v>0.57701078348938051</c:v>
                </c:pt>
                <c:pt idx="229">
                  <c:v>0.56473333019145766</c:v>
                </c:pt>
                <c:pt idx="230">
                  <c:v>0.44989281998256181</c:v>
                </c:pt>
                <c:pt idx="231">
                  <c:v>0.38042347390885123</c:v>
                </c:pt>
                <c:pt idx="232">
                  <c:v>0.20304402327205007</c:v>
                </c:pt>
                <c:pt idx="233">
                  <c:v>5.812361442794467E-2</c:v>
                </c:pt>
                <c:pt idx="234">
                  <c:v>-5.8349427391735764E-2</c:v>
                </c:pt>
                <c:pt idx="235">
                  <c:v>-0.18968228614369598</c:v>
                </c:pt>
                <c:pt idx="236">
                  <c:v>-0.30195215143454801</c:v>
                </c:pt>
                <c:pt idx="237">
                  <c:v>-0.31848074662868808</c:v>
                </c:pt>
                <c:pt idx="238">
                  <c:v>-0.21661050942924009</c:v>
                </c:pt>
                <c:pt idx="239">
                  <c:v>0.15820166272651837</c:v>
                </c:pt>
                <c:pt idx="240">
                  <c:v>0.60303127189806038</c:v>
                </c:pt>
                <c:pt idx="241">
                  <c:v>0.85262597029238729</c:v>
                </c:pt>
                <c:pt idx="242">
                  <c:v>0.87866988920615707</c:v>
                </c:pt>
                <c:pt idx="243">
                  <c:v>1.0994621969942888</c:v>
                </c:pt>
                <c:pt idx="244">
                  <c:v>1.0198057792310182</c:v>
                </c:pt>
                <c:pt idx="245">
                  <c:v>0.74347447212914863</c:v>
                </c:pt>
                <c:pt idx="246">
                  <c:v>0.63682191379788078</c:v>
                </c:pt>
                <c:pt idx="247">
                  <c:v>0.81934962404720224</c:v>
                </c:pt>
                <c:pt idx="248">
                  <c:v>0.87685644973784882</c:v>
                </c:pt>
                <c:pt idx="249">
                  <c:v>-2.7991631286887086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20-4B11-A755-4B1CD06C4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834155727"/>
        <c:axId val="834168207"/>
      </c:barChart>
      <c:lineChart>
        <c:grouping val="standard"/>
        <c:varyColors val="0"/>
        <c:ser>
          <c:idx val="0"/>
          <c:order val="0"/>
          <c:tx>
            <c:strRef>
              <c:f>Data!$Y$1</c:f>
              <c:strCache>
                <c:ptCount val="1"/>
                <c:pt idx="0">
                  <c:v>MACD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Data!$Y$2:$Y$251</c:f>
              <c:numCache>
                <c:formatCode>General</c:formatCode>
                <c:ptCount val="250"/>
                <c:pt idx="25">
                  <c:v>-4.3934099225592149</c:v>
                </c:pt>
                <c:pt idx="26">
                  <c:v>-4.1837082831878831</c:v>
                </c:pt>
                <c:pt idx="27">
                  <c:v>-4.0100251380030869</c:v>
                </c:pt>
                <c:pt idx="28">
                  <c:v>-3.6176520169836124</c:v>
                </c:pt>
                <c:pt idx="29">
                  <c:v>-3.1860474120027362</c:v>
                </c:pt>
                <c:pt idx="30">
                  <c:v>-2.7373993891601316</c:v>
                </c:pt>
                <c:pt idx="31">
                  <c:v>-2.5541292927545669</c:v>
                </c:pt>
                <c:pt idx="32">
                  <c:v>-2.7061070885307714</c:v>
                </c:pt>
                <c:pt idx="33">
                  <c:v>-2.7432850528736026</c:v>
                </c:pt>
                <c:pt idx="34">
                  <c:v>-2.9038856226251255</c:v>
                </c:pt>
                <c:pt idx="35">
                  <c:v>-2.3735996231697669</c:v>
                </c:pt>
                <c:pt idx="36">
                  <c:v>-1.8505140153552162</c:v>
                </c:pt>
                <c:pt idx="37">
                  <c:v>-1.2448997754394782</c:v>
                </c:pt>
                <c:pt idx="38">
                  <c:v>-0.60226867834951747</c:v>
                </c:pt>
                <c:pt idx="39">
                  <c:v>-0.15254609597590729</c:v>
                </c:pt>
                <c:pt idx="40">
                  <c:v>-2.0227308122201748E-2</c:v>
                </c:pt>
                <c:pt idx="41">
                  <c:v>0.24560909043123047</c:v>
                </c:pt>
                <c:pt idx="42">
                  <c:v>0.38647112245536164</c:v>
                </c:pt>
                <c:pt idx="43">
                  <c:v>0.68707275868561624</c:v>
                </c:pt>
                <c:pt idx="44">
                  <c:v>0.92353190093228932</c:v>
                </c:pt>
                <c:pt idx="45">
                  <c:v>1.1684667627958163</c:v>
                </c:pt>
                <c:pt idx="46">
                  <c:v>1.2872223752211482</c:v>
                </c:pt>
                <c:pt idx="47">
                  <c:v>1.3759656912213813</c:v>
                </c:pt>
                <c:pt idx="48">
                  <c:v>1.4952265149683086</c:v>
                </c:pt>
                <c:pt idx="49">
                  <c:v>1.6681490804114389</c:v>
                </c:pt>
                <c:pt idx="50">
                  <c:v>1.7973830096855608</c:v>
                </c:pt>
                <c:pt idx="51">
                  <c:v>1.9850462533084539</c:v>
                </c:pt>
                <c:pt idx="52">
                  <c:v>2.1557220566790107</c:v>
                </c:pt>
                <c:pt idx="53">
                  <c:v>2.202653560098355</c:v>
                </c:pt>
                <c:pt idx="54">
                  <c:v>2.2366579737733474</c:v>
                </c:pt>
                <c:pt idx="55">
                  <c:v>2.1261297169799889</c:v>
                </c:pt>
                <c:pt idx="56">
                  <c:v>1.9586659292703104</c:v>
                </c:pt>
                <c:pt idx="57">
                  <c:v>1.8075342901328781</c:v>
                </c:pt>
                <c:pt idx="58">
                  <c:v>1.5991259199809491</c:v>
                </c:pt>
                <c:pt idx="59">
                  <c:v>1.4934028274689695</c:v>
                </c:pt>
                <c:pt idx="60">
                  <c:v>1.355261910800408</c:v>
                </c:pt>
                <c:pt idx="61">
                  <c:v>1.3823564984726033</c:v>
                </c:pt>
                <c:pt idx="62">
                  <c:v>1.3782584517944372</c:v>
                </c:pt>
                <c:pt idx="63">
                  <c:v>1.3338140169121715</c:v>
                </c:pt>
                <c:pt idx="64">
                  <c:v>1.1745049694469998</c:v>
                </c:pt>
                <c:pt idx="65">
                  <c:v>0.99641947676693121</c:v>
                </c:pt>
                <c:pt idx="66">
                  <c:v>0.87824515085785038</c:v>
                </c:pt>
                <c:pt idx="67">
                  <c:v>0.8745673154492124</c:v>
                </c:pt>
                <c:pt idx="68">
                  <c:v>0.83459673425501535</c:v>
                </c:pt>
                <c:pt idx="69">
                  <c:v>0.7826015867751579</c:v>
                </c:pt>
                <c:pt idx="70">
                  <c:v>0.86217688049578101</c:v>
                </c:pt>
                <c:pt idx="71">
                  <c:v>0.99845750229403052</c:v>
                </c:pt>
                <c:pt idx="72">
                  <c:v>1.1106037729075524</c:v>
                </c:pt>
                <c:pt idx="73">
                  <c:v>1.135554796631439</c:v>
                </c:pt>
                <c:pt idx="74">
                  <c:v>1.0312793332056316</c:v>
                </c:pt>
                <c:pt idx="75">
                  <c:v>0.89874124267880973</c:v>
                </c:pt>
                <c:pt idx="76">
                  <c:v>0.78306335132384675</c:v>
                </c:pt>
                <c:pt idx="77">
                  <c:v>0.6731383555178212</c:v>
                </c:pt>
                <c:pt idx="78">
                  <c:v>0.45809012968099694</c:v>
                </c:pt>
                <c:pt idx="79">
                  <c:v>0.2070057347412444</c:v>
                </c:pt>
                <c:pt idx="80">
                  <c:v>-2.3182959125975344E-2</c:v>
                </c:pt>
                <c:pt idx="81">
                  <c:v>-0.21523184510029125</c:v>
                </c:pt>
                <c:pt idx="82">
                  <c:v>-0.36643559513599655</c:v>
                </c:pt>
                <c:pt idx="83">
                  <c:v>-0.41371562043306653</c:v>
                </c:pt>
                <c:pt idx="84">
                  <c:v>-0.36387842520504421</c:v>
                </c:pt>
                <c:pt idx="85">
                  <c:v>-0.18108428734598192</c:v>
                </c:pt>
                <c:pt idx="86">
                  <c:v>-2.5435497999467316E-2</c:v>
                </c:pt>
                <c:pt idx="87">
                  <c:v>3.7770083374553565E-2</c:v>
                </c:pt>
                <c:pt idx="88">
                  <c:v>-1.2057681456326463E-2</c:v>
                </c:pt>
                <c:pt idx="89">
                  <c:v>4.8755980644330066E-2</c:v>
                </c:pt>
                <c:pt idx="90">
                  <c:v>0.13653014917738915</c:v>
                </c:pt>
                <c:pt idx="91">
                  <c:v>0.24043834219700955</c:v>
                </c:pt>
                <c:pt idx="92">
                  <c:v>0.2688514467884886</c:v>
                </c:pt>
                <c:pt idx="93">
                  <c:v>0.34787765184690045</c:v>
                </c:pt>
                <c:pt idx="94">
                  <c:v>0.48480271105962913</c:v>
                </c:pt>
                <c:pt idx="95">
                  <c:v>0.40627046159885083</c:v>
                </c:pt>
                <c:pt idx="96">
                  <c:v>0.31777630077802144</c:v>
                </c:pt>
                <c:pt idx="97">
                  <c:v>8.9266330895284796E-2</c:v>
                </c:pt>
                <c:pt idx="98">
                  <c:v>-0.12747813360992666</c:v>
                </c:pt>
                <c:pt idx="99">
                  <c:v>-0.18575396040336045</c:v>
                </c:pt>
                <c:pt idx="100">
                  <c:v>-0.26040591631954157</c:v>
                </c:pt>
                <c:pt idx="101">
                  <c:v>-0.33507162632429299</c:v>
                </c:pt>
                <c:pt idx="102">
                  <c:v>-0.39453824668329673</c:v>
                </c:pt>
                <c:pt idx="103">
                  <c:v>-0.43982362449526136</c:v>
                </c:pt>
                <c:pt idx="104">
                  <c:v>-0.42083269686081337</c:v>
                </c:pt>
                <c:pt idx="105">
                  <c:v>-0.38679897638526484</c:v>
                </c:pt>
                <c:pt idx="106">
                  <c:v>-0.36928766858949302</c:v>
                </c:pt>
                <c:pt idx="107">
                  <c:v>-0.27796926312454673</c:v>
                </c:pt>
                <c:pt idx="108">
                  <c:v>-0.13385405356513047</c:v>
                </c:pt>
                <c:pt idx="109">
                  <c:v>-8.2497833568595524E-3</c:v>
                </c:pt>
                <c:pt idx="110">
                  <c:v>0.14768803271351771</c:v>
                </c:pt>
                <c:pt idx="111">
                  <c:v>0.20914714179757254</c:v>
                </c:pt>
                <c:pt idx="112">
                  <c:v>0.28602653333867067</c:v>
                </c:pt>
                <c:pt idx="113">
                  <c:v>0.38368387390973169</c:v>
                </c:pt>
                <c:pt idx="114">
                  <c:v>0.54357285727556359</c:v>
                </c:pt>
                <c:pt idx="115">
                  <c:v>0.64031125897500374</c:v>
                </c:pt>
                <c:pt idx="116">
                  <c:v>1.0318833827113139</c:v>
                </c:pt>
                <c:pt idx="117">
                  <c:v>1.3077660052088476</c:v>
                </c:pt>
                <c:pt idx="118">
                  <c:v>1.5576710113797532</c:v>
                </c:pt>
                <c:pt idx="119">
                  <c:v>1.7516687112415212</c:v>
                </c:pt>
                <c:pt idx="120">
                  <c:v>1.8589698298085153</c:v>
                </c:pt>
                <c:pt idx="121">
                  <c:v>1.7120522465797166</c:v>
                </c:pt>
                <c:pt idx="122">
                  <c:v>1.5662672198725005</c:v>
                </c:pt>
                <c:pt idx="123">
                  <c:v>1.3663927149608952</c:v>
                </c:pt>
                <c:pt idx="124">
                  <c:v>1.2500649095177607</c:v>
                </c:pt>
                <c:pt idx="125">
                  <c:v>1.1917446641190992</c:v>
                </c:pt>
                <c:pt idx="126">
                  <c:v>1.2345792904976918</c:v>
                </c:pt>
                <c:pt idx="127">
                  <c:v>0.88632061554648089</c:v>
                </c:pt>
                <c:pt idx="128">
                  <c:v>0.51322540735910138</c:v>
                </c:pt>
                <c:pt idx="129">
                  <c:v>0.15443884359567051</c:v>
                </c:pt>
                <c:pt idx="130">
                  <c:v>-0.1300171689665035</c:v>
                </c:pt>
                <c:pt idx="131">
                  <c:v>-0.34900672674066868</c:v>
                </c:pt>
                <c:pt idx="132">
                  <c:v>-0.51420929506240043</c:v>
                </c:pt>
                <c:pt idx="133">
                  <c:v>-0.56837986232231685</c:v>
                </c:pt>
                <c:pt idx="134">
                  <c:v>-0.53494221715760659</c:v>
                </c:pt>
                <c:pt idx="135">
                  <c:v>-0.37581081747406131</c:v>
                </c:pt>
                <c:pt idx="136">
                  <c:v>-0.12799207621232256</c:v>
                </c:pt>
                <c:pt idx="137">
                  <c:v>3.4122231912547818E-2</c:v>
                </c:pt>
                <c:pt idx="138">
                  <c:v>0.30194259033616788</c:v>
                </c:pt>
                <c:pt idx="139">
                  <c:v>0.50913013508018423</c:v>
                </c:pt>
                <c:pt idx="140">
                  <c:v>0.51568299623197333</c:v>
                </c:pt>
                <c:pt idx="141">
                  <c:v>0.69362973364457048</c:v>
                </c:pt>
                <c:pt idx="142">
                  <c:v>0.89215062781516963</c:v>
                </c:pt>
                <c:pt idx="143">
                  <c:v>1.0534743981446724</c:v>
                </c:pt>
                <c:pt idx="144">
                  <c:v>1.1463237977117302</c:v>
                </c:pt>
                <c:pt idx="145">
                  <c:v>1.2738118025268079</c:v>
                </c:pt>
                <c:pt idx="146">
                  <c:v>1.3057318997178129</c:v>
                </c:pt>
                <c:pt idx="147">
                  <c:v>1.2145498459533002</c:v>
                </c:pt>
                <c:pt idx="148">
                  <c:v>1.1683582101440066</c:v>
                </c:pt>
                <c:pt idx="149">
                  <c:v>1.0949219346792489</c:v>
                </c:pt>
                <c:pt idx="150">
                  <c:v>1.0416607851307589</c:v>
                </c:pt>
                <c:pt idx="151">
                  <c:v>1.0135882516083541</c:v>
                </c:pt>
                <c:pt idx="152">
                  <c:v>0.98881816692149016</c:v>
                </c:pt>
                <c:pt idx="153">
                  <c:v>0.95176105593408522</c:v>
                </c:pt>
                <c:pt idx="154">
                  <c:v>0.91028598543474004</c:v>
                </c:pt>
                <c:pt idx="155">
                  <c:v>0.77966835486760999</c:v>
                </c:pt>
                <c:pt idx="156">
                  <c:v>0.64770675422536783</c:v>
                </c:pt>
                <c:pt idx="157">
                  <c:v>0.56645243173670679</c:v>
                </c:pt>
                <c:pt idx="158">
                  <c:v>0.54659274965315774</c:v>
                </c:pt>
                <c:pt idx="159">
                  <c:v>0.56788111554608633</c:v>
                </c:pt>
                <c:pt idx="160">
                  <c:v>0.55096594790610709</c:v>
                </c:pt>
                <c:pt idx="161">
                  <c:v>0.44129205932313198</c:v>
                </c:pt>
                <c:pt idx="162">
                  <c:v>0.35592029978579376</c:v>
                </c:pt>
                <c:pt idx="163">
                  <c:v>0.30731370413931813</c:v>
                </c:pt>
                <c:pt idx="164">
                  <c:v>0.67176934909846864</c:v>
                </c:pt>
                <c:pt idx="165">
                  <c:v>1.0948412151023774</c:v>
                </c:pt>
                <c:pt idx="166">
                  <c:v>1.2096144296056792</c:v>
                </c:pt>
                <c:pt idx="167">
                  <c:v>1.3862645044489454</c:v>
                </c:pt>
                <c:pt idx="168">
                  <c:v>1.4546226599022418</c:v>
                </c:pt>
                <c:pt idx="169">
                  <c:v>1.4253918966829957</c:v>
                </c:pt>
                <c:pt idx="170">
                  <c:v>1.4596368326601379</c:v>
                </c:pt>
                <c:pt idx="171">
                  <c:v>1.4474966903896842</c:v>
                </c:pt>
                <c:pt idx="172">
                  <c:v>1.366446759090735</c:v>
                </c:pt>
                <c:pt idx="173">
                  <c:v>1.151761522214457</c:v>
                </c:pt>
                <c:pt idx="174">
                  <c:v>0.8667316469157953</c:v>
                </c:pt>
                <c:pt idx="175">
                  <c:v>0.57690218168843899</c:v>
                </c:pt>
                <c:pt idx="176">
                  <c:v>0.32490585216058321</c:v>
                </c:pt>
                <c:pt idx="177">
                  <c:v>4.0009515896201719E-2</c:v>
                </c:pt>
                <c:pt idx="178">
                  <c:v>-0.15094926056046631</c:v>
                </c:pt>
                <c:pt idx="179">
                  <c:v>-0.24459560381784229</c:v>
                </c:pt>
                <c:pt idx="180">
                  <c:v>-0.37899549550019174</c:v>
                </c:pt>
                <c:pt idx="181">
                  <c:v>-0.4632233821972136</c:v>
                </c:pt>
                <c:pt idx="182">
                  <c:v>-0.45134240018265359</c:v>
                </c:pt>
                <c:pt idx="183">
                  <c:v>-0.4504516889156065</c:v>
                </c:pt>
                <c:pt idx="184">
                  <c:v>-0.36325296426005593</c:v>
                </c:pt>
                <c:pt idx="185">
                  <c:v>-0.2907952402221099</c:v>
                </c:pt>
                <c:pt idx="186">
                  <c:v>-0.30250733403599384</c:v>
                </c:pt>
                <c:pt idx="187">
                  <c:v>-0.31302242367326016</c:v>
                </c:pt>
                <c:pt idx="188">
                  <c:v>-0.28020065716485476</c:v>
                </c:pt>
                <c:pt idx="189">
                  <c:v>-0.3757368724968444</c:v>
                </c:pt>
                <c:pt idx="190">
                  <c:v>-0.50852750419572601</c:v>
                </c:pt>
                <c:pt idx="191">
                  <c:v>-8.8252044652747941E-2</c:v>
                </c:pt>
                <c:pt idx="192">
                  <c:v>9.923729880289045E-2</c:v>
                </c:pt>
                <c:pt idx="193">
                  <c:v>0.14448692915928518</c:v>
                </c:pt>
                <c:pt idx="194">
                  <c:v>0.41282225859339405</c:v>
                </c:pt>
                <c:pt idx="195">
                  <c:v>0.78587333141392435</c:v>
                </c:pt>
                <c:pt idx="196">
                  <c:v>1.181672624006481</c:v>
                </c:pt>
                <c:pt idx="197">
                  <c:v>1.5596729515475829</c:v>
                </c:pt>
                <c:pt idx="198">
                  <c:v>1.908252433791489</c:v>
                </c:pt>
                <c:pt idx="199">
                  <c:v>2.3191537098083472</c:v>
                </c:pt>
                <c:pt idx="200">
                  <c:v>2.6489578011627515</c:v>
                </c:pt>
                <c:pt idx="201">
                  <c:v>2.8987022282790065</c:v>
                </c:pt>
                <c:pt idx="202">
                  <c:v>2.9376905717088135</c:v>
                </c:pt>
                <c:pt idx="203">
                  <c:v>3.0544171590488673</c:v>
                </c:pt>
                <c:pt idx="204">
                  <c:v>2.9610899307933636</c:v>
                </c:pt>
                <c:pt idx="205">
                  <c:v>3.0408923595869908</c:v>
                </c:pt>
                <c:pt idx="206">
                  <c:v>3.1628926401564996</c:v>
                </c:pt>
                <c:pt idx="207">
                  <c:v>3.2296120321678927</c:v>
                </c:pt>
                <c:pt idx="208">
                  <c:v>3.1357926152859932</c:v>
                </c:pt>
                <c:pt idx="209">
                  <c:v>3.0456971449051764</c:v>
                </c:pt>
                <c:pt idx="210">
                  <c:v>2.8741899000779938</c:v>
                </c:pt>
                <c:pt idx="211">
                  <c:v>2.6695709487167818</c:v>
                </c:pt>
                <c:pt idx="212">
                  <c:v>2.3384356341321535</c:v>
                </c:pt>
                <c:pt idx="213">
                  <c:v>1.9167377593535235</c:v>
                </c:pt>
                <c:pt idx="214">
                  <c:v>1.6211426978106687</c:v>
                </c:pt>
                <c:pt idx="215">
                  <c:v>1.3814469350883769</c:v>
                </c:pt>
                <c:pt idx="216">
                  <c:v>1.2409280675984036</c:v>
                </c:pt>
                <c:pt idx="217">
                  <c:v>1.0680323387376092</c:v>
                </c:pt>
                <c:pt idx="218">
                  <c:v>0.87971765272145319</c:v>
                </c:pt>
                <c:pt idx="219">
                  <c:v>0.8298446918515765</c:v>
                </c:pt>
                <c:pt idx="220">
                  <c:v>0.77732491120592329</c:v>
                </c:pt>
                <c:pt idx="221">
                  <c:v>0.85734702139856722</c:v>
                </c:pt>
                <c:pt idx="222">
                  <c:v>0.78104130122017068</c:v>
                </c:pt>
                <c:pt idx="223">
                  <c:v>0.74027708967048511</c:v>
                </c:pt>
                <c:pt idx="224">
                  <c:v>0.81637034740596448</c:v>
                </c:pt>
                <c:pt idx="225">
                  <c:v>1.1411001607610558</c:v>
                </c:pt>
                <c:pt idx="226">
                  <c:v>1.5731693859166285</c:v>
                </c:pt>
                <c:pt idx="227">
                  <c:v>1.868230238834343</c:v>
                </c:pt>
                <c:pt idx="228">
                  <c:v>2.0111043516463951</c:v>
                </c:pt>
                <c:pt idx="229">
                  <c:v>2.1400102308963369</c:v>
                </c:pt>
                <c:pt idx="230">
                  <c:v>2.1376429256830818</c:v>
                </c:pt>
                <c:pt idx="231">
                  <c:v>2.163279448086584</c:v>
                </c:pt>
                <c:pt idx="232">
                  <c:v>2.0366610032677954</c:v>
                </c:pt>
                <c:pt idx="233">
                  <c:v>1.9062714980306765</c:v>
                </c:pt>
                <c:pt idx="234">
                  <c:v>1.7752110993630623</c:v>
                </c:pt>
                <c:pt idx="235">
                  <c:v>1.5964576690751784</c:v>
                </c:pt>
                <c:pt idx="236">
                  <c:v>1.4086997659256895</c:v>
                </c:pt>
                <c:pt idx="237">
                  <c:v>1.3125509840743774</c:v>
                </c:pt>
                <c:pt idx="238">
                  <c:v>1.3602685939165156</c:v>
                </c:pt>
                <c:pt idx="239">
                  <c:v>1.7746311817539038</c:v>
                </c:pt>
                <c:pt idx="240">
                  <c:v>2.3702186088999611</c:v>
                </c:pt>
                <c:pt idx="241">
                  <c:v>2.8329697998673851</c:v>
                </c:pt>
                <c:pt idx="242">
                  <c:v>3.0786811910826941</c:v>
                </c:pt>
                <c:pt idx="243">
                  <c:v>3.5743390481193984</c:v>
                </c:pt>
                <c:pt idx="244">
                  <c:v>3.7496340751638826</c:v>
                </c:pt>
                <c:pt idx="245">
                  <c:v>3.6591713860943003</c:v>
                </c:pt>
                <c:pt idx="246">
                  <c:v>3.7117243062125027</c:v>
                </c:pt>
                <c:pt idx="247">
                  <c:v>4.0990894224736252</c:v>
                </c:pt>
                <c:pt idx="248">
                  <c:v>4.3758103605987344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20-4B11-A755-4B1CD06C4F28}"/>
            </c:ext>
          </c:extLst>
        </c:ser>
        <c:ser>
          <c:idx val="1"/>
          <c:order val="1"/>
          <c:tx>
            <c:strRef>
              <c:f>Data!$Z$1</c:f>
              <c:strCache>
                <c:ptCount val="1"/>
                <c:pt idx="0">
                  <c:v>Signal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Data!$B$2:$B$251</c:f>
              <c:numCache>
                <c:formatCode>m/d/yyyy</c:formatCode>
                <c:ptCount val="250"/>
                <c:pt idx="0">
                  <c:v>45706</c:v>
                </c:pt>
                <c:pt idx="1">
                  <c:v>45707</c:v>
                </c:pt>
                <c:pt idx="2">
                  <c:v>45708</c:v>
                </c:pt>
                <c:pt idx="3">
                  <c:v>45709</c:v>
                </c:pt>
                <c:pt idx="4">
                  <c:v>45712</c:v>
                </c:pt>
                <c:pt idx="5">
                  <c:v>45713</c:v>
                </c:pt>
                <c:pt idx="6">
                  <c:v>45714</c:v>
                </c:pt>
                <c:pt idx="7">
                  <c:v>45715</c:v>
                </c:pt>
                <c:pt idx="8">
                  <c:v>45716</c:v>
                </c:pt>
                <c:pt idx="9">
                  <c:v>45719</c:v>
                </c:pt>
                <c:pt idx="10">
                  <c:v>45720</c:v>
                </c:pt>
                <c:pt idx="11">
                  <c:v>45721</c:v>
                </c:pt>
                <c:pt idx="12">
                  <c:v>45722</c:v>
                </c:pt>
                <c:pt idx="13">
                  <c:v>45723</c:v>
                </c:pt>
                <c:pt idx="14">
                  <c:v>45726</c:v>
                </c:pt>
                <c:pt idx="15">
                  <c:v>45727</c:v>
                </c:pt>
                <c:pt idx="16">
                  <c:v>45728</c:v>
                </c:pt>
                <c:pt idx="17">
                  <c:v>45729</c:v>
                </c:pt>
                <c:pt idx="18">
                  <c:v>45730</c:v>
                </c:pt>
                <c:pt idx="19">
                  <c:v>45733</c:v>
                </c:pt>
                <c:pt idx="20">
                  <c:v>45734</c:v>
                </c:pt>
                <c:pt idx="21">
                  <c:v>45735</c:v>
                </c:pt>
                <c:pt idx="22">
                  <c:v>45736</c:v>
                </c:pt>
                <c:pt idx="23">
                  <c:v>45737</c:v>
                </c:pt>
                <c:pt idx="24">
                  <c:v>45740</c:v>
                </c:pt>
                <c:pt idx="25">
                  <c:v>45741</c:v>
                </c:pt>
                <c:pt idx="26">
                  <c:v>45742</c:v>
                </c:pt>
                <c:pt idx="27">
                  <c:v>45743</c:v>
                </c:pt>
                <c:pt idx="28">
                  <c:v>45744</c:v>
                </c:pt>
                <c:pt idx="29">
                  <c:v>45747</c:v>
                </c:pt>
                <c:pt idx="30">
                  <c:v>45748</c:v>
                </c:pt>
                <c:pt idx="31">
                  <c:v>45749</c:v>
                </c:pt>
                <c:pt idx="32">
                  <c:v>45750</c:v>
                </c:pt>
                <c:pt idx="33">
                  <c:v>45751</c:v>
                </c:pt>
                <c:pt idx="34">
                  <c:v>45754</c:v>
                </c:pt>
                <c:pt idx="35">
                  <c:v>45755</c:v>
                </c:pt>
                <c:pt idx="36">
                  <c:v>45756</c:v>
                </c:pt>
                <c:pt idx="37">
                  <c:v>45757</c:v>
                </c:pt>
                <c:pt idx="38">
                  <c:v>45758</c:v>
                </c:pt>
                <c:pt idx="39">
                  <c:v>45761</c:v>
                </c:pt>
                <c:pt idx="40">
                  <c:v>45762</c:v>
                </c:pt>
                <c:pt idx="41">
                  <c:v>45763</c:v>
                </c:pt>
                <c:pt idx="42">
                  <c:v>45764</c:v>
                </c:pt>
                <c:pt idx="43">
                  <c:v>45768</c:v>
                </c:pt>
                <c:pt idx="44">
                  <c:v>45769</c:v>
                </c:pt>
                <c:pt idx="45">
                  <c:v>45770</c:v>
                </c:pt>
                <c:pt idx="46">
                  <c:v>45771</c:v>
                </c:pt>
                <c:pt idx="47">
                  <c:v>45772</c:v>
                </c:pt>
                <c:pt idx="48">
                  <c:v>45775</c:v>
                </c:pt>
                <c:pt idx="49">
                  <c:v>45776</c:v>
                </c:pt>
                <c:pt idx="50">
                  <c:v>45777</c:v>
                </c:pt>
                <c:pt idx="51">
                  <c:v>45778</c:v>
                </c:pt>
                <c:pt idx="52">
                  <c:v>45779</c:v>
                </c:pt>
                <c:pt idx="53">
                  <c:v>45782</c:v>
                </c:pt>
                <c:pt idx="54">
                  <c:v>45783</c:v>
                </c:pt>
                <c:pt idx="55">
                  <c:v>45784</c:v>
                </c:pt>
                <c:pt idx="56">
                  <c:v>45785</c:v>
                </c:pt>
                <c:pt idx="57">
                  <c:v>45786</c:v>
                </c:pt>
                <c:pt idx="58">
                  <c:v>45789</c:v>
                </c:pt>
                <c:pt idx="59">
                  <c:v>45790</c:v>
                </c:pt>
                <c:pt idx="60">
                  <c:v>45791</c:v>
                </c:pt>
                <c:pt idx="61">
                  <c:v>45792</c:v>
                </c:pt>
                <c:pt idx="62">
                  <c:v>45793</c:v>
                </c:pt>
                <c:pt idx="63">
                  <c:v>45796</c:v>
                </c:pt>
                <c:pt idx="64">
                  <c:v>45797</c:v>
                </c:pt>
                <c:pt idx="65">
                  <c:v>45798</c:v>
                </c:pt>
                <c:pt idx="66">
                  <c:v>45799</c:v>
                </c:pt>
                <c:pt idx="67">
                  <c:v>45800</c:v>
                </c:pt>
                <c:pt idx="68">
                  <c:v>45804</c:v>
                </c:pt>
                <c:pt idx="69">
                  <c:v>45805</c:v>
                </c:pt>
                <c:pt idx="70">
                  <c:v>45806</c:v>
                </c:pt>
                <c:pt idx="71">
                  <c:v>45807</c:v>
                </c:pt>
                <c:pt idx="72">
                  <c:v>45810</c:v>
                </c:pt>
                <c:pt idx="73">
                  <c:v>45811</c:v>
                </c:pt>
                <c:pt idx="74">
                  <c:v>45812</c:v>
                </c:pt>
                <c:pt idx="75">
                  <c:v>45813</c:v>
                </c:pt>
                <c:pt idx="76">
                  <c:v>45814</c:v>
                </c:pt>
                <c:pt idx="77">
                  <c:v>45817</c:v>
                </c:pt>
                <c:pt idx="78">
                  <c:v>45818</c:v>
                </c:pt>
                <c:pt idx="79">
                  <c:v>45819</c:v>
                </c:pt>
                <c:pt idx="80">
                  <c:v>45820</c:v>
                </c:pt>
                <c:pt idx="81">
                  <c:v>45821</c:v>
                </c:pt>
                <c:pt idx="82">
                  <c:v>45824</c:v>
                </c:pt>
                <c:pt idx="83">
                  <c:v>45825</c:v>
                </c:pt>
                <c:pt idx="84">
                  <c:v>45826</c:v>
                </c:pt>
                <c:pt idx="85">
                  <c:v>45828</c:v>
                </c:pt>
                <c:pt idx="86">
                  <c:v>45831</c:v>
                </c:pt>
                <c:pt idx="87">
                  <c:v>45832</c:v>
                </c:pt>
                <c:pt idx="88">
                  <c:v>45833</c:v>
                </c:pt>
                <c:pt idx="89">
                  <c:v>45834</c:v>
                </c:pt>
                <c:pt idx="90">
                  <c:v>45835</c:v>
                </c:pt>
                <c:pt idx="91">
                  <c:v>45838</c:v>
                </c:pt>
                <c:pt idx="92">
                  <c:v>45839</c:v>
                </c:pt>
                <c:pt idx="93">
                  <c:v>45840</c:v>
                </c:pt>
                <c:pt idx="94">
                  <c:v>45841</c:v>
                </c:pt>
                <c:pt idx="95">
                  <c:v>45845</c:v>
                </c:pt>
                <c:pt idx="96">
                  <c:v>45846</c:v>
                </c:pt>
                <c:pt idx="97">
                  <c:v>45847</c:v>
                </c:pt>
                <c:pt idx="98">
                  <c:v>45848</c:v>
                </c:pt>
                <c:pt idx="99">
                  <c:v>45849</c:v>
                </c:pt>
                <c:pt idx="100">
                  <c:v>45852</c:v>
                </c:pt>
                <c:pt idx="101">
                  <c:v>45853</c:v>
                </c:pt>
                <c:pt idx="102">
                  <c:v>45854</c:v>
                </c:pt>
                <c:pt idx="103">
                  <c:v>45855</c:v>
                </c:pt>
                <c:pt idx="104">
                  <c:v>45856</c:v>
                </c:pt>
                <c:pt idx="105">
                  <c:v>45859</c:v>
                </c:pt>
                <c:pt idx="106">
                  <c:v>45860</c:v>
                </c:pt>
                <c:pt idx="107">
                  <c:v>45861</c:v>
                </c:pt>
                <c:pt idx="108">
                  <c:v>45862</c:v>
                </c:pt>
                <c:pt idx="109">
                  <c:v>45863</c:v>
                </c:pt>
                <c:pt idx="110">
                  <c:v>45866</c:v>
                </c:pt>
                <c:pt idx="111">
                  <c:v>45867</c:v>
                </c:pt>
                <c:pt idx="112">
                  <c:v>45868</c:v>
                </c:pt>
                <c:pt idx="113">
                  <c:v>45869</c:v>
                </c:pt>
                <c:pt idx="114">
                  <c:v>45870</c:v>
                </c:pt>
                <c:pt idx="115">
                  <c:v>45873</c:v>
                </c:pt>
                <c:pt idx="116">
                  <c:v>45874</c:v>
                </c:pt>
                <c:pt idx="117">
                  <c:v>45875</c:v>
                </c:pt>
                <c:pt idx="118">
                  <c:v>45876</c:v>
                </c:pt>
                <c:pt idx="119">
                  <c:v>45877</c:v>
                </c:pt>
                <c:pt idx="120">
                  <c:v>45880</c:v>
                </c:pt>
                <c:pt idx="121">
                  <c:v>45881</c:v>
                </c:pt>
                <c:pt idx="122">
                  <c:v>45882</c:v>
                </c:pt>
                <c:pt idx="123">
                  <c:v>45883</c:v>
                </c:pt>
                <c:pt idx="124">
                  <c:v>45884</c:v>
                </c:pt>
                <c:pt idx="125">
                  <c:v>45887</c:v>
                </c:pt>
                <c:pt idx="126">
                  <c:v>45888</c:v>
                </c:pt>
                <c:pt idx="127">
                  <c:v>45889</c:v>
                </c:pt>
                <c:pt idx="128">
                  <c:v>45890</c:v>
                </c:pt>
                <c:pt idx="129">
                  <c:v>45891</c:v>
                </c:pt>
                <c:pt idx="130">
                  <c:v>45894</c:v>
                </c:pt>
                <c:pt idx="131">
                  <c:v>45895</c:v>
                </c:pt>
                <c:pt idx="132">
                  <c:v>45896</c:v>
                </c:pt>
                <c:pt idx="133">
                  <c:v>45897</c:v>
                </c:pt>
                <c:pt idx="134">
                  <c:v>45898</c:v>
                </c:pt>
                <c:pt idx="135">
                  <c:v>45902</c:v>
                </c:pt>
                <c:pt idx="136">
                  <c:v>45903</c:v>
                </c:pt>
                <c:pt idx="137">
                  <c:v>45904</c:v>
                </c:pt>
                <c:pt idx="138">
                  <c:v>45905</c:v>
                </c:pt>
                <c:pt idx="139">
                  <c:v>45908</c:v>
                </c:pt>
                <c:pt idx="140">
                  <c:v>45909</c:v>
                </c:pt>
                <c:pt idx="141">
                  <c:v>45910</c:v>
                </c:pt>
                <c:pt idx="142">
                  <c:v>45911</c:v>
                </c:pt>
                <c:pt idx="143">
                  <c:v>45912</c:v>
                </c:pt>
                <c:pt idx="144">
                  <c:v>45915</c:v>
                </c:pt>
                <c:pt idx="145">
                  <c:v>45916</c:v>
                </c:pt>
                <c:pt idx="146">
                  <c:v>45917</c:v>
                </c:pt>
                <c:pt idx="147">
                  <c:v>45918</c:v>
                </c:pt>
                <c:pt idx="148">
                  <c:v>45919</c:v>
                </c:pt>
                <c:pt idx="149">
                  <c:v>45922</c:v>
                </c:pt>
                <c:pt idx="150">
                  <c:v>45923</c:v>
                </c:pt>
                <c:pt idx="151">
                  <c:v>45924</c:v>
                </c:pt>
                <c:pt idx="152">
                  <c:v>45925</c:v>
                </c:pt>
                <c:pt idx="153">
                  <c:v>45926</c:v>
                </c:pt>
                <c:pt idx="154">
                  <c:v>45929</c:v>
                </c:pt>
                <c:pt idx="155">
                  <c:v>45930</c:v>
                </c:pt>
                <c:pt idx="156">
                  <c:v>45931</c:v>
                </c:pt>
                <c:pt idx="157">
                  <c:v>45932</c:v>
                </c:pt>
                <c:pt idx="158">
                  <c:v>45933</c:v>
                </c:pt>
                <c:pt idx="159">
                  <c:v>45936</c:v>
                </c:pt>
                <c:pt idx="160">
                  <c:v>45937</c:v>
                </c:pt>
                <c:pt idx="161">
                  <c:v>45938</c:v>
                </c:pt>
                <c:pt idx="162">
                  <c:v>45939</c:v>
                </c:pt>
                <c:pt idx="163">
                  <c:v>45940</c:v>
                </c:pt>
                <c:pt idx="164">
                  <c:v>45943</c:v>
                </c:pt>
                <c:pt idx="165">
                  <c:v>45944</c:v>
                </c:pt>
                <c:pt idx="166">
                  <c:v>45945</c:v>
                </c:pt>
                <c:pt idx="167">
                  <c:v>45946</c:v>
                </c:pt>
                <c:pt idx="168">
                  <c:v>45947</c:v>
                </c:pt>
                <c:pt idx="169">
                  <c:v>45950</c:v>
                </c:pt>
                <c:pt idx="170">
                  <c:v>45951</c:v>
                </c:pt>
                <c:pt idx="171">
                  <c:v>45952</c:v>
                </c:pt>
                <c:pt idx="172">
                  <c:v>45953</c:v>
                </c:pt>
                <c:pt idx="173">
                  <c:v>45954</c:v>
                </c:pt>
                <c:pt idx="174">
                  <c:v>45957</c:v>
                </c:pt>
                <c:pt idx="175">
                  <c:v>45958</c:v>
                </c:pt>
                <c:pt idx="176">
                  <c:v>45959</c:v>
                </c:pt>
                <c:pt idx="177">
                  <c:v>45960</c:v>
                </c:pt>
                <c:pt idx="178">
                  <c:v>45961</c:v>
                </c:pt>
                <c:pt idx="179">
                  <c:v>45964</c:v>
                </c:pt>
                <c:pt idx="180">
                  <c:v>45965</c:v>
                </c:pt>
                <c:pt idx="181">
                  <c:v>45966</c:v>
                </c:pt>
                <c:pt idx="182">
                  <c:v>45967</c:v>
                </c:pt>
                <c:pt idx="183">
                  <c:v>45968</c:v>
                </c:pt>
                <c:pt idx="184">
                  <c:v>45971</c:v>
                </c:pt>
                <c:pt idx="185">
                  <c:v>45972</c:v>
                </c:pt>
                <c:pt idx="186">
                  <c:v>45973</c:v>
                </c:pt>
                <c:pt idx="187">
                  <c:v>45974</c:v>
                </c:pt>
                <c:pt idx="188">
                  <c:v>45975</c:v>
                </c:pt>
                <c:pt idx="189">
                  <c:v>45978</c:v>
                </c:pt>
                <c:pt idx="190">
                  <c:v>45979</c:v>
                </c:pt>
                <c:pt idx="191">
                  <c:v>45980</c:v>
                </c:pt>
                <c:pt idx="192">
                  <c:v>45981</c:v>
                </c:pt>
                <c:pt idx="193">
                  <c:v>45982</c:v>
                </c:pt>
                <c:pt idx="194">
                  <c:v>45985</c:v>
                </c:pt>
                <c:pt idx="195">
                  <c:v>45986</c:v>
                </c:pt>
                <c:pt idx="196">
                  <c:v>45987</c:v>
                </c:pt>
                <c:pt idx="197">
                  <c:v>45989</c:v>
                </c:pt>
                <c:pt idx="198">
                  <c:v>45992</c:v>
                </c:pt>
                <c:pt idx="199">
                  <c:v>45993</c:v>
                </c:pt>
                <c:pt idx="200">
                  <c:v>45994</c:v>
                </c:pt>
                <c:pt idx="201">
                  <c:v>45995</c:v>
                </c:pt>
                <c:pt idx="202">
                  <c:v>45996</c:v>
                </c:pt>
                <c:pt idx="203">
                  <c:v>45999</c:v>
                </c:pt>
                <c:pt idx="204">
                  <c:v>46000</c:v>
                </c:pt>
                <c:pt idx="205">
                  <c:v>46001</c:v>
                </c:pt>
                <c:pt idx="206">
                  <c:v>46002</c:v>
                </c:pt>
                <c:pt idx="207">
                  <c:v>46003</c:v>
                </c:pt>
                <c:pt idx="208">
                  <c:v>46006</c:v>
                </c:pt>
                <c:pt idx="209">
                  <c:v>46007</c:v>
                </c:pt>
                <c:pt idx="210">
                  <c:v>46008</c:v>
                </c:pt>
                <c:pt idx="211">
                  <c:v>46009</c:v>
                </c:pt>
                <c:pt idx="212">
                  <c:v>46010</c:v>
                </c:pt>
                <c:pt idx="213">
                  <c:v>46013</c:v>
                </c:pt>
                <c:pt idx="214">
                  <c:v>46014</c:v>
                </c:pt>
                <c:pt idx="215">
                  <c:v>46015</c:v>
                </c:pt>
                <c:pt idx="216">
                  <c:v>46017</c:v>
                </c:pt>
                <c:pt idx="217">
                  <c:v>46020</c:v>
                </c:pt>
                <c:pt idx="218">
                  <c:v>46021</c:v>
                </c:pt>
                <c:pt idx="219">
                  <c:v>46022</c:v>
                </c:pt>
                <c:pt idx="220">
                  <c:v>46024</c:v>
                </c:pt>
                <c:pt idx="221">
                  <c:v>46027</c:v>
                </c:pt>
                <c:pt idx="222">
                  <c:v>46028</c:v>
                </c:pt>
                <c:pt idx="223">
                  <c:v>46029</c:v>
                </c:pt>
                <c:pt idx="224">
                  <c:v>46030</c:v>
                </c:pt>
                <c:pt idx="225">
                  <c:v>46031</c:v>
                </c:pt>
                <c:pt idx="226">
                  <c:v>46034</c:v>
                </c:pt>
                <c:pt idx="227">
                  <c:v>46035</c:v>
                </c:pt>
                <c:pt idx="228">
                  <c:v>46036</c:v>
                </c:pt>
                <c:pt idx="229">
                  <c:v>46037</c:v>
                </c:pt>
                <c:pt idx="230">
                  <c:v>46038</c:v>
                </c:pt>
                <c:pt idx="231">
                  <c:v>46042</c:v>
                </c:pt>
                <c:pt idx="232">
                  <c:v>46043</c:v>
                </c:pt>
                <c:pt idx="233">
                  <c:v>46044</c:v>
                </c:pt>
                <c:pt idx="234">
                  <c:v>46045</c:v>
                </c:pt>
                <c:pt idx="235">
                  <c:v>46048</c:v>
                </c:pt>
                <c:pt idx="236">
                  <c:v>46049</c:v>
                </c:pt>
                <c:pt idx="237">
                  <c:v>46050</c:v>
                </c:pt>
                <c:pt idx="238">
                  <c:v>46051</c:v>
                </c:pt>
                <c:pt idx="239">
                  <c:v>46052</c:v>
                </c:pt>
                <c:pt idx="240">
                  <c:v>46055</c:v>
                </c:pt>
                <c:pt idx="241">
                  <c:v>46056</c:v>
                </c:pt>
                <c:pt idx="242">
                  <c:v>46057</c:v>
                </c:pt>
                <c:pt idx="243">
                  <c:v>46058</c:v>
                </c:pt>
                <c:pt idx="244">
                  <c:v>46059</c:v>
                </c:pt>
                <c:pt idx="245">
                  <c:v>46062</c:v>
                </c:pt>
                <c:pt idx="246">
                  <c:v>46063</c:v>
                </c:pt>
                <c:pt idx="247">
                  <c:v>46064</c:v>
                </c:pt>
                <c:pt idx="248">
                  <c:v>46065</c:v>
                </c:pt>
                <c:pt idx="249">
                  <c:v>46066</c:v>
                </c:pt>
              </c:numCache>
            </c:numRef>
          </c:cat>
          <c:val>
            <c:numRef>
              <c:f>Data!$Z$2:$Z$251</c:f>
              <c:numCache>
                <c:formatCode>General</c:formatCode>
                <c:ptCount val="250"/>
                <c:pt idx="34">
                  <c:v>-3.1824710329023906</c:v>
                </c:pt>
                <c:pt idx="35">
                  <c:v>-3.020696750955866</c:v>
                </c:pt>
                <c:pt idx="36">
                  <c:v>-2.7866602038357362</c:v>
                </c:pt>
                <c:pt idx="37">
                  <c:v>-2.4783081181564848</c:v>
                </c:pt>
                <c:pt idx="38">
                  <c:v>-2.1031002301950914</c:v>
                </c:pt>
                <c:pt idx="39">
                  <c:v>-1.7129894033512547</c:v>
                </c:pt>
                <c:pt idx="40">
                  <c:v>-1.3744369843054443</c:v>
                </c:pt>
                <c:pt idx="41">
                  <c:v>-1.0504277693581094</c:v>
                </c:pt>
                <c:pt idx="42">
                  <c:v>-0.7630479909954152</c:v>
                </c:pt>
                <c:pt idx="43">
                  <c:v>-0.47302384105920892</c:v>
                </c:pt>
                <c:pt idx="44">
                  <c:v>-0.19371269266090926</c:v>
                </c:pt>
                <c:pt idx="45">
                  <c:v>7.8723198430435848E-2</c:v>
                </c:pt>
                <c:pt idx="46">
                  <c:v>0.32042303378857839</c:v>
                </c:pt>
                <c:pt idx="47">
                  <c:v>0.53153156527513901</c:v>
                </c:pt>
                <c:pt idx="48">
                  <c:v>0.72427055521377293</c:v>
                </c:pt>
                <c:pt idx="49">
                  <c:v>0.91304626025330615</c:v>
                </c:pt>
                <c:pt idx="50">
                  <c:v>1.0899136101397571</c:v>
                </c:pt>
                <c:pt idx="51">
                  <c:v>1.2689401387734964</c:v>
                </c:pt>
                <c:pt idx="52">
                  <c:v>1.4462965223545994</c:v>
                </c:pt>
                <c:pt idx="53">
                  <c:v>1.5975679299033507</c:v>
                </c:pt>
                <c:pt idx="54">
                  <c:v>1.72538593867735</c:v>
                </c:pt>
                <c:pt idx="55">
                  <c:v>1.8055346943378778</c:v>
                </c:pt>
                <c:pt idx="56">
                  <c:v>1.8361609413243645</c:v>
                </c:pt>
                <c:pt idx="57">
                  <c:v>1.8304356110860673</c:v>
                </c:pt>
                <c:pt idx="58">
                  <c:v>1.7841736728650439</c:v>
                </c:pt>
                <c:pt idx="59">
                  <c:v>1.726019503785829</c:v>
                </c:pt>
                <c:pt idx="60">
                  <c:v>1.651867985188745</c:v>
                </c:pt>
                <c:pt idx="61">
                  <c:v>1.5979656878455168</c:v>
                </c:pt>
                <c:pt idx="62">
                  <c:v>1.5540242406353011</c:v>
                </c:pt>
                <c:pt idx="63">
                  <c:v>1.5099821958906752</c:v>
                </c:pt>
                <c:pt idx="64">
                  <c:v>1.4428867506019403</c:v>
                </c:pt>
                <c:pt idx="65">
                  <c:v>1.3535932958349384</c:v>
                </c:pt>
                <c:pt idx="66">
                  <c:v>1.2585236668395208</c:v>
                </c:pt>
                <c:pt idx="67">
                  <c:v>1.1817323965614592</c:v>
                </c:pt>
                <c:pt idx="68">
                  <c:v>1.1123052641001705</c:v>
                </c:pt>
                <c:pt idx="69">
                  <c:v>1.0463645286351682</c:v>
                </c:pt>
                <c:pt idx="70">
                  <c:v>1.0095269990072908</c:v>
                </c:pt>
                <c:pt idx="71">
                  <c:v>1.0073130996646387</c:v>
                </c:pt>
                <c:pt idx="72">
                  <c:v>1.0279712343132215</c:v>
                </c:pt>
                <c:pt idx="73">
                  <c:v>1.049487946776865</c:v>
                </c:pt>
                <c:pt idx="74">
                  <c:v>1.0458462240626183</c:v>
                </c:pt>
                <c:pt idx="75">
                  <c:v>1.0164252277858565</c:v>
                </c:pt>
                <c:pt idx="76">
                  <c:v>0.96975285249345455</c:v>
                </c:pt>
                <c:pt idx="77">
                  <c:v>0.91042995309832786</c:v>
                </c:pt>
                <c:pt idx="78">
                  <c:v>0.81996198841486168</c:v>
                </c:pt>
                <c:pt idx="79">
                  <c:v>0.69737073768013835</c:v>
                </c:pt>
                <c:pt idx="80">
                  <c:v>0.5532599983189157</c:v>
                </c:pt>
                <c:pt idx="81">
                  <c:v>0.3995616296350743</c:v>
                </c:pt>
                <c:pt idx="82">
                  <c:v>0.24636218468086013</c:v>
                </c:pt>
                <c:pt idx="83">
                  <c:v>0.11434662365807481</c:v>
                </c:pt>
                <c:pt idx="84">
                  <c:v>1.870161388545101E-2</c:v>
                </c:pt>
                <c:pt idx="85">
                  <c:v>-2.125556636083558E-2</c:v>
                </c:pt>
                <c:pt idx="86">
                  <c:v>-2.2091552688561927E-2</c:v>
                </c:pt>
                <c:pt idx="87">
                  <c:v>-1.0119225475938829E-2</c:v>
                </c:pt>
                <c:pt idx="88">
                  <c:v>-1.0506916672016357E-2</c:v>
                </c:pt>
                <c:pt idx="89">
                  <c:v>1.345662791252927E-3</c:v>
                </c:pt>
                <c:pt idx="90">
                  <c:v>2.8382560068480174E-2</c:v>
                </c:pt>
                <c:pt idx="91">
                  <c:v>7.079371649418606E-2</c:v>
                </c:pt>
                <c:pt idx="92">
                  <c:v>0.11040526255304658</c:v>
                </c:pt>
                <c:pt idx="93">
                  <c:v>0.15789974041181737</c:v>
                </c:pt>
                <c:pt idx="94">
                  <c:v>0.22328033454137974</c:v>
                </c:pt>
                <c:pt idx="95">
                  <c:v>0.25987835995287395</c:v>
                </c:pt>
                <c:pt idx="96">
                  <c:v>0.27145794811790347</c:v>
                </c:pt>
                <c:pt idx="97">
                  <c:v>0.23501962467337975</c:v>
                </c:pt>
                <c:pt idx="98">
                  <c:v>0.16252007301671847</c:v>
                </c:pt>
                <c:pt idx="99">
                  <c:v>9.2865266332702701E-2</c:v>
                </c:pt>
                <c:pt idx="100">
                  <c:v>2.2211029802253854E-2</c:v>
                </c:pt>
                <c:pt idx="101">
                  <c:v>-4.9245501423055518E-2</c:v>
                </c:pt>
                <c:pt idx="102">
                  <c:v>-0.11830405047510377</c:v>
                </c:pt>
                <c:pt idx="103">
                  <c:v>-0.18260796527913531</c:v>
                </c:pt>
                <c:pt idx="104">
                  <c:v>-0.23025291159547093</c:v>
                </c:pt>
                <c:pt idx="105">
                  <c:v>-0.26156212455342975</c:v>
                </c:pt>
                <c:pt idx="106">
                  <c:v>-0.28310723336064242</c:v>
                </c:pt>
                <c:pt idx="107">
                  <c:v>-0.28207963931342328</c:v>
                </c:pt>
                <c:pt idx="108">
                  <c:v>-0.25243452216376472</c:v>
                </c:pt>
                <c:pt idx="109">
                  <c:v>-0.20359757440238369</c:v>
                </c:pt>
                <c:pt idx="110">
                  <c:v>-0.13334045297920341</c:v>
                </c:pt>
                <c:pt idx="111">
                  <c:v>-6.484293402384822E-2</c:v>
                </c:pt>
                <c:pt idx="112">
                  <c:v>5.3309594486555603E-3</c:v>
                </c:pt>
                <c:pt idx="113">
                  <c:v>8.10015423408708E-2</c:v>
                </c:pt>
                <c:pt idx="114">
                  <c:v>0.17351580532780936</c:v>
                </c:pt>
                <c:pt idx="115">
                  <c:v>0.26687489605724823</c:v>
                </c:pt>
                <c:pt idx="116">
                  <c:v>0.41987659338806138</c:v>
                </c:pt>
                <c:pt idx="117">
                  <c:v>0.59745447575221866</c:v>
                </c:pt>
                <c:pt idx="118">
                  <c:v>0.78949778287772565</c:v>
                </c:pt>
                <c:pt idx="119">
                  <c:v>0.98193196855048481</c:v>
                </c:pt>
                <c:pt idx="120">
                  <c:v>1.157339540802091</c:v>
                </c:pt>
                <c:pt idx="121">
                  <c:v>1.2682820819576162</c:v>
                </c:pt>
                <c:pt idx="122">
                  <c:v>1.3278791095405931</c:v>
                </c:pt>
                <c:pt idx="123">
                  <c:v>1.3355818306246536</c:v>
                </c:pt>
                <c:pt idx="124">
                  <c:v>1.3184784464032751</c:v>
                </c:pt>
                <c:pt idx="125">
                  <c:v>1.2931316899464398</c:v>
                </c:pt>
                <c:pt idx="126">
                  <c:v>1.2814212100566902</c:v>
                </c:pt>
                <c:pt idx="127">
                  <c:v>1.2024010911546483</c:v>
                </c:pt>
                <c:pt idx="128">
                  <c:v>1.064565954395539</c:v>
                </c:pt>
                <c:pt idx="129">
                  <c:v>0.88254053223556539</c:v>
                </c:pt>
                <c:pt idx="130">
                  <c:v>0.68002899199515165</c:v>
                </c:pt>
                <c:pt idx="131">
                  <c:v>0.47422184824798763</c:v>
                </c:pt>
                <c:pt idx="132">
                  <c:v>0.27653561958591</c:v>
                </c:pt>
                <c:pt idx="133">
                  <c:v>0.10755252320426464</c:v>
                </c:pt>
                <c:pt idx="134">
                  <c:v>-2.0946424868109603E-2</c:v>
                </c:pt>
                <c:pt idx="135">
                  <c:v>-9.1919303389299947E-2</c:v>
                </c:pt>
                <c:pt idx="136">
                  <c:v>-9.9133857953904475E-2</c:v>
                </c:pt>
                <c:pt idx="137">
                  <c:v>-7.2482639980614022E-2</c:v>
                </c:pt>
                <c:pt idx="138">
                  <c:v>2.4024060827423643E-3</c:v>
                </c:pt>
                <c:pt idx="139">
                  <c:v>0.10374795188223074</c:v>
                </c:pt>
                <c:pt idx="140">
                  <c:v>0.18613496075217928</c:v>
                </c:pt>
                <c:pt idx="141">
                  <c:v>0.28763391533065752</c:v>
                </c:pt>
                <c:pt idx="142">
                  <c:v>0.40853725782756001</c:v>
                </c:pt>
                <c:pt idx="143">
                  <c:v>0.53752468589098257</c:v>
                </c:pt>
                <c:pt idx="144">
                  <c:v>0.65928450825513218</c:v>
                </c:pt>
                <c:pt idx="145">
                  <c:v>0.78218996710946742</c:v>
                </c:pt>
                <c:pt idx="146">
                  <c:v>0.88689835363113656</c:v>
                </c:pt>
                <c:pt idx="147">
                  <c:v>0.95242865209556937</c:v>
                </c:pt>
                <c:pt idx="148">
                  <c:v>0.99561456370525681</c:v>
                </c:pt>
                <c:pt idx="149">
                  <c:v>1.0154760379000554</c:v>
                </c:pt>
                <c:pt idx="150">
                  <c:v>1.0207129873461962</c:v>
                </c:pt>
                <c:pt idx="151">
                  <c:v>1.0192880401986277</c:v>
                </c:pt>
                <c:pt idx="152">
                  <c:v>1.0131940655432001</c:v>
                </c:pt>
                <c:pt idx="153">
                  <c:v>1.0009074636213773</c:v>
                </c:pt>
                <c:pt idx="154">
                  <c:v>0.98278316798404985</c:v>
                </c:pt>
                <c:pt idx="155">
                  <c:v>0.94216020536076184</c:v>
                </c:pt>
                <c:pt idx="156">
                  <c:v>0.88326951513368313</c:v>
                </c:pt>
                <c:pt idx="157">
                  <c:v>0.81990609845428797</c:v>
                </c:pt>
                <c:pt idx="158">
                  <c:v>0.76524342869406192</c:v>
                </c:pt>
                <c:pt idx="159">
                  <c:v>0.72577096606446689</c:v>
                </c:pt>
                <c:pt idx="160">
                  <c:v>0.69080996243279502</c:v>
                </c:pt>
                <c:pt idx="161">
                  <c:v>0.64090638181086246</c:v>
                </c:pt>
                <c:pt idx="162">
                  <c:v>0.5839091654058487</c:v>
                </c:pt>
                <c:pt idx="163">
                  <c:v>0.52859007315254258</c:v>
                </c:pt>
                <c:pt idx="164">
                  <c:v>0.55722592834172779</c:v>
                </c:pt>
                <c:pt idx="165">
                  <c:v>0.66474898569385776</c:v>
                </c:pt>
                <c:pt idx="166">
                  <c:v>0.7737220744762221</c:v>
                </c:pt>
                <c:pt idx="167">
                  <c:v>0.89623056047076677</c:v>
                </c:pt>
                <c:pt idx="168">
                  <c:v>1.0079089803570618</c:v>
                </c:pt>
                <c:pt idx="169">
                  <c:v>1.0914055636222486</c:v>
                </c:pt>
                <c:pt idx="170">
                  <c:v>1.1650518174298266</c:v>
                </c:pt>
                <c:pt idx="171">
                  <c:v>1.2215407920217982</c:v>
                </c:pt>
                <c:pt idx="172">
                  <c:v>1.2505219854355856</c:v>
                </c:pt>
                <c:pt idx="173">
                  <c:v>1.23076989279136</c:v>
                </c:pt>
                <c:pt idx="174">
                  <c:v>1.1579622436162471</c:v>
                </c:pt>
                <c:pt idx="175">
                  <c:v>1.0417502312306857</c:v>
                </c:pt>
                <c:pt idx="176">
                  <c:v>0.89838135541666519</c:v>
                </c:pt>
                <c:pt idx="177">
                  <c:v>0.72670698751257257</c:v>
                </c:pt>
                <c:pt idx="178">
                  <c:v>0.55117573789796481</c:v>
                </c:pt>
                <c:pt idx="179">
                  <c:v>0.39202146955480338</c:v>
                </c:pt>
                <c:pt idx="180">
                  <c:v>0.23781807654380438</c:v>
                </c:pt>
                <c:pt idx="181">
                  <c:v>9.7609784795600799E-2</c:v>
                </c:pt>
                <c:pt idx="182">
                  <c:v>-1.2180652200050074E-2</c:v>
                </c:pt>
                <c:pt idx="183">
                  <c:v>-9.9834859543161375E-2</c:v>
                </c:pt>
                <c:pt idx="184">
                  <c:v>-0.15251848048654029</c:v>
                </c:pt>
                <c:pt idx="185">
                  <c:v>-0.18017383243365423</c:v>
                </c:pt>
                <c:pt idx="186">
                  <c:v>-0.20464053275412214</c:v>
                </c:pt>
                <c:pt idx="187">
                  <c:v>-0.22631691093794976</c:v>
                </c:pt>
                <c:pt idx="188">
                  <c:v>-0.23709366018333078</c:v>
                </c:pt>
                <c:pt idx="189">
                  <c:v>-0.26482230264603351</c:v>
                </c:pt>
                <c:pt idx="190">
                  <c:v>-0.31356334295597199</c:v>
                </c:pt>
                <c:pt idx="191">
                  <c:v>-0.26850108329532718</c:v>
                </c:pt>
                <c:pt idx="192">
                  <c:v>-0.19495340687568366</c:v>
                </c:pt>
                <c:pt idx="193">
                  <c:v>-0.12706533966868988</c:v>
                </c:pt>
                <c:pt idx="194">
                  <c:v>-1.9087820016273085E-2</c:v>
                </c:pt>
                <c:pt idx="195">
                  <c:v>0.14190441026976641</c:v>
                </c:pt>
                <c:pt idx="196">
                  <c:v>0.34985805301710937</c:v>
                </c:pt>
                <c:pt idx="197">
                  <c:v>0.59182103272320408</c:v>
                </c:pt>
                <c:pt idx="198">
                  <c:v>0.85510731293686115</c:v>
                </c:pt>
                <c:pt idx="199">
                  <c:v>1.1479165923111585</c:v>
                </c:pt>
                <c:pt idx="200">
                  <c:v>1.4481248340814772</c:v>
                </c:pt>
                <c:pt idx="201">
                  <c:v>1.7382403129209831</c:v>
                </c:pt>
                <c:pt idx="202">
                  <c:v>1.9781303646785493</c:v>
                </c:pt>
                <c:pt idx="203">
                  <c:v>2.1933877235526129</c:v>
                </c:pt>
                <c:pt idx="204">
                  <c:v>2.3469281650007634</c:v>
                </c:pt>
                <c:pt idx="205">
                  <c:v>2.4857210039180089</c:v>
                </c:pt>
                <c:pt idx="206">
                  <c:v>2.6211553311657072</c:v>
                </c:pt>
                <c:pt idx="207">
                  <c:v>2.7428466713661441</c:v>
                </c:pt>
                <c:pt idx="208">
                  <c:v>2.8214358601501139</c:v>
                </c:pt>
                <c:pt idx="209">
                  <c:v>2.8662881171011265</c:v>
                </c:pt>
                <c:pt idx="210">
                  <c:v>2.8678684736965003</c:v>
                </c:pt>
                <c:pt idx="211">
                  <c:v>2.8282089687005567</c:v>
                </c:pt>
                <c:pt idx="212">
                  <c:v>2.7302543017868763</c:v>
                </c:pt>
                <c:pt idx="213">
                  <c:v>2.5675509933002059</c:v>
                </c:pt>
                <c:pt idx="214">
                  <c:v>2.3782693342022987</c:v>
                </c:pt>
                <c:pt idx="215">
                  <c:v>2.1789048543795144</c:v>
                </c:pt>
                <c:pt idx="216">
                  <c:v>1.9913094970232923</c:v>
                </c:pt>
                <c:pt idx="217">
                  <c:v>1.8066540653661558</c:v>
                </c:pt>
                <c:pt idx="218">
                  <c:v>1.6212667828372154</c:v>
                </c:pt>
                <c:pt idx="219">
                  <c:v>1.4629823646400877</c:v>
                </c:pt>
                <c:pt idx="220">
                  <c:v>1.3258508739532548</c:v>
                </c:pt>
                <c:pt idx="221">
                  <c:v>1.2321501034423172</c:v>
                </c:pt>
                <c:pt idx="222">
                  <c:v>1.1419283429978879</c:v>
                </c:pt>
                <c:pt idx="223">
                  <c:v>1.0615980923324073</c:v>
                </c:pt>
                <c:pt idx="224">
                  <c:v>1.0125525433471187</c:v>
                </c:pt>
                <c:pt idx="225">
                  <c:v>1.0382620668299063</c:v>
                </c:pt>
                <c:pt idx="226">
                  <c:v>1.1452435306472508</c:v>
                </c:pt>
                <c:pt idx="227">
                  <c:v>1.2898408722846693</c:v>
                </c:pt>
                <c:pt idx="228">
                  <c:v>1.4340935681570146</c:v>
                </c:pt>
                <c:pt idx="229">
                  <c:v>1.5752769007048792</c:v>
                </c:pt>
                <c:pt idx="230">
                  <c:v>1.68775010570052</c:v>
                </c:pt>
                <c:pt idx="231">
                  <c:v>1.7828559741777328</c:v>
                </c:pt>
                <c:pt idx="232">
                  <c:v>1.8336169799957454</c:v>
                </c:pt>
                <c:pt idx="233">
                  <c:v>1.8481478836027319</c:v>
                </c:pt>
                <c:pt idx="234">
                  <c:v>1.8335605267547981</c:v>
                </c:pt>
                <c:pt idx="235">
                  <c:v>1.7861399552188744</c:v>
                </c:pt>
                <c:pt idx="236">
                  <c:v>1.7106519173602375</c:v>
                </c:pt>
                <c:pt idx="237">
                  <c:v>1.6310317307030655</c:v>
                </c:pt>
                <c:pt idx="238">
                  <c:v>1.5768791033457557</c:v>
                </c:pt>
                <c:pt idx="239">
                  <c:v>1.6164295190273854</c:v>
                </c:pt>
                <c:pt idx="240">
                  <c:v>1.7671873370019007</c:v>
                </c:pt>
                <c:pt idx="241">
                  <c:v>1.9803438295749978</c:v>
                </c:pt>
                <c:pt idx="242">
                  <c:v>2.200011301876537</c:v>
                </c:pt>
                <c:pt idx="243">
                  <c:v>2.4748768511251096</c:v>
                </c:pt>
                <c:pt idx="244">
                  <c:v>2.7298282959328644</c:v>
                </c:pt>
                <c:pt idx="245">
                  <c:v>2.9156969139651516</c:v>
                </c:pt>
                <c:pt idx="246">
                  <c:v>3.0749023924146219</c:v>
                </c:pt>
                <c:pt idx="247">
                  <c:v>3.2797397984264229</c:v>
                </c:pt>
                <c:pt idx="248">
                  <c:v>3.4989539108608856</c:v>
                </c:pt>
                <c:pt idx="249">
                  <c:v>2.7991631286887086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20-4B11-A755-4B1CD06C4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4167247"/>
        <c:axId val="834163887"/>
      </c:lineChart>
      <c:dateAx>
        <c:axId val="834167247"/>
        <c:scaling>
          <c:orientation val="minMax"/>
          <c:max val="46064"/>
          <c:min val="45948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163887"/>
        <c:crosses val="autoZero"/>
        <c:auto val="1"/>
        <c:lblOffset val="100"/>
        <c:baseTimeUnit val="days"/>
      </c:dateAx>
      <c:valAx>
        <c:axId val="834163887"/>
        <c:scaling>
          <c:orientation val="minMax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167247"/>
        <c:crosses val="autoZero"/>
        <c:crossBetween val="between"/>
      </c:valAx>
      <c:valAx>
        <c:axId val="834168207"/>
        <c:scaling>
          <c:orientation val="minMax"/>
          <c:min val="-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155727"/>
        <c:crosses val="max"/>
        <c:crossBetween val="between"/>
      </c:valAx>
      <c:dateAx>
        <c:axId val="834155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8341682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Weekly!$A$2:$A$60</c:f>
              <c:numCache>
                <c:formatCode>m/d/yyyy</c:formatCode>
                <c:ptCount val="59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</c:numCache>
            </c:numRef>
          </c:cat>
          <c:val>
            <c:numRef>
              <c:f>Weekly!$B$2:$B$60</c:f>
              <c:numCache>
                <c:formatCode>General</c:formatCode>
                <c:ptCount val="59"/>
                <c:pt idx="0">
                  <c:v>99.942499999999995</c:v>
                </c:pt>
                <c:pt idx="1">
                  <c:v>96.591999999999999</c:v>
                </c:pt>
                <c:pt idx="2">
                  <c:v>94.98</c:v>
                </c:pt>
                <c:pt idx="3">
                  <c:v>86.061999999999998</c:v>
                </c:pt>
                <c:pt idx="4">
                  <c:v>86.233999999999995</c:v>
                </c:pt>
                <c:pt idx="5">
                  <c:v>85.647999999999996</c:v>
                </c:pt>
                <c:pt idx="6">
                  <c:v>87.366</c:v>
                </c:pt>
                <c:pt idx="7">
                  <c:v>87.725999999999999</c:v>
                </c:pt>
                <c:pt idx="8">
                  <c:v>93.277500000000003</c:v>
                </c:pt>
                <c:pt idx="9">
                  <c:v>94.63</c:v>
                </c:pt>
                <c:pt idx="10">
                  <c:v>96.933999999999997</c:v>
                </c:pt>
                <c:pt idx="11">
                  <c:v>98.171999999999997</c:v>
                </c:pt>
                <c:pt idx="12">
                  <c:v>96.81</c:v>
                </c:pt>
                <c:pt idx="13">
                  <c:v>96.924000000000007</c:v>
                </c:pt>
                <c:pt idx="14">
                  <c:v>97.66</c:v>
                </c:pt>
                <c:pt idx="15">
                  <c:v>98.905999999999992</c:v>
                </c:pt>
                <c:pt idx="16">
                  <c:v>95.968000000000004</c:v>
                </c:pt>
                <c:pt idx="17">
                  <c:v>94.9375</c:v>
                </c:pt>
                <c:pt idx="18">
                  <c:v>97.284000000000006</c:v>
                </c:pt>
                <c:pt idx="19">
                  <c:v>97.997500000000002</c:v>
                </c:pt>
                <c:pt idx="20">
                  <c:v>96.501999999999995</c:v>
                </c:pt>
                <c:pt idx="21">
                  <c:v>95.292000000000002</c:v>
                </c:pt>
                <c:pt idx="22">
                  <c:v>96.254000000000005</c:v>
                </c:pt>
                <c:pt idx="23">
                  <c:v>98</c:v>
                </c:pt>
                <c:pt idx="24">
                  <c:v>101.822</c:v>
                </c:pt>
                <c:pt idx="25">
                  <c:v>101.878</c:v>
                </c:pt>
                <c:pt idx="26">
                  <c:v>99.87</c:v>
                </c:pt>
                <c:pt idx="27">
                  <c:v>96.257999999999996</c:v>
                </c:pt>
                <c:pt idx="28">
                  <c:v>99.682500000000005</c:v>
                </c:pt>
                <c:pt idx="29">
                  <c:v>102.224</c:v>
                </c:pt>
                <c:pt idx="30">
                  <c:v>103.462</c:v>
                </c:pt>
                <c:pt idx="31">
                  <c:v>102.85599999999999</c:v>
                </c:pt>
                <c:pt idx="32">
                  <c:v>102.374</c:v>
                </c:pt>
                <c:pt idx="33">
                  <c:v>102.49</c:v>
                </c:pt>
                <c:pt idx="34">
                  <c:v>106.512</c:v>
                </c:pt>
                <c:pt idx="35">
                  <c:v>106.688</c:v>
                </c:pt>
                <c:pt idx="36">
                  <c:v>102.702</c:v>
                </c:pt>
                <c:pt idx="37">
                  <c:v>101.92</c:v>
                </c:pt>
                <c:pt idx="38">
                  <c:v>102.864</c:v>
                </c:pt>
                <c:pt idx="39">
                  <c:v>103.476</c:v>
                </c:pt>
                <c:pt idx="40">
                  <c:v>107.6675</c:v>
                </c:pt>
                <c:pt idx="41">
                  <c:v>113.66</c:v>
                </c:pt>
                <c:pt idx="42">
                  <c:v>114.804</c:v>
                </c:pt>
                <c:pt idx="43">
                  <c:v>115.41200000000001</c:v>
                </c:pt>
                <c:pt idx="44">
                  <c:v>111.71250000000001</c:v>
                </c:pt>
                <c:pt idx="45">
                  <c:v>112.155</c:v>
                </c:pt>
                <c:pt idx="46">
                  <c:v>113.474</c:v>
                </c:pt>
                <c:pt idx="47">
                  <c:v>119.45400000000001</c:v>
                </c:pt>
                <c:pt idx="48">
                  <c:v>118.4075</c:v>
                </c:pt>
                <c:pt idx="49">
                  <c:v>117.53999999999999</c:v>
                </c:pt>
                <c:pt idx="50">
                  <c:v>127.578</c:v>
                </c:pt>
                <c:pt idx="51">
                  <c:v>130.404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A8-43C5-8042-D866AD4CADB9}"/>
            </c:ext>
          </c:extLst>
        </c:ser>
        <c:ser>
          <c:idx val="1"/>
          <c:order val="1"/>
          <c:tx>
            <c:strRef>
              <c:f>Weekly!$C$1</c:f>
              <c:strCache>
                <c:ptCount val="1"/>
                <c:pt idx="0">
                  <c:v>XL Forecast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Weekly!$A$2:$A$60</c:f>
              <c:numCache>
                <c:formatCode>m/d/yyyy</c:formatCode>
                <c:ptCount val="59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</c:numCache>
            </c:numRef>
          </c:cat>
          <c:val>
            <c:numRef>
              <c:f>Weekly!$C$2:$C$60</c:f>
              <c:numCache>
                <c:formatCode>General</c:formatCode>
                <c:ptCount val="59"/>
                <c:pt idx="52">
                  <c:v>130.97866814650388</c:v>
                </c:pt>
                <c:pt idx="53">
                  <c:v>131.61212126696833</c:v>
                </c:pt>
                <c:pt idx="54">
                  <c:v>135.36069407008142</c:v>
                </c:pt>
                <c:pt idx="55">
                  <c:v>137.18860916104606</c:v>
                </c:pt>
                <c:pt idx="56">
                  <c:v>138.99952070941515</c:v>
                </c:pt>
                <c:pt idx="57">
                  <c:v>140.81462073625923</c:v>
                </c:pt>
                <c:pt idx="58">
                  <c:v>142.61835069206882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A8-43C5-8042-D866AD4CADB9}"/>
            </c:ext>
          </c:extLst>
        </c:ser>
        <c:ser>
          <c:idx val="2"/>
          <c:order val="2"/>
          <c:tx>
            <c:strRef>
              <c:f>Weekly!$D$1</c:f>
              <c:strCache>
                <c:ptCount val="1"/>
                <c:pt idx="0">
                  <c:v>Calc Forecast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Weekly!$A$2:$A$60</c:f>
              <c:numCache>
                <c:formatCode>m/d/yyyy</c:formatCode>
                <c:ptCount val="59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</c:numCache>
            </c:numRef>
          </c:cat>
          <c:val>
            <c:numRef>
              <c:f>Weekly!$D$2:$D$60</c:f>
              <c:numCache>
                <c:formatCode>General</c:formatCode>
                <c:ptCount val="59"/>
                <c:pt idx="52">
                  <c:v>122.318143279697</c:v>
                </c:pt>
                <c:pt idx="53">
                  <c:v>121.10762564344</c:v>
                </c:pt>
                <c:pt idx="54">
                  <c:v>122.271838332518</c:v>
                </c:pt>
                <c:pt idx="55">
                  <c:v>123.489587518403</c:v>
                </c:pt>
                <c:pt idx="56">
                  <c:v>128.373599851894</c:v>
                </c:pt>
                <c:pt idx="57">
                  <c:v>132.128787982994</c:v>
                </c:pt>
                <c:pt idx="58">
                  <c:v>132.39079946896399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A8-43C5-8042-D866AD4CADB9}"/>
            </c:ext>
          </c:extLst>
        </c:ser>
        <c:ser>
          <c:idx val="3"/>
          <c:order val="3"/>
          <c:tx>
            <c:strRef>
              <c:f>Weekly!$E$1</c:f>
              <c:strCache>
                <c:ptCount val="1"/>
                <c:pt idx="0">
                  <c:v>Simple ML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Weekly!$A$2:$A$60</c:f>
              <c:numCache>
                <c:formatCode>m/d/yyyy</c:formatCode>
                <c:ptCount val="59"/>
                <c:pt idx="0">
                  <c:v>45705</c:v>
                </c:pt>
                <c:pt idx="1">
                  <c:v>45712</c:v>
                </c:pt>
                <c:pt idx="2">
                  <c:v>45719</c:v>
                </c:pt>
                <c:pt idx="3">
                  <c:v>45726</c:v>
                </c:pt>
                <c:pt idx="4">
                  <c:v>45733</c:v>
                </c:pt>
                <c:pt idx="5">
                  <c:v>45740</c:v>
                </c:pt>
                <c:pt idx="6">
                  <c:v>45747</c:v>
                </c:pt>
                <c:pt idx="7">
                  <c:v>45754</c:v>
                </c:pt>
                <c:pt idx="8">
                  <c:v>45761</c:v>
                </c:pt>
                <c:pt idx="9">
                  <c:v>45768</c:v>
                </c:pt>
                <c:pt idx="10">
                  <c:v>45775</c:v>
                </c:pt>
                <c:pt idx="11">
                  <c:v>45782</c:v>
                </c:pt>
                <c:pt idx="12">
                  <c:v>45789</c:v>
                </c:pt>
                <c:pt idx="13">
                  <c:v>45796</c:v>
                </c:pt>
                <c:pt idx="14">
                  <c:v>45803</c:v>
                </c:pt>
                <c:pt idx="15">
                  <c:v>45810</c:v>
                </c:pt>
                <c:pt idx="16">
                  <c:v>45817</c:v>
                </c:pt>
                <c:pt idx="17">
                  <c:v>45824</c:v>
                </c:pt>
                <c:pt idx="18">
                  <c:v>45831</c:v>
                </c:pt>
                <c:pt idx="19">
                  <c:v>45838</c:v>
                </c:pt>
                <c:pt idx="20">
                  <c:v>45845</c:v>
                </c:pt>
                <c:pt idx="21">
                  <c:v>45852</c:v>
                </c:pt>
                <c:pt idx="22">
                  <c:v>45859</c:v>
                </c:pt>
                <c:pt idx="23">
                  <c:v>45866</c:v>
                </c:pt>
                <c:pt idx="24">
                  <c:v>45873</c:v>
                </c:pt>
                <c:pt idx="25">
                  <c:v>45880</c:v>
                </c:pt>
                <c:pt idx="26">
                  <c:v>45887</c:v>
                </c:pt>
                <c:pt idx="27">
                  <c:v>45894</c:v>
                </c:pt>
                <c:pt idx="28">
                  <c:v>45901</c:v>
                </c:pt>
                <c:pt idx="29">
                  <c:v>45908</c:v>
                </c:pt>
                <c:pt idx="30">
                  <c:v>45915</c:v>
                </c:pt>
                <c:pt idx="31">
                  <c:v>45922</c:v>
                </c:pt>
                <c:pt idx="32">
                  <c:v>45929</c:v>
                </c:pt>
                <c:pt idx="33">
                  <c:v>45936</c:v>
                </c:pt>
                <c:pt idx="34">
                  <c:v>45943</c:v>
                </c:pt>
                <c:pt idx="35">
                  <c:v>45950</c:v>
                </c:pt>
                <c:pt idx="36">
                  <c:v>45957</c:v>
                </c:pt>
                <c:pt idx="37">
                  <c:v>45964</c:v>
                </c:pt>
                <c:pt idx="38">
                  <c:v>45971</c:v>
                </c:pt>
                <c:pt idx="39">
                  <c:v>45978</c:v>
                </c:pt>
                <c:pt idx="40">
                  <c:v>45985</c:v>
                </c:pt>
                <c:pt idx="41">
                  <c:v>45992</c:v>
                </c:pt>
                <c:pt idx="42">
                  <c:v>45999</c:v>
                </c:pt>
                <c:pt idx="43">
                  <c:v>46006</c:v>
                </c:pt>
                <c:pt idx="44">
                  <c:v>46013</c:v>
                </c:pt>
                <c:pt idx="45">
                  <c:v>46020</c:v>
                </c:pt>
                <c:pt idx="46">
                  <c:v>46027</c:v>
                </c:pt>
                <c:pt idx="47">
                  <c:v>46034</c:v>
                </c:pt>
                <c:pt idx="48">
                  <c:v>46041</c:v>
                </c:pt>
                <c:pt idx="49">
                  <c:v>46048</c:v>
                </c:pt>
                <c:pt idx="50">
                  <c:v>46055</c:v>
                </c:pt>
                <c:pt idx="51">
                  <c:v>46062</c:v>
                </c:pt>
                <c:pt idx="52">
                  <c:v>46069</c:v>
                </c:pt>
                <c:pt idx="53">
                  <c:v>46076</c:v>
                </c:pt>
                <c:pt idx="54">
                  <c:v>46083</c:v>
                </c:pt>
                <c:pt idx="55">
                  <c:v>46090</c:v>
                </c:pt>
                <c:pt idx="56">
                  <c:v>46097</c:v>
                </c:pt>
                <c:pt idx="57">
                  <c:v>46104</c:v>
                </c:pt>
                <c:pt idx="58">
                  <c:v>46111</c:v>
                </c:pt>
              </c:numCache>
            </c:numRef>
          </c:cat>
          <c:val>
            <c:numRef>
              <c:f>Weekly!$E$2:$E$60</c:f>
              <c:numCache>
                <c:formatCode>General</c:formatCode>
                <c:ptCount val="59"/>
                <c:pt idx="52">
                  <c:v>130.51114899999999</c:v>
                </c:pt>
                <c:pt idx="53">
                  <c:v>127.01610599999999</c:v>
                </c:pt>
                <c:pt idx="54">
                  <c:v>122.34231200000001</c:v>
                </c:pt>
                <c:pt idx="55">
                  <c:v>121.80033899999999</c:v>
                </c:pt>
                <c:pt idx="56">
                  <c:v>123.55071700000001</c:v>
                </c:pt>
                <c:pt idx="57">
                  <c:v>127.374189</c:v>
                </c:pt>
                <c:pt idx="58">
                  <c:v>127.978392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A8-43C5-8042-D866AD4CA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4279087"/>
        <c:axId val="834279567"/>
      </c:lineChart>
      <c:dateAx>
        <c:axId val="834279087"/>
        <c:scaling>
          <c:orientation val="minMax"/>
          <c:min val="45825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279567"/>
        <c:crosses val="autoZero"/>
        <c:auto val="1"/>
        <c:lblOffset val="100"/>
        <c:baseTimeUnit val="days"/>
      </c:dateAx>
      <c:valAx>
        <c:axId val="834279567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279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Dividends!$B$1</c:f>
              <c:strCache>
                <c:ptCount val="1"/>
                <c:pt idx="0">
                  <c:v>Dividends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Dividends!$A$2:$A$105</c:f>
              <c:numCache>
                <c:formatCode>yyyy\-mm\-dd;@</c:formatCode>
                <c:ptCount val="104"/>
                <c:pt idx="0">
                  <c:v>36600</c:v>
                </c:pt>
                <c:pt idx="1">
                  <c:v>36691</c:v>
                </c:pt>
                <c:pt idx="2">
                  <c:v>36782</c:v>
                </c:pt>
                <c:pt idx="3">
                  <c:v>36880</c:v>
                </c:pt>
                <c:pt idx="4">
                  <c:v>36971</c:v>
                </c:pt>
                <c:pt idx="5">
                  <c:v>37062</c:v>
                </c:pt>
                <c:pt idx="6">
                  <c:v>37153</c:v>
                </c:pt>
                <c:pt idx="7">
                  <c:v>37244</c:v>
                </c:pt>
                <c:pt idx="8">
                  <c:v>37335</c:v>
                </c:pt>
                <c:pt idx="9">
                  <c:v>37426</c:v>
                </c:pt>
                <c:pt idx="10">
                  <c:v>37517</c:v>
                </c:pt>
                <c:pt idx="11">
                  <c:v>37608</c:v>
                </c:pt>
                <c:pt idx="12">
                  <c:v>37699</c:v>
                </c:pt>
                <c:pt idx="13">
                  <c:v>37790</c:v>
                </c:pt>
                <c:pt idx="14">
                  <c:v>37896</c:v>
                </c:pt>
                <c:pt idx="15">
                  <c:v>37972</c:v>
                </c:pt>
                <c:pt idx="16">
                  <c:v>38063</c:v>
                </c:pt>
                <c:pt idx="17">
                  <c:v>38126</c:v>
                </c:pt>
                <c:pt idx="18">
                  <c:v>38217</c:v>
                </c:pt>
                <c:pt idx="19">
                  <c:v>38336</c:v>
                </c:pt>
                <c:pt idx="20">
                  <c:v>38427</c:v>
                </c:pt>
                <c:pt idx="21">
                  <c:v>38490</c:v>
                </c:pt>
                <c:pt idx="22">
                  <c:v>38581</c:v>
                </c:pt>
                <c:pt idx="23">
                  <c:v>38700</c:v>
                </c:pt>
                <c:pt idx="24">
                  <c:v>38791</c:v>
                </c:pt>
                <c:pt idx="25">
                  <c:v>38854</c:v>
                </c:pt>
                <c:pt idx="26">
                  <c:v>38945</c:v>
                </c:pt>
                <c:pt idx="27">
                  <c:v>39064</c:v>
                </c:pt>
                <c:pt idx="28">
                  <c:v>39155</c:v>
                </c:pt>
                <c:pt idx="29">
                  <c:v>39218</c:v>
                </c:pt>
                <c:pt idx="30">
                  <c:v>39309</c:v>
                </c:pt>
                <c:pt idx="31">
                  <c:v>39428</c:v>
                </c:pt>
                <c:pt idx="32">
                  <c:v>39519</c:v>
                </c:pt>
                <c:pt idx="33">
                  <c:v>39582</c:v>
                </c:pt>
                <c:pt idx="34">
                  <c:v>39673</c:v>
                </c:pt>
                <c:pt idx="35">
                  <c:v>39793</c:v>
                </c:pt>
                <c:pt idx="36">
                  <c:v>39883</c:v>
                </c:pt>
                <c:pt idx="37">
                  <c:v>39946</c:v>
                </c:pt>
                <c:pt idx="38">
                  <c:v>40037</c:v>
                </c:pt>
                <c:pt idx="39">
                  <c:v>40156</c:v>
                </c:pt>
                <c:pt idx="40">
                  <c:v>40247</c:v>
                </c:pt>
                <c:pt idx="41">
                  <c:v>40310</c:v>
                </c:pt>
                <c:pt idx="42">
                  <c:v>40401</c:v>
                </c:pt>
                <c:pt idx="43">
                  <c:v>40520</c:v>
                </c:pt>
                <c:pt idx="44">
                  <c:v>40611</c:v>
                </c:pt>
                <c:pt idx="45">
                  <c:v>40674</c:v>
                </c:pt>
                <c:pt idx="46">
                  <c:v>40765</c:v>
                </c:pt>
                <c:pt idx="47">
                  <c:v>40884</c:v>
                </c:pt>
                <c:pt idx="48">
                  <c:v>40976</c:v>
                </c:pt>
                <c:pt idx="49">
                  <c:v>41038</c:v>
                </c:pt>
                <c:pt idx="50">
                  <c:v>41129</c:v>
                </c:pt>
                <c:pt idx="51">
                  <c:v>41248</c:v>
                </c:pt>
                <c:pt idx="52">
                  <c:v>41341</c:v>
                </c:pt>
                <c:pt idx="53">
                  <c:v>41402</c:v>
                </c:pt>
                <c:pt idx="54">
                  <c:v>41493</c:v>
                </c:pt>
                <c:pt idx="55">
                  <c:v>41612</c:v>
                </c:pt>
                <c:pt idx="56">
                  <c:v>41705</c:v>
                </c:pt>
                <c:pt idx="57">
                  <c:v>41766</c:v>
                </c:pt>
                <c:pt idx="58">
                  <c:v>41857</c:v>
                </c:pt>
                <c:pt idx="59">
                  <c:v>41976</c:v>
                </c:pt>
                <c:pt idx="60">
                  <c:v>42074</c:v>
                </c:pt>
                <c:pt idx="61">
                  <c:v>42130</c:v>
                </c:pt>
                <c:pt idx="62">
                  <c:v>42221</c:v>
                </c:pt>
                <c:pt idx="63">
                  <c:v>42340</c:v>
                </c:pt>
                <c:pt idx="64">
                  <c:v>42438</c:v>
                </c:pt>
                <c:pt idx="65">
                  <c:v>42501</c:v>
                </c:pt>
                <c:pt idx="66">
                  <c:v>42592</c:v>
                </c:pt>
                <c:pt idx="67">
                  <c:v>42711</c:v>
                </c:pt>
                <c:pt idx="68">
                  <c:v>42802</c:v>
                </c:pt>
                <c:pt idx="69">
                  <c:v>42865</c:v>
                </c:pt>
                <c:pt idx="70">
                  <c:v>42956</c:v>
                </c:pt>
                <c:pt idx="71">
                  <c:v>43076</c:v>
                </c:pt>
                <c:pt idx="72">
                  <c:v>43167</c:v>
                </c:pt>
                <c:pt idx="73">
                  <c:v>43230</c:v>
                </c:pt>
                <c:pt idx="74">
                  <c:v>43321</c:v>
                </c:pt>
                <c:pt idx="75">
                  <c:v>43440</c:v>
                </c:pt>
                <c:pt idx="76">
                  <c:v>43538</c:v>
                </c:pt>
                <c:pt idx="77">
                  <c:v>43594</c:v>
                </c:pt>
                <c:pt idx="78">
                  <c:v>43685</c:v>
                </c:pt>
                <c:pt idx="79">
                  <c:v>43804</c:v>
                </c:pt>
                <c:pt idx="80">
                  <c:v>43909</c:v>
                </c:pt>
                <c:pt idx="81">
                  <c:v>43958</c:v>
                </c:pt>
                <c:pt idx="82">
                  <c:v>44056</c:v>
                </c:pt>
                <c:pt idx="83">
                  <c:v>44175</c:v>
                </c:pt>
                <c:pt idx="84">
                  <c:v>44273</c:v>
                </c:pt>
                <c:pt idx="85">
                  <c:v>44322</c:v>
                </c:pt>
                <c:pt idx="86">
                  <c:v>44420</c:v>
                </c:pt>
                <c:pt idx="87">
                  <c:v>44539</c:v>
                </c:pt>
                <c:pt idx="88">
                  <c:v>44637</c:v>
                </c:pt>
                <c:pt idx="89">
                  <c:v>44686</c:v>
                </c:pt>
                <c:pt idx="90">
                  <c:v>44784</c:v>
                </c:pt>
                <c:pt idx="91">
                  <c:v>44903</c:v>
                </c:pt>
                <c:pt idx="92">
                  <c:v>45001</c:v>
                </c:pt>
                <c:pt idx="93">
                  <c:v>45050</c:v>
                </c:pt>
                <c:pt idx="94">
                  <c:v>45148</c:v>
                </c:pt>
                <c:pt idx="95">
                  <c:v>45267</c:v>
                </c:pt>
                <c:pt idx="96">
                  <c:v>45365</c:v>
                </c:pt>
                <c:pt idx="97">
                  <c:v>45421</c:v>
                </c:pt>
                <c:pt idx="98">
                  <c:v>45520</c:v>
                </c:pt>
                <c:pt idx="99">
                  <c:v>45639</c:v>
                </c:pt>
                <c:pt idx="100">
                  <c:v>45737</c:v>
                </c:pt>
                <c:pt idx="101">
                  <c:v>45786</c:v>
                </c:pt>
                <c:pt idx="102">
                  <c:v>45884</c:v>
                </c:pt>
                <c:pt idx="103">
                  <c:v>46003</c:v>
                </c:pt>
              </c:numCache>
            </c:numRef>
          </c:cat>
          <c:val>
            <c:numRef>
              <c:f>Dividends!$B$2:$B$105</c:f>
              <c:numCache>
                <c:formatCode>"$"#,##0.00_);[Red]\("$"#,##0.00\)</c:formatCode>
                <c:ptCount val="10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0.03</c:v>
                </c:pt>
                <c:pt idx="9">
                  <c:v>0.03</c:v>
                </c:pt>
                <c:pt idx="10">
                  <c:v>0.03</c:v>
                </c:pt>
                <c:pt idx="11">
                  <c:v>0.03</c:v>
                </c:pt>
                <c:pt idx="12">
                  <c:v>0.03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0.06</c:v>
                </c:pt>
                <c:pt idx="25">
                  <c:v>0.06</c:v>
                </c:pt>
                <c:pt idx="26">
                  <c:v>0.06</c:v>
                </c:pt>
                <c:pt idx="27">
                  <c:v>0.06</c:v>
                </c:pt>
                <c:pt idx="28">
                  <c:v>7.0000000000000007E-2</c:v>
                </c:pt>
                <c:pt idx="29">
                  <c:v>7.0000000000000007E-2</c:v>
                </c:pt>
                <c:pt idx="30">
                  <c:v>7.0000000000000007E-2</c:v>
                </c:pt>
                <c:pt idx="31">
                  <c:v>7.0000000000000007E-2</c:v>
                </c:pt>
                <c:pt idx="32">
                  <c:v>0.08</c:v>
                </c:pt>
                <c:pt idx="33">
                  <c:v>0.08</c:v>
                </c:pt>
                <c:pt idx="34">
                  <c:v>0.08</c:v>
                </c:pt>
                <c:pt idx="35">
                  <c:v>0.08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0.12</c:v>
                </c:pt>
                <c:pt idx="45">
                  <c:v>0.12</c:v>
                </c:pt>
                <c:pt idx="46">
                  <c:v>0.12</c:v>
                </c:pt>
                <c:pt idx="47">
                  <c:v>0.12</c:v>
                </c:pt>
                <c:pt idx="48">
                  <c:v>0.13</c:v>
                </c:pt>
                <c:pt idx="49">
                  <c:v>0.13</c:v>
                </c:pt>
                <c:pt idx="50">
                  <c:v>0.13</c:v>
                </c:pt>
                <c:pt idx="51">
                  <c:v>0.13</c:v>
                </c:pt>
                <c:pt idx="52">
                  <c:v>0.16</c:v>
                </c:pt>
                <c:pt idx="53">
                  <c:v>0.16</c:v>
                </c:pt>
                <c:pt idx="54">
                  <c:v>0.16</c:v>
                </c:pt>
                <c:pt idx="55">
                  <c:v>0.16</c:v>
                </c:pt>
                <c:pt idx="56">
                  <c:v>0.16</c:v>
                </c:pt>
                <c:pt idx="57">
                  <c:v>0.16</c:v>
                </c:pt>
                <c:pt idx="58">
                  <c:v>0.16</c:v>
                </c:pt>
                <c:pt idx="59">
                  <c:v>0.16</c:v>
                </c:pt>
                <c:pt idx="60">
                  <c:v>0.16</c:v>
                </c:pt>
                <c:pt idx="61">
                  <c:v>0.16</c:v>
                </c:pt>
                <c:pt idx="62">
                  <c:v>0.16</c:v>
                </c:pt>
                <c:pt idx="63">
                  <c:v>0.16</c:v>
                </c:pt>
                <c:pt idx="64">
                  <c:v>0.17</c:v>
                </c:pt>
                <c:pt idx="65">
                  <c:v>0.17</c:v>
                </c:pt>
                <c:pt idx="66">
                  <c:v>0.17</c:v>
                </c:pt>
                <c:pt idx="67">
                  <c:v>0.17</c:v>
                </c:pt>
                <c:pt idx="68">
                  <c:v>0.17</c:v>
                </c:pt>
                <c:pt idx="69">
                  <c:v>0.17</c:v>
                </c:pt>
                <c:pt idx="70">
                  <c:v>0.17</c:v>
                </c:pt>
                <c:pt idx="71">
                  <c:v>0.17</c:v>
                </c:pt>
                <c:pt idx="72">
                  <c:v>0.17</c:v>
                </c:pt>
                <c:pt idx="73">
                  <c:v>0.17</c:v>
                </c:pt>
                <c:pt idx="74">
                  <c:v>0.17</c:v>
                </c:pt>
                <c:pt idx="75">
                  <c:v>0.17</c:v>
                </c:pt>
                <c:pt idx="76">
                  <c:v>0.18</c:v>
                </c:pt>
                <c:pt idx="77">
                  <c:v>0.18</c:v>
                </c:pt>
                <c:pt idx="78">
                  <c:v>0.18</c:v>
                </c:pt>
                <c:pt idx="79">
                  <c:v>0.18</c:v>
                </c:pt>
                <c:pt idx="80">
                  <c:v>0.18</c:v>
                </c:pt>
                <c:pt idx="81">
                  <c:v>0.18</c:v>
                </c:pt>
                <c:pt idx="82">
                  <c:v>0.18</c:v>
                </c:pt>
                <c:pt idx="83">
                  <c:v>0.18</c:v>
                </c:pt>
                <c:pt idx="84">
                  <c:v>0.18</c:v>
                </c:pt>
                <c:pt idx="85">
                  <c:v>0.18</c:v>
                </c:pt>
                <c:pt idx="86">
                  <c:v>0.18</c:v>
                </c:pt>
                <c:pt idx="87">
                  <c:v>0.18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0.21</c:v>
                </c:pt>
                <c:pt idx="98">
                  <c:v>0.21</c:v>
                </c:pt>
                <c:pt idx="99">
                  <c:v>0.21</c:v>
                </c:pt>
                <c:pt idx="100">
                  <c:v>0.24</c:v>
                </c:pt>
                <c:pt idx="101">
                  <c:v>0.24</c:v>
                </c:pt>
                <c:pt idx="102">
                  <c:v>0.24</c:v>
                </c:pt>
                <c:pt idx="103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3-4C08-95E1-20EEA8DE6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4252207"/>
        <c:axId val="834250767"/>
      </c:barChart>
      <c:dateAx>
        <c:axId val="834252207"/>
        <c:scaling>
          <c:orientation val="minMax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250767"/>
        <c:crosses val="autoZero"/>
        <c:auto val="1"/>
        <c:lblOffset val="100"/>
        <c:baseTimeUnit val="months"/>
      </c:dateAx>
      <c:valAx>
        <c:axId val="83425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252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485776</xdr:colOff>
      <xdr:row>74</xdr:row>
      <xdr:rowOff>76200</xdr:rowOff>
    </xdr:from>
    <xdr:to>
      <xdr:col>12</xdr:col>
      <xdr:colOff>381000</xdr:colOff>
      <xdr:row>88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42ECA3-542C-44C5-B2E0-8A72E0E4CC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90</xdr:row>
      <xdr:rowOff>114300</xdr:rowOff>
    </xdr:from>
    <xdr:to>
      <xdr:col>12</xdr:col>
      <xdr:colOff>400050</xdr:colOff>
      <xdr:row>103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C5FF624-CC48-49C8-B50F-BD6025C57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514350</xdr:colOff>
      <xdr:row>105</xdr:row>
      <xdr:rowOff>114300</xdr:rowOff>
    </xdr:from>
    <xdr:to>
      <xdr:col>12</xdr:col>
      <xdr:colOff>428625</xdr:colOff>
      <xdr:row>120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B458454-5FE7-4819-A77B-758986073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533400</xdr:colOff>
      <xdr:row>122</xdr:row>
      <xdr:rowOff>66675</xdr:rowOff>
    </xdr:from>
    <xdr:to>
      <xdr:col>12</xdr:col>
      <xdr:colOff>447675</xdr:colOff>
      <xdr:row>135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0D6B15F-4D4A-4037-9688-D7B7126B1C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561975</xdr:colOff>
      <xdr:row>137</xdr:row>
      <xdr:rowOff>0</xdr:rowOff>
    </xdr:from>
    <xdr:to>
      <xdr:col>12</xdr:col>
      <xdr:colOff>495300</xdr:colOff>
      <xdr:row>150</xdr:row>
      <xdr:rowOff>104775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25C614B-5F27-4496-BED9-4543BA6EB3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561975</xdr:colOff>
      <xdr:row>152</xdr:row>
      <xdr:rowOff>161925</xdr:rowOff>
    </xdr:from>
    <xdr:to>
      <xdr:col>12</xdr:col>
      <xdr:colOff>504825</xdr:colOff>
      <xdr:row>167</xdr:row>
      <xdr:rowOff>47625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4175C17-3408-46A0-9CDB-B5B779B30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F0A9D6-C99B-4B6C-9226-9417E303A04B}" autoFormatId="16" applyNumberFormats="0" applyBorderFormats="0" applyFontFormats="0" applyPatternFormats="0" applyAlignmentFormats="0" applyWidthHeightFormats="0">
  <queryTableRefresh nextId="6" unboundColumnsRight="3">
    <queryTableFields count="5">
      <queryTableField id="1" name="Week" tableColumnId="1"/>
      <queryTableField id="2" name="Average" tableColumnId="2"/>
      <queryTableField id="3" dataBound="0" tableColumnId="3"/>
      <queryTableField id="4" dataBound="0" tableColumnId="4"/>
      <queryTableField id="5" dataBound="0" tableColumnId="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" c="250">
    <v t="i">2</v>
    <v t="i">3</v>
    <v t="i">4</v>
    <v t="i">5</v>
    <v t="i">8</v>
    <v t="i">9</v>
    <v t="i">10</v>
    <v t="i">11</v>
    <v t="i">12</v>
    <v t="i">15</v>
    <v t="i">16</v>
    <v t="i">17</v>
    <v t="i">18</v>
    <v t="i">19</v>
    <v t="i">22</v>
    <v t="i">23</v>
    <v t="i">24</v>
    <v t="i">25</v>
    <v t="i">26</v>
    <v t="i">29</v>
    <v t="i">30</v>
    <v t="i">31</v>
    <v t="i">32</v>
    <v t="i">33</v>
    <v t="i">36</v>
    <v t="i">37</v>
    <v t="i">38</v>
    <v t="i">39</v>
    <v t="i">40</v>
    <v t="i">43</v>
    <v t="i">44</v>
    <v t="i">45</v>
    <v t="i">46</v>
    <v t="i">47</v>
    <v t="i">50</v>
    <v t="i">51</v>
    <v t="i">52</v>
    <v t="i">53</v>
    <v t="i">54</v>
    <v t="i">57</v>
    <v t="i">58</v>
    <v t="i">59</v>
    <v t="i">60</v>
    <v t="i">64</v>
    <v t="i">65</v>
    <v t="i">66</v>
    <v t="i">67</v>
    <v t="i">68</v>
    <v t="i">71</v>
    <v t="i">72</v>
    <v t="i">73</v>
    <v t="i">74</v>
    <v t="i">75</v>
    <v t="i">78</v>
    <v t="i">79</v>
    <v t="i">80</v>
    <v t="i">81</v>
    <v t="i">82</v>
    <v t="i">85</v>
    <v t="i">86</v>
    <v t="i">87</v>
    <v t="i">88</v>
    <v t="i">89</v>
    <v t="i">92</v>
    <v t="i">93</v>
    <v t="i">94</v>
    <v t="i">95</v>
    <v t="i">96</v>
    <v t="i">100</v>
    <v t="i">101</v>
    <v t="i">102</v>
    <v t="i">103</v>
    <v t="i">106</v>
    <v t="i">107</v>
    <v t="i">108</v>
    <v t="i">109</v>
    <v t="i">110</v>
    <v t="i">113</v>
    <v t="i">114</v>
    <v t="i">115</v>
    <v t="i">116</v>
    <v t="i">117</v>
    <v t="i">120</v>
    <v t="i">121</v>
    <v t="i">122</v>
    <v t="i">124</v>
    <v t="i">127</v>
    <v t="i">128</v>
    <v t="i">129</v>
    <v t="i">130</v>
    <v t="i">131</v>
    <v t="i">134</v>
    <v t="i">135</v>
    <v t="i">136</v>
    <v t="i">137</v>
    <v t="i">141</v>
    <v t="i">142</v>
    <v t="i">143</v>
    <v t="i">144</v>
    <v t="i">145</v>
    <v t="i">148</v>
    <v t="i">149</v>
    <v t="i">150</v>
    <v t="i">151</v>
    <v t="i">152</v>
    <v t="i">155</v>
    <v t="i">156</v>
    <v t="i">157</v>
    <v t="i">158</v>
    <v t="i">159</v>
    <v t="i">162</v>
    <v t="i">163</v>
    <v t="i">164</v>
    <v t="i">165</v>
    <v t="i">166</v>
    <v t="i">169</v>
    <v t="i">170</v>
    <v t="i">171</v>
    <v t="i">172</v>
    <v t="i">173</v>
    <v t="i">176</v>
    <v t="i">177</v>
    <v t="i">178</v>
    <v t="i">179</v>
    <v t="i">180</v>
    <v t="i">183</v>
    <v t="i">184</v>
    <v t="i">185</v>
    <v t="i">186</v>
    <v t="i">187</v>
    <v t="i">190</v>
    <v t="i">191</v>
    <v t="i">192</v>
    <v t="i">193</v>
    <v t="i">194</v>
    <v t="i">198</v>
    <v t="i">199</v>
    <v t="i">200</v>
    <v t="i">201</v>
    <v t="i">204</v>
    <v t="i">205</v>
    <v t="i">206</v>
    <v t="i">207</v>
    <v t="i">208</v>
    <v t="i">211</v>
    <v t="i">212</v>
    <v t="i">213</v>
    <v t="i">214</v>
    <v t="i">215</v>
    <v t="i">218</v>
    <v t="i">219</v>
    <v t="i">220</v>
    <v t="i">221</v>
    <v t="i">222</v>
    <v t="i">225</v>
    <v t="i">226</v>
    <v t="i">227</v>
    <v t="i">228</v>
    <v t="i">229</v>
    <v t="i">232</v>
    <v t="i">233</v>
    <v t="i">234</v>
    <v t="i">235</v>
    <v t="i">236</v>
    <v t="i">239</v>
    <v t="i">240</v>
    <v t="i">241</v>
    <v t="i">242</v>
    <v t="i">243</v>
    <v t="i">246</v>
    <v t="i">247</v>
    <v t="i">248</v>
    <v t="i">249</v>
    <v t="i">250</v>
    <v t="i">253</v>
    <v t="i">254</v>
    <v t="i">255</v>
    <v t="i">256</v>
    <v t="i">257</v>
    <v t="i">260</v>
    <v t="i">261</v>
    <v t="i">262</v>
    <v t="i">263</v>
    <v t="i">264</v>
    <v t="i">267</v>
    <v t="i">268</v>
    <v t="i">269</v>
    <v t="i">270</v>
    <v t="i">271</v>
    <v t="i">274</v>
    <v t="i">275</v>
    <v t="i">276</v>
    <v t="i">277</v>
    <v t="i">278</v>
    <v t="i">281</v>
    <v t="i">282</v>
    <v t="i">283</v>
    <v t="i">285</v>
    <v t="i">288</v>
    <v t="i">289</v>
    <v t="i">290</v>
    <v t="i">291</v>
    <v t="i">292</v>
    <v t="i">295</v>
    <v t="i">296</v>
    <v t="i">297</v>
    <v t="i">298</v>
    <v t="i">299</v>
    <v t="i">302</v>
    <v t="i">303</v>
    <v t="i">304</v>
    <v t="i">305</v>
    <v t="i">306</v>
    <v t="i">309</v>
    <v t="i">310</v>
    <v t="i">311</v>
    <v t="i">313</v>
    <v t="i">316</v>
    <v t="i">317</v>
    <v t="i">318</v>
    <v t="i">320</v>
    <v t="i">323</v>
    <v t="i">324</v>
    <v t="i">325</v>
    <v t="i">326</v>
    <v t="i">327</v>
    <v t="i">330</v>
    <v t="i">331</v>
    <v t="i">332</v>
    <v t="i">333</v>
    <v t="i">334</v>
    <v t="i">338</v>
    <v t="i">339</v>
    <v t="i">340</v>
    <v t="i">341</v>
    <v t="i">344</v>
    <v t="i">345</v>
    <v t="i">346</v>
    <v t="i">347</v>
    <v t="i">348</v>
    <v t="i">351</v>
    <v t="i">352</v>
    <v t="i">353</v>
    <v t="i">354</v>
    <v t="i">355</v>
    <v t="i">358</v>
    <v t="i">359</v>
    <v t="i">360</v>
    <v t="i">361</v>
    <v t="i">362</v>
  </a>
  <a r="1" c="250">
    <v>103.78</v>
    <v>104</v>
    <v>97.21</v>
    <v>94.78</v>
    <v>93.67</v>
    <v>97.69</v>
    <v>96.2</v>
    <v>96.79</v>
    <v>98.61</v>
    <v>97.59</v>
    <v>94.97</v>
    <v>95.98</v>
    <v>94.64</v>
    <v>91.72</v>
    <v>87.82</v>
    <v>87.44</v>
    <v>85.2</v>
    <v>84.5</v>
    <v>85.35</v>
    <v>87.46</v>
    <v>85.59</v>
    <v>86.33</v>
    <v>85.81</v>
    <v>85.98</v>
    <v>87.49</v>
    <v>84.76</v>
    <v>85.21</v>
    <v>85.63</v>
    <v>85.15</v>
    <v>87.79</v>
    <v>88.83</v>
    <v>89.76</v>
    <v>87.26</v>
    <v>83.19</v>
    <v>83.83</v>
    <v>81.790000000000006</v>
    <v>89.6</v>
    <v>90.61</v>
    <v>92.8</v>
    <v>94.73</v>
    <v>93.97</v>
    <v>91.19</v>
    <v>93.22</v>
    <v>92.41</v>
    <v>94.85</v>
    <v>94.96</v>
    <v>95.84</v>
    <v>95.09</v>
    <v>95.22</v>
    <v>96.04</v>
    <v>97.25</v>
    <v>97.41</v>
    <v>98.75</v>
    <v>99.33</v>
    <v>98.55</v>
    <v>98.83</v>
    <v>97.43</v>
    <v>96.72</v>
    <v>96.75</v>
    <v>95.88</v>
    <v>96.83</v>
    <v>96.35</v>
    <v>98.24</v>
    <v>98.12</v>
    <v>97.8</v>
    <v>96.43</v>
    <v>95.93</v>
    <v>96.34</v>
    <v>97.58</v>
    <v>97.24</v>
    <v>97.1</v>
    <v>98.72</v>
    <v>99.77</v>
    <v>99.98</v>
    <v>99.35</v>
    <v>97.96</v>
    <v>97.47</v>
    <v>97.45</v>
    <v>97.32</v>
    <v>95.8</v>
    <v>94.83</v>
    <v>94.44</v>
    <v>94.29</v>
    <v>94.25</v>
    <v>95.09</v>
    <v>96.12</v>
    <v>97.87</v>
    <v>98</v>
    <v>97.26</v>
    <v>96.02</v>
    <v>97.27</v>
    <v>97.78</v>
    <v>98.24</v>
    <v>97.61</v>
    <v>98.36</v>
    <v>99.35</v>
    <v>97.09</v>
    <v>96.81</v>
    <v>94.86</v>
    <v>94.4</v>
    <v>95.78</v>
    <v>95.39</v>
    <v>95.15</v>
    <v>95.09</v>
    <v>95.05</v>
    <v>95.67</v>
    <v>95.85</v>
    <v>95.68</v>
    <v>96.6</v>
    <v>97.47</v>
    <v>97.61</v>
    <v>98.33</v>
    <v>97.59</v>
    <v>97.98</v>
    <v>98.49</v>
    <v>99.59</v>
    <v>99.31</v>
    <v>103.36</v>
    <v>103.12</v>
    <v>103.73</v>
    <v>103.93</v>
    <v>103.62</v>
    <v>100.99</v>
    <v>100.85</v>
    <v>100</v>
    <v>100.7</v>
    <v>101.29</v>
    <v>102.57</v>
    <v>97.96</v>
    <v>96.83</v>
    <v>96.07</v>
    <v>96.05</v>
    <v>96.08</v>
    <v>96.11</v>
    <v>96.98</v>
    <v>97.85</v>
    <v>99.44</v>
    <v>100.93</v>
    <v>100.51</v>
    <v>102.28</v>
    <v>102.29</v>
    <v>100.41</v>
    <v>102.65</v>
    <v>103.49</v>
    <v>103.69</v>
    <v>103.42</v>
    <v>104.27</v>
    <v>103.6</v>
    <v>102.33</v>
    <v>102.82</v>
    <v>102.52</v>
    <v>102.73</v>
    <v>103.05</v>
    <v>103.16</v>
    <v>103.08</v>
    <v>103.06</v>
    <v>101.96</v>
    <v>101.7</v>
    <v>102.07</v>
    <v>102.7</v>
    <v>103.24</v>
    <v>102.9</v>
    <v>101.77</v>
    <v>101.84</v>
    <v>102.12</v>
    <v>107.21</v>
    <v>109.03</v>
    <v>106.47</v>
    <v>107.73</v>
    <v>107.05</v>
    <v>106.22</v>
    <v>107.14</v>
    <v>106.86</v>
    <v>106.17</v>
    <v>104.47</v>
    <v>103.17</v>
    <v>102.46</v>
    <v>102.23</v>
    <v>101.18</v>
    <v>101.59</v>
    <v>102.27</v>
    <v>101.47</v>
    <v>101.68</v>
    <v>102.59</v>
    <v>102.42</v>
    <v>103.44</v>
    <v>103.44</v>
    <v>102.54</v>
    <v>102.48</v>
    <v>102.95</v>
    <v>101.39</v>
    <v>100.61</v>
    <v>107.11</v>
    <v>105.32</v>
    <v>104.06</v>
    <v>107</v>
    <v>109.1</v>
    <v>110.51</v>
    <v>111.53</v>
    <v>112.41</v>
    <v>114.41</v>
    <v>114.84</v>
    <v>115.11</v>
    <v>113.56</v>
    <v>115.06</v>
    <v>113.18</v>
    <v>115.52</v>
    <v>116.7</v>
    <v>116.79</v>
    <v>115.42</v>
    <v>115.66</v>
    <v>114.83</v>
    <v>114.36</v>
    <v>112.6</v>
    <v>110.9</v>
    <v>111.61</v>
    <v>111.74</v>
    <v>112.53</v>
    <v>111.92</v>
    <v>111.41</v>
    <v>112.76</v>
    <v>112.71</v>
    <v>114.34</v>
    <v>112.72</v>
    <v>113.07</v>
    <v>114.53</v>
    <v>117.97</v>
    <v>120.36</v>
    <v>120.04</v>
    <v>119.2</v>
    <v>119.7</v>
    <v>118.71</v>
    <v>119.36</v>
    <v>117.83</v>
    <v>117.73</v>
    <v>117.64</v>
    <v>116.94</v>
    <v>116.57</v>
    <v>117.41</v>
    <v>119.14</v>
    <v>124.06</v>
    <v>127.71</v>
    <v>128</v>
    <v>126.94</v>
    <v>131.18</v>
    <v>129.02000000000001</v>
    <v>126.7</v>
    <v>128.77000000000001</v>
    <v>133.63999999999999</v>
    <v>133.88999999999999</v>
  </a>
  <a r="1" c="250">
    <v>18247314</v>
    <v>18507981</v>
    <v>55450924</v>
    <v>35014806</v>
    <v>29755875</v>
    <v>29331188</v>
    <v>19069721</v>
    <v>16431469</v>
    <v>25451260</v>
    <v>18372193</v>
    <v>25227673</v>
    <v>17638956</v>
    <v>19957804</v>
    <v>35913156</v>
    <v>35148837</v>
    <v>28687586</v>
    <v>33301609</v>
    <v>31507753</v>
    <v>35500647</v>
    <v>26297768</v>
    <v>17850930</v>
    <v>24555857</v>
    <v>18185506</v>
    <v>26797178</v>
    <v>17900732</v>
    <v>27908573</v>
    <v>27241495</v>
    <v>16782807</v>
    <v>14790567</v>
    <v>30269313</v>
    <v>22080252</v>
    <v>19384137</v>
    <v>33012927</v>
    <v>36209015</v>
    <v>36884944</v>
    <v>34351744</v>
    <v>46632755</v>
    <v>34735323</v>
    <v>25508136</v>
    <v>27742915</v>
    <v>21871213</v>
    <v>22229105</v>
    <v>21393917</v>
    <v>18361208</v>
    <v>15407774</v>
    <v>18046886</v>
    <v>13444528</v>
    <v>15317220</v>
    <v>12950000</v>
    <v>12679025</v>
    <v>21639860</v>
    <v>13171784</v>
    <v>16031373</v>
    <v>12439132</v>
    <v>10625999</v>
    <v>11310191</v>
    <v>14461119</v>
    <v>13697822</v>
    <v>26783925</v>
    <v>19746658</v>
    <v>25620110</v>
    <v>44026125</v>
    <v>33746187</v>
    <v>20041573</v>
    <v>15609610</v>
    <v>15742336</v>
    <v>13712163</v>
    <v>13668621</v>
    <v>17180937</v>
    <v>11220098</v>
    <v>14343738</v>
    <v>29980069</v>
    <v>16999205</v>
    <v>15598643</v>
    <v>11115649</v>
    <v>15825276</v>
    <v>15599294</v>
    <v>13655700</v>
    <v>17162468</v>
    <v>16389620</v>
    <v>17845704</v>
    <v>18694739</v>
    <v>14881663</v>
    <v>14935630</v>
    <v>11333690</v>
    <v>20604918</v>
    <v>20432351</v>
    <v>22403655</v>
    <v>11154676</v>
    <v>19361417</v>
    <v>31431912</v>
    <v>17803030</v>
    <v>15635847</v>
    <v>12501965</v>
    <v>7686204</v>
    <v>12930913</v>
    <v>16874954</v>
    <v>13702615</v>
    <v>18894787</v>
    <v>14595047</v>
    <v>13779084</v>
    <v>10450759</v>
    <v>11181552</v>
    <v>11165126</v>
    <v>14636294</v>
    <v>13450359</v>
    <v>9049130</v>
    <v>9729672</v>
    <v>14991517</v>
    <v>12868466</v>
    <v>12293060</v>
    <v>14034265</v>
    <v>13864096</v>
    <v>15651348</v>
    <v>16750407</v>
    <v>19050206</v>
    <v>17977008</v>
    <v>23738420</v>
    <v>12509479</v>
    <v>12394722</v>
    <v>12856706</v>
    <v>17919327</v>
    <v>19398499</v>
    <v>10858447</v>
    <v>13604944</v>
    <v>11656135</v>
    <v>16999004</v>
    <v>18655026</v>
    <v>51825050</v>
    <v>32695177</v>
    <v>18956143</v>
    <v>22270353</v>
    <v>12925656</v>
    <v>19241634</v>
    <v>15600269</v>
    <v>15351293</v>
    <v>18995914</v>
    <v>15640895</v>
    <v>13748454</v>
    <v>13685735</v>
    <v>11819663</v>
    <v>17934871</v>
    <v>15900790</v>
    <v>11641926</v>
    <v>10756876</v>
    <v>14481863</v>
    <v>25382015</v>
    <v>14869387</v>
    <v>34791573</v>
    <v>12861946</v>
    <v>13158658</v>
    <v>11391834</v>
    <v>13366747</v>
    <v>11859265</v>
    <v>15477159</v>
    <v>13873389</v>
    <v>16142766</v>
    <v>15605363</v>
    <v>11867483</v>
    <v>13303560</v>
    <v>15538855</v>
    <v>13584084</v>
    <v>19508017</v>
    <v>18519435</v>
    <v>10871182</v>
    <v>30859504</v>
    <v>21416294</v>
    <v>16366166</v>
    <v>13735594</v>
    <v>10581220</v>
    <v>10899733</v>
    <v>12296490</v>
    <v>11408241</v>
    <v>10317959</v>
    <v>16375860</v>
    <v>13322994</v>
    <v>11986407</v>
    <v>14065077</v>
    <v>20237018</v>
    <v>14811687</v>
    <v>12636350</v>
    <v>13356821</v>
    <v>14866025</v>
    <v>17248716</v>
    <v>14507603</v>
    <v>13182144</v>
    <v>12084407</v>
    <v>18088506</v>
    <v>23424211</v>
    <v>15289373</v>
    <v>17604460</v>
    <v>22157029</v>
    <v>50375920</v>
    <v>41420780</v>
    <v>42519159</v>
    <v>20212882</v>
    <v>17783281</v>
    <v>9846525</v>
    <v>17236750</v>
    <v>18711768</v>
    <v>24478281</v>
    <v>25905147</v>
    <v>23956427</v>
    <v>22700747</v>
    <v>24326690</v>
    <v>22859578</v>
    <v>21586640</v>
    <v>19092414</v>
    <v>18713743</v>
    <v>19642346</v>
    <v>16177750</v>
    <v>21476675</v>
    <v>50043755</v>
    <v>21473912</v>
    <v>20319917</v>
    <v>9009629</v>
    <v>9003791</v>
    <v>12979573</v>
    <v>11730590</v>
    <v>11487434</v>
    <v>14306560</v>
    <v>19557620</v>
    <v>20120817</v>
    <v>23306003</v>
    <v>24058262</v>
    <v>21902859</v>
    <v>49182081</v>
    <v>31222058</v>
    <v>32764044</v>
    <v>34559430</v>
    <v>415144621</v>
    <v>45333984</v>
    <v>34811697</v>
    <v>24547334</v>
    <v>20806906</v>
    <v>19552228</v>
    <v>22968630</v>
    <v>16341996</v>
    <v>16381111</v>
    <v>22215386</v>
    <v>31210059</v>
    <v>32018678</v>
    <v>27531790</v>
    <v>30517793</v>
    <v>26593427</v>
    <v>27197291</v>
    <v>24661953</v>
    <v>19232142</v>
    <v>33382692</v>
    <v>24131179</v>
  </a>
</arrayData>
</file>

<file path=xl/richData/rdrichvalue.xml><?xml version="1.0" encoding="utf-8"?>
<rvData xmlns="http://schemas.microsoft.com/office/spreadsheetml/2017/richdata" count="741">
  <rv s="0">
    <fb>45706</fb>
    <v>0</v>
  </rv>
  <rv s="0">
    <fb>103.78</fb>
    <v>1</v>
  </rv>
  <rv s="0">
    <fb>18247314</fb>
    <v>2</v>
  </rv>
  <rv s="0">
    <fb>45707</fb>
    <v>0</v>
  </rv>
  <rv s="0">
    <fb>104</fb>
    <v>1</v>
  </rv>
  <rv s="0">
    <fb>18507981</fb>
    <v>2</v>
  </rv>
  <rv s="0">
    <fb>45708</fb>
    <v>0</v>
  </rv>
  <rv s="0">
    <fb>97.21</fb>
    <v>1</v>
  </rv>
  <rv s="0">
    <fb>55450924</fb>
    <v>2</v>
  </rv>
  <rv s="0">
    <fb>45709</fb>
    <v>0</v>
  </rv>
  <rv s="0">
    <fb>94.78</fb>
    <v>1</v>
  </rv>
  <rv s="0">
    <fb>35014806</fb>
    <v>2</v>
  </rv>
  <rv s="0">
    <fb>45712</fb>
    <v>0</v>
  </rv>
  <rv s="0">
    <fb>93.67</fb>
    <v>1</v>
  </rv>
  <rv s="0">
    <fb>29755875</fb>
    <v>2</v>
  </rv>
  <rv s="0">
    <fb>45713</fb>
    <v>0</v>
  </rv>
  <rv s="0">
    <fb>97.69</fb>
    <v>1</v>
  </rv>
  <rv s="0">
    <fb>29331188</fb>
    <v>2</v>
  </rv>
  <rv s="0">
    <fb>45714</fb>
    <v>0</v>
  </rv>
  <rv s="0">
    <fb>96.2</fb>
    <v>1</v>
  </rv>
  <rv s="0">
    <fb>19069721</fb>
    <v>2</v>
  </rv>
  <rv s="0">
    <fb>45715</fb>
    <v>0</v>
  </rv>
  <rv s="0">
    <fb>96.79</fb>
    <v>1</v>
  </rv>
  <rv s="0">
    <fb>16431469</fb>
    <v>2</v>
  </rv>
  <rv s="0">
    <fb>45716</fb>
    <v>0</v>
  </rv>
  <rv s="0">
    <fb>98.61</fb>
    <v>1</v>
  </rv>
  <rv s="0">
    <fb>25451260</fb>
    <v>2</v>
  </rv>
  <rv s="0">
    <fb>45719</fb>
    <v>0</v>
  </rv>
  <rv s="0">
    <fb>97.59</fb>
    <v>1</v>
  </rv>
  <rv s="0">
    <fb>18372193</fb>
    <v>2</v>
  </rv>
  <rv s="0">
    <fb>45720</fb>
    <v>0</v>
  </rv>
  <rv s="0">
    <fb>94.97</fb>
    <v>1</v>
  </rv>
  <rv s="0">
    <fb>25227673</fb>
    <v>2</v>
  </rv>
  <rv s="0">
    <fb>45721</fb>
    <v>0</v>
  </rv>
  <rv s="0">
    <fb>95.98</fb>
    <v>1</v>
  </rv>
  <rv s="0">
    <fb>17638956</fb>
    <v>2</v>
  </rv>
  <rv s="0">
    <fb>45722</fb>
    <v>0</v>
  </rv>
  <rv s="0">
    <fb>94.64</fb>
    <v>1</v>
  </rv>
  <rv s="0">
    <fb>19957804</fb>
    <v>2</v>
  </rv>
  <rv s="0">
    <fb>45723</fb>
    <v>0</v>
  </rv>
  <rv s="0">
    <fb>91.72</fb>
    <v>1</v>
  </rv>
  <rv s="0">
    <fb>35913156</fb>
    <v>2</v>
  </rv>
  <rv s="0">
    <fb>45726</fb>
    <v>0</v>
  </rv>
  <rv s="0">
    <fb>87.82</fb>
    <v>1</v>
  </rv>
  <rv s="0">
    <fb>35148837</fb>
    <v>2</v>
  </rv>
  <rv s="0">
    <fb>45727</fb>
    <v>0</v>
  </rv>
  <rv s="0">
    <fb>87.44</fb>
    <v>1</v>
  </rv>
  <rv s="0">
    <fb>28687586</fb>
    <v>2</v>
  </rv>
  <rv s="0">
    <fb>45728</fb>
    <v>0</v>
  </rv>
  <rv s="0">
    <fb>85.2</fb>
    <v>1</v>
  </rv>
  <rv s="0">
    <fb>33301609</fb>
    <v>2</v>
  </rv>
  <rv s="0">
    <fb>45729</fb>
    <v>0</v>
  </rv>
  <rv s="0">
    <fb>84.5</fb>
    <v>1</v>
  </rv>
  <rv s="0">
    <fb>31507753</fb>
    <v>2</v>
  </rv>
  <rv s="0">
    <fb>45730</fb>
    <v>0</v>
  </rv>
  <rv s="0">
    <fb>85.35</fb>
    <v>1</v>
  </rv>
  <rv s="0">
    <fb>35500647</fb>
    <v>2</v>
  </rv>
  <rv s="0">
    <fb>45733</fb>
    <v>0</v>
  </rv>
  <rv s="0">
    <fb>87.46</fb>
    <v>1</v>
  </rv>
  <rv s="0">
    <fb>26297768</fb>
    <v>2</v>
  </rv>
  <rv s="0">
    <fb>45734</fb>
    <v>0</v>
  </rv>
  <rv s="0">
    <fb>85.59</fb>
    <v>1</v>
  </rv>
  <rv s="0">
    <fb>17850930</fb>
    <v>2</v>
  </rv>
  <rv s="0">
    <fb>45735</fb>
    <v>0</v>
  </rv>
  <rv s="0">
    <fb>86.33</fb>
    <v>1</v>
  </rv>
  <rv s="0">
    <fb>24555857</fb>
    <v>2</v>
  </rv>
  <rv s="0">
    <fb>45736</fb>
    <v>0</v>
  </rv>
  <rv s="0">
    <fb>85.81</fb>
    <v>1</v>
  </rv>
  <rv s="0">
    <fb>18185506</fb>
    <v>2</v>
  </rv>
  <rv s="0">
    <fb>45737</fb>
    <v>0</v>
  </rv>
  <rv s="0">
    <fb>85.98</fb>
    <v>1</v>
  </rv>
  <rv s="0">
    <fb>26797178</fb>
    <v>2</v>
  </rv>
  <rv s="0">
    <fb>45740</fb>
    <v>0</v>
  </rv>
  <rv s="0">
    <fb>87.49</fb>
    <v>1</v>
  </rv>
  <rv s="0">
    <fb>17900732</fb>
    <v>2</v>
  </rv>
  <rv s="0">
    <fb>45741</fb>
    <v>0</v>
  </rv>
  <rv s="0">
    <fb>84.76</fb>
    <v>1</v>
  </rv>
  <rv s="0">
    <fb>27908573</fb>
    <v>2</v>
  </rv>
  <rv s="0">
    <fb>45742</fb>
    <v>0</v>
  </rv>
  <rv s="0">
    <fb>85.21</fb>
    <v>1</v>
  </rv>
  <rv s="0">
    <fb>27241495</fb>
    <v>2</v>
  </rv>
  <rv s="0">
    <fb>45743</fb>
    <v>0</v>
  </rv>
  <rv s="0">
    <fb>85.63</fb>
    <v>1</v>
  </rv>
  <rv s="0">
    <fb>16782807</fb>
    <v>2</v>
  </rv>
  <rv s="0">
    <fb>45744</fb>
    <v>0</v>
  </rv>
  <rv s="0">
    <fb>85.15</fb>
    <v>1</v>
  </rv>
  <rv s="0">
    <fb>14790567</fb>
    <v>2</v>
  </rv>
  <rv s="0">
    <fb>45747</fb>
    <v>0</v>
  </rv>
  <rv s="0">
    <fb>87.79</fb>
    <v>1</v>
  </rv>
  <rv s="0">
    <fb>30269313</fb>
    <v>2</v>
  </rv>
  <rv s="0">
    <fb>45748</fb>
    <v>0</v>
  </rv>
  <rv s="0">
    <fb>88.83</fb>
    <v>1</v>
  </rv>
  <rv s="0">
    <fb>22080252</fb>
    <v>2</v>
  </rv>
  <rv s="0">
    <fb>45749</fb>
    <v>0</v>
  </rv>
  <rv s="0">
    <fb>89.76</fb>
    <v>1</v>
  </rv>
  <rv s="0">
    <fb>19384137</fb>
    <v>2</v>
  </rv>
  <rv s="0">
    <fb>45750</fb>
    <v>0</v>
  </rv>
  <rv s="0">
    <fb>87.26</fb>
    <v>1</v>
  </rv>
  <rv s="0">
    <fb>33012927</fb>
    <v>2</v>
  </rv>
  <rv s="0">
    <fb>45751</fb>
    <v>0</v>
  </rv>
  <rv s="0">
    <fb>83.19</fb>
    <v>1</v>
  </rv>
  <rv s="0">
    <fb>36209015</fb>
    <v>2</v>
  </rv>
  <rv s="0">
    <fb>45754</fb>
    <v>0</v>
  </rv>
  <rv s="0">
    <fb>83.83</fb>
    <v>1</v>
  </rv>
  <rv s="0">
    <fb>36884944</fb>
    <v>2</v>
  </rv>
  <rv s="0">
    <fb>45755</fb>
    <v>0</v>
  </rv>
  <rv s="0">
    <fb>81.790000000000006</fb>
    <v>1</v>
  </rv>
  <rv s="0">
    <fb>34351744</fb>
    <v>2</v>
  </rv>
  <rv s="0">
    <fb>45756</fb>
    <v>0</v>
  </rv>
  <rv s="0">
    <fb>89.6</fb>
    <v>1</v>
  </rv>
  <rv s="0">
    <fb>46632755</fb>
    <v>2</v>
  </rv>
  <rv s="0">
    <fb>45757</fb>
    <v>0</v>
  </rv>
  <rv s="0">
    <fb>90.61</fb>
    <v>1</v>
  </rv>
  <rv s="0">
    <fb>34735323</fb>
    <v>2</v>
  </rv>
  <rv s="0">
    <fb>45758</fb>
    <v>0</v>
  </rv>
  <rv s="0">
    <fb>92.8</fb>
    <v>1</v>
  </rv>
  <rv s="0">
    <fb>25508136</fb>
    <v>2</v>
  </rv>
  <rv s="0">
    <fb>45761</fb>
    <v>0</v>
  </rv>
  <rv s="0">
    <fb>94.73</fb>
    <v>1</v>
  </rv>
  <rv s="0">
    <fb>27742915</fb>
    <v>2</v>
  </rv>
  <rv s="0">
    <fb>45762</fb>
    <v>0</v>
  </rv>
  <rv s="0">
    <fb>93.97</fb>
    <v>1</v>
  </rv>
  <rv s="0">
    <fb>21871213</fb>
    <v>2</v>
  </rv>
  <rv s="0">
    <fb>45763</fb>
    <v>0</v>
  </rv>
  <rv s="0">
    <fb>91.19</fb>
    <v>1</v>
  </rv>
  <rv s="0">
    <fb>22229105</fb>
    <v>2</v>
  </rv>
  <rv s="0">
    <fb>45764</fb>
    <v>0</v>
  </rv>
  <rv s="0">
    <fb>93.22</fb>
    <v>1</v>
  </rv>
  <rv s="0">
    <fb>21393917</fb>
    <v>2</v>
  </rv>
  <rv s="0">
    <fb>45768</fb>
    <v>0</v>
  </rv>
  <rv s="0">
    <fb>92.41</fb>
    <v>1</v>
  </rv>
  <rv s="0">
    <fb>18361208</fb>
    <v>2</v>
  </rv>
  <rv s="0">
    <fb>45769</fb>
    <v>0</v>
  </rv>
  <rv s="0">
    <fb>94.85</fb>
    <v>1</v>
  </rv>
  <rv s="0">
    <fb>15407774</fb>
    <v>2</v>
  </rv>
  <rv s="0">
    <fb>45770</fb>
    <v>0</v>
  </rv>
  <rv s="0">
    <fb>94.96</fb>
    <v>1</v>
  </rv>
  <rv s="0">
    <fb>18046886</fb>
    <v>2</v>
  </rv>
  <rv s="0">
    <fb>45771</fb>
    <v>0</v>
  </rv>
  <rv s="0">
    <fb>95.84</fb>
    <v>1</v>
  </rv>
  <rv s="0">
    <fb>13444528</fb>
    <v>2</v>
  </rv>
  <rv s="0">
    <fb>45772</fb>
    <v>0</v>
  </rv>
  <rv s="0">
    <fb>95.09</fb>
    <v>1</v>
  </rv>
  <rv s="0">
    <fb>15317220</fb>
    <v>2</v>
  </rv>
  <rv s="0">
    <fb>45775</fb>
    <v>0</v>
  </rv>
  <rv s="0">
    <fb>95.22</fb>
    <v>1</v>
  </rv>
  <rv s="0">
    <fb>12950000</fb>
    <v>2</v>
  </rv>
  <rv s="0">
    <fb>45776</fb>
    <v>0</v>
  </rv>
  <rv s="0">
    <fb>96.04</fb>
    <v>1</v>
  </rv>
  <rv s="0">
    <fb>12679025</fb>
    <v>2</v>
  </rv>
  <rv s="0">
    <fb>45777</fb>
    <v>0</v>
  </rv>
  <rv s="0">
    <fb>97.25</fb>
    <v>1</v>
  </rv>
  <rv s="0">
    <fb>21639860</fb>
    <v>2</v>
  </rv>
  <rv s="0">
    <fb>45778</fb>
    <v>0</v>
  </rv>
  <rv s="0">
    <fb>97.41</fb>
    <v>1</v>
  </rv>
  <rv s="0">
    <fb>13171784</fb>
    <v>2</v>
  </rv>
  <rv s="0">
    <fb>45779</fb>
    <v>0</v>
  </rv>
  <rv s="0">
    <fb>98.75</fb>
    <v>1</v>
  </rv>
  <rv s="0">
    <fb>16031373</fb>
    <v>2</v>
  </rv>
  <rv s="0">
    <fb>45782</fb>
    <v>0</v>
  </rv>
  <rv s="0">
    <fb>99.33</fb>
    <v>1</v>
  </rv>
  <rv s="0">
    <fb>12439132</fb>
    <v>2</v>
  </rv>
  <rv s="0">
    <fb>45783</fb>
    <v>0</v>
  </rv>
  <rv s="0">
    <fb>98.55</fb>
    <v>1</v>
  </rv>
  <rv s="0">
    <fb>10625999</fb>
    <v>2</v>
  </rv>
  <rv s="0">
    <fb>45784</fb>
    <v>0</v>
  </rv>
  <rv s="0">
    <fb>98.83</fb>
    <v>1</v>
  </rv>
  <rv s="0">
    <fb>11310191</fb>
    <v>2</v>
  </rv>
  <rv s="0">
    <fb>45785</fb>
    <v>0</v>
  </rv>
  <rv s="0">
    <fb>97.43</fb>
    <v>1</v>
  </rv>
  <rv s="0">
    <fb>14461119</fb>
    <v>2</v>
  </rv>
  <rv s="0">
    <fb>45786</fb>
    <v>0</v>
  </rv>
  <rv s="0">
    <fb>96.72</fb>
    <v>1</v>
  </rv>
  <rv s="0">
    <fb>13697822</fb>
    <v>2</v>
  </rv>
  <rv s="0">
    <fb>45789</fb>
    <v>0</v>
  </rv>
  <rv s="0">
    <fb>96.75</fb>
    <v>1</v>
  </rv>
  <rv s="0">
    <fb>26783925</fb>
    <v>2</v>
  </rv>
  <rv s="0">
    <fb>45790</fb>
    <v>0</v>
  </rv>
  <rv s="0">
    <fb>95.88</fb>
    <v>1</v>
  </rv>
  <rv s="0">
    <fb>19746658</fb>
    <v>2</v>
  </rv>
  <rv s="0">
    <fb>45791</fb>
    <v>0</v>
  </rv>
  <rv s="0">
    <fb>96.83</fb>
    <v>1</v>
  </rv>
  <rv s="0">
    <fb>25620110</fb>
    <v>2</v>
  </rv>
  <rv s="0">
    <fb>45792</fb>
    <v>0</v>
  </rv>
  <rv s="0">
    <fb>96.35</fb>
    <v>1</v>
  </rv>
  <rv s="0">
    <fb>44026125</fb>
    <v>2</v>
  </rv>
  <rv s="0">
    <fb>45793</fb>
    <v>0</v>
  </rv>
  <rv s="0">
    <fb>98.24</fb>
    <v>1</v>
  </rv>
  <rv s="0">
    <fb>33746187</fb>
    <v>2</v>
  </rv>
  <rv s="0">
    <fb>45796</fb>
    <v>0</v>
  </rv>
  <rv s="0">
    <fb>98.12</fb>
    <v>1</v>
  </rv>
  <rv s="0">
    <fb>20041573</fb>
    <v>2</v>
  </rv>
  <rv s="0">
    <fb>45797</fb>
    <v>0</v>
  </rv>
  <rv s="0">
    <fb>97.8</fb>
    <v>1</v>
  </rv>
  <rv s="0">
    <fb>15609610</fb>
    <v>2</v>
  </rv>
  <rv s="0">
    <fb>45798</fb>
    <v>0</v>
  </rv>
  <rv s="0">
    <fb>96.43</fb>
    <v>1</v>
  </rv>
  <rv s="0">
    <fb>15742336</fb>
    <v>2</v>
  </rv>
  <rv s="0">
    <fb>45799</fb>
    <v>0</v>
  </rv>
  <rv s="0">
    <fb>95.93</fb>
    <v>1</v>
  </rv>
  <rv s="0">
    <fb>13712163</fb>
    <v>2</v>
  </rv>
  <rv s="0">
    <fb>45800</fb>
    <v>0</v>
  </rv>
  <rv s="0">
    <fb>96.34</fb>
    <v>1</v>
  </rv>
  <rv s="0">
    <fb>13668621</fb>
    <v>2</v>
  </rv>
  <rv s="0">
    <fb>45804</fb>
    <v>0</v>
  </rv>
  <rv s="0">
    <fb>97.58</fb>
    <v>1</v>
  </rv>
  <rv s="0">
    <fb>17180937</fb>
    <v>2</v>
  </rv>
  <rv s="0">
    <fb>45805</fb>
    <v>0</v>
  </rv>
  <rv s="0">
    <fb>97.24</fb>
    <v>1</v>
  </rv>
  <rv s="0">
    <fb>11220098</fb>
    <v>2</v>
  </rv>
  <rv s="0">
    <fb>45806</fb>
    <v>0</v>
  </rv>
  <rv s="0">
    <fb>97.1</fb>
    <v>1</v>
  </rv>
  <rv s="0">
    <fb>14343738</fb>
    <v>2</v>
  </rv>
  <rv s="0">
    <fb>45807</fb>
    <v>0</v>
  </rv>
  <rv s="0">
    <fb>98.72</fb>
    <v>1</v>
  </rv>
  <rv s="0">
    <fb>29980069</fb>
    <v>2</v>
  </rv>
  <rv s="0">
    <fb>45810</fb>
    <v>0</v>
  </rv>
  <rv s="0">
    <fb>99.77</fb>
    <v>1</v>
  </rv>
  <rv s="0">
    <fb>16999205</fb>
    <v>2</v>
  </rv>
  <rv s="0">
    <fb>45811</fb>
    <v>0</v>
  </rv>
  <rv s="0">
    <fb>99.98</fb>
    <v>1</v>
  </rv>
  <rv s="0">
    <fb>15598643</fb>
    <v>2</v>
  </rv>
  <rv s="0">
    <fb>45812</fb>
    <v>0</v>
  </rv>
  <rv s="0">
    <fb>99.35</fb>
    <v>1</v>
  </rv>
  <rv s="0">
    <fb>11115649</fb>
    <v>2</v>
  </rv>
  <rv s="0">
    <fb>45813</fb>
    <v>0</v>
  </rv>
  <rv s="0">
    <fb>97.96</fb>
    <v>1</v>
  </rv>
  <rv s="0">
    <fb>15825276</fb>
    <v>2</v>
  </rv>
  <rv s="0">
    <fb>45814</fb>
    <v>0</v>
  </rv>
  <rv s="0">
    <fb>97.47</fb>
    <v>1</v>
  </rv>
  <rv s="0">
    <fb>15599294</fb>
    <v>2</v>
  </rv>
  <rv s="0">
    <fb>45817</fb>
    <v>0</v>
  </rv>
  <rv s="0">
    <fb>97.45</fb>
    <v>1</v>
  </rv>
  <rv s="0">
    <fb>13655700</fb>
    <v>2</v>
  </rv>
  <rv s="0">
    <fb>45818</fb>
    <v>0</v>
  </rv>
  <rv s="0">
    <fb>97.32</fb>
    <v>1</v>
  </rv>
  <rv s="0">
    <fb>17162468</fb>
    <v>2</v>
  </rv>
  <rv s="0">
    <fb>45819</fb>
    <v>0</v>
  </rv>
  <rv s="0">
    <fb>95.8</fb>
    <v>1</v>
  </rv>
  <rv s="0">
    <fb>16389620</fb>
    <v>2</v>
  </rv>
  <rv s="0">
    <fb>45820</fb>
    <v>0</v>
  </rv>
  <rv s="0">
    <fb>94.83</fb>
    <v>1</v>
  </rv>
  <rv s="0">
    <fb>17845704</fb>
    <v>2</v>
  </rv>
  <rv s="0">
    <fb>45821</fb>
    <v>0</v>
  </rv>
  <rv s="0">
    <fb>94.44</fb>
    <v>1</v>
  </rv>
  <rv s="0">
    <fb>18694739</fb>
    <v>2</v>
  </rv>
  <rv s="0">
    <fb>45824</fb>
    <v>0</v>
  </rv>
  <rv s="0">
    <fb>94.29</fb>
    <v>1</v>
  </rv>
  <rv s="0">
    <fb>14881663</fb>
    <v>2</v>
  </rv>
  <rv s="0">
    <fb>45825</fb>
    <v>0</v>
  </rv>
  <rv s="0">
    <fb>94.25</fb>
    <v>1</v>
  </rv>
  <rv s="0">
    <fb>14935630</fb>
    <v>2</v>
  </rv>
  <rv s="0">
    <fb>45826</fb>
    <v>0</v>
  </rv>
  <rv s="0">
    <fb>11333690</fb>
    <v>2</v>
  </rv>
  <rv s="0">
    <fb>45828</fb>
    <v>0</v>
  </rv>
  <rv s="0">
    <fb>96.12</fb>
    <v>1</v>
  </rv>
  <rv s="0">
    <fb>20604918</fb>
    <v>2</v>
  </rv>
  <rv s="0">
    <fb>45831</fb>
    <v>0</v>
  </rv>
  <rv s="0">
    <fb>97.87</fb>
    <v>1</v>
  </rv>
  <rv s="0">
    <fb>20432351</fb>
    <v>2</v>
  </rv>
  <rv s="0">
    <fb>45832</fb>
    <v>0</v>
  </rv>
  <rv s="0">
    <fb>98</fb>
    <v>1</v>
  </rv>
  <rv s="0">
    <fb>22403655</fb>
    <v>2</v>
  </rv>
  <rv s="0">
    <fb>45833</fb>
    <v>0</v>
  </rv>
  <rv s="0">
    <fb>97.26</fb>
    <v>1</v>
  </rv>
  <rv s="0">
    <fb>11154676</fb>
    <v>2</v>
  </rv>
  <rv s="0">
    <fb>45834</fb>
    <v>0</v>
  </rv>
  <rv s="0">
    <fb>96.02</fb>
    <v>1</v>
  </rv>
  <rv s="0">
    <fb>19361417</fb>
    <v>2</v>
  </rv>
  <rv s="0">
    <fb>45835</fb>
    <v>0</v>
  </rv>
  <rv s="0">
    <fb>97.27</fb>
    <v>1</v>
  </rv>
  <rv s="0">
    <fb>31431912</fb>
    <v>2</v>
  </rv>
  <rv s="0">
    <fb>45838</fb>
    <v>0</v>
  </rv>
  <rv s="0">
    <fb>97.78</fb>
    <v>1</v>
  </rv>
  <rv s="0">
    <fb>17803030</fb>
    <v>2</v>
  </rv>
  <rv s="0">
    <fb>45839</fb>
    <v>0</v>
  </rv>
  <rv s="0">
    <fb>15635847</fb>
    <v>2</v>
  </rv>
  <rv s="0">
    <fb>45840</fb>
    <v>0</v>
  </rv>
  <rv s="0">
    <fb>97.61</fb>
    <v>1</v>
  </rv>
  <rv s="0">
    <fb>12501965</fb>
    <v>2</v>
  </rv>
  <rv s="0">
    <fb>45841</fb>
    <v>0</v>
  </rv>
  <rv s="0">
    <fb>98.36</fb>
    <v>1</v>
  </rv>
  <rv s="0">
    <fb>7686204</fb>
    <v>2</v>
  </rv>
  <rv s="0">
    <fb>45845</fb>
    <v>0</v>
  </rv>
  <rv s="0">
    <fb>12930913</fb>
    <v>2</v>
  </rv>
  <rv s="0">
    <fb>45846</fb>
    <v>0</v>
  </rv>
  <rv s="0">
    <fb>97.09</fb>
    <v>1</v>
  </rv>
  <rv s="0">
    <fb>16874954</fb>
    <v>2</v>
  </rv>
  <rv s="0">
    <fb>45847</fb>
    <v>0</v>
  </rv>
  <rv s="0">
    <fb>96.81</fb>
    <v>1</v>
  </rv>
  <rv s="0">
    <fb>13702615</fb>
    <v>2</v>
  </rv>
  <rv s="0">
    <fb>45848</fb>
    <v>0</v>
  </rv>
  <rv s="0">
    <fb>94.86</fb>
    <v>1</v>
  </rv>
  <rv s="0">
    <fb>18894787</fb>
    <v>2</v>
  </rv>
  <rv s="0">
    <fb>45849</fb>
    <v>0</v>
  </rv>
  <rv s="0">
    <fb>94.4</fb>
    <v>1</v>
  </rv>
  <rv s="0">
    <fb>14595047</fb>
    <v>2</v>
  </rv>
  <rv s="0">
    <fb>45852</fb>
    <v>0</v>
  </rv>
  <rv s="0">
    <fb>95.78</fb>
    <v>1</v>
  </rv>
  <rv s="0">
    <fb>13779084</fb>
    <v>2</v>
  </rv>
  <rv s="0">
    <fb>45853</fb>
    <v>0</v>
  </rv>
  <rv s="0">
    <fb>95.39</fb>
    <v>1</v>
  </rv>
  <rv s="0">
    <fb>10450759</fb>
    <v>2</v>
  </rv>
  <rv s="0">
    <fb>45854</fb>
    <v>0</v>
  </rv>
  <rv s="0">
    <fb>95.15</fb>
    <v>1</v>
  </rv>
  <rv s="0">
    <fb>11181552</fb>
    <v>2</v>
  </rv>
  <rv s="0">
    <fb>45855</fb>
    <v>0</v>
  </rv>
  <rv s="0">
    <fb>11165126</fb>
    <v>2</v>
  </rv>
  <rv s="0">
    <fb>45856</fb>
    <v>0</v>
  </rv>
  <rv s="0">
    <fb>95.05</fb>
    <v>1</v>
  </rv>
  <rv s="0">
    <fb>14636294</fb>
    <v>2</v>
  </rv>
  <rv s="0">
    <fb>45859</fb>
    <v>0</v>
  </rv>
  <rv s="0">
    <fb>95.67</fb>
    <v>1</v>
  </rv>
  <rv s="0">
    <fb>13450359</fb>
    <v>2</v>
  </rv>
  <rv s="0">
    <fb>45860</fb>
    <v>0</v>
  </rv>
  <rv s="0">
    <fb>95.85</fb>
    <v>1</v>
  </rv>
  <rv s="0">
    <fb>9049130</fb>
    <v>2</v>
  </rv>
  <rv s="0">
    <fb>45861</fb>
    <v>0</v>
  </rv>
  <rv s="0">
    <fb>95.68</fb>
    <v>1</v>
  </rv>
  <rv s="0">
    <fb>9729672</fb>
    <v>2</v>
  </rv>
  <rv s="0">
    <fb>45862</fb>
    <v>0</v>
  </rv>
  <rv s="0">
    <fb>96.6</fb>
    <v>1</v>
  </rv>
  <rv s="0">
    <fb>14991517</fb>
    <v>2</v>
  </rv>
  <rv s="0">
    <fb>45863</fb>
    <v>0</v>
  </rv>
  <rv s="0">
    <fb>12868466</fb>
    <v>2</v>
  </rv>
  <rv s="0">
    <fb>45866</fb>
    <v>0</v>
  </rv>
  <rv s="0">
    <fb>12293060</fb>
    <v>2</v>
  </rv>
  <rv s="0">
    <fb>45867</fb>
    <v>0</v>
  </rv>
  <rv s="0">
    <fb>98.33</fb>
    <v>1</v>
  </rv>
  <rv s="0">
    <fb>14034265</fb>
    <v>2</v>
  </rv>
  <rv s="0">
    <fb>45868</fb>
    <v>0</v>
  </rv>
  <rv s="0">
    <fb>13864096</fb>
    <v>2</v>
  </rv>
  <rv s="0">
    <fb>45869</fb>
    <v>0</v>
  </rv>
  <rv s="0">
    <fb>97.98</fb>
    <v>1</v>
  </rv>
  <rv s="0">
    <fb>15651348</fb>
    <v>2</v>
  </rv>
  <rv s="0">
    <fb>45870</fb>
    <v>0</v>
  </rv>
  <rv s="0">
    <fb>98.49</fb>
    <v>1</v>
  </rv>
  <rv s="0">
    <fb>16750407</fb>
    <v>2</v>
  </rv>
  <rv s="0">
    <fb>45873</fb>
    <v>0</v>
  </rv>
  <rv s="0">
    <fb>99.59</fb>
    <v>1</v>
  </rv>
  <rv s="0">
    <fb>19050206</fb>
    <v>2</v>
  </rv>
  <rv s="0">
    <fb>45874</fb>
    <v>0</v>
  </rv>
  <rv s="0">
    <fb>99.31</fb>
    <v>1</v>
  </rv>
  <rv s="0">
    <fb>17977008</fb>
    <v>2</v>
  </rv>
  <rv s="0">
    <fb>45875</fb>
    <v>0</v>
  </rv>
  <rv s="0">
    <fb>103.36</fb>
    <v>1</v>
  </rv>
  <rv s="0">
    <fb>23738420</fb>
    <v>2</v>
  </rv>
  <rv s="0">
    <fb>45876</fb>
    <v>0</v>
  </rv>
  <rv s="0">
    <fb>103.12</fb>
    <v>1</v>
  </rv>
  <rv s="0">
    <fb>12509479</fb>
    <v>2</v>
  </rv>
  <rv s="0">
    <fb>45877</fb>
    <v>0</v>
  </rv>
  <rv s="0">
    <fb>103.73</fb>
    <v>1</v>
  </rv>
  <rv s="0">
    <fb>12394722</fb>
    <v>2</v>
  </rv>
  <rv s="0">
    <fb>45880</fb>
    <v>0</v>
  </rv>
  <rv s="0">
    <fb>103.93</fb>
    <v>1</v>
  </rv>
  <rv s="0">
    <fb>12856706</fb>
    <v>2</v>
  </rv>
  <rv s="0">
    <fb>45881</fb>
    <v>0</v>
  </rv>
  <rv s="0">
    <fb>103.62</fb>
    <v>1</v>
  </rv>
  <rv s="0">
    <fb>17919327</fb>
    <v>2</v>
  </rv>
  <rv s="0">
    <fb>45882</fb>
    <v>0</v>
  </rv>
  <rv s="0">
    <fb>100.99</fb>
    <v>1</v>
  </rv>
  <rv s="0">
    <fb>19398499</fb>
    <v>2</v>
  </rv>
  <rv s="0">
    <fb>45883</fb>
    <v>0</v>
  </rv>
  <rv s="0">
    <fb>100.85</fb>
    <v>1</v>
  </rv>
  <rv s="0">
    <fb>10858447</fb>
    <v>2</v>
  </rv>
  <rv s="0">
    <fb>45884</fb>
    <v>0</v>
  </rv>
  <rv s="0">
    <fb>100</fb>
    <v>1</v>
  </rv>
  <rv s="0">
    <fb>13604944</fb>
    <v>2</v>
  </rv>
  <rv s="0">
    <fb>45887</fb>
    <v>0</v>
  </rv>
  <rv s="0">
    <fb>100.7</fb>
    <v>1</v>
  </rv>
  <rv s="0">
    <fb>11656135</fb>
    <v>2</v>
  </rv>
  <rv s="0">
    <fb>45888</fb>
    <v>0</v>
  </rv>
  <rv s="0">
    <fb>101.29</fb>
    <v>1</v>
  </rv>
  <rv s="0">
    <fb>16999004</fb>
    <v>2</v>
  </rv>
  <rv s="0">
    <fb>45889</fb>
    <v>0</v>
  </rv>
  <rv s="0">
    <fb>102.57</fb>
    <v>1</v>
  </rv>
  <rv s="0">
    <fb>18655026</fb>
    <v>2</v>
  </rv>
  <rv s="0">
    <fb>45890</fb>
    <v>0</v>
  </rv>
  <rv s="0">
    <fb>51825050</fb>
    <v>2</v>
  </rv>
  <rv s="0">
    <fb>45891</fb>
    <v>0</v>
  </rv>
  <rv s="0">
    <fb>32695177</fb>
    <v>2</v>
  </rv>
  <rv s="0">
    <fb>45894</fb>
    <v>0</v>
  </rv>
  <rv s="0">
    <fb>96.07</fb>
    <v>1</v>
  </rv>
  <rv s="0">
    <fb>18956143</fb>
    <v>2</v>
  </rv>
  <rv s="0">
    <fb>45895</fb>
    <v>0</v>
  </rv>
  <rv s="0">
    <fb>96.05</fb>
    <v>1</v>
  </rv>
  <rv s="0">
    <fb>22270353</fb>
    <v>2</v>
  </rv>
  <rv s="0">
    <fb>45896</fb>
    <v>0</v>
  </rv>
  <rv s="0">
    <fb>96.08</fb>
    <v>1</v>
  </rv>
  <rv s="0">
    <fb>12925656</fb>
    <v>2</v>
  </rv>
  <rv s="0">
    <fb>45897</fb>
    <v>0</v>
  </rv>
  <rv s="0">
    <fb>96.11</fb>
    <v>1</v>
  </rv>
  <rv s="0">
    <fb>19241634</fb>
    <v>2</v>
  </rv>
  <rv s="0">
    <fb>45898</fb>
    <v>0</v>
  </rv>
  <rv s="0">
    <fb>96.98</fb>
    <v>1</v>
  </rv>
  <rv s="0">
    <fb>15600269</fb>
    <v>2</v>
  </rv>
  <rv s="0">
    <fb>45902</fb>
    <v>0</v>
  </rv>
  <rv s="0">
    <fb>97.85</fb>
    <v>1</v>
  </rv>
  <rv s="0">
    <fb>15351293</fb>
    <v>2</v>
  </rv>
  <rv s="0">
    <fb>45903</fb>
    <v>0</v>
  </rv>
  <rv s="0">
    <fb>99.44</fb>
    <v>1</v>
  </rv>
  <rv s="0">
    <fb>18995914</fb>
    <v>2</v>
  </rv>
  <rv s="0">
    <fb>45904</fb>
    <v>0</v>
  </rv>
  <rv s="0">
    <fb>100.93</fb>
    <v>1</v>
  </rv>
  <rv s="0">
    <fb>15640895</fb>
    <v>2</v>
  </rv>
  <rv s="0">
    <fb>45905</fb>
    <v>0</v>
  </rv>
  <rv s="0">
    <fb>100.51</fb>
    <v>1</v>
  </rv>
  <rv s="0">
    <fb>13748454</fb>
    <v>2</v>
  </rv>
  <rv s="0">
    <fb>45908</fb>
    <v>0</v>
  </rv>
  <rv s="0">
    <fb>102.28</fb>
    <v>1</v>
  </rv>
  <rv s="0">
    <fb>13685735</fb>
    <v>2</v>
  </rv>
  <rv s="0">
    <fb>45909</fb>
    <v>0</v>
  </rv>
  <rv s="0">
    <fb>102.29</fb>
    <v>1</v>
  </rv>
  <rv s="0">
    <fb>11819663</fb>
    <v>2</v>
  </rv>
  <rv s="0">
    <fb>45910</fb>
    <v>0</v>
  </rv>
  <rv s="0">
    <fb>100.41</fb>
    <v>1</v>
  </rv>
  <rv s="0">
    <fb>17934871</fb>
    <v>2</v>
  </rv>
  <rv s="0">
    <fb>45911</fb>
    <v>0</v>
  </rv>
  <rv s="0">
    <fb>102.65</fb>
    <v>1</v>
  </rv>
  <rv s="0">
    <fb>15900790</fb>
    <v>2</v>
  </rv>
  <rv s="0">
    <fb>45912</fb>
    <v>0</v>
  </rv>
  <rv s="0">
    <fb>103.49</fb>
    <v>1</v>
  </rv>
  <rv s="0">
    <fb>11641926</fb>
    <v>2</v>
  </rv>
  <rv s="0">
    <fb>45915</fb>
    <v>0</v>
  </rv>
  <rv s="0">
    <fb>103.69</fb>
    <v>1</v>
  </rv>
  <rv s="0">
    <fb>10756876</fb>
    <v>2</v>
  </rv>
  <rv s="0">
    <fb>45916</fb>
    <v>0</v>
  </rv>
  <rv s="0">
    <fb>103.42</fb>
    <v>1</v>
  </rv>
  <rv s="0">
    <fb>14481863</fb>
    <v>2</v>
  </rv>
  <rv s="0">
    <fb>45917</fb>
    <v>0</v>
  </rv>
  <rv s="0">
    <fb>104.27</fb>
    <v>1</v>
  </rv>
  <rv s="0">
    <fb>25382015</fb>
    <v>2</v>
  </rv>
  <rv s="0">
    <fb>45918</fb>
    <v>0</v>
  </rv>
  <rv s="0">
    <fb>103.6</fb>
    <v>1</v>
  </rv>
  <rv s="0">
    <fb>14869387</fb>
    <v>2</v>
  </rv>
  <rv s="0">
    <fb>45919</fb>
    <v>0</v>
  </rv>
  <rv s="0">
    <fb>102.33</fb>
    <v>1</v>
  </rv>
  <rv s="0">
    <fb>34791573</fb>
    <v>2</v>
  </rv>
  <rv s="0">
    <fb>45922</fb>
    <v>0</v>
  </rv>
  <rv s="0">
    <fb>102.82</fb>
    <v>1</v>
  </rv>
  <rv s="0">
    <fb>12861946</fb>
    <v>2</v>
  </rv>
  <rv s="0">
    <fb>45923</fb>
    <v>0</v>
  </rv>
  <rv s="0">
    <fb>102.52</fb>
    <v>1</v>
  </rv>
  <rv s="0">
    <fb>13158658</fb>
    <v>2</v>
  </rv>
  <rv s="0">
    <fb>45924</fb>
    <v>0</v>
  </rv>
  <rv s="0">
    <fb>102.73</fb>
    <v>1</v>
  </rv>
  <rv s="0">
    <fb>11391834</fb>
    <v>2</v>
  </rv>
  <rv s="0">
    <fb>45925</fb>
    <v>0</v>
  </rv>
  <rv s="0">
    <fb>103.05</fb>
    <v>1</v>
  </rv>
  <rv s="0">
    <fb>13366747</fb>
    <v>2</v>
  </rv>
  <rv s="0">
    <fb>45926</fb>
    <v>0</v>
  </rv>
  <rv s="0">
    <fb>103.16</fb>
    <v>1</v>
  </rv>
  <rv s="0">
    <fb>11859265</fb>
    <v>2</v>
  </rv>
  <rv s="0">
    <fb>45929</fb>
    <v>0</v>
  </rv>
  <rv s="0">
    <fb>103.08</fb>
    <v>1</v>
  </rv>
  <rv s="0">
    <fb>15477159</fb>
    <v>2</v>
  </rv>
  <rv s="0">
    <fb>45930</fb>
    <v>0</v>
  </rv>
  <rv s="0">
    <fb>103.06</fb>
    <v>1</v>
  </rv>
  <rv s="0">
    <fb>13873389</fb>
    <v>2</v>
  </rv>
  <rv s="0">
    <fb>45931</fb>
    <v>0</v>
  </rv>
  <rv s="0">
    <fb>101.96</fb>
    <v>1</v>
  </rv>
  <rv s="0">
    <fb>16142766</fb>
    <v>2</v>
  </rv>
  <rv s="0">
    <fb>45932</fb>
    <v>0</v>
  </rv>
  <rv s="0">
    <fb>101.7</fb>
    <v>1</v>
  </rv>
  <rv s="0">
    <fb>15605363</fb>
    <v>2</v>
  </rv>
  <rv s="0">
    <fb>45933</fb>
    <v>0</v>
  </rv>
  <rv s="0">
    <fb>102.07</fb>
    <v>1</v>
  </rv>
  <rv s="0">
    <fb>11867483</fb>
    <v>2</v>
  </rv>
  <rv s="0">
    <fb>45936</fb>
    <v>0</v>
  </rv>
  <rv s="0">
    <fb>102.7</fb>
    <v>1</v>
  </rv>
  <rv s="0">
    <fb>13303560</fb>
    <v>2</v>
  </rv>
  <rv s="0">
    <fb>45937</fb>
    <v>0</v>
  </rv>
  <rv s="0">
    <fb>103.24</fb>
    <v>1</v>
  </rv>
  <rv s="0">
    <fb>15538855</fb>
    <v>2</v>
  </rv>
  <rv s="0">
    <fb>45938</fb>
    <v>0</v>
  </rv>
  <rv s="0">
    <fb>102.9</fb>
    <v>1</v>
  </rv>
  <rv s="0">
    <fb>13584084</fb>
    <v>2</v>
  </rv>
  <rv s="0">
    <fb>45939</fb>
    <v>0</v>
  </rv>
  <rv s="0">
    <fb>101.77</fb>
    <v>1</v>
  </rv>
  <rv s="0">
    <fb>19508017</fb>
    <v>2</v>
  </rv>
  <rv s="0">
    <fb>45940</fb>
    <v>0</v>
  </rv>
  <rv s="0">
    <fb>101.84</fb>
    <v>1</v>
  </rv>
  <rv s="0">
    <fb>18519435</fb>
    <v>2</v>
  </rv>
  <rv s="0">
    <fb>45943</fb>
    <v>0</v>
  </rv>
  <rv s="0">
    <fb>102.12</fb>
    <v>1</v>
  </rv>
  <rv s="0">
    <fb>10871182</fb>
    <v>2</v>
  </rv>
  <rv s="0">
    <fb>45944</fb>
    <v>0</v>
  </rv>
  <rv s="0">
    <fb>107.21</fb>
    <v>1</v>
  </rv>
  <rv s="0">
    <fb>30859504</fb>
    <v>2</v>
  </rv>
  <rv s="0">
    <fb>45945</fb>
    <v>0</v>
  </rv>
  <rv s="0">
    <fb>109.03</fb>
    <v>1</v>
  </rv>
  <rv s="0">
    <fb>21416294</fb>
    <v>2</v>
  </rv>
  <rv s="0">
    <fb>45946</fb>
    <v>0</v>
  </rv>
  <rv s="0">
    <fb>106.47</fb>
    <v>1</v>
  </rv>
  <rv s="0">
    <fb>16366166</fb>
    <v>2</v>
  </rv>
  <rv s="0">
    <fb>45947</fb>
    <v>0</v>
  </rv>
  <rv s="0">
    <fb>107.73</fb>
    <v>1</v>
  </rv>
  <rv s="0">
    <fb>13735594</fb>
    <v>2</v>
  </rv>
  <rv s="0">
    <fb>45950</fb>
    <v>0</v>
  </rv>
  <rv s="0">
    <fb>107.05</fb>
    <v>1</v>
  </rv>
  <rv s="0">
    <fb>10581220</fb>
    <v>2</v>
  </rv>
  <rv s="0">
    <fb>45951</fb>
    <v>0</v>
  </rv>
  <rv s="0">
    <fb>106.22</fb>
    <v>1</v>
  </rv>
  <rv s="0">
    <fb>10899733</fb>
    <v>2</v>
  </rv>
  <rv s="0">
    <fb>45952</fb>
    <v>0</v>
  </rv>
  <rv s="0">
    <fb>107.14</fb>
    <v>1</v>
  </rv>
  <rv s="0">
    <fb>12296490</fb>
    <v>2</v>
  </rv>
  <rv s="0">
    <fb>45953</fb>
    <v>0</v>
  </rv>
  <rv s="0">
    <fb>106.86</fb>
    <v>1</v>
  </rv>
  <rv s="0">
    <fb>11408241</fb>
    <v>2</v>
  </rv>
  <rv s="0">
    <fb>45954</fb>
    <v>0</v>
  </rv>
  <rv s="0">
    <fb>106.17</fb>
    <v>1</v>
  </rv>
  <rv s="0">
    <fb>10317959</fb>
    <v>2</v>
  </rv>
  <rv s="0">
    <fb>45957</fb>
    <v>0</v>
  </rv>
  <rv s="0">
    <fb>104.47</fb>
    <v>1</v>
  </rv>
  <rv s="0">
    <fb>16375860</fb>
    <v>2</v>
  </rv>
  <rv s="0">
    <fb>45958</fb>
    <v>0</v>
  </rv>
  <rv s="0">
    <fb>103.17</fb>
    <v>1</v>
  </rv>
  <rv s="0">
    <fb>13322994</fb>
    <v>2</v>
  </rv>
  <rv s="0">
    <fb>45959</fb>
    <v>0</v>
  </rv>
  <rv s="0">
    <fb>102.46</fb>
    <v>1</v>
  </rv>
  <rv s="0">
    <fb>11986407</fb>
    <v>2</v>
  </rv>
  <rv s="0">
    <fb>45960</fb>
    <v>0</v>
  </rv>
  <rv s="0">
    <fb>102.23</fb>
    <v>1</v>
  </rv>
  <rv s="0">
    <fb>14065077</fb>
    <v>2</v>
  </rv>
  <rv s="0">
    <fb>45961</fb>
    <v>0</v>
  </rv>
  <rv s="0">
    <fb>101.18</fb>
    <v>1</v>
  </rv>
  <rv s="0">
    <fb>20237018</fb>
    <v>2</v>
  </rv>
  <rv s="0">
    <fb>45964</fb>
    <v>0</v>
  </rv>
  <rv s="0">
    <fb>101.59</fb>
    <v>1</v>
  </rv>
  <rv s="0">
    <fb>14811687</fb>
    <v>2</v>
  </rv>
  <rv s="0">
    <fb>45965</fb>
    <v>0</v>
  </rv>
  <rv s="0">
    <fb>102.27</fb>
    <v>1</v>
  </rv>
  <rv s="0">
    <fb>12636350</fb>
    <v>2</v>
  </rv>
  <rv s="0">
    <fb>45966</fb>
    <v>0</v>
  </rv>
  <rv s="0">
    <fb>101.47</fb>
    <v>1</v>
  </rv>
  <rv s="0">
    <fb>13356821</fb>
    <v>2</v>
  </rv>
  <rv s="0">
    <fb>45967</fb>
    <v>0</v>
  </rv>
  <rv s="0">
    <fb>101.68</fb>
    <v>1</v>
  </rv>
  <rv s="0">
    <fb>14866025</fb>
    <v>2</v>
  </rv>
  <rv s="0">
    <fb>45968</fb>
    <v>0</v>
  </rv>
  <rv s="0">
    <fb>102.59</fb>
    <v>1</v>
  </rv>
  <rv s="0">
    <fb>17248716</fb>
    <v>2</v>
  </rv>
  <rv s="0">
    <fb>45971</fb>
    <v>0</v>
  </rv>
  <rv s="0">
    <fb>102.42</fb>
    <v>1</v>
  </rv>
  <rv s="0">
    <fb>14507603</fb>
    <v>2</v>
  </rv>
  <rv s="0">
    <fb>45972</fb>
    <v>0</v>
  </rv>
  <rv s="0">
    <fb>103.44</fb>
    <v>1</v>
  </rv>
  <rv s="0">
    <fb>13182144</fb>
    <v>2</v>
  </rv>
  <rv s="0">
    <fb>45973</fb>
    <v>0</v>
  </rv>
  <rv s="0">
    <fb>12084407</fb>
    <v>2</v>
  </rv>
  <rv s="0">
    <fb>45974</fb>
    <v>0</v>
  </rv>
  <rv s="0">
    <fb>102.54</fb>
    <v>1</v>
  </rv>
  <rv s="0">
    <fb>18088506</fb>
    <v>2</v>
  </rv>
  <rv s="0">
    <fb>45975</fb>
    <v>0</v>
  </rv>
  <rv s="0">
    <fb>102.48</fb>
    <v>1</v>
  </rv>
  <rv s="0">
    <fb>23424211</fb>
    <v>2</v>
  </rv>
  <rv s="0">
    <fb>45978</fb>
    <v>0</v>
  </rv>
  <rv s="0">
    <fb>102.95</fb>
    <v>1</v>
  </rv>
  <rv s="0">
    <fb>15289373</fb>
    <v>2</v>
  </rv>
  <rv s="0">
    <fb>45979</fb>
    <v>0</v>
  </rv>
  <rv s="0">
    <fb>101.39</fb>
    <v>1</v>
  </rv>
  <rv s="0">
    <fb>17604460</fb>
    <v>2</v>
  </rv>
  <rv s="0">
    <fb>45980</fb>
    <v>0</v>
  </rv>
  <rv s="0">
    <fb>100.61</fb>
    <v>1</v>
  </rv>
  <rv s="0">
    <fb>22157029</fb>
    <v>2</v>
  </rv>
  <rv s="0">
    <fb>45981</fb>
    <v>0</v>
  </rv>
  <rv s="0">
    <fb>107.11</fb>
    <v>1</v>
  </rv>
  <rv s="0">
    <fb>50375920</fb>
    <v>2</v>
  </rv>
  <rv s="0">
    <fb>45982</fb>
    <v>0</v>
  </rv>
  <rv s="0">
    <fb>105.32</fb>
    <v>1</v>
  </rv>
  <rv s="0">
    <fb>41420780</fb>
    <v>2</v>
  </rv>
  <rv s="0">
    <fb>45985</fb>
    <v>0</v>
  </rv>
  <rv s="0">
    <fb>104.06</fb>
    <v>1</v>
  </rv>
  <rv s="0">
    <fb>42519159</fb>
    <v>2</v>
  </rv>
  <rv s="0">
    <fb>45986</fb>
    <v>0</v>
  </rv>
  <rv s="0">
    <fb>107</fb>
    <v>1</v>
  </rv>
  <rv s="0">
    <fb>20212882</fb>
    <v>2</v>
  </rv>
  <rv s="0">
    <fb>45987</fb>
    <v>0</v>
  </rv>
  <rv s="0">
    <fb>109.1</fb>
    <v>1</v>
  </rv>
  <rv s="0">
    <fb>17783281</fb>
    <v>2</v>
  </rv>
  <rv s="0">
    <fb>45989</fb>
    <v>0</v>
  </rv>
  <rv s="0">
    <fb>110.51</fb>
    <v>1</v>
  </rv>
  <rv s="0">
    <fb>9846525</fb>
    <v>2</v>
  </rv>
  <rv s="0">
    <fb>45992</fb>
    <v>0</v>
  </rv>
  <rv s="0">
    <fb>111.53</fb>
    <v>1</v>
  </rv>
  <rv s="0">
    <fb>17236750</fb>
    <v>2</v>
  </rv>
  <rv s="0">
    <fb>45993</fb>
    <v>0</v>
  </rv>
  <rv s="0">
    <fb>112.41</fb>
    <v>1</v>
  </rv>
  <rv s="0">
    <fb>18711768</fb>
    <v>2</v>
  </rv>
  <rv s="0">
    <fb>45994</fb>
    <v>0</v>
  </rv>
  <rv s="0">
    <fb>114.41</fb>
    <v>1</v>
  </rv>
  <rv s="0">
    <fb>24478281</fb>
    <v>2</v>
  </rv>
  <rv s="0">
    <fb>45995</fb>
    <v>0</v>
  </rv>
  <rv s="0">
    <fb>114.84</fb>
    <v>1</v>
  </rv>
  <rv s="0">
    <fb>25905147</fb>
    <v>2</v>
  </rv>
  <rv s="0">
    <fb>45996</fb>
    <v>0</v>
  </rv>
  <rv s="0">
    <fb>115.11</fb>
    <v>1</v>
  </rv>
  <rv s="0">
    <fb>23956427</fb>
    <v>2</v>
  </rv>
  <rv s="0">
    <fb>45999</fb>
    <v>0</v>
  </rv>
  <rv s="0">
    <fb>113.56</fb>
    <v>1</v>
  </rv>
  <rv s="0">
    <fb>22700747</fb>
    <v>2</v>
  </rv>
  <rv s="0">
    <fb>46000</fb>
    <v>0</v>
  </rv>
  <rv s="0">
    <fb>115.06</fb>
    <v>1</v>
  </rv>
  <rv s="0">
    <fb>24326690</fb>
    <v>2</v>
  </rv>
  <rv s="0">
    <fb>46001</fb>
    <v>0</v>
  </rv>
  <rv s="0">
    <fb>113.18</fb>
    <v>1</v>
  </rv>
  <rv s="0">
    <fb>22859578</fb>
    <v>2</v>
  </rv>
  <rv s="0">
    <fb>46002</fb>
    <v>0</v>
  </rv>
  <rv s="0">
    <fb>115.52</fb>
    <v>1</v>
  </rv>
  <rv s="0">
    <fb>21586640</fb>
    <v>2</v>
  </rv>
  <rv s="0">
    <fb>46003</fb>
    <v>0</v>
  </rv>
  <rv s="0">
    <fb>116.7</fb>
    <v>1</v>
  </rv>
  <rv s="0">
    <fb>19092414</fb>
    <v>2</v>
  </rv>
  <rv s="0">
    <fb>46006</fb>
    <v>0</v>
  </rv>
  <rv s="0">
    <fb>116.79</fb>
    <v>1</v>
  </rv>
  <rv s="0">
    <fb>18713743</fb>
    <v>2</v>
  </rv>
  <rv s="0">
    <fb>46007</fb>
    <v>0</v>
  </rv>
  <rv s="0">
    <fb>115.42</fb>
    <v>1</v>
  </rv>
  <rv s="0">
    <fb>19642346</fb>
    <v>2</v>
  </rv>
  <rv s="0">
    <fb>46008</fb>
    <v>0</v>
  </rv>
  <rv s="0">
    <fb>115.66</fb>
    <v>1</v>
  </rv>
  <rv s="0">
    <fb>16177750</fb>
    <v>2</v>
  </rv>
  <rv s="0">
    <fb>46009</fb>
    <v>0</v>
  </rv>
  <rv s="0">
    <fb>114.83</fb>
    <v>1</v>
  </rv>
  <rv s="0">
    <fb>21476675</fb>
    <v>2</v>
  </rv>
  <rv s="0">
    <fb>46010</fb>
    <v>0</v>
  </rv>
  <rv s="0">
    <fb>114.36</fb>
    <v>1</v>
  </rv>
  <rv s="0">
    <fb>50043755</fb>
    <v>2</v>
  </rv>
  <rv s="0">
    <fb>46013</fb>
    <v>0</v>
  </rv>
  <rv s="0">
    <fb>112.6</fb>
    <v>1</v>
  </rv>
  <rv s="0">
    <fb>21473912</fb>
    <v>2</v>
  </rv>
  <rv s="0">
    <fb>46014</fb>
    <v>0</v>
  </rv>
  <rv s="0">
    <fb>110.9</fb>
    <v>1</v>
  </rv>
  <rv s="0">
    <fb>20319917</fb>
    <v>2</v>
  </rv>
  <rv s="0">
    <fb>46015</fb>
    <v>0</v>
  </rv>
  <rv s="0">
    <fb>111.61</fb>
    <v>1</v>
  </rv>
  <rv s="0">
    <fb>9009629</fb>
    <v>2</v>
  </rv>
  <rv s="0">
    <fb>46017</fb>
    <v>0</v>
  </rv>
  <rv s="0">
    <fb>111.74</fb>
    <v>1</v>
  </rv>
  <rv s="0">
    <fb>9003791</fb>
    <v>2</v>
  </rv>
  <rv s="0">
    <fb>46020</fb>
    <v>0</v>
  </rv>
  <rv s="0">
    <fb>112.53</fb>
    <v>1</v>
  </rv>
  <rv s="0">
    <fb>12979573</fb>
    <v>2</v>
  </rv>
  <rv s="0">
    <fb>46021</fb>
    <v>0</v>
  </rv>
  <rv s="0">
    <fb>111.92</fb>
    <v>1</v>
  </rv>
  <rv s="0">
    <fb>11730590</fb>
    <v>2</v>
  </rv>
  <rv s="0">
    <fb>46022</fb>
    <v>0</v>
  </rv>
  <rv s="0">
    <fb>111.41</fb>
    <v>1</v>
  </rv>
  <rv s="0">
    <fb>11487434</fb>
    <v>2</v>
  </rv>
  <rv s="0">
    <fb>46024</fb>
    <v>0</v>
  </rv>
  <rv s="0">
    <fb>112.76</fb>
    <v>1</v>
  </rv>
  <rv s="0">
    <fb>14306560</fb>
    <v>2</v>
  </rv>
  <rv s="0">
    <fb>46027</fb>
    <v>0</v>
  </rv>
  <rv s="0">
    <fb>112.71</fb>
    <v>1</v>
  </rv>
  <rv s="0">
    <fb>19557620</fb>
    <v>2</v>
  </rv>
  <rv s="0">
    <fb>46028</fb>
    <v>0</v>
  </rv>
  <rv s="0">
    <fb>114.34</fb>
    <v>1</v>
  </rv>
  <rv s="0">
    <fb>20120817</fb>
    <v>2</v>
  </rv>
  <rv s="0">
    <fb>46029</fb>
    <v>0</v>
  </rv>
  <rv s="0">
    <fb>112.72</fb>
    <v>1</v>
  </rv>
  <rv s="0">
    <fb>23306003</fb>
    <v>2</v>
  </rv>
  <rv s="0">
    <fb>46030</fb>
    <v>0</v>
  </rv>
  <rv s="0">
    <fb>113.07</fb>
    <v>1</v>
  </rv>
  <rv s="0">
    <fb>24058262</fb>
    <v>2</v>
  </rv>
  <rv s="0">
    <fb>46031</fb>
    <v>0</v>
  </rv>
  <rv s="0">
    <fb>114.53</fb>
    <v>1</v>
  </rv>
  <rv s="0">
    <fb>21902859</fb>
    <v>2</v>
  </rv>
  <rv s="0">
    <fb>46034</fb>
    <v>0</v>
  </rv>
  <rv s="0">
    <fb>117.97</fb>
    <v>1</v>
  </rv>
  <rv s="0">
    <fb>49182081</fb>
    <v>2</v>
  </rv>
  <rv s="0">
    <fb>46035</fb>
    <v>0</v>
  </rv>
  <rv s="0">
    <fb>120.36</fb>
    <v>1</v>
  </rv>
  <rv s="0">
    <fb>31222058</fb>
    <v>2</v>
  </rv>
  <rv s="0">
    <fb>46036</fb>
    <v>0</v>
  </rv>
  <rv s="0">
    <fb>120.04</fb>
    <v>1</v>
  </rv>
  <rv s="0">
    <fb>32764044</fb>
    <v>2</v>
  </rv>
  <rv s="0">
    <fb>46037</fb>
    <v>0</v>
  </rv>
  <rv s="0">
    <fb>119.2</fb>
    <v>1</v>
  </rv>
  <rv s="0">
    <fb>34559430</fb>
    <v>2</v>
  </rv>
  <rv s="0">
    <fb>46038</fb>
    <v>0</v>
  </rv>
  <rv s="0">
    <fb>119.7</fb>
    <v>1</v>
  </rv>
  <rv s="0">
    <fb>415144621</fb>
    <v>2</v>
  </rv>
  <rv s="0">
    <fb>46042</fb>
    <v>0</v>
  </rv>
  <rv s="0">
    <fb>118.71</fb>
    <v>1</v>
  </rv>
  <rv s="0">
    <fb>45333984</fb>
    <v>2</v>
  </rv>
  <rv s="0">
    <fb>46043</fb>
    <v>0</v>
  </rv>
  <rv s="0">
    <fb>119.36</fb>
    <v>1</v>
  </rv>
  <rv s="0">
    <fb>34811697</fb>
    <v>2</v>
  </rv>
  <rv s="0">
    <fb>46044</fb>
    <v>0</v>
  </rv>
  <rv s="0">
    <fb>117.83</fb>
    <v>1</v>
  </rv>
  <rv s="0">
    <fb>24547334</fb>
    <v>2</v>
  </rv>
  <rv s="0">
    <fb>46045</fb>
    <v>0</v>
  </rv>
  <rv s="0">
    <fb>117.73</fb>
    <v>1</v>
  </rv>
  <rv s="0">
    <fb>20806906</fb>
    <v>2</v>
  </rv>
  <rv s="0">
    <fb>46048</fb>
    <v>0</v>
  </rv>
  <rv s="0">
    <fb>117.64</fb>
    <v>1</v>
  </rv>
  <rv s="0">
    <fb>19552228</fb>
    <v>2</v>
  </rv>
  <rv s="0">
    <fb>46049</fb>
    <v>0</v>
  </rv>
  <rv s="0">
    <fb>116.94</fb>
    <v>1</v>
  </rv>
  <rv s="0">
    <fb>22968630</fb>
    <v>2</v>
  </rv>
  <rv s="0">
    <fb>46050</fb>
    <v>0</v>
  </rv>
  <rv s="0">
    <fb>116.57</fb>
    <v>1</v>
  </rv>
  <rv s="0">
    <fb>16341996</fb>
    <v>2</v>
  </rv>
  <rv s="0">
    <fb>46051</fb>
    <v>0</v>
  </rv>
  <rv s="0">
    <fb>117.41</fb>
    <v>1</v>
  </rv>
  <rv s="0">
    <fb>16381111</fb>
    <v>2</v>
  </rv>
  <rv s="0">
    <fb>46052</fb>
    <v>0</v>
  </rv>
  <rv s="0">
    <fb>119.14</fb>
    <v>1</v>
  </rv>
  <rv s="0">
    <fb>22215386</fb>
    <v>2</v>
  </rv>
  <rv s="0">
    <fb>46055</fb>
    <v>0</v>
  </rv>
  <rv s="0">
    <fb>124.06</fb>
    <v>1</v>
  </rv>
  <rv s="0">
    <fb>31210059</fb>
    <v>2</v>
  </rv>
  <rv s="0">
    <fb>46056</fb>
    <v>0</v>
  </rv>
  <rv s="0">
    <fb>127.71</fb>
    <v>1</v>
  </rv>
  <rv s="0">
    <fb>32018678</fb>
    <v>2</v>
  </rv>
  <rv s="0">
    <fb>46057</fb>
    <v>0</v>
  </rv>
  <rv s="0">
    <fb>128</fb>
    <v>1</v>
  </rv>
  <rv s="0">
    <fb>27531790</fb>
    <v>2</v>
  </rv>
  <rv s="0">
    <fb>46058</fb>
    <v>0</v>
  </rv>
  <rv s="0">
    <fb>126.94</fb>
    <v>1</v>
  </rv>
  <rv s="0">
    <fb>30517793</fb>
    <v>2</v>
  </rv>
  <rv s="0">
    <fb>46059</fb>
    <v>0</v>
  </rv>
  <rv s="0">
    <fb>131.18</fb>
    <v>1</v>
  </rv>
  <rv s="0">
    <fb>26593427</fb>
    <v>2</v>
  </rv>
  <rv s="0">
    <fb>46062</fb>
    <v>0</v>
  </rv>
  <rv s="0">
    <fb>129.02000000000001</fb>
    <v>1</v>
  </rv>
  <rv s="0">
    <fb>27197291</fb>
    <v>2</v>
  </rv>
  <rv s="0">
    <fb>46063</fb>
    <v>0</v>
  </rv>
  <rv s="0">
    <fb>126.7</fb>
    <v>1</v>
  </rv>
  <rv s="0">
    <fb>24661953</fb>
    <v>2</v>
  </rv>
  <rv s="0">
    <fb>46064</fb>
    <v>0</v>
  </rv>
  <rv s="0">
    <fb>128.77000000000001</fb>
    <v>1</v>
  </rv>
  <rv s="0">
    <fb>19232142</fb>
    <v>2</v>
  </rv>
  <rv s="0">
    <fb>46065</fb>
    <v>0</v>
  </rv>
  <rv s="0">
    <fb>133.63999999999999</fb>
    <v>1</v>
  </rv>
  <rv s="0">
    <fb>33382692</fb>
    <v>2</v>
  </rv>
  <rv s="0">
    <fb>46066</fb>
    <v>0</v>
  </rv>
  <rv s="0">
    <fb>133.88999999999999</fb>
    <v>1</v>
  </rv>
  <rv s="0">
    <fb>24131179</fb>
    <v>2</v>
  </rv>
  <rv s="1">
    <v>3</v>
    <v>WMT</v>
    <v>Daily</v>
    <v>45704</v>
    <v>46069</v>
    <v>0</v>
    <v>1</v>
    <v>639065376000000000,639068863877849935,0</v>
    <v>0</v>
    <v>a25ya2</v>
    <v>XNAS:WMT</v>
    <v>1</v>
    <v>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0">
      <v>3</v>
    </spb>
    <spb s="1">
      <v>1</v>
      <v>2</v>
      <v>3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3" formatCode="#,##0"/>
    </x:dxf>
  </dxfs>
  <richProperties>
    <rPr n="NumberFormat" t="s"/>
  </richProperties>
  <richStyles>
    <rSty dxfid="0"/>
    <rSty dxfid="1">
      <rpv i="0">_([$$-en-US]* #,##0.00_);_([$$-en-US]* (#,##0.00);_([$$-en-US]* "-"??_);_(@_)</rpv>
    </rSty>
    <rSty dxfid="2">
      <rpv i="0">#,##0</rpv>
    </rSty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B2DA5-FFF3-48FE-B005-7F76F1B55B50}" name="Weekly" displayName="Weekly" ref="A1:E60" tableType="queryTable" totalsRowShown="0">
  <autoFilter ref="A1:E60" xr:uid="{321B2DA5-FFF3-48FE-B005-7F76F1B55B50}"/>
  <tableColumns count="5">
    <tableColumn id="1" xr3:uid="{A114F4F0-F04A-44D3-AC8A-E322B5528CC8}" uniqueName="1" name="Week" queryTableFieldId="1" dataDxfId="0"/>
    <tableColumn id="2" xr3:uid="{7D005276-7D0A-4D07-B655-96CD7377EE5E}" uniqueName="2" name="Average" queryTableFieldId="2"/>
    <tableColumn id="3" xr3:uid="{FF22517E-BD82-427A-BDB6-854A5AAC6511}" uniqueName="3" name="XL Forecast" queryTableFieldId="3"/>
    <tableColumn id="4" xr3:uid="{65A9A0B7-AA5D-478E-84C4-2B1CA84A2D81}" uniqueName="4" name="Calc Forecast" queryTableFieldId="4"/>
    <tableColumn id="5" xr3:uid="{0F11B325-88FD-4633-9CCD-D792609ED251}" uniqueName="5" name="Simple ML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B0CA-D215-4909-9549-33E0F6F82D2C}">
  <dimension ref="A1:B9"/>
  <sheetViews>
    <sheetView workbookViewId="0">
      <selection activeCell="A3" sqref="A3:B3"/>
    </sheetView>
  </sheetViews>
  <sheetFormatPr defaultRowHeight="15" x14ac:dyDescent="0.25"/>
  <cols>
    <col min="1" max="1" width="15" bestFit="1" customWidth="1"/>
    <col min="2" max="2" width="14.5703125" bestFit="1" customWidth="1"/>
  </cols>
  <sheetData>
    <row r="1" spans="1:2" x14ac:dyDescent="0.25">
      <c r="A1" t="s">
        <v>24</v>
      </c>
      <c r="B1" t="s">
        <v>25</v>
      </c>
    </row>
    <row r="2" spans="1:2" x14ac:dyDescent="0.25">
      <c r="A2" s="12" t="s">
        <v>26</v>
      </c>
      <c r="B2" s="12" t="s">
        <v>27</v>
      </c>
    </row>
    <row r="3" spans="1:2" x14ac:dyDescent="0.25">
      <c r="A3" s="13" t="s">
        <v>1</v>
      </c>
      <c r="B3" s="13" t="s">
        <v>28</v>
      </c>
    </row>
    <row r="4" spans="1:2" x14ac:dyDescent="0.25">
      <c r="A4" s="14" t="s">
        <v>29</v>
      </c>
      <c r="B4" s="14" t="s">
        <v>30</v>
      </c>
    </row>
    <row r="5" spans="1:2" x14ac:dyDescent="0.25">
      <c r="A5" s="15" t="s">
        <v>15</v>
      </c>
      <c r="B5" s="15" t="s">
        <v>31</v>
      </c>
    </row>
    <row r="6" spans="1:2" x14ac:dyDescent="0.25">
      <c r="A6" s="9" t="s">
        <v>20</v>
      </c>
      <c r="B6" s="9" t="s">
        <v>32</v>
      </c>
    </row>
    <row r="7" spans="1:2" x14ac:dyDescent="0.25">
      <c r="A7" s="16" t="s">
        <v>23</v>
      </c>
      <c r="B7" s="16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0568-B321-401D-B457-33B556BF8509}">
  <dimension ref="A1"/>
  <sheetViews>
    <sheetView tabSelected="1" topLeftCell="A135" workbookViewId="0">
      <selection activeCell="N160" sqref="N160"/>
    </sheetView>
  </sheetViews>
  <sheetFormatPr defaultRowHeight="15" x14ac:dyDescent="0.25"/>
  <cols>
    <col min="1" max="16384" width="9.140625" style="2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F43F9-2C8F-4F53-A4E1-034AE0838EB4}">
  <dimension ref="A1:AE251"/>
  <sheetViews>
    <sheetView zoomScale="70" zoomScaleNormal="70" workbookViewId="0">
      <selection activeCell="B1" sqref="B1"/>
    </sheetView>
  </sheetViews>
  <sheetFormatPr defaultRowHeight="15" x14ac:dyDescent="0.25"/>
  <cols>
    <col min="1" max="1" width="13.140625" style="20" customWidth="1"/>
    <col min="2" max="2" width="12" bestFit="1" customWidth="1"/>
    <col min="3" max="3" width="10.5703125" bestFit="1" customWidth="1"/>
    <col min="4" max="4" width="12.42578125" bestFit="1" customWidth="1"/>
    <col min="5" max="5" width="14.85546875" bestFit="1" customWidth="1"/>
    <col min="8" max="8" width="14.85546875" bestFit="1" customWidth="1"/>
    <col min="9" max="9" width="13.5703125" bestFit="1" customWidth="1"/>
    <col min="10" max="10" width="11.7109375" bestFit="1" customWidth="1"/>
    <col min="14" max="14" width="10.5703125" bestFit="1" customWidth="1"/>
    <col min="15" max="15" width="10" bestFit="1" customWidth="1"/>
    <col min="17" max="18" width="11.42578125" bestFit="1" customWidth="1"/>
    <col min="23" max="23" width="9.7109375" bestFit="1" customWidth="1"/>
    <col min="24" max="24" width="10.140625" bestFit="1" customWidth="1"/>
    <col min="25" max="25" width="8.5703125" bestFit="1" customWidth="1"/>
    <col min="26" max="26" width="8.85546875" bestFit="1" customWidth="1"/>
    <col min="27" max="27" width="13" bestFit="1" customWidth="1"/>
    <col min="28" max="28" width="12.85546875" bestFit="1" customWidth="1"/>
    <col min="31" max="31" width="16.85546875" style="18" bestFit="1" customWidth="1"/>
  </cols>
  <sheetData>
    <row r="1" spans="1:31" s="8" customFormat="1" x14ac:dyDescent="0.25">
      <c r="A1" s="19" t="s">
        <v>45</v>
      </c>
      <c r="B1" s="4" t="str" cm="1">
        <f t="array" aca="1" ref="B1:D251" ca="1">_xlfn.STOCKHISTORY("WMT",TODAY()-365,TODAY(),0,1,0,1,5)</f>
        <v>Date</v>
      </c>
      <c r="C1" s="4" t="str">
        <f ca="1"/>
        <v>Close</v>
      </c>
      <c r="D1" s="4" t="str">
        <f ca="1"/>
        <v>Volume</v>
      </c>
      <c r="E1" s="5" t="s">
        <v>0</v>
      </c>
      <c r="F1" s="5" t="s">
        <v>1</v>
      </c>
      <c r="G1" s="6" t="s">
        <v>2</v>
      </c>
      <c r="H1" s="6" t="s">
        <v>3</v>
      </c>
      <c r="I1" s="6" t="s">
        <v>4</v>
      </c>
      <c r="J1" s="7" t="s">
        <v>7</v>
      </c>
      <c r="K1" s="7" t="s">
        <v>8</v>
      </c>
      <c r="L1" s="7" t="s">
        <v>6</v>
      </c>
      <c r="M1" s="7" t="s">
        <v>5</v>
      </c>
      <c r="N1" s="3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3" t="s">
        <v>14</v>
      </c>
      <c r="T1" s="3" t="s">
        <v>15</v>
      </c>
      <c r="U1" s="1" t="s">
        <v>16</v>
      </c>
      <c r="V1" s="3" t="s">
        <v>17</v>
      </c>
      <c r="W1" s="10" t="s">
        <v>18</v>
      </c>
      <c r="X1" s="10" t="s">
        <v>19</v>
      </c>
      <c r="Y1" s="10" t="s">
        <v>20</v>
      </c>
      <c r="Z1" s="10" t="s">
        <v>21</v>
      </c>
      <c r="AA1" s="10" t="s">
        <v>22</v>
      </c>
      <c r="AB1" s="11" t="s">
        <v>23</v>
      </c>
      <c r="AC1" s="7" t="s">
        <v>38</v>
      </c>
      <c r="AD1" s="7" t="s">
        <v>43</v>
      </c>
      <c r="AE1" s="17" t="s">
        <v>44</v>
      </c>
    </row>
    <row r="2" spans="1:31" x14ac:dyDescent="0.25">
      <c r="A2" s="20">
        <f ca="1">B2 - WEEKDAY(B2, 2) + 1</f>
        <v>45705</v>
      </c>
      <c r="B2" vm="1">
        <f ca="1"/>
        <v>45706</v>
      </c>
      <c r="C2" vm="2">
        <f ca="1"/>
        <v>103.78</v>
      </c>
      <c r="D2" vm="3">
        <f ca="1"/>
        <v>18247314</v>
      </c>
      <c r="E2">
        <f ca="1">C2*D2</f>
        <v>1893706246.9200001</v>
      </c>
      <c r="F2">
        <f ca="1">SUM($E$2:E2)/SUM($D$2:D2)</f>
        <v>103.78</v>
      </c>
      <c r="G2">
        <f ca="1">_xlfn.STDEV.P($C$2:C2)</f>
        <v>0</v>
      </c>
      <c r="H2">
        <f ca="1">F2 + G2</f>
        <v>103.78</v>
      </c>
      <c r="I2">
        <f ca="1">F2 - G2</f>
        <v>103.78</v>
      </c>
      <c r="AC2" t="s">
        <v>39</v>
      </c>
      <c r="AD2">
        <f ca="1">MIN(C:C)</f>
        <v>81.790000000000006</v>
      </c>
      <c r="AE2" s="18">
        <f ca="1">MIN(D:D)</f>
        <v>7686204</v>
      </c>
    </row>
    <row r="3" spans="1:31" x14ac:dyDescent="0.25">
      <c r="A3" s="20">
        <f t="shared" ref="A3:A66" ca="1" si="0">B3 - WEEKDAY(B3, 2) + 1</f>
        <v>45705</v>
      </c>
      <c r="B3" vm="4">
        <f ca="1"/>
        <v>45707</v>
      </c>
      <c r="C3" vm="5">
        <f ca="1"/>
        <v>104</v>
      </c>
      <c r="D3" vm="6">
        <f ca="1"/>
        <v>18507981</v>
      </c>
      <c r="E3">
        <f t="shared" ref="E3:E66" ca="1" si="1">C3*D3</f>
        <v>1924830024</v>
      </c>
      <c r="F3">
        <f ca="1">SUM($E$2:E3)/SUM($D$2:D3)</f>
        <v>103.89078011535481</v>
      </c>
      <c r="G3">
        <f ca="1">_xlfn.STDEV.P($C$2:C3)</f>
        <v>0.10999999999999943</v>
      </c>
      <c r="H3">
        <f t="shared" ref="H3:H66" ca="1" si="2">F3 + G3</f>
        <v>104.00078011535481</v>
      </c>
      <c r="I3">
        <f t="shared" ref="I3:I66" ca="1" si="3">F3 - G3</f>
        <v>103.78078011535482</v>
      </c>
      <c r="N3">
        <f ca="1">C3-C2</f>
        <v>0.21999999999999886</v>
      </c>
      <c r="O3">
        <f ca="1">MAX(N3,0)</f>
        <v>0.21999999999999886</v>
      </c>
      <c r="P3">
        <f ca="1">MAX(-N3,0)</f>
        <v>0</v>
      </c>
      <c r="AC3" t="s">
        <v>40</v>
      </c>
      <c r="AD3">
        <f ca="1">MAX(C:C)</f>
        <v>133.88999999999999</v>
      </c>
      <c r="AE3" s="18">
        <f ca="1">MAX(D:D)</f>
        <v>415144621</v>
      </c>
    </row>
    <row r="4" spans="1:31" x14ac:dyDescent="0.25">
      <c r="A4" s="20">
        <f t="shared" ca="1" si="0"/>
        <v>45705</v>
      </c>
      <c r="B4" vm="7">
        <f ca="1"/>
        <v>45708</v>
      </c>
      <c r="C4" vm="8">
        <f ca="1"/>
        <v>97.21</v>
      </c>
      <c r="D4" vm="9">
        <f ca="1"/>
        <v>55450924</v>
      </c>
      <c r="E4">
        <f t="shared" ca="1" si="1"/>
        <v>5390384322.04</v>
      </c>
      <c r="F4">
        <f ca="1">SUM($E$2:E4)/SUM($D$2:D4)</f>
        <v>99.873096335942364</v>
      </c>
      <c r="G4">
        <f ca="1">_xlfn.STDEV.P($C$2:C4)</f>
        <v>3.1502627756356416</v>
      </c>
      <c r="H4">
        <f t="shared" ca="1" si="2"/>
        <v>103.023359111578</v>
      </c>
      <c r="I4">
        <f t="shared" ca="1" si="3"/>
        <v>96.722833560306725</v>
      </c>
      <c r="N4">
        <f t="shared" ref="N4:N67" ca="1" si="4">C4-C3</f>
        <v>-6.7900000000000063</v>
      </c>
      <c r="O4">
        <f t="shared" ref="O4:O67" ca="1" si="5">MAX(N4,0)</f>
        <v>0</v>
      </c>
      <c r="P4">
        <f t="shared" ref="P4:P67" ca="1" si="6">MAX(-N4,0)</f>
        <v>6.7900000000000063</v>
      </c>
      <c r="AC4" t="s">
        <v>41</v>
      </c>
      <c r="AD4">
        <f ca="1">MEDIAN(C:C)</f>
        <v>100.205</v>
      </c>
      <c r="AE4" s="18">
        <f ca="1">MEDIAN(D:D)</f>
        <v>17848317</v>
      </c>
    </row>
    <row r="5" spans="1:31" x14ac:dyDescent="0.25">
      <c r="A5" s="20">
        <f t="shared" ca="1" si="0"/>
        <v>45705</v>
      </c>
      <c r="B5" vm="10">
        <f ca="1"/>
        <v>45709</v>
      </c>
      <c r="C5" vm="11">
        <f ca="1"/>
        <v>94.78</v>
      </c>
      <c r="D5" vm="12">
        <f ca="1"/>
        <v>35014806</v>
      </c>
      <c r="E5">
        <f t="shared" ca="1" si="1"/>
        <v>3318703312.6799998</v>
      </c>
      <c r="F5">
        <f ca="1">SUM($E$2:E5)/SUM($D$2:D5)</f>
        <v>98.471332907748533</v>
      </c>
      <c r="G5">
        <f ca="1">_xlfn.STDEV.P($C$2:C5)</f>
        <v>4.0406582075201571</v>
      </c>
      <c r="H5">
        <f t="shared" ca="1" si="2"/>
        <v>102.51199111526869</v>
      </c>
      <c r="I5">
        <f t="shared" ca="1" si="3"/>
        <v>94.43067470022838</v>
      </c>
      <c r="N5">
        <f t="shared" ca="1" si="4"/>
        <v>-2.4299999999999926</v>
      </c>
      <c r="O5">
        <f t="shared" ca="1" si="5"/>
        <v>0</v>
      </c>
      <c r="P5">
        <f t="shared" ca="1" si="6"/>
        <v>2.4299999999999926</v>
      </c>
      <c r="AC5" t="s">
        <v>42</v>
      </c>
      <c r="AD5">
        <f ca="1">AVERAGE(C:C)</f>
        <v>102.05516000000001</v>
      </c>
      <c r="AE5" s="18">
        <f ca="1">AVERAGE(D:D)</f>
        <v>21627633.864</v>
      </c>
    </row>
    <row r="6" spans="1:31" x14ac:dyDescent="0.25">
      <c r="A6" s="20">
        <f t="shared" ca="1" si="0"/>
        <v>45712</v>
      </c>
      <c r="B6" vm="13">
        <f ca="1"/>
        <v>45712</v>
      </c>
      <c r="C6" vm="14">
        <f ca="1"/>
        <v>93.67</v>
      </c>
      <c r="D6" vm="15">
        <f ca="1"/>
        <v>29755875</v>
      </c>
      <c r="E6">
        <f t="shared" ca="1" si="1"/>
        <v>2787232811.25</v>
      </c>
      <c r="F6">
        <f ca="1">SUM($E$2:E6)/SUM($D$2:D6)</f>
        <v>97.561212617206735</v>
      </c>
      <c r="G6">
        <f ca="1">_xlfn.STDEV.P($C$2:C6)</f>
        <v>4.3996154377399854</v>
      </c>
      <c r="H6">
        <f t="shared" ca="1" si="2"/>
        <v>101.96082805494672</v>
      </c>
      <c r="I6">
        <f t="shared" ca="1" si="3"/>
        <v>93.161597179466753</v>
      </c>
      <c r="N6">
        <f t="shared" ca="1" si="4"/>
        <v>-1.1099999999999994</v>
      </c>
      <c r="O6">
        <f t="shared" ca="1" si="5"/>
        <v>0</v>
      </c>
      <c r="P6">
        <f t="shared" ca="1" si="6"/>
        <v>1.1099999999999994</v>
      </c>
    </row>
    <row r="7" spans="1:31" x14ac:dyDescent="0.25">
      <c r="A7" s="20">
        <f t="shared" ca="1" si="0"/>
        <v>45712</v>
      </c>
      <c r="B7" vm="16">
        <f ca="1"/>
        <v>45713</v>
      </c>
      <c r="C7" vm="17">
        <f ca="1"/>
        <v>97.69</v>
      </c>
      <c r="D7" vm="18">
        <f ca="1"/>
        <v>29331188</v>
      </c>
      <c r="E7">
        <f t="shared" ca="1" si="1"/>
        <v>2865363755.7199998</v>
      </c>
      <c r="F7">
        <f ca="1">SUM($E$2:E7)/SUM($D$2:D7)</f>
        <v>97.58148810270653</v>
      </c>
      <c r="G7">
        <f ca="1">_xlfn.STDEV.P($C$2:C7)</f>
        <v>4.0334659069120971</v>
      </c>
      <c r="H7">
        <f t="shared" ca="1" si="2"/>
        <v>101.61495400961863</v>
      </c>
      <c r="I7">
        <f t="shared" ca="1" si="3"/>
        <v>93.548022195794431</v>
      </c>
      <c r="N7">
        <f t="shared" ca="1" si="4"/>
        <v>4.019999999999996</v>
      </c>
      <c r="O7">
        <f t="shared" ca="1" si="5"/>
        <v>4.019999999999996</v>
      </c>
      <c r="P7">
        <f t="shared" ca="1" si="6"/>
        <v>0</v>
      </c>
    </row>
    <row r="8" spans="1:31" x14ac:dyDescent="0.25">
      <c r="A8" s="20">
        <f t="shared" ca="1" si="0"/>
        <v>45712</v>
      </c>
      <c r="B8" vm="19">
        <f ca="1"/>
        <v>45714</v>
      </c>
      <c r="C8" vm="20">
        <f ca="1"/>
        <v>96.2</v>
      </c>
      <c r="D8" vm="21">
        <f ca="1"/>
        <v>19069721</v>
      </c>
      <c r="E8">
        <f t="shared" ca="1" si="1"/>
        <v>1834507160.2</v>
      </c>
      <c r="F8">
        <f ca="1">SUM($E$2:E8)/SUM($D$2:D8)</f>
        <v>97.453214299359871</v>
      </c>
      <c r="G8">
        <f ca="1">_xlfn.STDEV.P($C$2:C8)</f>
        <v>3.8216152157357306</v>
      </c>
      <c r="H8">
        <f t="shared" ca="1" si="2"/>
        <v>101.2748295150956</v>
      </c>
      <c r="I8">
        <f t="shared" ca="1" si="3"/>
        <v>93.631599083624138</v>
      </c>
      <c r="N8">
        <f t="shared" ca="1" si="4"/>
        <v>-1.4899999999999949</v>
      </c>
      <c r="O8">
        <f t="shared" ca="1" si="5"/>
        <v>0</v>
      </c>
      <c r="P8">
        <f t="shared" ca="1" si="6"/>
        <v>1.4899999999999949</v>
      </c>
    </row>
    <row r="9" spans="1:31" x14ac:dyDescent="0.25">
      <c r="A9" s="20">
        <f t="shared" ca="1" si="0"/>
        <v>45712</v>
      </c>
      <c r="B9" vm="22">
        <f ca="1"/>
        <v>45715</v>
      </c>
      <c r="C9" vm="23">
        <f ca="1"/>
        <v>96.79</v>
      </c>
      <c r="D9" vm="24">
        <f ca="1"/>
        <v>16431469</v>
      </c>
      <c r="E9">
        <f t="shared" ca="1" si="1"/>
        <v>1590401884.51</v>
      </c>
      <c r="F9">
        <f ca="1">SUM($E$2:E9)/SUM($D$2:D9)</f>
        <v>97.404083869386199</v>
      </c>
      <c r="G9">
        <f ca="1">_xlfn.STDEV.P($C$2:C9)</f>
        <v>3.604653242685071</v>
      </c>
      <c r="H9">
        <f t="shared" ca="1" si="2"/>
        <v>101.00873711207127</v>
      </c>
      <c r="I9">
        <f t="shared" ca="1" si="3"/>
        <v>93.799430626701124</v>
      </c>
      <c r="N9">
        <f t="shared" ca="1" si="4"/>
        <v>0.59000000000000341</v>
      </c>
      <c r="O9">
        <f t="shared" ca="1" si="5"/>
        <v>0.59000000000000341</v>
      </c>
      <c r="P9">
        <f t="shared" ca="1" si="6"/>
        <v>0</v>
      </c>
    </row>
    <row r="10" spans="1:31" x14ac:dyDescent="0.25">
      <c r="A10" s="20">
        <f t="shared" ca="1" si="0"/>
        <v>45712</v>
      </c>
      <c r="B10" vm="25">
        <f ca="1"/>
        <v>45716</v>
      </c>
      <c r="C10" vm="26">
        <f ca="1"/>
        <v>98.61</v>
      </c>
      <c r="D10" vm="27">
        <f ca="1"/>
        <v>25451260</v>
      </c>
      <c r="E10">
        <f t="shared" ca="1" si="1"/>
        <v>2509748748.5999999</v>
      </c>
      <c r="F10">
        <f ca="1">SUM($E$2:E10)/SUM($D$2:D10)</f>
        <v>97.528212390769767</v>
      </c>
      <c r="G10">
        <f ca="1">_xlfn.STDEV.P($C$2:C10)</f>
        <v>3.4036400268093514</v>
      </c>
      <c r="H10">
        <f t="shared" ca="1" si="2"/>
        <v>100.93185241757912</v>
      </c>
      <c r="I10">
        <f t="shared" ca="1" si="3"/>
        <v>94.124572363960411</v>
      </c>
      <c r="N10">
        <f t="shared" ca="1" si="4"/>
        <v>1.8199999999999932</v>
      </c>
      <c r="O10">
        <f t="shared" ca="1" si="5"/>
        <v>1.8199999999999932</v>
      </c>
      <c r="P10">
        <f t="shared" ca="1" si="6"/>
        <v>0</v>
      </c>
    </row>
    <row r="11" spans="1:31" x14ac:dyDescent="0.25">
      <c r="A11" s="20">
        <f t="shared" ca="1" si="0"/>
        <v>45719</v>
      </c>
      <c r="B11" vm="28">
        <f ca="1"/>
        <v>45719</v>
      </c>
      <c r="C11" vm="29">
        <f ca="1"/>
        <v>97.59</v>
      </c>
      <c r="D11" vm="30">
        <f ca="1"/>
        <v>18372193</v>
      </c>
      <c r="E11">
        <f t="shared" ca="1" si="1"/>
        <v>1792942314.8700001</v>
      </c>
      <c r="F11">
        <f ca="1">SUM($E$2:E11)/SUM($D$2:D11)</f>
        <v>97.532485862180877</v>
      </c>
      <c r="G11">
        <f ca="1">_xlfn.STDEV.P($C$2:C11)</f>
        <v>3.2323359973864099</v>
      </c>
      <c r="H11">
        <f t="shared" ca="1" si="2"/>
        <v>100.76482185956729</v>
      </c>
      <c r="I11">
        <f t="shared" ca="1" si="3"/>
        <v>94.300149864794463</v>
      </c>
      <c r="N11">
        <f t="shared" ca="1" si="4"/>
        <v>-1.019999999999996</v>
      </c>
      <c r="O11">
        <f t="shared" ca="1" si="5"/>
        <v>0</v>
      </c>
      <c r="P11">
        <f t="shared" ca="1" si="6"/>
        <v>1.019999999999996</v>
      </c>
    </row>
    <row r="12" spans="1:31" x14ac:dyDescent="0.25">
      <c r="A12" s="20">
        <f t="shared" ca="1" si="0"/>
        <v>45719</v>
      </c>
      <c r="B12" vm="31">
        <f ca="1"/>
        <v>45720</v>
      </c>
      <c r="C12" vm="32">
        <f ca="1"/>
        <v>94.97</v>
      </c>
      <c r="D12" vm="33">
        <f ca="1"/>
        <v>25227673</v>
      </c>
      <c r="E12">
        <f t="shared" ca="1" si="1"/>
        <v>2395872104.8099999</v>
      </c>
      <c r="F12">
        <f ca="1">SUM($E$2:E12)/SUM($D$2:D12)</f>
        <v>97.310229568408346</v>
      </c>
      <c r="G12">
        <f ca="1">_xlfn.STDEV.P($C$2:C12)</f>
        <v>3.2051585487014598</v>
      </c>
      <c r="H12">
        <f t="shared" ca="1" si="2"/>
        <v>100.51538811710981</v>
      </c>
      <c r="I12">
        <f t="shared" ca="1" si="3"/>
        <v>94.105071019706884</v>
      </c>
      <c r="N12">
        <f t="shared" ca="1" si="4"/>
        <v>-2.6200000000000045</v>
      </c>
      <c r="O12">
        <f t="shared" ca="1" si="5"/>
        <v>0</v>
      </c>
      <c r="P12">
        <f t="shared" ca="1" si="6"/>
        <v>2.6200000000000045</v>
      </c>
    </row>
    <row r="13" spans="1:31" x14ac:dyDescent="0.25">
      <c r="A13" s="20">
        <f t="shared" ca="1" si="0"/>
        <v>45719</v>
      </c>
      <c r="B13" vm="34">
        <f ca="1"/>
        <v>45721</v>
      </c>
      <c r="C13" vm="35">
        <f ca="1"/>
        <v>95.98</v>
      </c>
      <c r="D13" vm="36">
        <f ca="1"/>
        <v>17638956</v>
      </c>
      <c r="E13">
        <f t="shared" ca="1" si="1"/>
        <v>1692986996.8800001</v>
      </c>
      <c r="F13">
        <f ca="1">SUM($E$2:E13)/SUM($D$2:D13)</f>
        <v>97.234171514910116</v>
      </c>
      <c r="G13">
        <f ca="1">_xlfn.STDEV.P($C$2:C13)</f>
        <v>3.1076128521566013</v>
      </c>
      <c r="H13">
        <f t="shared" ca="1" si="2"/>
        <v>100.34178436706672</v>
      </c>
      <c r="I13">
        <f t="shared" ca="1" si="3"/>
        <v>94.12655866275351</v>
      </c>
      <c r="N13">
        <f t="shared" ca="1" si="4"/>
        <v>1.0100000000000051</v>
      </c>
      <c r="O13">
        <f t="shared" ca="1" si="5"/>
        <v>1.0100000000000051</v>
      </c>
      <c r="P13">
        <f t="shared" ca="1" si="6"/>
        <v>0</v>
      </c>
      <c r="W13" s="9">
        <f ca="1">AVERAGE(C2:C13)</f>
        <v>97.605833333333337</v>
      </c>
    </row>
    <row r="14" spans="1:31" x14ac:dyDescent="0.25">
      <c r="A14" s="20">
        <f t="shared" ca="1" si="0"/>
        <v>45719</v>
      </c>
      <c r="B14" vm="37">
        <f ca="1"/>
        <v>45722</v>
      </c>
      <c r="C14" vm="38">
        <f ca="1"/>
        <v>94.64</v>
      </c>
      <c r="D14" vm="39">
        <f ca="1"/>
        <v>19957804</v>
      </c>
      <c r="E14">
        <f t="shared" ca="1" si="1"/>
        <v>1888806570.5599999</v>
      </c>
      <c r="F14">
        <f ca="1">SUM($E$2:E14)/SUM($D$2:D14)</f>
        <v>97.076543756067991</v>
      </c>
      <c r="G14">
        <f ca="1">_xlfn.STDEV.P($C$2:C14)</f>
        <v>3.0885225590293381</v>
      </c>
      <c r="H14">
        <f t="shared" ca="1" si="2"/>
        <v>100.16506631509733</v>
      </c>
      <c r="I14">
        <f t="shared" ca="1" si="3"/>
        <v>93.988021197038648</v>
      </c>
      <c r="N14">
        <f t="shared" ca="1" si="4"/>
        <v>-1.3400000000000034</v>
      </c>
      <c r="O14">
        <f t="shared" ca="1" si="5"/>
        <v>0</v>
      </c>
      <c r="P14">
        <f t="shared" ca="1" si="6"/>
        <v>1.3400000000000034</v>
      </c>
      <c r="W14">
        <f ca="1">C14*(2/(12+1)) + W13*(1-(2/(12+1)))</f>
        <v>97.149551282051291</v>
      </c>
    </row>
    <row r="15" spans="1:31" x14ac:dyDescent="0.25">
      <c r="A15" s="20">
        <f t="shared" ca="1" si="0"/>
        <v>45719</v>
      </c>
      <c r="B15" vm="40">
        <f ca="1"/>
        <v>45723</v>
      </c>
      <c r="C15" vm="41">
        <f ca="1"/>
        <v>91.72</v>
      </c>
      <c r="D15" vm="42">
        <f ca="1"/>
        <v>35913156</v>
      </c>
      <c r="E15">
        <f t="shared" ca="1" si="1"/>
        <v>3293954668.3200002</v>
      </c>
      <c r="F15">
        <f ca="1">SUM($E$2:E15)/SUM($D$2:D15)</f>
        <v>96.548590789063169</v>
      </c>
      <c r="G15">
        <f ca="1">_xlfn.STDEV.P($C$2:C15)</f>
        <v>3.3137130816887428</v>
      </c>
      <c r="H15">
        <f t="shared" ca="1" si="2"/>
        <v>99.862303870751916</v>
      </c>
      <c r="I15">
        <f t="shared" ca="1" si="3"/>
        <v>93.234877707374423</v>
      </c>
      <c r="N15">
        <f t="shared" ca="1" si="4"/>
        <v>-2.9200000000000017</v>
      </c>
      <c r="O15">
        <f t="shared" ca="1" si="5"/>
        <v>0</v>
      </c>
      <c r="P15">
        <f t="shared" ca="1" si="6"/>
        <v>2.9200000000000017</v>
      </c>
      <c r="Q15" s="2">
        <f ca="1">AVERAGE(O3:O16)</f>
        <v>0.54714285714285693</v>
      </c>
      <c r="R15" s="2">
        <f ca="1">AVERAGE(P3:P16)</f>
        <v>1.6871428571428575</v>
      </c>
      <c r="S15">
        <f ca="1">IF(R15=0,NA(),Q15/R15)</f>
        <v>0.32430143945808615</v>
      </c>
      <c r="T15">
        <f ca="1">100-(100/(1+S15))</f>
        <v>24.488491048593332</v>
      </c>
      <c r="U15">
        <f>70</f>
        <v>70</v>
      </c>
      <c r="V15">
        <f>30</f>
        <v>30</v>
      </c>
      <c r="W15">
        <f t="shared" ref="W15:W78" ca="1" si="7">C15*(2/(12+1)) + W14*(1-(2/(12+1)))</f>
        <v>96.314235700197244</v>
      </c>
    </row>
    <row r="16" spans="1:31" x14ac:dyDescent="0.25">
      <c r="A16" s="20">
        <f t="shared" ca="1" si="0"/>
        <v>45726</v>
      </c>
      <c r="B16" vm="43">
        <f ca="1"/>
        <v>45726</v>
      </c>
      <c r="C16" vm="44">
        <f ca="1"/>
        <v>87.82</v>
      </c>
      <c r="D16" vm="45">
        <f ca="1"/>
        <v>35148837</v>
      </c>
      <c r="E16">
        <f t="shared" ca="1" si="1"/>
        <v>3086770865.3399997</v>
      </c>
      <c r="F16">
        <f ca="1">SUM($E$2:E16)/SUM($D$2:D16)</f>
        <v>95.780668126259584</v>
      </c>
      <c r="G16">
        <f ca="1">_xlfn.STDEV.P($C$2:C16)</f>
        <v>3.9321896642399592</v>
      </c>
      <c r="H16">
        <f t="shared" ca="1" si="2"/>
        <v>99.712857790499541</v>
      </c>
      <c r="I16">
        <f t="shared" ca="1" si="3"/>
        <v>91.848478462019628</v>
      </c>
      <c r="N16">
        <f t="shared" ca="1" si="4"/>
        <v>-3.9000000000000057</v>
      </c>
      <c r="O16">
        <f t="shared" ca="1" si="5"/>
        <v>0</v>
      </c>
      <c r="P16">
        <f t="shared" ca="1" si="6"/>
        <v>3.9000000000000057</v>
      </c>
      <c r="Q16">
        <f ca="1">(Q15*13+O16)/14</f>
        <v>0.50806122448979574</v>
      </c>
      <c r="R16">
        <f ca="1">(R15*13+P16)/14</f>
        <v>1.8452040816326538</v>
      </c>
      <c r="S16">
        <f t="shared" ref="S16:S79" ca="1" si="8">IF(R16=0,NA(),Q16/R16)</f>
        <v>0.27534148094895738</v>
      </c>
      <c r="T16">
        <f t="shared" ref="T16:T79" ca="1" si="9">100-(100/(1+S16))</f>
        <v>21.589627959413747</v>
      </c>
      <c r="U16">
        <f>70</f>
        <v>70</v>
      </c>
      <c r="V16">
        <f>30</f>
        <v>30</v>
      </c>
      <c r="W16">
        <f t="shared" ca="1" si="7"/>
        <v>95.007430207859201</v>
      </c>
    </row>
    <row r="17" spans="1:25" x14ac:dyDescent="0.25">
      <c r="A17" s="20">
        <f t="shared" ca="1" si="0"/>
        <v>45726</v>
      </c>
      <c r="B17" vm="46">
        <f ca="1"/>
        <v>45727</v>
      </c>
      <c r="C17" vm="47">
        <f ca="1"/>
        <v>87.44</v>
      </c>
      <c r="D17" vm="48">
        <f ca="1"/>
        <v>28687586</v>
      </c>
      <c r="E17">
        <f t="shared" ca="1" si="1"/>
        <v>2508442519.8400002</v>
      </c>
      <c r="F17">
        <f ca="1">SUM($E$2:E17)/SUM($D$2:D17)</f>
        <v>95.221887494985083</v>
      </c>
      <c r="G17">
        <f ca="1">_xlfn.STDEV.P($C$2:C17)</f>
        <v>4.3773636026008864</v>
      </c>
      <c r="H17">
        <f t="shared" ca="1" si="2"/>
        <v>99.599251097585963</v>
      </c>
      <c r="I17">
        <f t="shared" ca="1" si="3"/>
        <v>90.844523892384203</v>
      </c>
      <c r="N17">
        <f t="shared" ca="1" si="4"/>
        <v>-0.37999999999999545</v>
      </c>
      <c r="O17">
        <f t="shared" ca="1" si="5"/>
        <v>0</v>
      </c>
      <c r="P17">
        <f t="shared" ca="1" si="6"/>
        <v>0.37999999999999545</v>
      </c>
      <c r="Q17">
        <f t="shared" ref="Q17:Q80" ca="1" si="10">(Q16*13+O17)/14</f>
        <v>0.47177113702623885</v>
      </c>
      <c r="R17">
        <f t="shared" ref="R17:R80" ca="1" si="11">(R16*13+P17)/14</f>
        <v>1.740546647230321</v>
      </c>
      <c r="S17">
        <f t="shared" ca="1" si="8"/>
        <v>0.27104768365556531</v>
      </c>
      <c r="T17">
        <f t="shared" ca="1" si="9"/>
        <v>21.324745494679263</v>
      </c>
      <c r="U17">
        <f>70</f>
        <v>70</v>
      </c>
      <c r="V17">
        <f>30</f>
        <v>30</v>
      </c>
      <c r="W17">
        <f t="shared" ca="1" si="7"/>
        <v>93.84321017588087</v>
      </c>
    </row>
    <row r="18" spans="1:25" x14ac:dyDescent="0.25">
      <c r="A18" s="20">
        <f t="shared" ca="1" si="0"/>
        <v>45726</v>
      </c>
      <c r="B18" vm="49">
        <f ca="1"/>
        <v>45728</v>
      </c>
      <c r="C18" vm="50">
        <f ca="1"/>
        <v>85.2</v>
      </c>
      <c r="D18" vm="51">
        <f ca="1"/>
        <v>33301609</v>
      </c>
      <c r="E18">
        <f t="shared" ca="1" si="1"/>
        <v>2837297086.8000002</v>
      </c>
      <c r="F18">
        <f ca="1">SUM($E$2:E18)/SUM($D$2:D18)</f>
        <v>94.498726197137159</v>
      </c>
      <c r="G18">
        <f ca="1">_xlfn.STDEV.P($C$2:C18)</f>
        <v>4.9255865405214534</v>
      </c>
      <c r="H18">
        <f t="shared" ca="1" si="2"/>
        <v>99.42431273765861</v>
      </c>
      <c r="I18">
        <f t="shared" ca="1" si="3"/>
        <v>89.573139656615709</v>
      </c>
      <c r="N18">
        <f t="shared" ca="1" si="4"/>
        <v>-2.2399999999999949</v>
      </c>
      <c r="O18">
        <f t="shared" ca="1" si="5"/>
        <v>0</v>
      </c>
      <c r="P18">
        <f t="shared" ca="1" si="6"/>
        <v>2.2399999999999949</v>
      </c>
      <c r="Q18">
        <f t="shared" ca="1" si="10"/>
        <v>0.43807319866722183</v>
      </c>
      <c r="R18">
        <f t="shared" ca="1" si="11"/>
        <v>1.7762218867138693</v>
      </c>
      <c r="S18">
        <f t="shared" ca="1" si="8"/>
        <v>0.24663202381639768</v>
      </c>
      <c r="T18">
        <f t="shared" ca="1" si="9"/>
        <v>19.783867180097516</v>
      </c>
      <c r="U18">
        <f>70</f>
        <v>70</v>
      </c>
      <c r="V18">
        <f>30</f>
        <v>30</v>
      </c>
      <c r="W18">
        <f t="shared" ca="1" si="7"/>
        <v>92.51348553343766</v>
      </c>
    </row>
    <row r="19" spans="1:25" x14ac:dyDescent="0.25">
      <c r="A19" s="20">
        <f t="shared" ca="1" si="0"/>
        <v>45726</v>
      </c>
      <c r="B19" vm="52">
        <f ca="1"/>
        <v>45729</v>
      </c>
      <c r="C19" vm="53">
        <f ca="1"/>
        <v>84.5</v>
      </c>
      <c r="D19" vm="54">
        <f ca="1"/>
        <v>31507753</v>
      </c>
      <c r="E19">
        <f t="shared" ca="1" si="1"/>
        <v>2662405128.5</v>
      </c>
      <c r="F19">
        <f ca="1">SUM($E$2:E19)/SUM($D$2:D19)</f>
        <v>93.859725985705879</v>
      </c>
      <c r="G19">
        <f ca="1">_xlfn.STDEV.P($C$2:C19)</f>
        <v>5.3758981161807338</v>
      </c>
      <c r="H19">
        <f t="shared" ca="1" si="2"/>
        <v>99.235624101886614</v>
      </c>
      <c r="I19">
        <f t="shared" ca="1" si="3"/>
        <v>88.483827869525143</v>
      </c>
      <c r="N19">
        <f t="shared" ca="1" si="4"/>
        <v>-0.70000000000000284</v>
      </c>
      <c r="O19">
        <f t="shared" ca="1" si="5"/>
        <v>0</v>
      </c>
      <c r="P19">
        <f t="shared" ca="1" si="6"/>
        <v>0.70000000000000284</v>
      </c>
      <c r="Q19">
        <f t="shared" ca="1" si="10"/>
        <v>0.40678225590527745</v>
      </c>
      <c r="R19">
        <f t="shared" ca="1" si="11"/>
        <v>1.699348894805736</v>
      </c>
      <c r="S19">
        <f t="shared" ca="1" si="8"/>
        <v>0.23937536143911134</v>
      </c>
      <c r="T19">
        <f t="shared" ca="1" si="9"/>
        <v>19.314193979228264</v>
      </c>
      <c r="U19">
        <f>70</f>
        <v>70</v>
      </c>
      <c r="V19">
        <f>30</f>
        <v>30</v>
      </c>
      <c r="W19">
        <f t="shared" ca="1" si="7"/>
        <v>91.280641605216474</v>
      </c>
    </row>
    <row r="20" spans="1:25" x14ac:dyDescent="0.25">
      <c r="A20" s="20">
        <f t="shared" ca="1" si="0"/>
        <v>45726</v>
      </c>
      <c r="B20" vm="55">
        <f ca="1"/>
        <v>45730</v>
      </c>
      <c r="C20" vm="56">
        <f ca="1"/>
        <v>85.35</v>
      </c>
      <c r="D20" vm="57">
        <f ca="1"/>
        <v>35500647</v>
      </c>
      <c r="E20">
        <f t="shared" ca="1" si="1"/>
        <v>3029980221.4499998</v>
      </c>
      <c r="F20">
        <f ca="1">SUM($E$2:E20)/SUM($D$2:D20)</f>
        <v>93.288124845075856</v>
      </c>
      <c r="G20">
        <f ca="1">_xlfn.STDEV.P($C$2:C20)</f>
        <v>5.6244761898306868</v>
      </c>
      <c r="H20">
        <f t="shared" ca="1" si="2"/>
        <v>98.912601034906544</v>
      </c>
      <c r="I20">
        <f t="shared" ca="1" si="3"/>
        <v>87.663648655245169</v>
      </c>
      <c r="N20">
        <f t="shared" ca="1" si="4"/>
        <v>0.84999999999999432</v>
      </c>
      <c r="O20">
        <f t="shared" ca="1" si="5"/>
        <v>0.84999999999999432</v>
      </c>
      <c r="P20">
        <f t="shared" ca="1" si="6"/>
        <v>0</v>
      </c>
      <c r="Q20">
        <f t="shared" ca="1" si="10"/>
        <v>0.43844066619775723</v>
      </c>
      <c r="R20">
        <f t="shared" ca="1" si="11"/>
        <v>1.5779668308910406</v>
      </c>
      <c r="S20">
        <f t="shared" ca="1" si="8"/>
        <v>0.27785163643153393</v>
      </c>
      <c r="T20">
        <f t="shared" ca="1" si="9"/>
        <v>21.743653841337078</v>
      </c>
      <c r="U20">
        <f>70</f>
        <v>70</v>
      </c>
      <c r="V20">
        <f>30</f>
        <v>30</v>
      </c>
      <c r="W20">
        <f t="shared" ca="1" si="7"/>
        <v>90.368235204413935</v>
      </c>
    </row>
    <row r="21" spans="1:25" x14ac:dyDescent="0.25">
      <c r="A21" s="20">
        <f t="shared" ca="1" si="0"/>
        <v>45733</v>
      </c>
      <c r="B21" vm="58">
        <f ca="1"/>
        <v>45733</v>
      </c>
      <c r="C21" vm="59">
        <f ca="1"/>
        <v>87.46</v>
      </c>
      <c r="D21" vm="60">
        <f ca="1"/>
        <v>26297768</v>
      </c>
      <c r="E21">
        <f t="shared" ca="1" si="1"/>
        <v>2300002789.2799997</v>
      </c>
      <c r="F21">
        <f ca="1">SUM($E$2:E21)/SUM($D$2:D21)</f>
        <v>93.011876352064462</v>
      </c>
      <c r="G21">
        <f ca="1">_xlfn.STDEV.P($C$2:C21)</f>
        <v>5.6699717812348966</v>
      </c>
      <c r="H21">
        <f t="shared" ca="1" si="2"/>
        <v>98.681848133299354</v>
      </c>
      <c r="I21">
        <f t="shared" ca="1" si="3"/>
        <v>87.34190457082957</v>
      </c>
      <c r="J21">
        <f ca="1">AVERAGE(C2:C21)</f>
        <v>93.77000000000001</v>
      </c>
      <c r="K21">
        <f ca="1">_xlfn.STDEV.S(C2:C21)</f>
        <v>5.817268304480705</v>
      </c>
      <c r="L21">
        <f ca="1">J21 + 2*K21</f>
        <v>105.40453660896142</v>
      </c>
      <c r="M21">
        <f ca="1">J21-2*K21</f>
        <v>82.135463391038599</v>
      </c>
      <c r="N21">
        <f t="shared" ca="1" si="4"/>
        <v>2.1099999999999994</v>
      </c>
      <c r="O21">
        <f t="shared" ca="1" si="5"/>
        <v>2.1099999999999994</v>
      </c>
      <c r="P21">
        <f t="shared" ca="1" si="6"/>
        <v>0</v>
      </c>
      <c r="Q21">
        <f t="shared" ca="1" si="10"/>
        <v>0.55783776146934594</v>
      </c>
      <c r="R21">
        <f t="shared" ca="1" si="11"/>
        <v>1.4652549143988234</v>
      </c>
      <c r="S21">
        <f t="shared" ca="1" si="8"/>
        <v>0.38071038423933223</v>
      </c>
      <c r="T21">
        <f t="shared" ca="1" si="9"/>
        <v>27.573514951803233</v>
      </c>
      <c r="U21">
        <f>70</f>
        <v>70</v>
      </c>
      <c r="V21">
        <f>30</f>
        <v>30</v>
      </c>
      <c r="W21">
        <f t="shared" ca="1" si="7"/>
        <v>89.920814403734866</v>
      </c>
    </row>
    <row r="22" spans="1:25" x14ac:dyDescent="0.25">
      <c r="A22" s="20">
        <f t="shared" ca="1" si="0"/>
        <v>45733</v>
      </c>
      <c r="B22" vm="61">
        <f ca="1"/>
        <v>45734</v>
      </c>
      <c r="C22" vm="62">
        <f ca="1"/>
        <v>85.59</v>
      </c>
      <c r="D22" vm="63">
        <f ca="1"/>
        <v>17850930</v>
      </c>
      <c r="E22">
        <f t="shared" ca="1" si="1"/>
        <v>1527861098.7</v>
      </c>
      <c r="F22">
        <f ca="1">SUM($E$2:E22)/SUM($D$2:D22)</f>
        <v>92.780524180863338</v>
      </c>
      <c r="G22">
        <f ca="1">_xlfn.STDEV.P($C$2:C22)</f>
        <v>5.8010577657711764</v>
      </c>
      <c r="H22">
        <f t="shared" ca="1" si="2"/>
        <v>98.581581946634515</v>
      </c>
      <c r="I22">
        <f t="shared" ca="1" si="3"/>
        <v>86.979466415092162</v>
      </c>
      <c r="J22">
        <f t="shared" ref="J22:J85" ca="1" si="12">AVERAGE(C3:C22)</f>
        <v>92.860500000000002</v>
      </c>
      <c r="K22">
        <f t="shared" ref="K22:K85" ca="1" si="13">_xlfn.STDEV.S(C3:C22)</f>
        <v>5.5872980712364111</v>
      </c>
      <c r="L22">
        <f t="shared" ref="L22:L85" ca="1" si="14">J22 + 2*K22</f>
        <v>104.03509614247282</v>
      </c>
      <c r="M22">
        <f t="shared" ref="M22:M85" ca="1" si="15">J22-2*K22</f>
        <v>81.68590385752718</v>
      </c>
      <c r="N22">
        <f t="shared" ca="1" si="4"/>
        <v>-1.8699999999999903</v>
      </c>
      <c r="O22">
        <f t="shared" ca="1" si="5"/>
        <v>0</v>
      </c>
      <c r="P22">
        <f t="shared" ca="1" si="6"/>
        <v>1.8699999999999903</v>
      </c>
      <c r="Q22">
        <f t="shared" ca="1" si="10"/>
        <v>0.51799220707867832</v>
      </c>
      <c r="R22">
        <f t="shared" ca="1" si="11"/>
        <v>1.4941652776560497</v>
      </c>
      <c r="S22">
        <f t="shared" ca="1" si="8"/>
        <v>0.34667664603428022</v>
      </c>
      <c r="T22">
        <f t="shared" ca="1" si="9"/>
        <v>25.743124532171876</v>
      </c>
      <c r="U22">
        <f>70</f>
        <v>70</v>
      </c>
      <c r="V22">
        <f>30</f>
        <v>30</v>
      </c>
      <c r="W22">
        <f t="shared" ca="1" si="7"/>
        <v>89.254535264698731</v>
      </c>
    </row>
    <row r="23" spans="1:25" x14ac:dyDescent="0.25">
      <c r="A23" s="20">
        <f t="shared" ca="1" si="0"/>
        <v>45733</v>
      </c>
      <c r="B23" vm="64">
        <f ca="1"/>
        <v>45735</v>
      </c>
      <c r="C23" vm="65">
        <f ca="1"/>
        <v>86.33</v>
      </c>
      <c r="D23" vm="66">
        <f ca="1"/>
        <v>24555857</v>
      </c>
      <c r="E23">
        <f t="shared" ca="1" si="1"/>
        <v>2119907134.8099999</v>
      </c>
      <c r="F23">
        <f ca="1">SUM($E$2:E23)/SUM($D$2:D23)</f>
        <v>92.515298966183721</v>
      </c>
      <c r="G23">
        <f ca="1">_xlfn.STDEV.P($C$2:C23)</f>
        <v>5.8548635571401055</v>
      </c>
      <c r="H23">
        <f t="shared" ca="1" si="2"/>
        <v>98.370162523323827</v>
      </c>
      <c r="I23">
        <f t="shared" ca="1" si="3"/>
        <v>86.660435409043615</v>
      </c>
      <c r="J23">
        <f t="shared" ca="1" si="12"/>
        <v>91.977000000000004</v>
      </c>
      <c r="K23">
        <f t="shared" ca="1" si="13"/>
        <v>5.1097822592398314</v>
      </c>
      <c r="L23">
        <f t="shared" ca="1" si="14"/>
        <v>102.19656451847966</v>
      </c>
      <c r="M23">
        <f t="shared" ca="1" si="15"/>
        <v>81.757435481520346</v>
      </c>
      <c r="N23">
        <f t="shared" ca="1" si="4"/>
        <v>0.73999999999999488</v>
      </c>
      <c r="O23">
        <f t="shared" ca="1" si="5"/>
        <v>0.73999999999999488</v>
      </c>
      <c r="P23">
        <f t="shared" ca="1" si="6"/>
        <v>0</v>
      </c>
      <c r="Q23">
        <f t="shared" ca="1" si="10"/>
        <v>0.53384990657305809</v>
      </c>
      <c r="R23">
        <f t="shared" ca="1" si="11"/>
        <v>1.3874391863949034</v>
      </c>
      <c r="S23">
        <f t="shared" ca="1" si="8"/>
        <v>0.38477355390271478</v>
      </c>
      <c r="T23">
        <f t="shared" ca="1" si="9"/>
        <v>27.786027023574036</v>
      </c>
      <c r="U23">
        <f>70</f>
        <v>70</v>
      </c>
      <c r="V23">
        <f>30</f>
        <v>30</v>
      </c>
      <c r="W23">
        <f t="shared" ca="1" si="7"/>
        <v>88.804606762437388</v>
      </c>
    </row>
    <row r="24" spans="1:25" x14ac:dyDescent="0.25">
      <c r="A24" s="20">
        <f t="shared" ca="1" si="0"/>
        <v>45733</v>
      </c>
      <c r="B24" vm="67">
        <f ca="1"/>
        <v>45736</v>
      </c>
      <c r="C24" vm="68">
        <f ca="1"/>
        <v>85.81</v>
      </c>
      <c r="D24" vm="69">
        <f ca="1"/>
        <v>18185506</v>
      </c>
      <c r="E24">
        <f t="shared" ca="1" si="1"/>
        <v>1560498269.8600001</v>
      </c>
      <c r="F24">
        <f ca="1">SUM($E$2:E24)/SUM($D$2:D24)</f>
        <v>92.317154824771151</v>
      </c>
      <c r="G24">
        <f ca="1">_xlfn.STDEV.P($C$2:C24)</f>
        <v>5.9139649537751033</v>
      </c>
      <c r="H24">
        <f t="shared" ca="1" si="2"/>
        <v>98.231119778546258</v>
      </c>
      <c r="I24">
        <f t="shared" ca="1" si="3"/>
        <v>86.403189870996044</v>
      </c>
      <c r="J24">
        <f t="shared" ca="1" si="12"/>
        <v>91.406999999999996</v>
      </c>
      <c r="K24">
        <f t="shared" ca="1" si="13"/>
        <v>5.1311085290453677</v>
      </c>
      <c r="L24">
        <f t="shared" ca="1" si="14"/>
        <v>101.66921705809074</v>
      </c>
      <c r="M24">
        <f t="shared" ca="1" si="15"/>
        <v>81.144782941909256</v>
      </c>
      <c r="N24">
        <f t="shared" ca="1" si="4"/>
        <v>-0.51999999999999602</v>
      </c>
      <c r="O24">
        <f t="shared" ca="1" si="5"/>
        <v>0</v>
      </c>
      <c r="P24">
        <f t="shared" ca="1" si="6"/>
        <v>0.51999999999999602</v>
      </c>
      <c r="Q24">
        <f t="shared" ca="1" si="10"/>
        <v>0.49571777038926823</v>
      </c>
      <c r="R24">
        <f t="shared" ca="1" si="11"/>
        <v>1.3254792445095529</v>
      </c>
      <c r="S24">
        <f t="shared" ca="1" si="8"/>
        <v>0.37399134874623496</v>
      </c>
      <c r="T24">
        <f t="shared" ca="1" si="9"/>
        <v>27.219337959260187</v>
      </c>
      <c r="U24">
        <f>70</f>
        <v>70</v>
      </c>
      <c r="V24">
        <f>30</f>
        <v>30</v>
      </c>
      <c r="W24">
        <f t="shared" ca="1" si="7"/>
        <v>88.343898029754712</v>
      </c>
    </row>
    <row r="25" spans="1:25" x14ac:dyDescent="0.25">
      <c r="A25" s="20">
        <f t="shared" ca="1" si="0"/>
        <v>45733</v>
      </c>
      <c r="B25" vm="70">
        <f ca="1"/>
        <v>45737</v>
      </c>
      <c r="C25" vm="71">
        <f ca="1"/>
        <v>85.98</v>
      </c>
      <c r="D25" vm="72">
        <f ca="1"/>
        <v>26797178</v>
      </c>
      <c r="E25">
        <f t="shared" ca="1" si="1"/>
        <v>2304021364.4400001</v>
      </c>
      <c r="F25">
        <f ca="1">SUM($E$2:E25)/SUM($D$2:D25)</f>
        <v>92.052725035743336</v>
      </c>
      <c r="G25">
        <f ca="1">_xlfn.STDEV.P($C$2:C25)</f>
        <v>5.9451664394746393</v>
      </c>
      <c r="H25">
        <f t="shared" ca="1" si="2"/>
        <v>97.997891475217969</v>
      </c>
      <c r="I25">
        <f t="shared" ca="1" si="3"/>
        <v>86.107558596268703</v>
      </c>
      <c r="J25">
        <f t="shared" ca="1" si="12"/>
        <v>90.966999999999999</v>
      </c>
      <c r="K25">
        <f t="shared" ca="1" si="13"/>
        <v>5.2034422816965478</v>
      </c>
      <c r="L25">
        <f t="shared" ca="1" si="14"/>
        <v>101.37388456339309</v>
      </c>
      <c r="M25">
        <f t="shared" ca="1" si="15"/>
        <v>80.560115436606907</v>
      </c>
      <c r="N25">
        <f t="shared" ca="1" si="4"/>
        <v>0.17000000000000171</v>
      </c>
      <c r="O25">
        <f t="shared" ca="1" si="5"/>
        <v>0.17000000000000171</v>
      </c>
      <c r="P25">
        <f t="shared" ca="1" si="6"/>
        <v>0</v>
      </c>
      <c r="Q25">
        <f t="shared" ca="1" si="10"/>
        <v>0.47245221536146348</v>
      </c>
      <c r="R25">
        <f t="shared" ca="1" si="11"/>
        <v>1.2308021556160134</v>
      </c>
      <c r="S25">
        <f t="shared" ca="1" si="8"/>
        <v>0.38385715625026862</v>
      </c>
      <c r="T25">
        <f t="shared" ca="1" si="9"/>
        <v>27.738206542240007</v>
      </c>
      <c r="U25">
        <f>70</f>
        <v>70</v>
      </c>
      <c r="V25">
        <f>30</f>
        <v>30</v>
      </c>
      <c r="W25">
        <f t="shared" ca="1" si="7"/>
        <v>87.980221409792449</v>
      </c>
    </row>
    <row r="26" spans="1:25" x14ac:dyDescent="0.25">
      <c r="A26" s="20">
        <f t="shared" ca="1" si="0"/>
        <v>45740</v>
      </c>
      <c r="B26" vm="73">
        <f ca="1"/>
        <v>45740</v>
      </c>
      <c r="C26" vm="74">
        <f ca="1"/>
        <v>87.49</v>
      </c>
      <c r="D26" vm="75">
        <f ca="1"/>
        <v>17900732</v>
      </c>
      <c r="E26">
        <f t="shared" ca="1" si="1"/>
        <v>1566135042.6799998</v>
      </c>
      <c r="F26">
        <f ca="1">SUM($E$2:E26)/SUM($D$2:D26)</f>
        <v>91.928992974437463</v>
      </c>
      <c r="G26">
        <f ca="1">_xlfn.STDEV.P($C$2:C26)</f>
        <v>5.9059996613613182</v>
      </c>
      <c r="H26">
        <f t="shared" ca="1" si="2"/>
        <v>97.834992635798784</v>
      </c>
      <c r="I26">
        <f t="shared" ca="1" si="3"/>
        <v>86.022993313076142</v>
      </c>
      <c r="J26">
        <f t="shared" ca="1" si="12"/>
        <v>90.657999999999987</v>
      </c>
      <c r="K26">
        <f t="shared" ca="1" si="13"/>
        <v>5.2179554374647967</v>
      </c>
      <c r="L26">
        <f t="shared" ca="1" si="14"/>
        <v>101.09391087492958</v>
      </c>
      <c r="M26">
        <f t="shared" ca="1" si="15"/>
        <v>80.222089125070397</v>
      </c>
      <c r="N26">
        <f t="shared" ca="1" si="4"/>
        <v>1.5099999999999909</v>
      </c>
      <c r="O26">
        <f t="shared" ca="1" si="5"/>
        <v>1.5099999999999909</v>
      </c>
      <c r="P26">
        <f t="shared" ca="1" si="6"/>
        <v>0</v>
      </c>
      <c r="Q26">
        <f t="shared" ca="1" si="10"/>
        <v>0.54656277140707255</v>
      </c>
      <c r="R26">
        <f t="shared" ca="1" si="11"/>
        <v>1.1428877159291553</v>
      </c>
      <c r="S26">
        <f t="shared" ca="1" si="8"/>
        <v>0.47822963165084242</v>
      </c>
      <c r="T26">
        <f t="shared" ca="1" si="9"/>
        <v>32.351511660388653</v>
      </c>
      <c r="U26">
        <f>70</f>
        <v>70</v>
      </c>
      <c r="V26">
        <f>30</f>
        <v>30</v>
      </c>
      <c r="W26">
        <f t="shared" ca="1" si="7"/>
        <v>87.904802731362835</v>
      </c>
    </row>
    <row r="27" spans="1:25" x14ac:dyDescent="0.25">
      <c r="A27" s="20">
        <f t="shared" ca="1" si="0"/>
        <v>45740</v>
      </c>
      <c r="B27" vm="76">
        <f ca="1"/>
        <v>45741</v>
      </c>
      <c r="C27" vm="77">
        <f ca="1"/>
        <v>84.76</v>
      </c>
      <c r="D27" vm="78">
        <f ca="1"/>
        <v>27908573</v>
      </c>
      <c r="E27">
        <f t="shared" ca="1" si="1"/>
        <v>2365530647.48</v>
      </c>
      <c r="F27">
        <f ca="1">SUM($E$2:E27)/SUM($D$2:D27)</f>
        <v>91.638189926114435</v>
      </c>
      <c r="G27">
        <f ca="1">_xlfn.STDEV.P($C$2:C27)</f>
        <v>5.9683944695687385</v>
      </c>
      <c r="H27">
        <f t="shared" ca="1" si="2"/>
        <v>97.606584395683171</v>
      </c>
      <c r="I27">
        <f t="shared" ca="1" si="3"/>
        <v>85.6697954565457</v>
      </c>
      <c r="J27">
        <f t="shared" ca="1" si="12"/>
        <v>90.011499999999998</v>
      </c>
      <c r="K27">
        <f t="shared" ca="1" si="13"/>
        <v>5.1005276042881365</v>
      </c>
      <c r="L27">
        <f t="shared" ca="1" si="14"/>
        <v>100.21255520857628</v>
      </c>
      <c r="M27">
        <f t="shared" ca="1" si="15"/>
        <v>79.81044479142372</v>
      </c>
      <c r="N27">
        <f t="shared" ca="1" si="4"/>
        <v>-2.7299999999999898</v>
      </c>
      <c r="O27">
        <f t="shared" ca="1" si="5"/>
        <v>0</v>
      </c>
      <c r="P27">
        <f t="shared" ca="1" si="6"/>
        <v>2.7299999999999898</v>
      </c>
      <c r="Q27">
        <f t="shared" ca="1" si="10"/>
        <v>0.50752257344942453</v>
      </c>
      <c r="R27">
        <f t="shared" ca="1" si="11"/>
        <v>1.2562528790770722</v>
      </c>
      <c r="S27">
        <f t="shared" ca="1" si="8"/>
        <v>0.40399714253573271</v>
      </c>
      <c r="T27">
        <f t="shared" ca="1" si="9"/>
        <v>28.774783815163687</v>
      </c>
      <c r="U27">
        <f>70</f>
        <v>70</v>
      </c>
      <c r="V27">
        <f>30</f>
        <v>30</v>
      </c>
      <c r="W27">
        <f t="shared" ca="1" si="7"/>
        <v>87.420986926537793</v>
      </c>
      <c r="X27" s="9">
        <f ca="1">AVERAGE(C2:C27)</f>
        <v>91.975384615384627</v>
      </c>
      <c r="Y27">
        <f ca="1">W28-X28</f>
        <v>-4.3934099225592149</v>
      </c>
    </row>
    <row r="28" spans="1:25" x14ac:dyDescent="0.25">
      <c r="A28" s="20">
        <f t="shared" ca="1" si="0"/>
        <v>45740</v>
      </c>
      <c r="B28" vm="79">
        <f ca="1"/>
        <v>45742</v>
      </c>
      <c r="C28" vm="80">
        <f ca="1"/>
        <v>85.21</v>
      </c>
      <c r="D28" vm="81">
        <f ca="1"/>
        <v>27241495</v>
      </c>
      <c r="E28">
        <f t="shared" ca="1" si="1"/>
        <v>2321247788.9499998</v>
      </c>
      <c r="F28">
        <f ca="1">SUM($E$2:E28)/SUM($D$2:D28)</f>
        <v>91.393363179149944</v>
      </c>
      <c r="G28">
        <f ca="1">_xlfn.STDEV.P($C$2:C28)</f>
        <v>5.9945662867055249</v>
      </c>
      <c r="H28">
        <f t="shared" ca="1" si="2"/>
        <v>97.387929465855464</v>
      </c>
      <c r="I28">
        <f t="shared" ca="1" si="3"/>
        <v>85.398796892444423</v>
      </c>
      <c r="J28">
        <f t="shared" ca="1" si="12"/>
        <v>89.462000000000003</v>
      </c>
      <c r="K28">
        <f t="shared" ca="1" si="13"/>
        <v>4.9895159558502487</v>
      </c>
      <c r="L28">
        <f t="shared" ca="1" si="14"/>
        <v>99.441031911700506</v>
      </c>
      <c r="M28">
        <f t="shared" ca="1" si="15"/>
        <v>79.482968088299501</v>
      </c>
      <c r="N28">
        <f t="shared" ca="1" si="4"/>
        <v>0.44999999999998863</v>
      </c>
      <c r="O28">
        <f t="shared" ca="1" si="5"/>
        <v>0.44999999999998863</v>
      </c>
      <c r="P28">
        <f t="shared" ca="1" si="6"/>
        <v>0</v>
      </c>
      <c r="Q28">
        <f t="shared" ca="1" si="10"/>
        <v>0.50341381820303621</v>
      </c>
      <c r="R28">
        <f t="shared" ca="1" si="11"/>
        <v>1.1665205305715671</v>
      </c>
      <c r="S28">
        <f t="shared" ca="1" si="8"/>
        <v>0.43155161440354206</v>
      </c>
      <c r="T28">
        <f t="shared" ca="1" si="9"/>
        <v>30.14572510424982</v>
      </c>
      <c r="U28">
        <f>70</f>
        <v>70</v>
      </c>
      <c r="V28">
        <f>30</f>
        <v>30</v>
      </c>
      <c r="W28">
        <f t="shared" ca="1" si="7"/>
        <v>87.080835091685813</v>
      </c>
      <c r="X28">
        <f ca="1">C28*(2/(26+1)) + X27*(1-(2/(26+1)))</f>
        <v>91.474245014245028</v>
      </c>
      <c r="Y28">
        <f t="shared" ref="Y28:Y91" ca="1" si="16">W29-X29</f>
        <v>-4.1837082831878831</v>
      </c>
    </row>
    <row r="29" spans="1:25" x14ac:dyDescent="0.25">
      <c r="A29" s="20">
        <f t="shared" ca="1" si="0"/>
        <v>45740</v>
      </c>
      <c r="B29" vm="82">
        <f ca="1"/>
        <v>45743</v>
      </c>
      <c r="C29" vm="83">
        <f ca="1"/>
        <v>85.63</v>
      </c>
      <c r="D29" vm="84">
        <f ca="1"/>
        <v>16782807</v>
      </c>
      <c r="E29">
        <f t="shared" ca="1" si="1"/>
        <v>1437111763.4099998</v>
      </c>
      <c r="F29">
        <f ca="1">SUM($E$2:E29)/SUM($D$2:D29)</f>
        <v>91.261231425028512</v>
      </c>
      <c r="G29">
        <f ca="1">_xlfn.STDEV.P($C$2:C29)</f>
        <v>5.9942245162339747</v>
      </c>
      <c r="H29">
        <f t="shared" ca="1" si="2"/>
        <v>97.255455941262483</v>
      </c>
      <c r="I29">
        <f t="shared" ca="1" si="3"/>
        <v>85.267006908794542</v>
      </c>
      <c r="J29">
        <f t="shared" ca="1" si="12"/>
        <v>88.903999999999996</v>
      </c>
      <c r="K29">
        <f t="shared" ca="1" si="13"/>
        <v>4.7449001986065893</v>
      </c>
      <c r="L29">
        <f t="shared" ca="1" si="14"/>
        <v>98.39380039721317</v>
      </c>
      <c r="M29">
        <f t="shared" ca="1" si="15"/>
        <v>79.414199602786823</v>
      </c>
      <c r="N29">
        <f t="shared" ca="1" si="4"/>
        <v>0.42000000000000171</v>
      </c>
      <c r="O29">
        <f t="shared" ca="1" si="5"/>
        <v>0.42000000000000171</v>
      </c>
      <c r="P29">
        <f t="shared" ca="1" si="6"/>
        <v>0</v>
      </c>
      <c r="Q29">
        <f t="shared" ca="1" si="10"/>
        <v>0.49745568833139092</v>
      </c>
      <c r="R29">
        <f t="shared" ca="1" si="11"/>
        <v>1.0831976355307409</v>
      </c>
      <c r="S29">
        <f t="shared" ca="1" si="8"/>
        <v>0.45924739125528974</v>
      </c>
      <c r="T29">
        <f t="shared" ca="1" si="9"/>
        <v>31.471523883296499</v>
      </c>
      <c r="U29">
        <f>70</f>
        <v>70</v>
      </c>
      <c r="V29">
        <f>30</f>
        <v>30</v>
      </c>
      <c r="W29">
        <f t="shared" ca="1" si="7"/>
        <v>86.85762969296492</v>
      </c>
      <c r="X29">
        <f t="shared" ref="X29:X92" ca="1" si="17">C29*(2/(26+1)) + X28*(1-(2/(26+1)))</f>
        <v>91.041337976152803</v>
      </c>
      <c r="Y29">
        <f t="shared" ca="1" si="16"/>
        <v>-4.0100251380030869</v>
      </c>
    </row>
    <row r="30" spans="1:25" x14ac:dyDescent="0.25">
      <c r="A30" s="20">
        <f t="shared" ca="1" si="0"/>
        <v>45740</v>
      </c>
      <c r="B30" vm="85">
        <f ca="1"/>
        <v>45744</v>
      </c>
      <c r="C30" vm="86">
        <f ca="1"/>
        <v>85.15</v>
      </c>
      <c r="D30" vm="87">
        <f ca="1"/>
        <v>14790567</v>
      </c>
      <c r="E30">
        <f t="shared" ca="1" si="1"/>
        <v>1259416780.0500002</v>
      </c>
      <c r="F30">
        <f ca="1">SUM($E$2:E30)/SUM($D$2:D30)</f>
        <v>91.140201471847277</v>
      </c>
      <c r="G30">
        <f ca="1">_xlfn.STDEV.P($C$2:C30)</f>
        <v>6.0031028639565855</v>
      </c>
      <c r="H30">
        <f t="shared" ca="1" si="2"/>
        <v>97.143304335803862</v>
      </c>
      <c r="I30">
        <f t="shared" ca="1" si="3"/>
        <v>85.137098607890692</v>
      </c>
      <c r="J30">
        <f t="shared" ca="1" si="12"/>
        <v>88.231000000000023</v>
      </c>
      <c r="K30">
        <f t="shared" ca="1" si="13"/>
        <v>4.2214675672155337</v>
      </c>
      <c r="L30">
        <f t="shared" ca="1" si="14"/>
        <v>96.67393513443109</v>
      </c>
      <c r="M30">
        <f t="shared" ca="1" si="15"/>
        <v>79.788064865568955</v>
      </c>
      <c r="N30">
        <f t="shared" ca="1" si="4"/>
        <v>-0.47999999999998977</v>
      </c>
      <c r="O30">
        <f t="shared" ca="1" si="5"/>
        <v>0</v>
      </c>
      <c r="P30">
        <f t="shared" ca="1" si="6"/>
        <v>0.47999999999998977</v>
      </c>
      <c r="Q30">
        <f t="shared" ca="1" si="10"/>
        <v>0.46192313916486299</v>
      </c>
      <c r="R30">
        <f t="shared" ca="1" si="11"/>
        <v>1.0401120901356873</v>
      </c>
      <c r="S30">
        <f t="shared" ca="1" si="8"/>
        <v>0.44410899896818146</v>
      </c>
      <c r="T30">
        <f t="shared" ca="1" si="9"/>
        <v>30.753149470399961</v>
      </c>
      <c r="U30">
        <f>70</f>
        <v>70</v>
      </c>
      <c r="V30">
        <f>30</f>
        <v>30</v>
      </c>
      <c r="W30">
        <f t="shared" ca="1" si="7"/>
        <v>86.594917432508765</v>
      </c>
      <c r="X30">
        <f t="shared" ca="1" si="17"/>
        <v>90.604942570511852</v>
      </c>
      <c r="Y30">
        <f t="shared" ca="1" si="16"/>
        <v>-3.6176520169836124</v>
      </c>
    </row>
    <row r="31" spans="1:25" x14ac:dyDescent="0.25">
      <c r="A31" s="20">
        <f t="shared" ca="1" si="0"/>
        <v>45747</v>
      </c>
      <c r="B31" vm="88">
        <f ca="1"/>
        <v>45747</v>
      </c>
      <c r="C31" vm="89">
        <f ca="1"/>
        <v>87.79</v>
      </c>
      <c r="D31" vm="90">
        <f ca="1"/>
        <v>30269313</v>
      </c>
      <c r="E31">
        <f t="shared" ca="1" si="1"/>
        <v>2657342988.27</v>
      </c>
      <c r="F31">
        <f ca="1">SUM($E$2:E31)/SUM($D$2:D31)</f>
        <v>91.009705234457087</v>
      </c>
      <c r="G31">
        <f ca="1">_xlfn.STDEV.P($C$2:C31)</f>
        <v>5.9355082530666428</v>
      </c>
      <c r="H31">
        <f t="shared" ca="1" si="2"/>
        <v>96.945213487523731</v>
      </c>
      <c r="I31">
        <f t="shared" ca="1" si="3"/>
        <v>85.074196981390443</v>
      </c>
      <c r="J31">
        <f t="shared" ca="1" si="12"/>
        <v>87.741000000000014</v>
      </c>
      <c r="K31">
        <f t="shared" ca="1" si="13"/>
        <v>3.6011444087444731</v>
      </c>
      <c r="L31">
        <f t="shared" ca="1" si="14"/>
        <v>94.943288817488963</v>
      </c>
      <c r="M31">
        <f t="shared" ca="1" si="15"/>
        <v>80.538711182511065</v>
      </c>
      <c r="N31">
        <f t="shared" ca="1" si="4"/>
        <v>2.6400000000000006</v>
      </c>
      <c r="O31">
        <f t="shared" ca="1" si="5"/>
        <v>2.6400000000000006</v>
      </c>
      <c r="P31">
        <f t="shared" ca="1" si="6"/>
        <v>0</v>
      </c>
      <c r="Q31">
        <f t="shared" ca="1" si="10"/>
        <v>0.6175000577959443</v>
      </c>
      <c r="R31">
        <f t="shared" ca="1" si="11"/>
        <v>0.96581836941170962</v>
      </c>
      <c r="S31">
        <f t="shared" ca="1" si="8"/>
        <v>0.63935422782657392</v>
      </c>
      <c r="T31">
        <f t="shared" ca="1" si="9"/>
        <v>39.000370815172644</v>
      </c>
      <c r="U31">
        <f>70</f>
        <v>70</v>
      </c>
      <c r="V31">
        <f>30</f>
        <v>30</v>
      </c>
      <c r="W31">
        <f t="shared" ca="1" si="7"/>
        <v>86.778776289045879</v>
      </c>
      <c r="X31">
        <f t="shared" ca="1" si="17"/>
        <v>90.396428306029492</v>
      </c>
      <c r="Y31">
        <f t="shared" ca="1" si="16"/>
        <v>-3.1860474120027362</v>
      </c>
    </row>
    <row r="32" spans="1:25" x14ac:dyDescent="0.25">
      <c r="A32" s="20">
        <f t="shared" ca="1" si="0"/>
        <v>45747</v>
      </c>
      <c r="B32" vm="91">
        <f ca="1"/>
        <v>45748</v>
      </c>
      <c r="C32" vm="92">
        <f ca="1"/>
        <v>88.83</v>
      </c>
      <c r="D32" vm="93">
        <f ca="1"/>
        <v>22080252</v>
      </c>
      <c r="E32">
        <f t="shared" ca="1" si="1"/>
        <v>1961388785.1599998</v>
      </c>
      <c r="F32">
        <f ca="1">SUM($E$2:E32)/SUM($D$2:D32)</f>
        <v>90.949482784486506</v>
      </c>
      <c r="G32">
        <f ca="1">_xlfn.STDEV.P($C$2:C32)</f>
        <v>5.8536251652665863</v>
      </c>
      <c r="H32">
        <f t="shared" ca="1" si="2"/>
        <v>96.803107949753098</v>
      </c>
      <c r="I32">
        <f t="shared" ca="1" si="3"/>
        <v>85.095857619219913</v>
      </c>
      <c r="J32">
        <f t="shared" ca="1" si="12"/>
        <v>87.434000000000012</v>
      </c>
      <c r="K32">
        <f t="shared" ca="1" si="13"/>
        <v>3.1907685924438831</v>
      </c>
      <c r="L32">
        <f t="shared" ca="1" si="14"/>
        <v>93.815537184887773</v>
      </c>
      <c r="M32">
        <f t="shared" ca="1" si="15"/>
        <v>81.05246281511225</v>
      </c>
      <c r="N32">
        <f t="shared" ca="1" si="4"/>
        <v>1.039999999999992</v>
      </c>
      <c r="O32">
        <f t="shared" ca="1" si="5"/>
        <v>1.039999999999992</v>
      </c>
      <c r="P32">
        <f t="shared" ca="1" si="6"/>
        <v>0</v>
      </c>
      <c r="Q32">
        <f t="shared" ca="1" si="10"/>
        <v>0.64767862509623342</v>
      </c>
      <c r="R32">
        <f t="shared" ca="1" si="11"/>
        <v>0.89683134302515899</v>
      </c>
      <c r="S32">
        <f t="shared" ca="1" si="8"/>
        <v>0.7221855370392245</v>
      </c>
      <c r="T32">
        <f t="shared" ca="1" si="9"/>
        <v>41.934247008066471</v>
      </c>
      <c r="U32">
        <f>70</f>
        <v>70</v>
      </c>
      <c r="V32">
        <f>30</f>
        <v>30</v>
      </c>
      <c r="W32">
        <f t="shared" ca="1" si="7"/>
        <v>87.094349167654201</v>
      </c>
      <c r="X32">
        <f t="shared" ca="1" si="17"/>
        <v>90.280396579656937</v>
      </c>
      <c r="Y32">
        <f t="shared" ca="1" si="16"/>
        <v>-2.7373993891601316</v>
      </c>
    </row>
    <row r="33" spans="1:27" x14ac:dyDescent="0.25">
      <c r="A33" s="20">
        <f t="shared" ca="1" si="0"/>
        <v>45747</v>
      </c>
      <c r="B33" vm="94">
        <f ca="1"/>
        <v>45749</v>
      </c>
      <c r="C33" vm="95">
        <f ca="1"/>
        <v>89.76</v>
      </c>
      <c r="D33" vm="96">
        <f ca="1"/>
        <v>19384137</v>
      </c>
      <c r="E33">
        <f t="shared" ca="1" si="1"/>
        <v>1739920137.1200001</v>
      </c>
      <c r="F33">
        <f ca="1">SUM($E$2:E33)/SUM($D$2:D33)</f>
        <v>90.921314971907918</v>
      </c>
      <c r="G33">
        <f ca="1">_xlfn.STDEV.P($C$2:C33)</f>
        <v>5.7661224294228921</v>
      </c>
      <c r="H33">
        <f t="shared" ca="1" si="2"/>
        <v>96.687437401330811</v>
      </c>
      <c r="I33">
        <f t="shared" ca="1" si="3"/>
        <v>85.155192542485025</v>
      </c>
      <c r="J33">
        <f t="shared" ca="1" si="12"/>
        <v>87.123000000000019</v>
      </c>
      <c r="K33">
        <f t="shared" ca="1" si="13"/>
        <v>2.5534375179147686</v>
      </c>
      <c r="L33">
        <f t="shared" ca="1" si="14"/>
        <v>92.229875035829551</v>
      </c>
      <c r="M33">
        <f t="shared" ca="1" si="15"/>
        <v>82.016124964170487</v>
      </c>
      <c r="N33">
        <f t="shared" ca="1" si="4"/>
        <v>0.93000000000000682</v>
      </c>
      <c r="O33">
        <f t="shared" ca="1" si="5"/>
        <v>0.93000000000000682</v>
      </c>
      <c r="P33">
        <f t="shared" ca="1" si="6"/>
        <v>0</v>
      </c>
      <c r="Q33">
        <f t="shared" ca="1" si="10"/>
        <v>0.66784443758936007</v>
      </c>
      <c r="R33">
        <f t="shared" ca="1" si="11"/>
        <v>0.8327719613805048</v>
      </c>
      <c r="S33">
        <f t="shared" ca="1" si="8"/>
        <v>0.80195355818927827</v>
      </c>
      <c r="T33">
        <f t="shared" ca="1" si="9"/>
        <v>44.504674082451608</v>
      </c>
      <c r="U33">
        <f>70</f>
        <v>70</v>
      </c>
      <c r="V33">
        <f>30</f>
        <v>30</v>
      </c>
      <c r="W33">
        <f t="shared" ca="1" si="7"/>
        <v>87.504449295707403</v>
      </c>
      <c r="X33">
        <f t="shared" ca="1" si="17"/>
        <v>90.241848684867534</v>
      </c>
      <c r="Y33">
        <f t="shared" ca="1" si="16"/>
        <v>-2.5541292927545669</v>
      </c>
    </row>
    <row r="34" spans="1:27" x14ac:dyDescent="0.25">
      <c r="A34" s="20">
        <f t="shared" ca="1" si="0"/>
        <v>45747</v>
      </c>
      <c r="B34" vm="97">
        <f ca="1"/>
        <v>45750</v>
      </c>
      <c r="C34" vm="98">
        <f ca="1"/>
        <v>87.26</v>
      </c>
      <c r="D34" vm="99">
        <f ca="1"/>
        <v>33012927</v>
      </c>
      <c r="E34">
        <f t="shared" ca="1" si="1"/>
        <v>2880708010.02</v>
      </c>
      <c r="F34">
        <f ca="1">SUM($E$2:E34)/SUM($D$2:D34)</f>
        <v>90.779377088420503</v>
      </c>
      <c r="G34">
        <f ca="1">_xlfn.STDEV.P($C$2:C34)</f>
        <v>5.7152111568596586</v>
      </c>
      <c r="H34">
        <f t="shared" ca="1" si="2"/>
        <v>96.494588245280156</v>
      </c>
      <c r="I34">
        <f t="shared" ca="1" si="3"/>
        <v>85.064165931560851</v>
      </c>
      <c r="J34">
        <f t="shared" ca="1" si="12"/>
        <v>86.753999999999991</v>
      </c>
      <c r="K34">
        <f t="shared" ca="1" si="13"/>
        <v>1.8449230478888754</v>
      </c>
      <c r="L34">
        <f t="shared" ca="1" si="14"/>
        <v>90.443846095777744</v>
      </c>
      <c r="M34">
        <f t="shared" ca="1" si="15"/>
        <v>83.064153904222238</v>
      </c>
      <c r="N34">
        <f t="shared" ca="1" si="4"/>
        <v>-2.5</v>
      </c>
      <c r="O34">
        <f t="shared" ca="1" si="5"/>
        <v>0</v>
      </c>
      <c r="P34">
        <f t="shared" ca="1" si="6"/>
        <v>2.5</v>
      </c>
      <c r="Q34">
        <f t="shared" ca="1" si="10"/>
        <v>0.62014126347583431</v>
      </c>
      <c r="R34">
        <f t="shared" ca="1" si="11"/>
        <v>0.9518596784247545</v>
      </c>
      <c r="S34">
        <f t="shared" ca="1" si="8"/>
        <v>0.65150491982401704</v>
      </c>
      <c r="T34">
        <f t="shared" ca="1" si="9"/>
        <v>39.449166151647965</v>
      </c>
      <c r="U34">
        <f>70</f>
        <v>70</v>
      </c>
      <c r="V34">
        <f>30</f>
        <v>30</v>
      </c>
      <c r="W34">
        <f t="shared" ca="1" si="7"/>
        <v>87.466841711752409</v>
      </c>
      <c r="X34">
        <f t="shared" ca="1" si="17"/>
        <v>90.020971004506976</v>
      </c>
      <c r="Y34">
        <f t="shared" ca="1" si="16"/>
        <v>-2.7061070885307714</v>
      </c>
    </row>
    <row r="35" spans="1:27" x14ac:dyDescent="0.25">
      <c r="A35" s="20">
        <f t="shared" ca="1" si="0"/>
        <v>45747</v>
      </c>
      <c r="B35" vm="100">
        <f ca="1"/>
        <v>45751</v>
      </c>
      <c r="C35" vm="101">
        <f ca="1"/>
        <v>83.19</v>
      </c>
      <c r="D35" vm="102">
        <f ca="1"/>
        <v>36209015</v>
      </c>
      <c r="E35">
        <f t="shared" ca="1" si="1"/>
        <v>3012227957.8499999</v>
      </c>
      <c r="F35">
        <f ca="1">SUM($E$2:E35)/SUM($D$2:D35)</f>
        <v>90.469837912272638</v>
      </c>
      <c r="G35">
        <f ca="1">_xlfn.STDEV.P($C$2:C35)</f>
        <v>5.7807549703893937</v>
      </c>
      <c r="H35">
        <f t="shared" ca="1" si="2"/>
        <v>96.250592882662033</v>
      </c>
      <c r="I35">
        <f t="shared" ca="1" si="3"/>
        <v>84.689082941883242</v>
      </c>
      <c r="J35">
        <f t="shared" ca="1" si="12"/>
        <v>86.327500000000015</v>
      </c>
      <c r="K35">
        <f t="shared" ca="1" si="13"/>
        <v>1.6071218962709968</v>
      </c>
      <c r="L35">
        <f t="shared" ca="1" si="14"/>
        <v>89.541743792542007</v>
      </c>
      <c r="M35">
        <f t="shared" ca="1" si="15"/>
        <v>83.113256207458022</v>
      </c>
      <c r="N35">
        <f t="shared" ca="1" si="4"/>
        <v>-4.0700000000000074</v>
      </c>
      <c r="O35">
        <f t="shared" ca="1" si="5"/>
        <v>0</v>
      </c>
      <c r="P35">
        <f t="shared" ca="1" si="6"/>
        <v>4.0700000000000074</v>
      </c>
      <c r="Q35">
        <f t="shared" ca="1" si="10"/>
        <v>0.57584545894184613</v>
      </c>
      <c r="R35">
        <f t="shared" ca="1" si="11"/>
        <v>1.1745839871087012</v>
      </c>
      <c r="S35">
        <f t="shared" ca="1" si="8"/>
        <v>0.49025481809889077</v>
      </c>
      <c r="T35">
        <f t="shared" ca="1" si="9"/>
        <v>32.897381853413904</v>
      </c>
      <c r="U35">
        <f>70</f>
        <v>70</v>
      </c>
      <c r="V35">
        <f>30</f>
        <v>30</v>
      </c>
      <c r="W35">
        <f t="shared" ca="1" si="7"/>
        <v>86.808866063790504</v>
      </c>
      <c r="X35">
        <f t="shared" ca="1" si="17"/>
        <v>89.514973152321275</v>
      </c>
      <c r="Y35">
        <f t="shared" ca="1" si="16"/>
        <v>-2.7432850528736026</v>
      </c>
    </row>
    <row r="36" spans="1:27" x14ac:dyDescent="0.25">
      <c r="A36" s="20">
        <f t="shared" ca="1" si="0"/>
        <v>45754</v>
      </c>
      <c r="B36" vm="103">
        <f ca="1"/>
        <v>45754</v>
      </c>
      <c r="C36" vm="104">
        <f ca="1"/>
        <v>83.83</v>
      </c>
      <c r="D36" vm="105">
        <f ca="1"/>
        <v>36884944</v>
      </c>
      <c r="E36">
        <f t="shared" ca="1" si="1"/>
        <v>3092064855.52</v>
      </c>
      <c r="F36">
        <f ca="1">SUM($E$2:E36)/SUM($D$2:D36)</f>
        <v>90.204975442584271</v>
      </c>
      <c r="G36">
        <f ca="1">_xlfn.STDEV.P($C$2:C36)</f>
        <v>5.8117616423727414</v>
      </c>
      <c r="H36">
        <f t="shared" ca="1" si="2"/>
        <v>96.016737084957015</v>
      </c>
      <c r="I36">
        <f t="shared" ca="1" si="3"/>
        <v>84.393213800211527</v>
      </c>
      <c r="J36">
        <f t="shared" ca="1" si="12"/>
        <v>86.128</v>
      </c>
      <c r="K36">
        <f t="shared" ca="1" si="13"/>
        <v>1.6589140392056743</v>
      </c>
      <c r="L36">
        <f t="shared" ca="1" si="14"/>
        <v>89.445828078411353</v>
      </c>
      <c r="M36">
        <f t="shared" ca="1" si="15"/>
        <v>82.810171921588648</v>
      </c>
      <c r="N36">
        <f t="shared" ca="1" si="4"/>
        <v>0.64000000000000057</v>
      </c>
      <c r="O36">
        <f t="shared" ca="1" si="5"/>
        <v>0.64000000000000057</v>
      </c>
      <c r="P36">
        <f t="shared" ca="1" si="6"/>
        <v>0</v>
      </c>
      <c r="Q36">
        <f t="shared" ca="1" si="10"/>
        <v>0.58042792616028571</v>
      </c>
      <c r="R36">
        <f t="shared" ca="1" si="11"/>
        <v>1.090685130886651</v>
      </c>
      <c r="S36">
        <f t="shared" ca="1" si="8"/>
        <v>0.53216818467896254</v>
      </c>
      <c r="T36">
        <f t="shared" ca="1" si="9"/>
        <v>34.733013646962561</v>
      </c>
      <c r="U36">
        <f>70</f>
        <v>70</v>
      </c>
      <c r="V36">
        <f>30</f>
        <v>30</v>
      </c>
      <c r="W36">
        <f t="shared" ca="1" si="7"/>
        <v>86.350578977053502</v>
      </c>
      <c r="X36">
        <f t="shared" ca="1" si="17"/>
        <v>89.093864029927104</v>
      </c>
      <c r="Y36">
        <f t="shared" ca="1" si="16"/>
        <v>-2.9038856226251255</v>
      </c>
      <c r="Z36" s="9">
        <f ca="1">AVERAGE(Y28:Y36)</f>
        <v>-3.1824710329023906</v>
      </c>
    </row>
    <row r="37" spans="1:27" x14ac:dyDescent="0.25">
      <c r="A37" s="20">
        <f t="shared" ca="1" si="0"/>
        <v>45754</v>
      </c>
      <c r="B37" vm="106">
        <f ca="1"/>
        <v>45755</v>
      </c>
      <c r="C37" vm="107">
        <f ca="1"/>
        <v>81.790000000000006</v>
      </c>
      <c r="D37" vm="108">
        <f ca="1"/>
        <v>34351744</v>
      </c>
      <c r="E37">
        <f t="shared" ca="1" si="1"/>
        <v>2809629141.7600002</v>
      </c>
      <c r="F37">
        <f ca="1">SUM($E$2:E37)/SUM($D$2:D37)</f>
        <v>89.903554270592409</v>
      </c>
      <c r="G37">
        <f ca="1">_xlfn.STDEV.P($C$2:C37)</f>
        <v>5.9071139367485035</v>
      </c>
      <c r="H37">
        <f t="shared" ca="1" si="2"/>
        <v>95.81066820734091</v>
      </c>
      <c r="I37">
        <f t="shared" ca="1" si="3"/>
        <v>83.996440333843907</v>
      </c>
      <c r="J37">
        <f t="shared" ca="1" si="12"/>
        <v>85.845499999999987</v>
      </c>
      <c r="K37">
        <f t="shared" ca="1" si="13"/>
        <v>1.8888689876832587</v>
      </c>
      <c r="L37">
        <f t="shared" ca="1" si="14"/>
        <v>89.623237975366507</v>
      </c>
      <c r="M37">
        <f t="shared" ca="1" si="15"/>
        <v>82.067762024633467</v>
      </c>
      <c r="N37">
        <f t="shared" ca="1" si="4"/>
        <v>-2.039999999999992</v>
      </c>
      <c r="O37">
        <f t="shared" ca="1" si="5"/>
        <v>0</v>
      </c>
      <c r="P37">
        <f t="shared" ca="1" si="6"/>
        <v>2.039999999999992</v>
      </c>
      <c r="Q37">
        <f t="shared" ca="1" si="10"/>
        <v>0.53896878857740815</v>
      </c>
      <c r="R37">
        <f t="shared" ca="1" si="11"/>
        <v>1.1584933358233183</v>
      </c>
      <c r="S37">
        <f t="shared" ca="1" si="8"/>
        <v>0.46523253255865621</v>
      </c>
      <c r="T37">
        <f t="shared" ca="1" si="9"/>
        <v>31.751447106231382</v>
      </c>
      <c r="U37">
        <f>70</f>
        <v>70</v>
      </c>
      <c r="V37">
        <f>30</f>
        <v>30</v>
      </c>
      <c r="W37">
        <f t="shared" ca="1" si="7"/>
        <v>85.648951442122197</v>
      </c>
      <c r="X37">
        <f t="shared" ca="1" si="17"/>
        <v>88.552837064747322</v>
      </c>
      <c r="Y37">
        <f t="shared" ca="1" si="16"/>
        <v>-2.3735996231697669</v>
      </c>
      <c r="Z37">
        <f ca="1">Y37*(2/(9+1)) + Z36*(1-(2/(9+1)))</f>
        <v>-3.020696750955866</v>
      </c>
      <c r="AA37">
        <f ca="1">Y37-Z37</f>
        <v>0.64709712778609907</v>
      </c>
    </row>
    <row r="38" spans="1:27" x14ac:dyDescent="0.25">
      <c r="A38" s="20">
        <f t="shared" ca="1" si="0"/>
        <v>45754</v>
      </c>
      <c r="B38" vm="109">
        <f ca="1"/>
        <v>45756</v>
      </c>
      <c r="C38" vm="110">
        <f ca="1"/>
        <v>89.6</v>
      </c>
      <c r="D38" vm="111">
        <f ca="1"/>
        <v>46632755</v>
      </c>
      <c r="E38">
        <f t="shared" ca="1" si="1"/>
        <v>4178294847.9999995</v>
      </c>
      <c r="F38">
        <f ca="1">SUM($E$2:E38)/SUM($D$2:D38)</f>
        <v>89.889478273819577</v>
      </c>
      <c r="G38">
        <f ca="1">_xlfn.STDEV.P($C$2:C38)</f>
        <v>5.8277608974767681</v>
      </c>
      <c r="H38">
        <f t="shared" ca="1" si="2"/>
        <v>95.717239171296342</v>
      </c>
      <c r="I38">
        <f t="shared" ca="1" si="3"/>
        <v>84.061717376342813</v>
      </c>
      <c r="J38">
        <f t="shared" ca="1" si="12"/>
        <v>86.065499999999986</v>
      </c>
      <c r="K38">
        <f t="shared" ca="1" si="13"/>
        <v>2.0583628522636492</v>
      </c>
      <c r="L38">
        <f t="shared" ca="1" si="14"/>
        <v>90.182225704527283</v>
      </c>
      <c r="M38">
        <f t="shared" ca="1" si="15"/>
        <v>81.948774295472688</v>
      </c>
      <c r="N38">
        <f t="shared" ca="1" si="4"/>
        <v>7.8099999999999881</v>
      </c>
      <c r="O38">
        <f t="shared" ca="1" si="5"/>
        <v>7.8099999999999881</v>
      </c>
      <c r="P38">
        <f t="shared" ca="1" si="6"/>
        <v>0</v>
      </c>
      <c r="Q38">
        <f t="shared" ca="1" si="10"/>
        <v>1.0583281608218782</v>
      </c>
      <c r="R38">
        <f t="shared" ca="1" si="11"/>
        <v>1.0757438118359384</v>
      </c>
      <c r="S38">
        <f t="shared" ca="1" si="8"/>
        <v>0.98381059614525002</v>
      </c>
      <c r="T38">
        <f t="shared" ca="1" si="9"/>
        <v>49.591961957300569</v>
      </c>
      <c r="U38">
        <f>70</f>
        <v>70</v>
      </c>
      <c r="V38">
        <f>30</f>
        <v>30</v>
      </c>
      <c r="W38">
        <f t="shared" ca="1" si="7"/>
        <v>86.25680506641109</v>
      </c>
      <c r="X38">
        <f t="shared" ca="1" si="17"/>
        <v>88.630404689580857</v>
      </c>
      <c r="Y38">
        <f t="shared" ca="1" si="16"/>
        <v>-1.8505140153552162</v>
      </c>
      <c r="Z38">
        <f t="shared" ref="Z38:Z101" ca="1" si="18">Y38*(2/(9+1)) + Z37*(1-(2/(9+1)))</f>
        <v>-2.7866602038357362</v>
      </c>
      <c r="AA38">
        <f t="shared" ref="AA38:AA101" ca="1" si="19">Y38-Z38</f>
        <v>0.93614618848052</v>
      </c>
    </row>
    <row r="39" spans="1:27" x14ac:dyDescent="0.25">
      <c r="A39" s="20">
        <f t="shared" ca="1" si="0"/>
        <v>45754</v>
      </c>
      <c r="B39" vm="112">
        <f ca="1"/>
        <v>45757</v>
      </c>
      <c r="C39" vm="113">
        <f ca="1"/>
        <v>90.61</v>
      </c>
      <c r="D39" vm="114">
        <f ca="1"/>
        <v>34735323</v>
      </c>
      <c r="E39">
        <f t="shared" ca="1" si="1"/>
        <v>3147367617.0300002</v>
      </c>
      <c r="F39">
        <f ca="1">SUM($E$2:E39)/SUM($D$2:D39)</f>
        <v>89.913534242415153</v>
      </c>
      <c r="G39">
        <f ca="1">_xlfn.STDEV.P($C$2:C39)</f>
        <v>5.7508508644217109</v>
      </c>
      <c r="H39">
        <f t="shared" ca="1" si="2"/>
        <v>95.66438510683686</v>
      </c>
      <c r="I39">
        <f t="shared" ca="1" si="3"/>
        <v>84.162683377993446</v>
      </c>
      <c r="J39">
        <f t="shared" ca="1" si="12"/>
        <v>86.370999999999981</v>
      </c>
      <c r="K39">
        <f t="shared" ca="1" si="13"/>
        <v>2.2575648268363011</v>
      </c>
      <c r="L39">
        <f t="shared" ca="1" si="14"/>
        <v>90.886129653672583</v>
      </c>
      <c r="M39">
        <f t="shared" ca="1" si="15"/>
        <v>81.855870346327379</v>
      </c>
      <c r="N39">
        <f t="shared" ca="1" si="4"/>
        <v>1.0100000000000051</v>
      </c>
      <c r="O39">
        <f t="shared" ca="1" si="5"/>
        <v>1.0100000000000051</v>
      </c>
      <c r="P39">
        <f t="shared" ca="1" si="6"/>
        <v>0</v>
      </c>
      <c r="Q39">
        <f t="shared" ca="1" si="10"/>
        <v>1.0548761493346015</v>
      </c>
      <c r="R39">
        <f t="shared" ca="1" si="11"/>
        <v>0.99890496813337137</v>
      </c>
      <c r="S39">
        <f t="shared" ca="1" si="8"/>
        <v>1.0560325386165834</v>
      </c>
      <c r="T39">
        <f t="shared" ca="1" si="9"/>
        <v>51.362637447709979</v>
      </c>
      <c r="U39">
        <f>70</f>
        <v>70</v>
      </c>
      <c r="V39">
        <f>30</f>
        <v>30</v>
      </c>
      <c r="W39">
        <f t="shared" ca="1" si="7"/>
        <v>86.926527363886308</v>
      </c>
      <c r="X39">
        <f t="shared" ca="1" si="17"/>
        <v>88.777041379241524</v>
      </c>
      <c r="Y39">
        <f t="shared" ca="1" si="16"/>
        <v>-1.2448997754394782</v>
      </c>
      <c r="Z39">
        <f t="shared" ca="1" si="18"/>
        <v>-2.4783081181564848</v>
      </c>
      <c r="AA39">
        <f t="shared" ca="1" si="19"/>
        <v>1.2334083427170066</v>
      </c>
    </row>
    <row r="40" spans="1:27" x14ac:dyDescent="0.25">
      <c r="A40" s="20">
        <f t="shared" ca="1" si="0"/>
        <v>45754</v>
      </c>
      <c r="B40" vm="115">
        <f ca="1"/>
        <v>45758</v>
      </c>
      <c r="C40" vm="116">
        <f ca="1"/>
        <v>92.8</v>
      </c>
      <c r="D40" vm="117">
        <f ca="1"/>
        <v>25508136</v>
      </c>
      <c r="E40">
        <f t="shared" ca="1" si="1"/>
        <v>2367155020.7999997</v>
      </c>
      <c r="F40">
        <f ca="1">SUM($E$2:E40)/SUM($D$2:D40)</f>
        <v>89.982610692641501</v>
      </c>
      <c r="G40">
        <f ca="1">_xlfn.STDEV.P($C$2:C40)</f>
        <v>5.690784515545011</v>
      </c>
      <c r="H40">
        <f t="shared" ca="1" si="2"/>
        <v>95.673395208186506</v>
      </c>
      <c r="I40">
        <f t="shared" ca="1" si="3"/>
        <v>84.291826177096496</v>
      </c>
      <c r="J40">
        <f t="shared" ca="1" si="12"/>
        <v>86.743499999999983</v>
      </c>
      <c r="K40">
        <f t="shared" ca="1" si="13"/>
        <v>2.6591436591504407</v>
      </c>
      <c r="L40">
        <f t="shared" ca="1" si="14"/>
        <v>92.061787318300858</v>
      </c>
      <c r="M40">
        <f t="shared" ca="1" si="15"/>
        <v>81.425212681699108</v>
      </c>
      <c r="N40">
        <f t="shared" ca="1" si="4"/>
        <v>2.1899999999999977</v>
      </c>
      <c r="O40">
        <f t="shared" ca="1" si="5"/>
        <v>2.1899999999999977</v>
      </c>
      <c r="P40">
        <f t="shared" ca="1" si="6"/>
        <v>0</v>
      </c>
      <c r="Q40">
        <f t="shared" ca="1" si="10"/>
        <v>1.1359564243821298</v>
      </c>
      <c r="R40">
        <f t="shared" ca="1" si="11"/>
        <v>0.92755461326670197</v>
      </c>
      <c r="S40">
        <f t="shared" ca="1" si="8"/>
        <v>1.2246787500538316</v>
      </c>
      <c r="T40">
        <f t="shared" ca="1" si="9"/>
        <v>55.049689759665185</v>
      </c>
      <c r="U40">
        <f>70</f>
        <v>70</v>
      </c>
      <c r="V40">
        <f>30</f>
        <v>30</v>
      </c>
      <c r="W40">
        <f t="shared" ca="1" si="7"/>
        <v>87.83013853867304</v>
      </c>
      <c r="X40">
        <f t="shared" ca="1" si="17"/>
        <v>89.075038314112518</v>
      </c>
      <c r="Y40">
        <f t="shared" ca="1" si="16"/>
        <v>-0.60226867834951747</v>
      </c>
      <c r="Z40">
        <f t="shared" ca="1" si="18"/>
        <v>-2.1031002301950914</v>
      </c>
      <c r="AA40">
        <f t="shared" ca="1" si="19"/>
        <v>1.5008315518455739</v>
      </c>
    </row>
    <row r="41" spans="1:27" x14ac:dyDescent="0.25">
      <c r="A41" s="20">
        <f t="shared" ca="1" si="0"/>
        <v>45761</v>
      </c>
      <c r="B41" vm="118">
        <f ca="1"/>
        <v>45761</v>
      </c>
      <c r="C41" vm="119">
        <f ca="1"/>
        <v>94.73</v>
      </c>
      <c r="D41" vm="120">
        <f ca="1"/>
        <v>27742915</v>
      </c>
      <c r="E41">
        <f t="shared" ca="1" si="1"/>
        <v>2628086337.9500003</v>
      </c>
      <c r="F41">
        <f ca="1">SUM($E$2:E41)/SUM($D$2:D41)</f>
        <v>90.103040142064131</v>
      </c>
      <c r="G41">
        <f ca="1">_xlfn.STDEV.P($C$2:C41)</f>
        <v>5.6610628639858795</v>
      </c>
      <c r="H41">
        <f t="shared" ca="1" si="2"/>
        <v>95.764103006050007</v>
      </c>
      <c r="I41">
        <f t="shared" ca="1" si="3"/>
        <v>84.441977278078255</v>
      </c>
      <c r="J41">
        <f t="shared" ca="1" si="12"/>
        <v>87.106999999999999</v>
      </c>
      <c r="K41">
        <f t="shared" ca="1" si="13"/>
        <v>3.2034358199644921</v>
      </c>
      <c r="L41">
        <f t="shared" ca="1" si="14"/>
        <v>93.513871639928979</v>
      </c>
      <c r="M41">
        <f t="shared" ca="1" si="15"/>
        <v>80.70012836007102</v>
      </c>
      <c r="N41">
        <f t="shared" ca="1" si="4"/>
        <v>1.9300000000000068</v>
      </c>
      <c r="O41">
        <f t="shared" ca="1" si="5"/>
        <v>1.9300000000000068</v>
      </c>
      <c r="P41">
        <f t="shared" ca="1" si="6"/>
        <v>0</v>
      </c>
      <c r="Q41">
        <f t="shared" ca="1" si="10"/>
        <v>1.1926738226405498</v>
      </c>
      <c r="R41">
        <f t="shared" ca="1" si="11"/>
        <v>0.86130071231908034</v>
      </c>
      <c r="S41">
        <f t="shared" ca="1" si="8"/>
        <v>1.3847356742910806</v>
      </c>
      <c r="T41">
        <f t="shared" ca="1" si="9"/>
        <v>58.066631418290257</v>
      </c>
      <c r="U41">
        <f>70</f>
        <v>70</v>
      </c>
      <c r="V41">
        <f>30</f>
        <v>30</v>
      </c>
      <c r="W41">
        <f t="shared" ca="1" si="7"/>
        <v>88.891655686569493</v>
      </c>
      <c r="X41">
        <f t="shared" ca="1" si="17"/>
        <v>89.49392436491901</v>
      </c>
      <c r="Y41">
        <f t="shared" ca="1" si="16"/>
        <v>-0.15254609597590729</v>
      </c>
      <c r="Z41">
        <f t="shared" ca="1" si="18"/>
        <v>-1.7129894033512547</v>
      </c>
      <c r="AA41">
        <f t="shared" ca="1" si="19"/>
        <v>1.5604433073753474</v>
      </c>
    </row>
    <row r="42" spans="1:27" x14ac:dyDescent="0.25">
      <c r="A42" s="20">
        <f t="shared" ca="1" si="0"/>
        <v>45761</v>
      </c>
      <c r="B42" vm="121">
        <f ca="1"/>
        <v>45762</v>
      </c>
      <c r="C42" vm="122">
        <f ca="1"/>
        <v>93.97</v>
      </c>
      <c r="D42" vm="123">
        <f ca="1"/>
        <v>21871213</v>
      </c>
      <c r="E42">
        <f t="shared" ca="1" si="1"/>
        <v>2055237885.6099999</v>
      </c>
      <c r="F42">
        <f ca="1">SUM($E$2:E42)/SUM($D$2:D42)</f>
        <v>90.178857516273766</v>
      </c>
      <c r="G42">
        <f ca="1">_xlfn.STDEV.P($C$2:C42)</f>
        <v>5.6180732299757894</v>
      </c>
      <c r="H42">
        <f t="shared" ca="1" si="2"/>
        <v>95.796930746249558</v>
      </c>
      <c r="I42">
        <f t="shared" ca="1" si="3"/>
        <v>84.560784286297974</v>
      </c>
      <c r="J42">
        <f t="shared" ca="1" si="12"/>
        <v>87.525999999999982</v>
      </c>
      <c r="K42">
        <f t="shared" ca="1" si="13"/>
        <v>3.5263390886897206</v>
      </c>
      <c r="L42">
        <f t="shared" ca="1" si="14"/>
        <v>94.57867817737943</v>
      </c>
      <c r="M42">
        <f t="shared" ca="1" si="15"/>
        <v>80.473321822620534</v>
      </c>
      <c r="N42">
        <f t="shared" ca="1" si="4"/>
        <v>-0.76000000000000512</v>
      </c>
      <c r="O42">
        <f t="shared" ca="1" si="5"/>
        <v>0</v>
      </c>
      <c r="P42">
        <f t="shared" ca="1" si="6"/>
        <v>0.76000000000000512</v>
      </c>
      <c r="Q42">
        <f t="shared" ca="1" si="10"/>
        <v>1.107482835309082</v>
      </c>
      <c r="R42">
        <f t="shared" ca="1" si="11"/>
        <v>0.85406494715343217</v>
      </c>
      <c r="S42">
        <f t="shared" ca="1" si="8"/>
        <v>1.2967196921033728</v>
      </c>
      <c r="T42">
        <f t="shared" ca="1" si="9"/>
        <v>56.459640963665706</v>
      </c>
      <c r="U42">
        <f>70</f>
        <v>70</v>
      </c>
      <c r="V42">
        <f>30</f>
        <v>30</v>
      </c>
      <c r="W42">
        <f t="shared" ca="1" si="7"/>
        <v>89.672939427097262</v>
      </c>
      <c r="X42">
        <f t="shared" ca="1" si="17"/>
        <v>89.825485523073169</v>
      </c>
      <c r="Y42">
        <f t="shared" ca="1" si="16"/>
        <v>-2.0227308122201748E-2</v>
      </c>
      <c r="Z42">
        <f t="shared" ca="1" si="18"/>
        <v>-1.3744369843054443</v>
      </c>
      <c r="AA42">
        <f t="shared" ca="1" si="19"/>
        <v>1.3542096761832425</v>
      </c>
    </row>
    <row r="43" spans="1:27" x14ac:dyDescent="0.25">
      <c r="A43" s="20">
        <f t="shared" ca="1" si="0"/>
        <v>45761</v>
      </c>
      <c r="B43" vm="124">
        <f ca="1"/>
        <v>45763</v>
      </c>
      <c r="C43" vm="125">
        <f ca="1"/>
        <v>91.19</v>
      </c>
      <c r="D43" vm="126">
        <f ca="1"/>
        <v>22229105</v>
      </c>
      <c r="E43">
        <f t="shared" ca="1" si="1"/>
        <v>2027072084.95</v>
      </c>
      <c r="F43">
        <f ca="1">SUM($E$2:E43)/SUM($D$2:D43)</f>
        <v>90.198613166551539</v>
      </c>
      <c r="G43">
        <f ca="1">_xlfn.STDEV.P($C$2:C43)</f>
        <v>5.5517152872229945</v>
      </c>
      <c r="H43">
        <f t="shared" ca="1" si="2"/>
        <v>95.750328453774529</v>
      </c>
      <c r="I43">
        <f t="shared" ca="1" si="3"/>
        <v>84.646897879328549</v>
      </c>
      <c r="J43">
        <f t="shared" ca="1" si="12"/>
        <v>87.768999999999977</v>
      </c>
      <c r="K43">
        <f t="shared" ca="1" si="13"/>
        <v>3.6061335176846154</v>
      </c>
      <c r="L43">
        <f t="shared" ca="1" si="14"/>
        <v>94.981267035369214</v>
      </c>
      <c r="M43">
        <f t="shared" ca="1" si="15"/>
        <v>80.55673296463074</v>
      </c>
      <c r="N43">
        <f t="shared" ca="1" si="4"/>
        <v>-2.7800000000000011</v>
      </c>
      <c r="O43">
        <f t="shared" ca="1" si="5"/>
        <v>0</v>
      </c>
      <c r="P43">
        <f t="shared" ca="1" si="6"/>
        <v>2.7800000000000011</v>
      </c>
      <c r="Q43">
        <f t="shared" ca="1" si="10"/>
        <v>1.0283769185012903</v>
      </c>
      <c r="R43">
        <f t="shared" ca="1" si="11"/>
        <v>0.99163173664247284</v>
      </c>
      <c r="S43">
        <f t="shared" ca="1" si="8"/>
        <v>1.0370552701179487</v>
      </c>
      <c r="T43">
        <f t="shared" ca="1" si="9"/>
        <v>50.909530307339267</v>
      </c>
      <c r="U43">
        <f>70</f>
        <v>70</v>
      </c>
      <c r="V43">
        <f>30</f>
        <v>30</v>
      </c>
      <c r="W43">
        <f t="shared" ca="1" si="7"/>
        <v>89.906333361389983</v>
      </c>
      <c r="X43">
        <f t="shared" ca="1" si="17"/>
        <v>89.926560669512185</v>
      </c>
      <c r="Y43">
        <f t="shared" ca="1" si="16"/>
        <v>0.24560909043123047</v>
      </c>
      <c r="Z43">
        <f t="shared" ca="1" si="18"/>
        <v>-1.0504277693581094</v>
      </c>
      <c r="AA43">
        <f t="shared" ca="1" si="19"/>
        <v>1.2960368597893399</v>
      </c>
    </row>
    <row r="44" spans="1:27" x14ac:dyDescent="0.25">
      <c r="A44" s="20">
        <f t="shared" ca="1" si="0"/>
        <v>45761</v>
      </c>
      <c r="B44" vm="127">
        <f ca="1"/>
        <v>45764</v>
      </c>
      <c r="C44" vm="128">
        <f ca="1"/>
        <v>93.22</v>
      </c>
      <c r="D44" vm="129">
        <f ca="1"/>
        <v>21393917</v>
      </c>
      <c r="E44">
        <f t="shared" ca="1" si="1"/>
        <v>1994340942.74</v>
      </c>
      <c r="F44">
        <f ca="1">SUM($E$2:E44)/SUM($D$2:D44)</f>
        <v>90.254378338560173</v>
      </c>
      <c r="G44">
        <f ca="1">_xlfn.STDEV.P($C$2:C44)</f>
        <v>5.5016227312605475</v>
      </c>
      <c r="H44">
        <f t="shared" ca="1" si="2"/>
        <v>95.756001069820726</v>
      </c>
      <c r="I44">
        <f t="shared" ca="1" si="3"/>
        <v>84.752755607299619</v>
      </c>
      <c r="J44">
        <f t="shared" ca="1" si="12"/>
        <v>88.139499999999984</v>
      </c>
      <c r="K44">
        <f t="shared" ca="1" si="13"/>
        <v>3.7711515412892673</v>
      </c>
      <c r="L44">
        <f t="shared" ca="1" si="14"/>
        <v>95.681803082578512</v>
      </c>
      <c r="M44">
        <f t="shared" ca="1" si="15"/>
        <v>80.597196917421456</v>
      </c>
      <c r="N44">
        <f t="shared" ca="1" si="4"/>
        <v>2.0300000000000011</v>
      </c>
      <c r="O44">
        <f t="shared" ca="1" si="5"/>
        <v>2.0300000000000011</v>
      </c>
      <c r="P44">
        <f t="shared" ca="1" si="6"/>
        <v>0</v>
      </c>
      <c r="Q44">
        <f t="shared" ca="1" si="10"/>
        <v>1.0999214243226267</v>
      </c>
      <c r="R44">
        <f t="shared" ca="1" si="11"/>
        <v>0.92080089831086764</v>
      </c>
      <c r="S44">
        <f t="shared" ca="1" si="8"/>
        <v>1.1945268801760953</v>
      </c>
      <c r="T44">
        <f t="shared" ca="1" si="9"/>
        <v>54.432091534929981</v>
      </c>
      <c r="U44">
        <f>70</f>
        <v>70</v>
      </c>
      <c r="V44">
        <f>30</f>
        <v>30</v>
      </c>
      <c r="W44">
        <f t="shared" ca="1" si="7"/>
        <v>90.416128228868445</v>
      </c>
      <c r="X44">
        <f t="shared" ca="1" si="17"/>
        <v>90.170519138437214</v>
      </c>
      <c r="Y44">
        <f t="shared" ca="1" si="16"/>
        <v>0.38647112245536164</v>
      </c>
      <c r="Z44">
        <f t="shared" ca="1" si="18"/>
        <v>-0.7630479909954152</v>
      </c>
      <c r="AA44">
        <f t="shared" ca="1" si="19"/>
        <v>1.149519113450777</v>
      </c>
    </row>
    <row r="45" spans="1:27" x14ac:dyDescent="0.25">
      <c r="A45" s="20">
        <f t="shared" ca="1" si="0"/>
        <v>45768</v>
      </c>
      <c r="B45" vm="130">
        <f ca="1"/>
        <v>45768</v>
      </c>
      <c r="C45" vm="131">
        <f ca="1"/>
        <v>92.41</v>
      </c>
      <c r="D45" vm="132">
        <f ca="1"/>
        <v>18361208</v>
      </c>
      <c r="E45">
        <f t="shared" ca="1" si="1"/>
        <v>1696759231.28</v>
      </c>
      <c r="F45">
        <f ca="1">SUM($E$2:E45)/SUM($D$2:D45)</f>
        <v>90.287991912609883</v>
      </c>
      <c r="G45">
        <f ca="1">_xlfn.STDEV.P($C$2:C45)</f>
        <v>5.4454097499675198</v>
      </c>
      <c r="H45">
        <f t="shared" ca="1" si="2"/>
        <v>95.733401662577407</v>
      </c>
      <c r="I45">
        <f t="shared" ca="1" si="3"/>
        <v>84.842582162642358</v>
      </c>
      <c r="J45">
        <f t="shared" ca="1" si="12"/>
        <v>88.460999999999999</v>
      </c>
      <c r="K45">
        <f t="shared" ca="1" si="13"/>
        <v>3.8506088377102947</v>
      </c>
      <c r="L45">
        <f t="shared" ca="1" si="14"/>
        <v>96.162217675420592</v>
      </c>
      <c r="M45">
        <f t="shared" ca="1" si="15"/>
        <v>80.759782324579405</v>
      </c>
      <c r="N45">
        <f t="shared" ca="1" si="4"/>
        <v>-0.81000000000000227</v>
      </c>
      <c r="O45">
        <f t="shared" ca="1" si="5"/>
        <v>0</v>
      </c>
      <c r="P45">
        <f t="shared" ca="1" si="6"/>
        <v>0.81000000000000227</v>
      </c>
      <c r="Q45">
        <f t="shared" ca="1" si="10"/>
        <v>1.0213556082995818</v>
      </c>
      <c r="R45">
        <f t="shared" ca="1" si="11"/>
        <v>0.91288654843152006</v>
      </c>
      <c r="S45">
        <f t="shared" ca="1" si="8"/>
        <v>1.1188198687497679</v>
      </c>
      <c r="T45">
        <f t="shared" ca="1" si="9"/>
        <v>52.803916238992954</v>
      </c>
      <c r="U45">
        <f>70</f>
        <v>70</v>
      </c>
      <c r="V45">
        <f>30</f>
        <v>30</v>
      </c>
      <c r="W45">
        <f t="shared" ca="1" si="7"/>
        <v>90.722877732119457</v>
      </c>
      <c r="X45">
        <f t="shared" ca="1" si="17"/>
        <v>90.336406609664095</v>
      </c>
      <c r="Y45">
        <f t="shared" ca="1" si="16"/>
        <v>0.68707275868561624</v>
      </c>
      <c r="Z45">
        <f t="shared" ca="1" si="18"/>
        <v>-0.47302384105920892</v>
      </c>
      <c r="AA45">
        <f t="shared" ca="1" si="19"/>
        <v>1.1600965997448252</v>
      </c>
    </row>
    <row r="46" spans="1:27" x14ac:dyDescent="0.25">
      <c r="A46" s="20">
        <f t="shared" ca="1" si="0"/>
        <v>45768</v>
      </c>
      <c r="B46" vm="133">
        <f ca="1"/>
        <v>45769</v>
      </c>
      <c r="C46" vm="134">
        <f ca="1"/>
        <v>94.85</v>
      </c>
      <c r="D46" vm="135">
        <f ca="1"/>
        <v>15407774</v>
      </c>
      <c r="E46">
        <f t="shared" ca="1" si="1"/>
        <v>1461427363.8999999</v>
      </c>
      <c r="F46">
        <f ca="1">SUM($E$2:E46)/SUM($D$2:D46)</f>
        <v>90.346915730261202</v>
      </c>
      <c r="G46">
        <f ca="1">_xlfn.STDEV.P($C$2:C46)</f>
        <v>5.4201432535394201</v>
      </c>
      <c r="H46">
        <f t="shared" ca="1" si="2"/>
        <v>95.767058983800624</v>
      </c>
      <c r="I46">
        <f t="shared" ca="1" si="3"/>
        <v>84.92677247672178</v>
      </c>
      <c r="J46">
        <f t="shared" ca="1" si="12"/>
        <v>88.828999999999994</v>
      </c>
      <c r="K46">
        <f t="shared" ca="1" si="13"/>
        <v>4.0967546847923924</v>
      </c>
      <c r="L46">
        <f t="shared" ca="1" si="14"/>
        <v>97.022509369584782</v>
      </c>
      <c r="M46">
        <f t="shared" ca="1" si="15"/>
        <v>80.635490630415205</v>
      </c>
      <c r="N46">
        <f t="shared" ca="1" si="4"/>
        <v>2.4399999999999977</v>
      </c>
      <c r="O46">
        <f t="shared" ca="1" si="5"/>
        <v>2.4399999999999977</v>
      </c>
      <c r="P46">
        <f t="shared" ca="1" si="6"/>
        <v>0</v>
      </c>
      <c r="Q46">
        <f t="shared" ca="1" si="10"/>
        <v>1.1226873505638972</v>
      </c>
      <c r="R46">
        <f t="shared" ca="1" si="11"/>
        <v>0.84768036640069711</v>
      </c>
      <c r="S46">
        <f t="shared" ca="1" si="8"/>
        <v>1.324422972459415</v>
      </c>
      <c r="T46">
        <f t="shared" ca="1" si="9"/>
        <v>56.97857008606637</v>
      </c>
      <c r="U46">
        <f>70</f>
        <v>70</v>
      </c>
      <c r="V46">
        <f>30</f>
        <v>30</v>
      </c>
      <c r="W46">
        <f t="shared" ca="1" si="7"/>
        <v>91.357819619485696</v>
      </c>
      <c r="X46">
        <f t="shared" ca="1" si="17"/>
        <v>90.67074686080008</v>
      </c>
      <c r="Y46">
        <f t="shared" ca="1" si="16"/>
        <v>0.92353190093228932</v>
      </c>
      <c r="Z46">
        <f t="shared" ca="1" si="18"/>
        <v>-0.19371269266090926</v>
      </c>
      <c r="AA46">
        <f t="shared" ca="1" si="19"/>
        <v>1.1172445935931985</v>
      </c>
    </row>
    <row r="47" spans="1:27" x14ac:dyDescent="0.25">
      <c r="A47" s="20">
        <f t="shared" ca="1" si="0"/>
        <v>45768</v>
      </c>
      <c r="B47" vm="136">
        <f ca="1"/>
        <v>45770</v>
      </c>
      <c r="C47" vm="137">
        <f ca="1"/>
        <v>94.96</v>
      </c>
      <c r="D47" vm="138">
        <f ca="1"/>
        <v>18046886</v>
      </c>
      <c r="E47">
        <f t="shared" ca="1" si="1"/>
        <v>1713732294.5599999</v>
      </c>
      <c r="F47">
        <f ca="1">SUM($E$2:E47)/SUM($D$2:D47)</f>
        <v>90.415664914418585</v>
      </c>
      <c r="G47">
        <f ca="1">_xlfn.STDEV.P($C$2:C47)</f>
        <v>5.3961563720561712</v>
      </c>
      <c r="H47">
        <f t="shared" ca="1" si="2"/>
        <v>95.811821286474753</v>
      </c>
      <c r="I47">
        <f t="shared" ca="1" si="3"/>
        <v>85.019508542362416</v>
      </c>
      <c r="J47">
        <f t="shared" ca="1" si="12"/>
        <v>89.338999999999999</v>
      </c>
      <c r="K47">
        <f t="shared" ca="1" si="13"/>
        <v>4.1972107279402628</v>
      </c>
      <c r="L47">
        <f t="shared" ca="1" si="14"/>
        <v>97.733421455880517</v>
      </c>
      <c r="M47">
        <f t="shared" ca="1" si="15"/>
        <v>80.94457854411948</v>
      </c>
      <c r="N47">
        <f t="shared" ca="1" si="4"/>
        <v>0.10999999999999943</v>
      </c>
      <c r="O47">
        <f t="shared" ca="1" si="5"/>
        <v>0.10999999999999943</v>
      </c>
      <c r="P47">
        <f t="shared" ca="1" si="6"/>
        <v>0</v>
      </c>
      <c r="Q47">
        <f t="shared" ca="1" si="10"/>
        <v>1.0503525398093332</v>
      </c>
      <c r="R47">
        <f t="shared" ca="1" si="11"/>
        <v>0.78713176880064739</v>
      </c>
      <c r="S47">
        <f t="shared" ca="1" si="8"/>
        <v>1.3344049642536411</v>
      </c>
      <c r="T47">
        <f t="shared" ca="1" si="9"/>
        <v>57.162531124083635</v>
      </c>
      <c r="U47">
        <f>70</f>
        <v>70</v>
      </c>
      <c r="V47">
        <f>30</f>
        <v>30</v>
      </c>
      <c r="W47">
        <f t="shared" ca="1" si="7"/>
        <v>91.912001216487909</v>
      </c>
      <c r="X47">
        <f t="shared" ca="1" si="17"/>
        <v>90.988469315555619</v>
      </c>
      <c r="Y47">
        <f t="shared" ca="1" si="16"/>
        <v>1.1684667627958163</v>
      </c>
      <c r="Z47">
        <f t="shared" ca="1" si="18"/>
        <v>7.8723198430435848E-2</v>
      </c>
      <c r="AA47">
        <f t="shared" ca="1" si="19"/>
        <v>1.0897435643653806</v>
      </c>
    </row>
    <row r="48" spans="1:27" x14ac:dyDescent="0.25">
      <c r="A48" s="20">
        <f t="shared" ca="1" si="0"/>
        <v>45768</v>
      </c>
      <c r="B48" vm="139">
        <f ca="1"/>
        <v>45771</v>
      </c>
      <c r="C48" vm="140">
        <f ca="1"/>
        <v>95.84</v>
      </c>
      <c r="D48" vm="141">
        <f ca="1"/>
        <v>13444528</v>
      </c>
      <c r="E48">
        <f t="shared" ca="1" si="1"/>
        <v>1288523563.52</v>
      </c>
      <c r="F48">
        <f ca="1">SUM($E$2:E48)/SUM($D$2:D48)</f>
        <v>90.475227122034767</v>
      </c>
      <c r="G48">
        <f ca="1">_xlfn.STDEV.P($C$2:C48)</f>
        <v>5.3871907749262435</v>
      </c>
      <c r="H48">
        <f t="shared" ca="1" si="2"/>
        <v>95.862417896961006</v>
      </c>
      <c r="I48">
        <f t="shared" ca="1" si="3"/>
        <v>85.088036347108527</v>
      </c>
      <c r="J48">
        <f t="shared" ca="1" si="12"/>
        <v>89.870500000000007</v>
      </c>
      <c r="K48">
        <f t="shared" ca="1" si="13"/>
        <v>4.3181349226866805</v>
      </c>
      <c r="L48">
        <f t="shared" ca="1" si="14"/>
        <v>98.50676984537337</v>
      </c>
      <c r="M48">
        <f t="shared" ca="1" si="15"/>
        <v>81.234230154626644</v>
      </c>
      <c r="N48">
        <f t="shared" ca="1" si="4"/>
        <v>0.88000000000000966</v>
      </c>
      <c r="O48">
        <f t="shared" ca="1" si="5"/>
        <v>0.88000000000000966</v>
      </c>
      <c r="P48">
        <f t="shared" ca="1" si="6"/>
        <v>0</v>
      </c>
      <c r="Q48">
        <f t="shared" ca="1" si="10"/>
        <v>1.0381845012515243</v>
      </c>
      <c r="R48">
        <f t="shared" ca="1" si="11"/>
        <v>0.73090807102917255</v>
      </c>
      <c r="S48">
        <f t="shared" ca="1" si="8"/>
        <v>1.4204036627885144</v>
      </c>
      <c r="T48">
        <f t="shared" ca="1" si="9"/>
        <v>58.684577478786593</v>
      </c>
      <c r="U48">
        <f>70</f>
        <v>70</v>
      </c>
      <c r="V48">
        <f>30</f>
        <v>30</v>
      </c>
      <c r="W48">
        <f t="shared" ca="1" si="7"/>
        <v>92.516308721643611</v>
      </c>
      <c r="X48">
        <f t="shared" ca="1" si="17"/>
        <v>91.347841958847795</v>
      </c>
      <c r="Y48">
        <f t="shared" ca="1" si="16"/>
        <v>1.2872223752211482</v>
      </c>
      <c r="Z48">
        <f t="shared" ca="1" si="18"/>
        <v>0.32042303378857839</v>
      </c>
      <c r="AA48">
        <f t="shared" ca="1" si="19"/>
        <v>0.96679934143256985</v>
      </c>
    </row>
    <row r="49" spans="1:27" x14ac:dyDescent="0.25">
      <c r="A49" s="20">
        <f t="shared" ca="1" si="0"/>
        <v>45768</v>
      </c>
      <c r="B49" vm="142">
        <f ca="1"/>
        <v>45772</v>
      </c>
      <c r="C49" vm="143">
        <f ca="1"/>
        <v>95.09</v>
      </c>
      <c r="D49" vm="144">
        <f ca="1"/>
        <v>15317220</v>
      </c>
      <c r="E49">
        <f t="shared" ca="1" si="1"/>
        <v>1456514449.8</v>
      </c>
      <c r="F49">
        <f ca="1">SUM($E$2:E49)/SUM($D$2:D49)</f>
        <v>90.532244817468936</v>
      </c>
      <c r="G49">
        <f ca="1">_xlfn.STDEV.P($C$2:C49)</f>
        <v>5.3636975118162553</v>
      </c>
      <c r="H49">
        <f t="shared" ca="1" si="2"/>
        <v>95.895942329285191</v>
      </c>
      <c r="I49">
        <f t="shared" ca="1" si="3"/>
        <v>85.16854730565268</v>
      </c>
      <c r="J49">
        <f t="shared" ca="1" si="12"/>
        <v>90.343499999999992</v>
      </c>
      <c r="K49">
        <f t="shared" ca="1" si="13"/>
        <v>4.3472087535990731</v>
      </c>
      <c r="L49">
        <f t="shared" ca="1" si="14"/>
        <v>99.037917507198131</v>
      </c>
      <c r="M49">
        <f t="shared" ca="1" si="15"/>
        <v>81.649082492801853</v>
      </c>
      <c r="N49">
        <f t="shared" ca="1" si="4"/>
        <v>-0.75</v>
      </c>
      <c r="O49">
        <f t="shared" ca="1" si="5"/>
        <v>0</v>
      </c>
      <c r="P49">
        <f t="shared" ca="1" si="6"/>
        <v>0.75</v>
      </c>
      <c r="Q49">
        <f t="shared" ca="1" si="10"/>
        <v>0.96402846544784393</v>
      </c>
      <c r="R49">
        <f t="shared" ca="1" si="11"/>
        <v>0.73227178024137451</v>
      </c>
      <c r="S49">
        <f t="shared" ca="1" si="8"/>
        <v>1.3164899856308498</v>
      </c>
      <c r="T49">
        <f t="shared" ca="1" si="9"/>
        <v>56.83124010019538</v>
      </c>
      <c r="U49">
        <f>70</f>
        <v>70</v>
      </c>
      <c r="V49">
        <f>30</f>
        <v>30</v>
      </c>
      <c r="W49">
        <f t="shared" ca="1" si="7"/>
        <v>92.912261226006137</v>
      </c>
      <c r="X49">
        <f t="shared" ca="1" si="17"/>
        <v>91.625038850784989</v>
      </c>
      <c r="Y49">
        <f t="shared" ca="1" si="16"/>
        <v>1.3759656912213813</v>
      </c>
      <c r="Z49">
        <f t="shared" ca="1" si="18"/>
        <v>0.53153156527513901</v>
      </c>
      <c r="AA49">
        <f t="shared" ca="1" si="19"/>
        <v>0.84443412594624234</v>
      </c>
    </row>
    <row r="50" spans="1:27" x14ac:dyDescent="0.25">
      <c r="A50" s="20">
        <f t="shared" ca="1" si="0"/>
        <v>45775</v>
      </c>
      <c r="B50" vm="145">
        <f ca="1"/>
        <v>45775</v>
      </c>
      <c r="C50" vm="146">
        <f ca="1"/>
        <v>95.22</v>
      </c>
      <c r="D50" vm="147">
        <f ca="1"/>
        <v>12950000</v>
      </c>
      <c r="E50">
        <f t="shared" ca="1" si="1"/>
        <v>1233099000</v>
      </c>
      <c r="F50">
        <f ca="1">SUM($E$2:E50)/SUM($D$2:D50)</f>
        <v>90.580706776847748</v>
      </c>
      <c r="G50">
        <f ca="1">_xlfn.STDEV.P($C$2:C50)</f>
        <v>5.3417592376890273</v>
      </c>
      <c r="H50">
        <f t="shared" ca="1" si="2"/>
        <v>95.922466014536781</v>
      </c>
      <c r="I50">
        <f t="shared" ca="1" si="3"/>
        <v>85.238947539158715</v>
      </c>
      <c r="J50">
        <f t="shared" ca="1" si="12"/>
        <v>90.846999999999994</v>
      </c>
      <c r="K50">
        <f t="shared" ca="1" si="13"/>
        <v>4.2969010865236834</v>
      </c>
      <c r="L50">
        <f t="shared" ca="1" si="14"/>
        <v>99.440802173047359</v>
      </c>
      <c r="M50">
        <f t="shared" ca="1" si="15"/>
        <v>82.253197826952629</v>
      </c>
      <c r="N50">
        <f t="shared" ca="1" si="4"/>
        <v>0.12999999999999545</v>
      </c>
      <c r="O50">
        <f t="shared" ca="1" si="5"/>
        <v>0.12999999999999545</v>
      </c>
      <c r="P50">
        <f t="shared" ca="1" si="6"/>
        <v>0</v>
      </c>
      <c r="Q50">
        <f t="shared" ca="1" si="10"/>
        <v>0.90445500363014042</v>
      </c>
      <c r="R50">
        <f t="shared" ca="1" si="11"/>
        <v>0.67996665308127635</v>
      </c>
      <c r="S50">
        <f t="shared" ca="1" si="8"/>
        <v>1.3301461175067817</v>
      </c>
      <c r="T50">
        <f t="shared" ca="1" si="9"/>
        <v>57.084236370979873</v>
      </c>
      <c r="U50">
        <f>70</f>
        <v>70</v>
      </c>
      <c r="V50">
        <f>30</f>
        <v>30</v>
      </c>
      <c r="W50">
        <f t="shared" ca="1" si="7"/>
        <v>93.267297960466735</v>
      </c>
      <c r="X50">
        <f t="shared" ca="1" si="17"/>
        <v>91.891332269245353</v>
      </c>
      <c r="Y50">
        <f t="shared" ca="1" si="16"/>
        <v>1.4952265149683086</v>
      </c>
      <c r="Z50">
        <f t="shared" ca="1" si="18"/>
        <v>0.72427055521377293</v>
      </c>
      <c r="AA50">
        <f t="shared" ca="1" si="19"/>
        <v>0.77095595975453568</v>
      </c>
    </row>
    <row r="51" spans="1:27" x14ac:dyDescent="0.25">
      <c r="A51" s="20">
        <f t="shared" ca="1" si="0"/>
        <v>45775</v>
      </c>
      <c r="B51" vm="148">
        <f ca="1"/>
        <v>45776</v>
      </c>
      <c r="C51" vm="149">
        <f ca="1"/>
        <v>96.04</v>
      </c>
      <c r="D51" vm="150">
        <f ca="1"/>
        <v>12679025</v>
      </c>
      <c r="E51">
        <f t="shared" ca="1" si="1"/>
        <v>1217693561</v>
      </c>
      <c r="F51">
        <f ca="1">SUM($E$2:E51)/SUM($D$2:D51)</f>
        <v>90.635410246110979</v>
      </c>
      <c r="G51">
        <f ca="1">_xlfn.STDEV.P($C$2:C51)</f>
        <v>5.3329611324291504</v>
      </c>
      <c r="H51">
        <f t="shared" ca="1" si="2"/>
        <v>95.968371378540127</v>
      </c>
      <c r="I51">
        <f t="shared" ca="1" si="3"/>
        <v>85.302449113681831</v>
      </c>
      <c r="J51">
        <f t="shared" ca="1" si="12"/>
        <v>91.259499999999989</v>
      </c>
      <c r="K51">
        <f t="shared" ca="1" si="13"/>
        <v>4.3831177019872154</v>
      </c>
      <c r="L51">
        <f t="shared" ca="1" si="14"/>
        <v>100.02573540397442</v>
      </c>
      <c r="M51">
        <f t="shared" ca="1" si="15"/>
        <v>82.493264596025554</v>
      </c>
      <c r="N51">
        <f t="shared" ca="1" si="4"/>
        <v>0.82000000000000739</v>
      </c>
      <c r="O51">
        <f t="shared" ca="1" si="5"/>
        <v>0.82000000000000739</v>
      </c>
      <c r="P51">
        <f t="shared" ca="1" si="6"/>
        <v>0</v>
      </c>
      <c r="Q51">
        <f t="shared" ca="1" si="10"/>
        <v>0.89842250337084528</v>
      </c>
      <c r="R51">
        <f t="shared" ca="1" si="11"/>
        <v>0.63139760643261378</v>
      </c>
      <c r="S51">
        <f t="shared" ca="1" si="8"/>
        <v>1.4229108476462524</v>
      </c>
      <c r="T51">
        <f t="shared" ca="1" si="9"/>
        <v>58.727329939875652</v>
      </c>
      <c r="U51">
        <f>70</f>
        <v>70</v>
      </c>
      <c r="V51">
        <f>30</f>
        <v>30</v>
      </c>
      <c r="W51">
        <f t="shared" ca="1" si="7"/>
        <v>93.693867505010303</v>
      </c>
      <c r="X51">
        <f t="shared" ca="1" si="17"/>
        <v>92.198640990041994</v>
      </c>
      <c r="Y51">
        <f t="shared" ca="1" si="16"/>
        <v>1.6681490804114389</v>
      </c>
      <c r="Z51">
        <f t="shared" ca="1" si="18"/>
        <v>0.91304626025330615</v>
      </c>
      <c r="AA51">
        <f t="shared" ca="1" si="19"/>
        <v>0.75510282015813279</v>
      </c>
    </row>
    <row r="52" spans="1:27" x14ac:dyDescent="0.25">
      <c r="A52" s="20">
        <f t="shared" ca="1" si="0"/>
        <v>45775</v>
      </c>
      <c r="B52" vm="151">
        <f ca="1"/>
        <v>45777</v>
      </c>
      <c r="C52" vm="152">
        <f ca="1"/>
        <v>97.25</v>
      </c>
      <c r="D52" vm="153">
        <f ca="1"/>
        <v>21639860</v>
      </c>
      <c r="E52">
        <f t="shared" ca="1" si="1"/>
        <v>2104476385</v>
      </c>
      <c r="F52">
        <f ca="1">SUM($E$2:E52)/SUM($D$2:D52)</f>
        <v>90.746630899089041</v>
      </c>
      <c r="G52">
        <f ca="1">_xlfn.STDEV.P($C$2:C52)</f>
        <v>5.3464855132441436</v>
      </c>
      <c r="H52">
        <f t="shared" ca="1" si="2"/>
        <v>96.093116412333188</v>
      </c>
      <c r="I52">
        <f t="shared" ca="1" si="3"/>
        <v>85.400145385844894</v>
      </c>
      <c r="J52">
        <f t="shared" ca="1" si="12"/>
        <v>91.680499999999995</v>
      </c>
      <c r="K52">
        <f t="shared" ca="1" si="13"/>
        <v>4.539078824932143</v>
      </c>
      <c r="L52">
        <f t="shared" ca="1" si="14"/>
        <v>100.75865764986428</v>
      </c>
      <c r="M52">
        <f t="shared" ca="1" si="15"/>
        <v>82.602342350135714</v>
      </c>
      <c r="N52">
        <f t="shared" ca="1" si="4"/>
        <v>1.2099999999999937</v>
      </c>
      <c r="O52">
        <f t="shared" ca="1" si="5"/>
        <v>1.2099999999999937</v>
      </c>
      <c r="P52">
        <f t="shared" ca="1" si="6"/>
        <v>0</v>
      </c>
      <c r="Q52">
        <f t="shared" ca="1" si="10"/>
        <v>0.92067803884435584</v>
      </c>
      <c r="R52">
        <f t="shared" ca="1" si="11"/>
        <v>0.58629777740171285</v>
      </c>
      <c r="S52">
        <f t="shared" ca="1" si="8"/>
        <v>1.5703249685245457</v>
      </c>
      <c r="T52">
        <f t="shared" ca="1" si="9"/>
        <v>61.094413654082267</v>
      </c>
      <c r="U52">
        <f>70</f>
        <v>70</v>
      </c>
      <c r="V52">
        <f>30</f>
        <v>30</v>
      </c>
      <c r="W52">
        <f t="shared" ca="1" si="7"/>
        <v>94.240964811931804</v>
      </c>
      <c r="X52">
        <f t="shared" ca="1" si="17"/>
        <v>92.572815731520365</v>
      </c>
      <c r="Y52">
        <f t="shared" ca="1" si="16"/>
        <v>1.7973830096855608</v>
      </c>
      <c r="Z52">
        <f t="shared" ca="1" si="18"/>
        <v>1.0899136101397571</v>
      </c>
      <c r="AA52">
        <f t="shared" ca="1" si="19"/>
        <v>0.70746939954580368</v>
      </c>
    </row>
    <row r="53" spans="1:27" x14ac:dyDescent="0.25">
      <c r="A53" s="20">
        <f t="shared" ca="1" si="0"/>
        <v>45775</v>
      </c>
      <c r="B53" vm="154">
        <f ca="1"/>
        <v>45778</v>
      </c>
      <c r="C53" vm="155">
        <f ca="1"/>
        <v>97.41</v>
      </c>
      <c r="D53" vm="156">
        <f ca="1"/>
        <v>13171784</v>
      </c>
      <c r="E53">
        <f t="shared" ca="1" si="1"/>
        <v>1283063479.4400001</v>
      </c>
      <c r="F53">
        <f ca="1">SUM($E$2:E53)/SUM($D$2:D53)</f>
        <v>90.81413719731691</v>
      </c>
      <c r="G53">
        <f ca="1">_xlfn.STDEV.P($C$2:C53)</f>
        <v>5.3603678607042449</v>
      </c>
      <c r="H53">
        <f t="shared" ca="1" si="2"/>
        <v>96.174505058021154</v>
      </c>
      <c r="I53">
        <f t="shared" ca="1" si="3"/>
        <v>85.453769336612666</v>
      </c>
      <c r="J53">
        <f t="shared" ca="1" si="12"/>
        <v>92.063000000000002</v>
      </c>
      <c r="K53">
        <f t="shared" ca="1" si="13"/>
        <v>4.6885876001425553</v>
      </c>
      <c r="L53">
        <f t="shared" ca="1" si="14"/>
        <v>101.44017520028511</v>
      </c>
      <c r="M53">
        <f t="shared" ca="1" si="15"/>
        <v>82.685824799714894</v>
      </c>
      <c r="N53">
        <f t="shared" ca="1" si="4"/>
        <v>0.15999999999999659</v>
      </c>
      <c r="O53">
        <f t="shared" ca="1" si="5"/>
        <v>0.15999999999999659</v>
      </c>
      <c r="P53">
        <f t="shared" ca="1" si="6"/>
        <v>0</v>
      </c>
      <c r="Q53">
        <f t="shared" ca="1" si="10"/>
        <v>0.86634389321261585</v>
      </c>
      <c r="R53">
        <f t="shared" ca="1" si="11"/>
        <v>0.54441936473016195</v>
      </c>
      <c r="S53">
        <f t="shared" ca="1" si="8"/>
        <v>1.5913171891709139</v>
      </c>
      <c r="T53">
        <f t="shared" ca="1" si="9"/>
        <v>61.409587209972244</v>
      </c>
      <c r="U53">
        <f>70</f>
        <v>70</v>
      </c>
      <c r="V53">
        <f>30</f>
        <v>30</v>
      </c>
      <c r="W53">
        <f t="shared" ca="1" si="7"/>
        <v>94.728508687019229</v>
      </c>
      <c r="X53">
        <f t="shared" ca="1" si="17"/>
        <v>92.931125677333668</v>
      </c>
      <c r="Y53">
        <f t="shared" ca="1" si="16"/>
        <v>1.9850462533084539</v>
      </c>
      <c r="Z53">
        <f t="shared" ca="1" si="18"/>
        <v>1.2689401387734964</v>
      </c>
      <c r="AA53">
        <f t="shared" ca="1" si="19"/>
        <v>0.71610611453495743</v>
      </c>
    </row>
    <row r="54" spans="1:27" x14ac:dyDescent="0.25">
      <c r="A54" s="20">
        <f t="shared" ca="1" si="0"/>
        <v>45775</v>
      </c>
      <c r="B54" vm="157">
        <f ca="1"/>
        <v>45779</v>
      </c>
      <c r="C54" vm="158">
        <f ca="1"/>
        <v>98.75</v>
      </c>
      <c r="D54" vm="159">
        <f ca="1"/>
        <v>16031373</v>
      </c>
      <c r="E54">
        <f t="shared" ca="1" si="1"/>
        <v>1583098083.75</v>
      </c>
      <c r="F54">
        <f ca="1">SUM($E$2:E54)/SUM($D$2:D54)</f>
        <v>90.910797560275498</v>
      </c>
      <c r="G54">
        <f ca="1">_xlfn.STDEV.P($C$2:C54)</f>
        <v>5.401854678003116</v>
      </c>
      <c r="H54">
        <f t="shared" ca="1" si="2"/>
        <v>96.312652238278616</v>
      </c>
      <c r="I54">
        <f t="shared" ca="1" si="3"/>
        <v>85.508942882272379</v>
      </c>
      <c r="J54">
        <f t="shared" ca="1" si="12"/>
        <v>92.637500000000003</v>
      </c>
      <c r="K54">
        <f t="shared" ca="1" si="13"/>
        <v>4.7722904960770522</v>
      </c>
      <c r="L54">
        <f t="shared" ca="1" si="14"/>
        <v>102.18208099215411</v>
      </c>
      <c r="M54">
        <f t="shared" ca="1" si="15"/>
        <v>83.092919007845893</v>
      </c>
      <c r="N54">
        <f t="shared" ca="1" si="4"/>
        <v>1.3400000000000034</v>
      </c>
      <c r="O54">
        <f t="shared" ca="1" si="5"/>
        <v>1.3400000000000034</v>
      </c>
      <c r="P54">
        <f t="shared" ca="1" si="6"/>
        <v>0</v>
      </c>
      <c r="Q54">
        <f t="shared" ca="1" si="10"/>
        <v>0.90017647226885777</v>
      </c>
      <c r="R54">
        <f t="shared" ca="1" si="11"/>
        <v>0.50553226724943612</v>
      </c>
      <c r="S54">
        <f t="shared" ca="1" si="8"/>
        <v>1.780650871539124</v>
      </c>
      <c r="T54">
        <f t="shared" ca="1" si="9"/>
        <v>64.037196821962482</v>
      </c>
      <c r="U54">
        <f>70</f>
        <v>70</v>
      </c>
      <c r="V54">
        <f>30</f>
        <v>30</v>
      </c>
      <c r="W54">
        <f t="shared" ca="1" si="7"/>
        <v>95.347199658247035</v>
      </c>
      <c r="X54">
        <f t="shared" ca="1" si="17"/>
        <v>93.362153404938582</v>
      </c>
      <c r="Y54">
        <f t="shared" ca="1" si="16"/>
        <v>2.1557220566790107</v>
      </c>
      <c r="Z54">
        <f t="shared" ca="1" si="18"/>
        <v>1.4462965223545994</v>
      </c>
      <c r="AA54">
        <f t="shared" ca="1" si="19"/>
        <v>0.70942553432441136</v>
      </c>
    </row>
    <row r="55" spans="1:27" x14ac:dyDescent="0.25">
      <c r="A55" s="20">
        <f t="shared" ca="1" si="0"/>
        <v>45782</v>
      </c>
      <c r="B55" vm="160">
        <f ca="1"/>
        <v>45782</v>
      </c>
      <c r="C55" vm="161">
        <f ca="1"/>
        <v>99.33</v>
      </c>
      <c r="D55" vm="162">
        <f ca="1"/>
        <v>12439132</v>
      </c>
      <c r="E55">
        <f t="shared" ca="1" si="1"/>
        <v>1235578981.5599999</v>
      </c>
      <c r="F55">
        <f ca="1">SUM($E$2:E55)/SUM($D$2:D55)</f>
        <v>90.989621724836908</v>
      </c>
      <c r="G55">
        <f ca="1">_xlfn.STDEV.P($C$2:C55)</f>
        <v>5.4526446717463388</v>
      </c>
      <c r="H55">
        <f t="shared" ca="1" si="2"/>
        <v>96.44226639658325</v>
      </c>
      <c r="I55">
        <f t="shared" ca="1" si="3"/>
        <v>85.536977053090567</v>
      </c>
      <c r="J55">
        <f t="shared" ca="1" si="12"/>
        <v>93.444499999999991</v>
      </c>
      <c r="K55">
        <f t="shared" ca="1" si="13"/>
        <v>4.4439769706637176</v>
      </c>
      <c r="L55">
        <f t="shared" ca="1" si="14"/>
        <v>102.33245394132743</v>
      </c>
      <c r="M55">
        <f t="shared" ca="1" si="15"/>
        <v>84.556546058672552</v>
      </c>
      <c r="N55">
        <f t="shared" ca="1" si="4"/>
        <v>0.57999999999999829</v>
      </c>
      <c r="O55">
        <f t="shared" ca="1" si="5"/>
        <v>0.57999999999999829</v>
      </c>
      <c r="P55">
        <f t="shared" ca="1" si="6"/>
        <v>0</v>
      </c>
      <c r="Q55">
        <f t="shared" ca="1" si="10"/>
        <v>0.87730672424965361</v>
      </c>
      <c r="R55">
        <f t="shared" ca="1" si="11"/>
        <v>0.46942281958876209</v>
      </c>
      <c r="S55">
        <f t="shared" ca="1" si="8"/>
        <v>1.8689051482802184</v>
      </c>
      <c r="T55">
        <f t="shared" ca="1" si="9"/>
        <v>65.143497316408116</v>
      </c>
      <c r="U55">
        <f>70</f>
        <v>70</v>
      </c>
      <c r="V55">
        <f>30</f>
        <v>30</v>
      </c>
      <c r="W55">
        <f t="shared" ca="1" si="7"/>
        <v>95.959938172362868</v>
      </c>
      <c r="X55">
        <f t="shared" ca="1" si="17"/>
        <v>93.804216115683857</v>
      </c>
      <c r="Y55">
        <f t="shared" ca="1" si="16"/>
        <v>2.202653560098355</v>
      </c>
      <c r="Z55">
        <f t="shared" ca="1" si="18"/>
        <v>1.5975679299033507</v>
      </c>
      <c r="AA55">
        <f t="shared" ca="1" si="19"/>
        <v>0.60508563019500428</v>
      </c>
    </row>
    <row r="56" spans="1:27" x14ac:dyDescent="0.25">
      <c r="A56" s="20">
        <f t="shared" ca="1" si="0"/>
        <v>45782</v>
      </c>
      <c r="B56" vm="163">
        <f ca="1"/>
        <v>45783</v>
      </c>
      <c r="C56" vm="164">
        <f ca="1"/>
        <v>98.55</v>
      </c>
      <c r="D56" vm="165">
        <f ca="1"/>
        <v>10625999</v>
      </c>
      <c r="E56">
        <f t="shared" ca="1" si="1"/>
        <v>1047192201.4499999</v>
      </c>
      <c r="F56">
        <f ca="1">SUM($E$2:E56)/SUM($D$2:D56)</f>
        <v>91.049608025358097</v>
      </c>
      <c r="G56">
        <f ca="1">_xlfn.STDEV.P($C$2:C56)</f>
        <v>5.4792925766467206</v>
      </c>
      <c r="H56">
        <f t="shared" ca="1" si="2"/>
        <v>96.528900602004825</v>
      </c>
      <c r="I56">
        <f t="shared" ca="1" si="3"/>
        <v>85.570315448711369</v>
      </c>
      <c r="J56">
        <f t="shared" ca="1" si="12"/>
        <v>94.180499999999995</v>
      </c>
      <c r="K56">
        <f t="shared" ca="1" si="13"/>
        <v>3.9604843869086728</v>
      </c>
      <c r="L56">
        <f t="shared" ca="1" si="14"/>
        <v>102.10146877381734</v>
      </c>
      <c r="M56">
        <f t="shared" ca="1" si="15"/>
        <v>86.259531226182645</v>
      </c>
      <c r="N56">
        <f t="shared" ca="1" si="4"/>
        <v>-0.78000000000000114</v>
      </c>
      <c r="O56">
        <f t="shared" ca="1" si="5"/>
        <v>0</v>
      </c>
      <c r="P56">
        <f t="shared" ca="1" si="6"/>
        <v>0.78000000000000114</v>
      </c>
      <c r="Q56">
        <f t="shared" ca="1" si="10"/>
        <v>0.81464195823182117</v>
      </c>
      <c r="R56">
        <f t="shared" ca="1" si="11"/>
        <v>0.49160690390385059</v>
      </c>
      <c r="S56">
        <f t="shared" ca="1" si="8"/>
        <v>1.6571003209327393</v>
      </c>
      <c r="T56">
        <f t="shared" ca="1" si="9"/>
        <v>62.364988927141319</v>
      </c>
      <c r="U56">
        <f>70</f>
        <v>70</v>
      </c>
      <c r="V56">
        <f>30</f>
        <v>30</v>
      </c>
      <c r="W56">
        <f t="shared" ca="1" si="7"/>
        <v>96.358409222768586</v>
      </c>
      <c r="X56">
        <f t="shared" ca="1" si="17"/>
        <v>94.155755662670231</v>
      </c>
      <c r="Y56">
        <f t="shared" ca="1" si="16"/>
        <v>2.2366579737733474</v>
      </c>
      <c r="Z56">
        <f t="shared" ca="1" si="18"/>
        <v>1.72538593867735</v>
      </c>
      <c r="AA56">
        <f t="shared" ca="1" si="19"/>
        <v>0.51127203509599739</v>
      </c>
    </row>
    <row r="57" spans="1:27" x14ac:dyDescent="0.25">
      <c r="A57" s="20">
        <f t="shared" ca="1" si="0"/>
        <v>45782</v>
      </c>
      <c r="B57" vm="166">
        <f ca="1"/>
        <v>45784</v>
      </c>
      <c r="C57" vm="167">
        <f ca="1"/>
        <v>98.83</v>
      </c>
      <c r="D57" vm="168">
        <f ca="1"/>
        <v>11310191</v>
      </c>
      <c r="E57">
        <f t="shared" ca="1" si="1"/>
        <v>1117786176.53</v>
      </c>
      <c r="F57">
        <f ca="1">SUM($E$2:E57)/SUM($D$2:D57)</f>
        <v>91.114764549173756</v>
      </c>
      <c r="G57">
        <f ca="1">_xlfn.STDEV.P($C$2:C57)</f>
        <v>5.5083190302977929</v>
      </c>
      <c r="H57">
        <f t="shared" ca="1" si="2"/>
        <v>96.623083579471555</v>
      </c>
      <c r="I57">
        <f t="shared" ca="1" si="3"/>
        <v>85.606445518875958</v>
      </c>
      <c r="J57">
        <f t="shared" ca="1" si="12"/>
        <v>95.032499999999999</v>
      </c>
      <c r="K57">
        <f t="shared" ca="1" si="13"/>
        <v>2.8246897826878365</v>
      </c>
      <c r="L57">
        <f t="shared" ca="1" si="14"/>
        <v>100.68187956537567</v>
      </c>
      <c r="M57">
        <f t="shared" ca="1" si="15"/>
        <v>89.383120434624331</v>
      </c>
      <c r="N57">
        <f t="shared" ca="1" si="4"/>
        <v>0.28000000000000114</v>
      </c>
      <c r="O57">
        <f t="shared" ca="1" si="5"/>
        <v>0.28000000000000114</v>
      </c>
      <c r="P57">
        <f t="shared" ca="1" si="6"/>
        <v>0</v>
      </c>
      <c r="Q57">
        <f t="shared" ca="1" si="10"/>
        <v>0.77645324692954831</v>
      </c>
      <c r="R57">
        <f t="shared" ca="1" si="11"/>
        <v>0.4564921250535755</v>
      </c>
      <c r="S57">
        <f t="shared" ca="1" si="8"/>
        <v>1.7009126868035698</v>
      </c>
      <c r="T57">
        <f t="shared" ca="1" si="9"/>
        <v>62.97547844156847</v>
      </c>
      <c r="U57">
        <f>70</f>
        <v>70</v>
      </c>
      <c r="V57">
        <f>30</f>
        <v>30</v>
      </c>
      <c r="W57">
        <f t="shared" ca="1" si="7"/>
        <v>96.738653957727266</v>
      </c>
      <c r="X57">
        <f t="shared" ca="1" si="17"/>
        <v>94.501995983953918</v>
      </c>
      <c r="Y57">
        <f t="shared" ca="1" si="16"/>
        <v>2.1261297169799889</v>
      </c>
      <c r="Z57">
        <f t="shared" ca="1" si="18"/>
        <v>1.8055346943378778</v>
      </c>
      <c r="AA57">
        <f t="shared" ca="1" si="19"/>
        <v>0.32059502264211104</v>
      </c>
    </row>
    <row r="58" spans="1:27" x14ac:dyDescent="0.25">
      <c r="A58" s="20">
        <f t="shared" ca="1" si="0"/>
        <v>45782</v>
      </c>
      <c r="B58" vm="169">
        <f ca="1"/>
        <v>45785</v>
      </c>
      <c r="C58" vm="170">
        <f ca="1"/>
        <v>97.43</v>
      </c>
      <c r="D58" vm="171">
        <f ca="1"/>
        <v>14461119</v>
      </c>
      <c r="E58">
        <f t="shared" ca="1" si="1"/>
        <v>1408946824.1700001</v>
      </c>
      <c r="F58">
        <f ca="1">SUM($E$2:E58)/SUM($D$2:D58)</f>
        <v>91.181668604823926</v>
      </c>
      <c r="G58">
        <f ca="1">_xlfn.STDEV.P($C$2:C58)</f>
        <v>5.5066022378234045</v>
      </c>
      <c r="H58">
        <f t="shared" ca="1" si="2"/>
        <v>96.688270842647327</v>
      </c>
      <c r="I58">
        <f t="shared" ca="1" si="3"/>
        <v>85.675066367000525</v>
      </c>
      <c r="J58">
        <f t="shared" ca="1" si="12"/>
        <v>95.424000000000007</v>
      </c>
      <c r="K58">
        <f t="shared" ca="1" si="13"/>
        <v>2.5625755958040592</v>
      </c>
      <c r="L58">
        <f t="shared" ca="1" si="14"/>
        <v>100.54915119160813</v>
      </c>
      <c r="M58">
        <f t="shared" ca="1" si="15"/>
        <v>90.298848808391881</v>
      </c>
      <c r="N58">
        <f t="shared" ca="1" si="4"/>
        <v>-1.3999999999999915</v>
      </c>
      <c r="O58">
        <f t="shared" ca="1" si="5"/>
        <v>0</v>
      </c>
      <c r="P58">
        <f t="shared" ca="1" si="6"/>
        <v>1.3999999999999915</v>
      </c>
      <c r="Q58">
        <f t="shared" ca="1" si="10"/>
        <v>0.72099230072029485</v>
      </c>
      <c r="R58">
        <f t="shared" ca="1" si="11"/>
        <v>0.52388554469260529</v>
      </c>
      <c r="S58">
        <f t="shared" ca="1" si="8"/>
        <v>1.3762401120331422</v>
      </c>
      <c r="T58">
        <f t="shared" ca="1" si="9"/>
        <v>57.91671073406858</v>
      </c>
      <c r="U58">
        <f>70</f>
        <v>70</v>
      </c>
      <c r="V58">
        <f>30</f>
        <v>30</v>
      </c>
      <c r="W58">
        <f t="shared" ca="1" si="7"/>
        <v>96.845014887307684</v>
      </c>
      <c r="X58">
        <f t="shared" ca="1" si="17"/>
        <v>94.718885170327695</v>
      </c>
      <c r="Y58">
        <f t="shared" ca="1" si="16"/>
        <v>1.9586659292703104</v>
      </c>
      <c r="Z58">
        <f t="shared" ca="1" si="18"/>
        <v>1.8361609413243645</v>
      </c>
      <c r="AA58">
        <f t="shared" ca="1" si="19"/>
        <v>0.12250498794594589</v>
      </c>
    </row>
    <row r="59" spans="1:27" x14ac:dyDescent="0.25">
      <c r="A59" s="20">
        <f t="shared" ca="1" si="0"/>
        <v>45782</v>
      </c>
      <c r="B59" vm="172">
        <f ca="1"/>
        <v>45786</v>
      </c>
      <c r="C59" vm="173">
        <f ca="1"/>
        <v>96.72</v>
      </c>
      <c r="D59" vm="174">
        <f ca="1"/>
        <v>13697822</v>
      </c>
      <c r="E59">
        <f t="shared" ca="1" si="1"/>
        <v>1324853343.8399999</v>
      </c>
      <c r="F59">
        <f ca="1">SUM($E$2:E59)/SUM($D$2:D59)</f>
        <v>91.236692975016695</v>
      </c>
      <c r="G59">
        <f ca="1">_xlfn.STDEV.P($C$2:C59)</f>
        <v>5.4924076555673293</v>
      </c>
      <c r="H59">
        <f t="shared" ca="1" si="2"/>
        <v>96.729100630584028</v>
      </c>
      <c r="I59">
        <f t="shared" ca="1" si="3"/>
        <v>85.744285319449361</v>
      </c>
      <c r="J59">
        <f t="shared" ca="1" si="12"/>
        <v>95.729500000000002</v>
      </c>
      <c r="K59">
        <f t="shared" ca="1" si="13"/>
        <v>2.310245999660506</v>
      </c>
      <c r="L59">
        <f t="shared" ca="1" si="14"/>
        <v>100.34999199932102</v>
      </c>
      <c r="M59">
        <f t="shared" ca="1" si="15"/>
        <v>91.109008000678983</v>
      </c>
      <c r="N59">
        <f t="shared" ca="1" si="4"/>
        <v>-0.71000000000000796</v>
      </c>
      <c r="O59">
        <f t="shared" ca="1" si="5"/>
        <v>0</v>
      </c>
      <c r="P59">
        <f t="shared" ca="1" si="6"/>
        <v>0.71000000000000796</v>
      </c>
      <c r="Q59">
        <f t="shared" ca="1" si="10"/>
        <v>0.66949285066884523</v>
      </c>
      <c r="R59">
        <f t="shared" ca="1" si="11"/>
        <v>0.53717943435741977</v>
      </c>
      <c r="S59">
        <f t="shared" ca="1" si="8"/>
        <v>1.2463113958740812</v>
      </c>
      <c r="T59">
        <f t="shared" ca="1" si="9"/>
        <v>55.48257459599089</v>
      </c>
      <c r="U59">
        <f>70</f>
        <v>70</v>
      </c>
      <c r="V59">
        <f>30</f>
        <v>30</v>
      </c>
      <c r="W59">
        <f t="shared" ca="1" si="7"/>
        <v>96.825781827721883</v>
      </c>
      <c r="X59">
        <f t="shared" ca="1" si="17"/>
        <v>94.867115898451573</v>
      </c>
      <c r="Y59">
        <f t="shared" ca="1" si="16"/>
        <v>1.8075342901328781</v>
      </c>
      <c r="Z59">
        <f t="shared" ca="1" si="18"/>
        <v>1.8304356110860673</v>
      </c>
      <c r="AA59">
        <f t="shared" ca="1" si="19"/>
        <v>-2.2901320953189197E-2</v>
      </c>
    </row>
    <row r="60" spans="1:27" x14ac:dyDescent="0.25">
      <c r="A60" s="20">
        <f t="shared" ca="1" si="0"/>
        <v>45789</v>
      </c>
      <c r="B60" vm="175">
        <f ca="1"/>
        <v>45789</v>
      </c>
      <c r="C60" vm="176">
        <f ca="1"/>
        <v>96.75</v>
      </c>
      <c r="D60" vm="177">
        <f ca="1"/>
        <v>26783925</v>
      </c>
      <c r="E60">
        <f t="shared" ca="1" si="1"/>
        <v>2591344743.75</v>
      </c>
      <c r="F60">
        <f ca="1">SUM($E$2:E60)/SUM($D$2:D60)</f>
        <v>91.341757238634216</v>
      </c>
      <c r="G60">
        <f ca="1">_xlfn.STDEV.P($C$2:C60)</f>
        <v>5.4779625985892473</v>
      </c>
      <c r="H60">
        <f t="shared" ca="1" si="2"/>
        <v>96.81971983722346</v>
      </c>
      <c r="I60">
        <f t="shared" ca="1" si="3"/>
        <v>85.863794640044972</v>
      </c>
      <c r="J60">
        <f t="shared" ca="1" si="12"/>
        <v>95.927000000000007</v>
      </c>
      <c r="K60">
        <f t="shared" ca="1" si="13"/>
        <v>2.2134376692804061</v>
      </c>
      <c r="L60">
        <f t="shared" ca="1" si="14"/>
        <v>100.35387533856081</v>
      </c>
      <c r="M60">
        <f t="shared" ca="1" si="15"/>
        <v>91.500124661439202</v>
      </c>
      <c r="N60">
        <f t="shared" ca="1" si="4"/>
        <v>3.0000000000001137E-2</v>
      </c>
      <c r="O60">
        <f t="shared" ca="1" si="5"/>
        <v>3.0000000000001137E-2</v>
      </c>
      <c r="P60">
        <f t="shared" ca="1" si="6"/>
        <v>0</v>
      </c>
      <c r="Q60">
        <f t="shared" ca="1" si="10"/>
        <v>0.62381478990678496</v>
      </c>
      <c r="R60">
        <f t="shared" ca="1" si="11"/>
        <v>0.49880947476046122</v>
      </c>
      <c r="S60">
        <f t="shared" ca="1" si="8"/>
        <v>1.2506073390172749</v>
      </c>
      <c r="T60">
        <f t="shared" ca="1" si="9"/>
        <v>55.567549138240672</v>
      </c>
      <c r="U60">
        <f>70</f>
        <v>70</v>
      </c>
      <c r="V60">
        <f>30</f>
        <v>30</v>
      </c>
      <c r="W60">
        <f t="shared" ca="1" si="7"/>
        <v>96.814123084995444</v>
      </c>
      <c r="X60">
        <f t="shared" ca="1" si="17"/>
        <v>95.006588794862566</v>
      </c>
      <c r="Y60">
        <f t="shared" ca="1" si="16"/>
        <v>1.5991259199809491</v>
      </c>
      <c r="Z60">
        <f t="shared" ca="1" si="18"/>
        <v>1.7841736728650439</v>
      </c>
      <c r="AA60">
        <f t="shared" ca="1" si="19"/>
        <v>-0.18504775288409481</v>
      </c>
    </row>
    <row r="61" spans="1:27" x14ac:dyDescent="0.25">
      <c r="A61" s="20">
        <f t="shared" ca="1" si="0"/>
        <v>45789</v>
      </c>
      <c r="B61" vm="178">
        <f ca="1"/>
        <v>45790</v>
      </c>
      <c r="C61" vm="179">
        <f ca="1"/>
        <v>95.88</v>
      </c>
      <c r="D61" vm="180">
        <f ca="1"/>
        <v>19746658</v>
      </c>
      <c r="E61">
        <f t="shared" ca="1" si="1"/>
        <v>1893309569.04</v>
      </c>
      <c r="F61">
        <f ca="1">SUM($E$2:E61)/SUM($D$2:D61)</f>
        <v>91.404634088683892</v>
      </c>
      <c r="G61">
        <f ca="1">_xlfn.STDEV.P($C$2:C61)</f>
        <v>5.4522222049566382</v>
      </c>
      <c r="H61">
        <f t="shared" ca="1" si="2"/>
        <v>96.856856293640533</v>
      </c>
      <c r="I61">
        <f t="shared" ca="1" si="3"/>
        <v>85.952411883727251</v>
      </c>
      <c r="J61">
        <f t="shared" ca="1" si="12"/>
        <v>95.984499999999997</v>
      </c>
      <c r="K61">
        <f t="shared" ca="1" si="13"/>
        <v>2.1955708405308805</v>
      </c>
      <c r="L61">
        <f t="shared" ca="1" si="14"/>
        <v>100.37564168106175</v>
      </c>
      <c r="M61">
        <f t="shared" ca="1" si="15"/>
        <v>91.593358318938243</v>
      </c>
      <c r="N61">
        <f t="shared" ca="1" si="4"/>
        <v>-0.87000000000000455</v>
      </c>
      <c r="O61">
        <f t="shared" ca="1" si="5"/>
        <v>0</v>
      </c>
      <c r="P61">
        <f t="shared" ca="1" si="6"/>
        <v>0.87000000000000455</v>
      </c>
      <c r="Q61">
        <f t="shared" ca="1" si="10"/>
        <v>0.57925659062772894</v>
      </c>
      <c r="R61">
        <f t="shared" ca="1" si="11"/>
        <v>0.52532308370614289</v>
      </c>
      <c r="S61">
        <f t="shared" ca="1" si="8"/>
        <v>1.1026673081660268</v>
      </c>
      <c r="T61">
        <f t="shared" ca="1" si="9"/>
        <v>52.441358834260242</v>
      </c>
      <c r="U61">
        <f>70</f>
        <v>70</v>
      </c>
      <c r="V61">
        <f>30</f>
        <v>30</v>
      </c>
      <c r="W61">
        <f t="shared" ca="1" si="7"/>
        <v>96.670411841149999</v>
      </c>
      <c r="X61">
        <f t="shared" ca="1" si="17"/>
        <v>95.07128592116905</v>
      </c>
      <c r="Y61">
        <f t="shared" ca="1" si="16"/>
        <v>1.4934028274689695</v>
      </c>
      <c r="Z61">
        <f t="shared" ca="1" si="18"/>
        <v>1.726019503785829</v>
      </c>
      <c r="AA61">
        <f t="shared" ca="1" si="19"/>
        <v>-0.23261667631685956</v>
      </c>
    </row>
    <row r="62" spans="1:27" x14ac:dyDescent="0.25">
      <c r="A62" s="20">
        <f t="shared" ca="1" si="0"/>
        <v>45789</v>
      </c>
      <c r="B62" vm="181">
        <f ca="1"/>
        <v>45791</v>
      </c>
      <c r="C62" vm="182">
        <f ca="1"/>
        <v>96.83</v>
      </c>
      <c r="D62" vm="183">
        <f ca="1"/>
        <v>25620110</v>
      </c>
      <c r="E62">
        <f t="shared" ca="1" si="1"/>
        <v>2480795251.3000002</v>
      </c>
      <c r="F62">
        <f ca="1">SUM($E$2:E62)/SUM($D$2:D62)</f>
        <v>91.50043772204782</v>
      </c>
      <c r="G62">
        <f ca="1">_xlfn.STDEV.P($C$2:C62)</f>
        <v>5.4380303752122172</v>
      </c>
      <c r="H62">
        <f t="shared" ca="1" si="2"/>
        <v>96.938468097260042</v>
      </c>
      <c r="I62">
        <f t="shared" ca="1" si="3"/>
        <v>86.062407346835599</v>
      </c>
      <c r="J62">
        <f t="shared" ca="1" si="12"/>
        <v>96.127499999999984</v>
      </c>
      <c r="K62">
        <f t="shared" ca="1" si="13"/>
        <v>2.1501257613157625</v>
      </c>
      <c r="L62">
        <f t="shared" ca="1" si="14"/>
        <v>100.42775152263151</v>
      </c>
      <c r="M62">
        <f t="shared" ca="1" si="15"/>
        <v>91.827248477368457</v>
      </c>
      <c r="N62">
        <f t="shared" ca="1" si="4"/>
        <v>0.95000000000000284</v>
      </c>
      <c r="O62">
        <f t="shared" ca="1" si="5"/>
        <v>0.95000000000000284</v>
      </c>
      <c r="P62">
        <f t="shared" ca="1" si="6"/>
        <v>0</v>
      </c>
      <c r="Q62">
        <f t="shared" ca="1" si="10"/>
        <v>0.60573826272574849</v>
      </c>
      <c r="R62">
        <f t="shared" ca="1" si="11"/>
        <v>0.48780000629856124</v>
      </c>
      <c r="S62">
        <f t="shared" ca="1" si="8"/>
        <v>1.2417758403123151</v>
      </c>
      <c r="T62">
        <f t="shared" ca="1" si="9"/>
        <v>55.392507046525935</v>
      </c>
      <c r="U62">
        <f>70</f>
        <v>70</v>
      </c>
      <c r="V62">
        <f>30</f>
        <v>30</v>
      </c>
      <c r="W62">
        <f t="shared" ca="1" si="7"/>
        <v>96.694963865588463</v>
      </c>
      <c r="X62">
        <f t="shared" ca="1" si="17"/>
        <v>95.201561038119493</v>
      </c>
      <c r="Y62">
        <f t="shared" ca="1" si="16"/>
        <v>1.355261910800408</v>
      </c>
      <c r="Z62">
        <f t="shared" ca="1" si="18"/>
        <v>1.651867985188745</v>
      </c>
      <c r="AA62">
        <f t="shared" ca="1" si="19"/>
        <v>-0.29660607438833697</v>
      </c>
    </row>
    <row r="63" spans="1:27" x14ac:dyDescent="0.25">
      <c r="A63" s="20">
        <f t="shared" ca="1" si="0"/>
        <v>45789</v>
      </c>
      <c r="B63" vm="184">
        <f ca="1"/>
        <v>45792</v>
      </c>
      <c r="C63" vm="185">
        <f ca="1"/>
        <v>96.35</v>
      </c>
      <c r="D63" vm="186">
        <f ca="1"/>
        <v>44026125</v>
      </c>
      <c r="E63">
        <f t="shared" ca="1" si="1"/>
        <v>4241917143.7499995</v>
      </c>
      <c r="F63">
        <f ca="1">SUM($E$2:E63)/SUM($D$2:D63)</f>
        <v>91.643262129229711</v>
      </c>
      <c r="G63">
        <f ca="1">_xlfn.STDEV.P($C$2:C63)</f>
        <v>5.4173453383634733</v>
      </c>
      <c r="H63">
        <f t="shared" ca="1" si="2"/>
        <v>97.060607467593186</v>
      </c>
      <c r="I63">
        <f t="shared" ca="1" si="3"/>
        <v>86.225916790866236</v>
      </c>
      <c r="J63">
        <f t="shared" ca="1" si="12"/>
        <v>96.385499999999979</v>
      </c>
      <c r="K63">
        <f t="shared" ca="1" si="13"/>
        <v>1.8089993599254059</v>
      </c>
      <c r="L63">
        <f t="shared" ca="1" si="14"/>
        <v>100.0034987198508</v>
      </c>
      <c r="M63">
        <f t="shared" ca="1" si="15"/>
        <v>92.767501280149162</v>
      </c>
      <c r="N63">
        <f t="shared" ca="1" si="4"/>
        <v>-0.48000000000000398</v>
      </c>
      <c r="O63">
        <f t="shared" ca="1" si="5"/>
        <v>0</v>
      </c>
      <c r="P63">
        <f t="shared" ca="1" si="6"/>
        <v>0.48000000000000398</v>
      </c>
      <c r="Q63">
        <f t="shared" ca="1" si="10"/>
        <v>0.56247124395962367</v>
      </c>
      <c r="R63">
        <f t="shared" ca="1" si="11"/>
        <v>0.48724286299152147</v>
      </c>
      <c r="S63">
        <f t="shared" ca="1" si="8"/>
        <v>1.1543960654574252</v>
      </c>
      <c r="T63">
        <f t="shared" ca="1" si="9"/>
        <v>53.583279507722359</v>
      </c>
      <c r="U63">
        <f>70</f>
        <v>70</v>
      </c>
      <c r="V63">
        <f>30</f>
        <v>30</v>
      </c>
      <c r="W63">
        <f t="shared" ca="1" si="7"/>
        <v>96.641892501651782</v>
      </c>
      <c r="X63">
        <f t="shared" ca="1" si="17"/>
        <v>95.286630590851374</v>
      </c>
      <c r="Y63">
        <f t="shared" ca="1" si="16"/>
        <v>1.3823564984726033</v>
      </c>
      <c r="Z63">
        <f t="shared" ca="1" si="18"/>
        <v>1.5979656878455168</v>
      </c>
      <c r="AA63">
        <f t="shared" ca="1" si="19"/>
        <v>-0.21560918937291351</v>
      </c>
    </row>
    <row r="64" spans="1:27" x14ac:dyDescent="0.25">
      <c r="A64" s="20">
        <f t="shared" ca="1" si="0"/>
        <v>45789</v>
      </c>
      <c r="B64" vm="187">
        <f ca="1"/>
        <v>45793</v>
      </c>
      <c r="C64" vm="188">
        <f ca="1"/>
        <v>98.24</v>
      </c>
      <c r="D64" vm="189">
        <f ca="1"/>
        <v>33746187</v>
      </c>
      <c r="E64">
        <f t="shared" ca="1" si="1"/>
        <v>3315225410.8799996</v>
      </c>
      <c r="F64">
        <f ca="1">SUM($E$2:E64)/SUM($D$2:D64)</f>
        <v>91.788891338963069</v>
      </c>
      <c r="G64">
        <f ca="1">_xlfn.STDEV.P($C$2:C64)</f>
        <v>5.4230833904071245</v>
      </c>
      <c r="H64">
        <f t="shared" ca="1" si="2"/>
        <v>97.211974729370198</v>
      </c>
      <c r="I64">
        <f t="shared" ca="1" si="3"/>
        <v>86.36580794855594</v>
      </c>
      <c r="J64">
        <f t="shared" ca="1" si="12"/>
        <v>96.636499999999984</v>
      </c>
      <c r="K64">
        <f t="shared" ca="1" si="13"/>
        <v>1.691088951565016</v>
      </c>
      <c r="L64">
        <f t="shared" ca="1" si="14"/>
        <v>100.01867790313001</v>
      </c>
      <c r="M64">
        <f t="shared" ca="1" si="15"/>
        <v>93.254322096869956</v>
      </c>
      <c r="N64">
        <f t="shared" ca="1" si="4"/>
        <v>1.8900000000000006</v>
      </c>
      <c r="O64">
        <f t="shared" ca="1" si="5"/>
        <v>1.8900000000000006</v>
      </c>
      <c r="P64">
        <f t="shared" ca="1" si="6"/>
        <v>0</v>
      </c>
      <c r="Q64">
        <f t="shared" ca="1" si="10"/>
        <v>0.65729472653393628</v>
      </c>
      <c r="R64">
        <f t="shared" ca="1" si="11"/>
        <v>0.45243980134926998</v>
      </c>
      <c r="S64">
        <f t="shared" ca="1" si="8"/>
        <v>1.4527783023813248</v>
      </c>
      <c r="T64">
        <f t="shared" ca="1" si="9"/>
        <v>59.229906794709834</v>
      </c>
      <c r="U64">
        <f>70</f>
        <v>70</v>
      </c>
      <c r="V64">
        <f>30</f>
        <v>30</v>
      </c>
      <c r="W64">
        <f t="shared" ca="1" si="7"/>
        <v>96.88775519370536</v>
      </c>
      <c r="X64">
        <f t="shared" ca="1" si="17"/>
        <v>95.505398695232756</v>
      </c>
      <c r="Y64">
        <f t="shared" ca="1" si="16"/>
        <v>1.3782584517944372</v>
      </c>
      <c r="Z64">
        <f t="shared" ca="1" si="18"/>
        <v>1.5540242406353011</v>
      </c>
      <c r="AA64">
        <f t="shared" ca="1" si="19"/>
        <v>-0.17576578884086391</v>
      </c>
    </row>
    <row r="65" spans="1:27" x14ac:dyDescent="0.25">
      <c r="A65" s="20">
        <f t="shared" ca="1" si="0"/>
        <v>45796</v>
      </c>
      <c r="B65" vm="190">
        <f ca="1"/>
        <v>45796</v>
      </c>
      <c r="C65" vm="191">
        <f ca="1"/>
        <v>98.12</v>
      </c>
      <c r="D65" vm="192">
        <f ca="1"/>
        <v>20041573</v>
      </c>
      <c r="E65">
        <f t="shared" ca="1" si="1"/>
        <v>1966479142.76</v>
      </c>
      <c r="F65">
        <f ca="1">SUM($E$2:E65)/SUM($D$2:D65)</f>
        <v>91.870822521030078</v>
      </c>
      <c r="G65">
        <f ca="1">_xlfn.STDEV.P($C$2:C65)</f>
        <v>5.4252142252309667</v>
      </c>
      <c r="H65">
        <f t="shared" ca="1" si="2"/>
        <v>97.296036746261052</v>
      </c>
      <c r="I65">
        <f t="shared" ca="1" si="3"/>
        <v>86.445608295799104</v>
      </c>
      <c r="J65">
        <f t="shared" ca="1" si="12"/>
        <v>96.921999999999997</v>
      </c>
      <c r="K65">
        <f t="shared" ca="1" si="13"/>
        <v>1.3962943438748303</v>
      </c>
      <c r="L65">
        <f t="shared" ca="1" si="14"/>
        <v>99.714588687749654</v>
      </c>
      <c r="M65">
        <f t="shared" ca="1" si="15"/>
        <v>94.12941131225034</v>
      </c>
      <c r="N65">
        <f t="shared" ca="1" si="4"/>
        <v>-0.11999999999999034</v>
      </c>
      <c r="O65">
        <f t="shared" ca="1" si="5"/>
        <v>0</v>
      </c>
      <c r="P65">
        <f t="shared" ca="1" si="6"/>
        <v>0.11999999999999034</v>
      </c>
      <c r="Q65">
        <f t="shared" ca="1" si="10"/>
        <v>0.61034510321008373</v>
      </c>
      <c r="R65">
        <f t="shared" ca="1" si="11"/>
        <v>0.42869410125289287</v>
      </c>
      <c r="S65">
        <f t="shared" ca="1" si="8"/>
        <v>1.423731050710288</v>
      </c>
      <c r="T65">
        <f t="shared" ca="1" si="9"/>
        <v>58.741296823880504</v>
      </c>
      <c r="U65">
        <f>70</f>
        <v>70</v>
      </c>
      <c r="V65">
        <f>30</f>
        <v>30</v>
      </c>
      <c r="W65">
        <f t="shared" ca="1" si="7"/>
        <v>97.077331317750691</v>
      </c>
      <c r="X65">
        <f t="shared" ca="1" si="17"/>
        <v>95.699072865956254</v>
      </c>
      <c r="Y65">
        <f t="shared" ca="1" si="16"/>
        <v>1.3338140169121715</v>
      </c>
      <c r="Z65">
        <f t="shared" ca="1" si="18"/>
        <v>1.5099821958906752</v>
      </c>
      <c r="AA65">
        <f t="shared" ca="1" si="19"/>
        <v>-0.17616817897850368</v>
      </c>
    </row>
    <row r="66" spans="1:27" x14ac:dyDescent="0.25">
      <c r="A66" s="20">
        <f t="shared" ca="1" si="0"/>
        <v>45796</v>
      </c>
      <c r="B66" vm="193">
        <f ca="1"/>
        <v>45797</v>
      </c>
      <c r="C66" vm="194">
        <f ca="1"/>
        <v>97.8</v>
      </c>
      <c r="D66" vm="195">
        <f ca="1"/>
        <v>15609610</v>
      </c>
      <c r="E66">
        <f t="shared" ca="1" si="1"/>
        <v>1526619858</v>
      </c>
      <c r="F66">
        <f ca="1">SUM($E$2:E66)/SUM($D$2:D66)</f>
        <v>91.929988041177509</v>
      </c>
      <c r="G66">
        <f ca="1">_xlfn.STDEV.P($C$2:C66)</f>
        <v>5.4211460523315598</v>
      </c>
      <c r="H66">
        <f t="shared" ca="1" si="2"/>
        <v>97.351134093509074</v>
      </c>
      <c r="I66">
        <f t="shared" ca="1" si="3"/>
        <v>86.508841988845944</v>
      </c>
      <c r="J66">
        <f t="shared" ca="1" si="12"/>
        <v>97.069500000000005</v>
      </c>
      <c r="K66">
        <f t="shared" ca="1" si="13"/>
        <v>1.3196031101892158</v>
      </c>
      <c r="L66">
        <f t="shared" ca="1" si="14"/>
        <v>99.708706220378431</v>
      </c>
      <c r="M66">
        <f t="shared" ca="1" si="15"/>
        <v>94.430293779621579</v>
      </c>
      <c r="N66">
        <f t="shared" ca="1" si="4"/>
        <v>-0.32000000000000739</v>
      </c>
      <c r="O66">
        <f t="shared" ca="1" si="5"/>
        <v>0</v>
      </c>
      <c r="P66">
        <f t="shared" ca="1" si="6"/>
        <v>0.32000000000000739</v>
      </c>
      <c r="Q66">
        <f t="shared" ca="1" si="10"/>
        <v>0.56674902440936348</v>
      </c>
      <c r="R66">
        <f t="shared" ca="1" si="11"/>
        <v>0.42093023687768671</v>
      </c>
      <c r="S66">
        <f t="shared" ca="1" si="8"/>
        <v>1.3464203204153484</v>
      </c>
      <c r="T66">
        <f t="shared" ca="1" si="9"/>
        <v>57.3818897109199</v>
      </c>
      <c r="U66">
        <f>70</f>
        <v>70</v>
      </c>
      <c r="V66">
        <f>30</f>
        <v>30</v>
      </c>
      <c r="W66">
        <f t="shared" ca="1" si="7"/>
        <v>97.188511115019807</v>
      </c>
      <c r="X66">
        <f t="shared" ca="1" si="17"/>
        <v>95.854697098107636</v>
      </c>
      <c r="Y66">
        <f t="shared" ca="1" si="16"/>
        <v>1.1745049694469998</v>
      </c>
      <c r="Z66">
        <f t="shared" ca="1" si="18"/>
        <v>1.4428867506019403</v>
      </c>
      <c r="AA66">
        <f t="shared" ca="1" si="19"/>
        <v>-0.26838178115494049</v>
      </c>
    </row>
    <row r="67" spans="1:27" x14ac:dyDescent="0.25">
      <c r="A67" s="20">
        <f t="shared" ref="A67:A130" ca="1" si="20">B67 - WEEKDAY(B67, 2) + 1</f>
        <v>45796</v>
      </c>
      <c r="B67" vm="196">
        <f ca="1"/>
        <v>45798</v>
      </c>
      <c r="C67" vm="197">
        <f ca="1"/>
        <v>96.43</v>
      </c>
      <c r="D67" vm="198">
        <f ca="1"/>
        <v>15742336</v>
      </c>
      <c r="E67">
        <f t="shared" ref="E67:E130" ca="1" si="21">C67*D67</f>
        <v>1518033460.48</v>
      </c>
      <c r="F67">
        <f ca="1">SUM($E$2:E67)/SUM($D$2:D67)</f>
        <v>91.974822953932758</v>
      </c>
      <c r="G67">
        <f ca="1">_xlfn.STDEV.P($C$2:C67)</f>
        <v>5.3993279774335949</v>
      </c>
      <c r="H67">
        <f t="shared" ref="H67:H130" ca="1" si="22">F67 + G67</f>
        <v>97.374150931366358</v>
      </c>
      <c r="I67">
        <f t="shared" ref="I67:I130" ca="1" si="23">F67 - G67</f>
        <v>86.575494976499158</v>
      </c>
      <c r="J67">
        <f t="shared" ca="1" si="12"/>
        <v>97.143000000000001</v>
      </c>
      <c r="K67">
        <f t="shared" ca="1" si="13"/>
        <v>1.2340907584128478</v>
      </c>
      <c r="L67">
        <f t="shared" ca="1" si="14"/>
        <v>99.611181516825695</v>
      </c>
      <c r="M67">
        <f t="shared" ca="1" si="15"/>
        <v>94.674818483174306</v>
      </c>
      <c r="N67">
        <f t="shared" ca="1" si="4"/>
        <v>-1.3699999999999903</v>
      </c>
      <c r="O67">
        <f t="shared" ca="1" si="5"/>
        <v>0</v>
      </c>
      <c r="P67">
        <f t="shared" ca="1" si="6"/>
        <v>1.3699999999999903</v>
      </c>
      <c r="Q67">
        <f t="shared" ca="1" si="10"/>
        <v>0.52626695123726608</v>
      </c>
      <c r="R67">
        <f t="shared" ca="1" si="11"/>
        <v>0.48872093424356555</v>
      </c>
      <c r="S67">
        <f t="shared" ca="1" si="8"/>
        <v>1.0768250638819343</v>
      </c>
      <c r="T67">
        <f t="shared" ca="1" si="9"/>
        <v>51.849579563006991</v>
      </c>
      <c r="U67">
        <f>70</f>
        <v>70</v>
      </c>
      <c r="V67">
        <f>30</f>
        <v>30</v>
      </c>
      <c r="W67">
        <f t="shared" ca="1" si="7"/>
        <v>97.071817097324441</v>
      </c>
      <c r="X67">
        <f t="shared" ca="1" si="17"/>
        <v>95.897312127877441</v>
      </c>
      <c r="Y67">
        <f t="shared" ca="1" si="16"/>
        <v>0.99641947676693121</v>
      </c>
      <c r="Z67">
        <f t="shared" ca="1" si="18"/>
        <v>1.3535932958349384</v>
      </c>
      <c r="AA67">
        <f t="shared" ca="1" si="19"/>
        <v>-0.35717381906800716</v>
      </c>
    </row>
    <row r="68" spans="1:27" x14ac:dyDescent="0.25">
      <c r="A68" s="20">
        <f t="shared" ca="1" si="20"/>
        <v>45796</v>
      </c>
      <c r="B68" vm="199">
        <f ca="1"/>
        <v>45799</v>
      </c>
      <c r="C68" vm="200">
        <f ca="1"/>
        <v>95.93</v>
      </c>
      <c r="D68" vm="201">
        <f ca="1"/>
        <v>13712163</v>
      </c>
      <c r="E68">
        <f t="shared" ca="1" si="21"/>
        <v>1315407796.5900002</v>
      </c>
      <c r="F68">
        <f ca="1">SUM($E$2:E68)/SUM($D$2:D68)</f>
        <v>92.00885222609395</v>
      </c>
      <c r="G68">
        <f ca="1">_xlfn.STDEV.P($C$2:C68)</f>
        <v>5.3728032650910587</v>
      </c>
      <c r="H68">
        <f t="shared" ca="1" si="22"/>
        <v>97.381655491185015</v>
      </c>
      <c r="I68">
        <f t="shared" ca="1" si="23"/>
        <v>86.636048961002885</v>
      </c>
      <c r="J68">
        <f t="shared" ca="1" si="12"/>
        <v>97.147500000000008</v>
      </c>
      <c r="K68">
        <f t="shared" ca="1" si="13"/>
        <v>1.2292439910260622</v>
      </c>
      <c r="L68">
        <f t="shared" ca="1" si="14"/>
        <v>99.605987982052127</v>
      </c>
      <c r="M68">
        <f t="shared" ca="1" si="15"/>
        <v>94.689012017947888</v>
      </c>
      <c r="N68">
        <f t="shared" ref="N68:N131" ca="1" si="24">C68-C67</f>
        <v>-0.5</v>
      </c>
      <c r="O68">
        <f t="shared" ref="O68:O131" ca="1" si="25">MAX(N68,0)</f>
        <v>0</v>
      </c>
      <c r="P68">
        <f t="shared" ref="P68:P131" ca="1" si="26">MAX(-N68,0)</f>
        <v>0.5</v>
      </c>
      <c r="Q68">
        <f t="shared" ca="1" si="10"/>
        <v>0.48867645472031851</v>
      </c>
      <c r="R68">
        <f t="shared" ca="1" si="11"/>
        <v>0.48952658179759656</v>
      </c>
      <c r="S68">
        <f t="shared" ca="1" si="8"/>
        <v>0.9982633689182796</v>
      </c>
      <c r="T68">
        <f t="shared" ca="1" si="9"/>
        <v>49.956546491600342</v>
      </c>
      <c r="U68">
        <f>70</f>
        <v>70</v>
      </c>
      <c r="V68">
        <f>30</f>
        <v>30</v>
      </c>
      <c r="W68">
        <f t="shared" ca="1" si="7"/>
        <v>96.896152928505302</v>
      </c>
      <c r="X68">
        <f t="shared" ca="1" si="17"/>
        <v>95.899733451738371</v>
      </c>
      <c r="Y68">
        <f t="shared" ca="1" si="16"/>
        <v>0.87824515085785038</v>
      </c>
      <c r="Z68">
        <f t="shared" ca="1" si="18"/>
        <v>1.2585236668395208</v>
      </c>
      <c r="AA68">
        <f t="shared" ca="1" si="19"/>
        <v>-0.3802785159816704</v>
      </c>
    </row>
    <row r="69" spans="1:27" x14ac:dyDescent="0.25">
      <c r="A69" s="20">
        <f t="shared" ca="1" si="20"/>
        <v>45796</v>
      </c>
      <c r="B69" vm="202">
        <f ca="1"/>
        <v>45800</v>
      </c>
      <c r="C69" vm="203">
        <f ca="1"/>
        <v>96.34</v>
      </c>
      <c r="D69" vm="204">
        <f ca="1"/>
        <v>13668621</v>
      </c>
      <c r="E69">
        <f t="shared" ca="1" si="21"/>
        <v>1316834947.1400001</v>
      </c>
      <c r="F69">
        <f ca="1">SUM($E$2:E69)/SUM($D$2:D69)</f>
        <v>92.045682051684622</v>
      </c>
      <c r="G69">
        <f ca="1">_xlfn.STDEV.P($C$2:C69)</f>
        <v>5.3502434924216935</v>
      </c>
      <c r="H69">
        <f t="shared" ca="1" si="22"/>
        <v>97.395925544106319</v>
      </c>
      <c r="I69">
        <f t="shared" ca="1" si="23"/>
        <v>86.695438559262925</v>
      </c>
      <c r="J69">
        <f t="shared" ca="1" si="12"/>
        <v>97.21</v>
      </c>
      <c r="K69">
        <f t="shared" ca="1" si="13"/>
        <v>1.1482343424855204</v>
      </c>
      <c r="L69">
        <f t="shared" ca="1" si="14"/>
        <v>99.50646868497104</v>
      </c>
      <c r="M69">
        <f t="shared" ca="1" si="15"/>
        <v>94.913531315028948</v>
      </c>
      <c r="N69">
        <f t="shared" ca="1" si="24"/>
        <v>0.40999999999999659</v>
      </c>
      <c r="O69">
        <f t="shared" ca="1" si="25"/>
        <v>0.40999999999999659</v>
      </c>
      <c r="P69">
        <f t="shared" ca="1" si="26"/>
        <v>0</v>
      </c>
      <c r="Q69">
        <f t="shared" ca="1" si="10"/>
        <v>0.48305670795458122</v>
      </c>
      <c r="R69">
        <f t="shared" ca="1" si="11"/>
        <v>0.45456039738348253</v>
      </c>
      <c r="S69">
        <f t="shared" ca="1" si="8"/>
        <v>1.0626898223759211</v>
      </c>
      <c r="T69">
        <f t="shared" ca="1" si="9"/>
        <v>51.519613411960101</v>
      </c>
      <c r="U69">
        <f>70</f>
        <v>70</v>
      </c>
      <c r="V69">
        <f>30</f>
        <v>30</v>
      </c>
      <c r="W69">
        <f t="shared" ca="1" si="7"/>
        <v>96.810590939504493</v>
      </c>
      <c r="X69">
        <f t="shared" ca="1" si="17"/>
        <v>95.932345788646643</v>
      </c>
      <c r="Y69">
        <f t="shared" ca="1" si="16"/>
        <v>0.8745673154492124</v>
      </c>
      <c r="Z69">
        <f t="shared" ca="1" si="18"/>
        <v>1.1817323965614592</v>
      </c>
      <c r="AA69">
        <f t="shared" ca="1" si="19"/>
        <v>-0.30716508111224683</v>
      </c>
    </row>
    <row r="70" spans="1:27" x14ac:dyDescent="0.25">
      <c r="A70" s="20">
        <f t="shared" ca="1" si="20"/>
        <v>45803</v>
      </c>
      <c r="B70" vm="205">
        <f ca="1"/>
        <v>45804</v>
      </c>
      <c r="C70" vm="206">
        <f ca="1"/>
        <v>97.58</v>
      </c>
      <c r="D70" vm="207">
        <f ca="1"/>
        <v>17180937</v>
      </c>
      <c r="E70">
        <f t="shared" ca="1" si="21"/>
        <v>1676515832.46</v>
      </c>
      <c r="F70">
        <f ca="1">SUM($E$2:E70)/SUM($D$2:D70)</f>
        <v>92.104210305125918</v>
      </c>
      <c r="G70">
        <f ca="1">_xlfn.STDEV.P($C$2:C70)</f>
        <v>5.3414275731510816</v>
      </c>
      <c r="H70">
        <f t="shared" ca="1" si="22"/>
        <v>97.445637878276997</v>
      </c>
      <c r="I70">
        <f t="shared" ca="1" si="23"/>
        <v>86.762782731974838</v>
      </c>
      <c r="J70">
        <f t="shared" ca="1" si="12"/>
        <v>97.328000000000003</v>
      </c>
      <c r="K70">
        <f t="shared" ca="1" si="13"/>
        <v>1.0500305759959152</v>
      </c>
      <c r="L70">
        <f t="shared" ca="1" si="14"/>
        <v>99.428061151991827</v>
      </c>
      <c r="M70">
        <f t="shared" ca="1" si="15"/>
        <v>95.227938848008179</v>
      </c>
      <c r="N70">
        <f t="shared" ca="1" si="24"/>
        <v>1.2399999999999949</v>
      </c>
      <c r="O70">
        <f t="shared" ca="1" si="25"/>
        <v>1.2399999999999949</v>
      </c>
      <c r="P70">
        <f t="shared" ca="1" si="26"/>
        <v>0</v>
      </c>
      <c r="Q70">
        <f t="shared" ca="1" si="10"/>
        <v>0.53712408595782501</v>
      </c>
      <c r="R70">
        <f t="shared" ca="1" si="11"/>
        <v>0.42209179757037668</v>
      </c>
      <c r="S70">
        <f t="shared" ca="1" si="8"/>
        <v>1.2725290779152576</v>
      </c>
      <c r="T70">
        <f t="shared" ca="1" si="9"/>
        <v>55.996162613797374</v>
      </c>
      <c r="U70">
        <f>70</f>
        <v>70</v>
      </c>
      <c r="V70">
        <f>30</f>
        <v>30</v>
      </c>
      <c r="W70">
        <f t="shared" ca="1" si="7"/>
        <v>96.928961564196101</v>
      </c>
      <c r="X70">
        <f t="shared" ca="1" si="17"/>
        <v>96.054394248746888</v>
      </c>
      <c r="Y70">
        <f t="shared" ca="1" si="16"/>
        <v>0.83459673425501535</v>
      </c>
      <c r="Z70">
        <f t="shared" ca="1" si="18"/>
        <v>1.1123052641001705</v>
      </c>
      <c r="AA70">
        <f t="shared" ca="1" si="19"/>
        <v>-0.27770852984515515</v>
      </c>
    </row>
    <row r="71" spans="1:27" x14ac:dyDescent="0.25">
      <c r="A71" s="20">
        <f t="shared" ca="1" si="20"/>
        <v>45803</v>
      </c>
      <c r="B71" vm="208">
        <f ca="1"/>
        <v>45805</v>
      </c>
      <c r="C71" vm="209">
        <f ca="1"/>
        <v>97.24</v>
      </c>
      <c r="D71" vm="210">
        <f ca="1"/>
        <v>11220098</v>
      </c>
      <c r="E71">
        <f t="shared" ca="1" si="21"/>
        <v>1091042329.52</v>
      </c>
      <c r="F71">
        <f ca="1">SUM($E$2:E71)/SUM($D$2:D71)</f>
        <v>92.139436797152257</v>
      </c>
      <c r="G71">
        <f ca="1">_xlfn.STDEV.P($C$2:C71)</f>
        <v>5.3279615296306799</v>
      </c>
      <c r="H71">
        <f t="shared" ca="1" si="22"/>
        <v>97.467398326782941</v>
      </c>
      <c r="I71">
        <f t="shared" ca="1" si="23"/>
        <v>86.811475267521573</v>
      </c>
      <c r="J71">
        <f t="shared" ca="1" si="12"/>
        <v>97.388000000000005</v>
      </c>
      <c r="K71">
        <f t="shared" ca="1" si="13"/>
        <v>1.0059172300364523</v>
      </c>
      <c r="L71">
        <f t="shared" ca="1" si="14"/>
        <v>99.39983446007291</v>
      </c>
      <c r="M71">
        <f t="shared" ca="1" si="15"/>
        <v>95.376165539927101</v>
      </c>
      <c r="N71">
        <f t="shared" ca="1" si="24"/>
        <v>-0.34000000000000341</v>
      </c>
      <c r="O71">
        <f t="shared" ca="1" si="25"/>
        <v>0</v>
      </c>
      <c r="P71">
        <f t="shared" ca="1" si="26"/>
        <v>0.34000000000000341</v>
      </c>
      <c r="Q71">
        <f t="shared" ca="1" si="10"/>
        <v>0.49875807981798037</v>
      </c>
      <c r="R71">
        <f t="shared" ca="1" si="11"/>
        <v>0.4162280977439215</v>
      </c>
      <c r="S71">
        <f t="shared" ca="1" si="8"/>
        <v>1.1982806603432004</v>
      </c>
      <c r="T71">
        <f t="shared" ca="1" si="9"/>
        <v>54.509903214820717</v>
      </c>
      <c r="U71">
        <f>70</f>
        <v>70</v>
      </c>
      <c r="V71">
        <f>30</f>
        <v>30</v>
      </c>
      <c r="W71">
        <f t="shared" ca="1" si="7"/>
        <v>96.976813631242862</v>
      </c>
      <c r="X71">
        <f t="shared" ca="1" si="17"/>
        <v>96.142216896987847</v>
      </c>
      <c r="Y71">
        <f t="shared" ca="1" si="16"/>
        <v>0.7826015867751579</v>
      </c>
      <c r="Z71">
        <f t="shared" ca="1" si="18"/>
        <v>1.0463645286351682</v>
      </c>
      <c r="AA71">
        <f t="shared" ca="1" si="19"/>
        <v>-0.26376294186001026</v>
      </c>
    </row>
    <row r="72" spans="1:27" x14ac:dyDescent="0.25">
      <c r="A72" s="20">
        <f t="shared" ca="1" si="20"/>
        <v>45803</v>
      </c>
      <c r="B72" vm="211">
        <f ca="1"/>
        <v>45806</v>
      </c>
      <c r="C72" vm="212">
        <f ca="1"/>
        <v>97.1</v>
      </c>
      <c r="D72" vm="213">
        <f ca="1"/>
        <v>14343738</v>
      </c>
      <c r="E72">
        <f t="shared" ca="1" si="21"/>
        <v>1392776959.8</v>
      </c>
      <c r="F72">
        <f ca="1">SUM($E$2:E72)/SUM($D$2:D72)</f>
        <v>92.182555661275345</v>
      </c>
      <c r="G72">
        <f ca="1">_xlfn.STDEV.P($C$2:C72)</f>
        <v>5.3126168577646613</v>
      </c>
      <c r="H72">
        <f t="shared" ca="1" si="22"/>
        <v>97.495172519040011</v>
      </c>
      <c r="I72">
        <f t="shared" ca="1" si="23"/>
        <v>86.869938803510678</v>
      </c>
      <c r="J72">
        <f t="shared" ca="1" si="12"/>
        <v>97.380499999999998</v>
      </c>
      <c r="K72">
        <f t="shared" ca="1" si="13"/>
        <v>1.0075581477277775</v>
      </c>
      <c r="L72">
        <f t="shared" ca="1" si="14"/>
        <v>99.395616295455554</v>
      </c>
      <c r="M72">
        <f t="shared" ca="1" si="15"/>
        <v>95.365383704544442</v>
      </c>
      <c r="N72">
        <f t="shared" ca="1" si="24"/>
        <v>-0.14000000000000057</v>
      </c>
      <c r="O72">
        <f t="shared" ca="1" si="25"/>
        <v>0</v>
      </c>
      <c r="P72">
        <f t="shared" ca="1" si="26"/>
        <v>0.14000000000000057</v>
      </c>
      <c r="Q72">
        <f t="shared" ca="1" si="10"/>
        <v>0.46313250268812467</v>
      </c>
      <c r="R72">
        <f t="shared" ca="1" si="11"/>
        <v>0.39649751933364147</v>
      </c>
      <c r="S72">
        <f t="shared" ca="1" si="8"/>
        <v>1.1680590170311047</v>
      </c>
      <c r="T72">
        <f t="shared" ca="1" si="9"/>
        <v>53.875794332878478</v>
      </c>
      <c r="U72">
        <f>70</f>
        <v>70</v>
      </c>
      <c r="V72">
        <f>30</f>
        <v>30</v>
      </c>
      <c r="W72">
        <f t="shared" ca="1" si="7"/>
        <v>96.995765380282421</v>
      </c>
      <c r="X72">
        <f t="shared" ca="1" si="17"/>
        <v>96.213163793507263</v>
      </c>
      <c r="Y72">
        <f t="shared" ca="1" si="16"/>
        <v>0.86217688049578101</v>
      </c>
      <c r="Z72">
        <f t="shared" ca="1" si="18"/>
        <v>1.0095269990072908</v>
      </c>
      <c r="AA72">
        <f t="shared" ca="1" si="19"/>
        <v>-0.14735011851150981</v>
      </c>
    </row>
    <row r="73" spans="1:27" x14ac:dyDescent="0.25">
      <c r="A73" s="20">
        <f t="shared" ca="1" si="20"/>
        <v>45803</v>
      </c>
      <c r="B73" vm="214">
        <f ca="1"/>
        <v>45807</v>
      </c>
      <c r="C73" vm="215">
        <f ca="1"/>
        <v>98.72</v>
      </c>
      <c r="D73" vm="216">
        <f ca="1"/>
        <v>29980069</v>
      </c>
      <c r="E73">
        <f t="shared" ca="1" si="21"/>
        <v>2959632411.6799998</v>
      </c>
      <c r="F73">
        <f ca="1">SUM($E$2:E73)/SUM($D$2:D73)</f>
        <v>92.299208464191182</v>
      </c>
      <c r="G73">
        <f ca="1">_xlfn.STDEV.P($C$2:C73)</f>
        <v>5.3174420785268222</v>
      </c>
      <c r="H73">
        <f t="shared" ca="1" si="22"/>
        <v>97.616650542718006</v>
      </c>
      <c r="I73">
        <f t="shared" ca="1" si="23"/>
        <v>86.981766385664358</v>
      </c>
      <c r="J73">
        <f t="shared" ca="1" si="12"/>
        <v>97.445999999999998</v>
      </c>
      <c r="K73">
        <f t="shared" ca="1" si="13"/>
        <v>1.051211832025055</v>
      </c>
      <c r="L73">
        <f t="shared" ca="1" si="14"/>
        <v>99.548423664050105</v>
      </c>
      <c r="M73">
        <f t="shared" ca="1" si="15"/>
        <v>95.343576335949891</v>
      </c>
      <c r="N73">
        <f t="shared" ca="1" si="24"/>
        <v>1.6200000000000045</v>
      </c>
      <c r="O73">
        <f t="shared" ca="1" si="25"/>
        <v>1.6200000000000045</v>
      </c>
      <c r="P73">
        <f t="shared" ca="1" si="26"/>
        <v>0</v>
      </c>
      <c r="Q73">
        <f t="shared" ca="1" si="10"/>
        <v>0.54576589535325892</v>
      </c>
      <c r="R73">
        <f t="shared" ca="1" si="11"/>
        <v>0.36817626795266711</v>
      </c>
      <c r="S73">
        <f t="shared" ca="1" si="8"/>
        <v>1.4823494691499854</v>
      </c>
      <c r="T73">
        <f t="shared" ca="1" si="9"/>
        <v>59.715583465271578</v>
      </c>
      <c r="U73">
        <f>70</f>
        <v>70</v>
      </c>
      <c r="V73">
        <f>30</f>
        <v>30</v>
      </c>
      <c r="W73">
        <f t="shared" ca="1" si="7"/>
        <v>97.261032244854363</v>
      </c>
      <c r="X73">
        <f t="shared" ca="1" si="17"/>
        <v>96.398855364358582</v>
      </c>
      <c r="Y73">
        <f t="shared" ca="1" si="16"/>
        <v>0.99845750229403052</v>
      </c>
      <c r="Z73">
        <f t="shared" ca="1" si="18"/>
        <v>1.0073130996646387</v>
      </c>
      <c r="AA73">
        <f t="shared" ca="1" si="19"/>
        <v>-8.8555973706081481E-3</v>
      </c>
    </row>
    <row r="74" spans="1:27" x14ac:dyDescent="0.25">
      <c r="A74" s="20">
        <f t="shared" ca="1" si="20"/>
        <v>45810</v>
      </c>
      <c r="B74" vm="217">
        <f ca="1"/>
        <v>45810</v>
      </c>
      <c r="C74" vm="218">
        <f ca="1"/>
        <v>99.77</v>
      </c>
      <c r="D74" vm="219">
        <f ca="1"/>
        <v>16999205</v>
      </c>
      <c r="E74">
        <f t="shared" ca="1" si="21"/>
        <v>1696010682.8499999</v>
      </c>
      <c r="F74">
        <f ca="1">SUM($E$2:E74)/SUM($D$2:D74)</f>
        <v>92.374038814903599</v>
      </c>
      <c r="G74">
        <f ca="1">_xlfn.STDEV.P($C$2:C74)</f>
        <v>5.3373374824685698</v>
      </c>
      <c r="H74">
        <f t="shared" ca="1" si="22"/>
        <v>97.711376297372169</v>
      </c>
      <c r="I74">
        <f t="shared" ca="1" si="23"/>
        <v>87.03670133243503</v>
      </c>
      <c r="J74">
        <f t="shared" ca="1" si="12"/>
        <v>97.497</v>
      </c>
      <c r="K74">
        <f t="shared" ca="1" si="13"/>
        <v>1.1388918898833651</v>
      </c>
      <c r="L74">
        <f t="shared" ca="1" si="14"/>
        <v>99.774783779766736</v>
      </c>
      <c r="M74">
        <f t="shared" ca="1" si="15"/>
        <v>95.219216220233264</v>
      </c>
      <c r="N74">
        <f t="shared" ca="1" si="24"/>
        <v>1.0499999999999972</v>
      </c>
      <c r="O74">
        <f t="shared" ca="1" si="25"/>
        <v>1.0499999999999972</v>
      </c>
      <c r="P74">
        <f t="shared" ca="1" si="26"/>
        <v>0</v>
      </c>
      <c r="Q74">
        <f t="shared" ca="1" si="10"/>
        <v>0.58178261711374024</v>
      </c>
      <c r="R74">
        <f t="shared" ca="1" si="11"/>
        <v>0.34187796309890517</v>
      </c>
      <c r="S74">
        <f t="shared" ca="1" si="8"/>
        <v>1.7017259955577504</v>
      </c>
      <c r="T74">
        <f t="shared" ca="1" si="9"/>
        <v>62.986624045361133</v>
      </c>
      <c r="U74">
        <f>70</f>
        <v>70</v>
      </c>
      <c r="V74">
        <f>30</f>
        <v>30</v>
      </c>
      <c r="W74">
        <f t="shared" ca="1" si="7"/>
        <v>97.647027284107537</v>
      </c>
      <c r="X74">
        <f t="shared" ca="1" si="17"/>
        <v>96.648569781813507</v>
      </c>
      <c r="Y74">
        <f t="shared" ca="1" si="16"/>
        <v>1.1106037729075524</v>
      </c>
      <c r="Z74">
        <f t="shared" ca="1" si="18"/>
        <v>1.0279712343132215</v>
      </c>
      <c r="AA74">
        <f t="shared" ca="1" si="19"/>
        <v>8.2632538594330951E-2</v>
      </c>
    </row>
    <row r="75" spans="1:27" x14ac:dyDescent="0.25">
      <c r="A75" s="20">
        <f t="shared" ca="1" si="20"/>
        <v>45810</v>
      </c>
      <c r="B75" vm="220">
        <f ca="1"/>
        <v>45811</v>
      </c>
      <c r="C75" vm="221">
        <f ca="1"/>
        <v>99.98</v>
      </c>
      <c r="D75" vm="222">
        <f ca="1"/>
        <v>15598643</v>
      </c>
      <c r="E75">
        <f t="shared" ca="1" si="21"/>
        <v>1559552327.1400001</v>
      </c>
      <c r="F75">
        <f ca="1">SUM($E$2:E75)/SUM($D$2:D75)</f>
        <v>92.443309589790218</v>
      </c>
      <c r="G75">
        <f ca="1">_xlfn.STDEV.P($C$2:C75)</f>
        <v>5.358620308840421</v>
      </c>
      <c r="H75">
        <f t="shared" ca="1" si="22"/>
        <v>97.801929898630632</v>
      </c>
      <c r="I75">
        <f t="shared" ca="1" si="23"/>
        <v>87.084689280949803</v>
      </c>
      <c r="J75">
        <f t="shared" ca="1" si="12"/>
        <v>97.529499999999999</v>
      </c>
      <c r="K75">
        <f t="shared" ca="1" si="13"/>
        <v>1.2015055248794275</v>
      </c>
      <c r="L75">
        <f t="shared" ca="1" si="14"/>
        <v>99.932511049758858</v>
      </c>
      <c r="M75">
        <f t="shared" ca="1" si="15"/>
        <v>95.126488950241139</v>
      </c>
      <c r="N75">
        <f t="shared" ca="1" si="24"/>
        <v>0.21000000000000796</v>
      </c>
      <c r="O75">
        <f t="shared" ca="1" si="25"/>
        <v>0.21000000000000796</v>
      </c>
      <c r="P75">
        <f t="shared" ca="1" si="26"/>
        <v>0</v>
      </c>
      <c r="Q75">
        <f t="shared" ca="1" si="10"/>
        <v>0.55522671589133077</v>
      </c>
      <c r="R75">
        <f t="shared" ca="1" si="11"/>
        <v>0.31745810859184054</v>
      </c>
      <c r="S75">
        <f t="shared" ca="1" si="8"/>
        <v>1.7489763243225014</v>
      </c>
      <c r="T75">
        <f t="shared" ca="1" si="9"/>
        <v>63.622822388386524</v>
      </c>
      <c r="U75">
        <f>70</f>
        <v>70</v>
      </c>
      <c r="V75">
        <f>30</f>
        <v>30</v>
      </c>
      <c r="W75">
        <f t="shared" ca="1" si="7"/>
        <v>98.005946163475613</v>
      </c>
      <c r="X75">
        <f t="shared" ca="1" si="17"/>
        <v>96.895342390568061</v>
      </c>
      <c r="Y75">
        <f t="shared" ca="1" si="16"/>
        <v>1.135554796631439</v>
      </c>
      <c r="Z75">
        <f t="shared" ca="1" si="18"/>
        <v>1.049487946776865</v>
      </c>
      <c r="AA75">
        <f t="shared" ca="1" si="19"/>
        <v>8.6066849854574023E-2</v>
      </c>
    </row>
    <row r="76" spans="1:27" x14ac:dyDescent="0.25">
      <c r="A76" s="20">
        <f t="shared" ca="1" si="20"/>
        <v>45810</v>
      </c>
      <c r="B76" vm="223">
        <f ca="1"/>
        <v>45812</v>
      </c>
      <c r="C76" vm="224">
        <f ca="1"/>
        <v>99.35</v>
      </c>
      <c r="D76" vm="225">
        <f ca="1"/>
        <v>11115649</v>
      </c>
      <c r="E76">
        <f t="shared" ca="1" si="21"/>
        <v>1104339728.1499999</v>
      </c>
      <c r="F76">
        <f ca="1">SUM($E$2:E76)/SUM($D$2:D76)</f>
        <v>92.487844899498128</v>
      </c>
      <c r="G76">
        <f ca="1">_xlfn.STDEV.P($C$2:C76)</f>
        <v>5.3679265999287109</v>
      </c>
      <c r="H76">
        <f t="shared" ca="1" si="22"/>
        <v>97.855771499426837</v>
      </c>
      <c r="I76">
        <f t="shared" ca="1" si="23"/>
        <v>87.11991829956942</v>
      </c>
      <c r="J76">
        <f t="shared" ca="1" si="12"/>
        <v>97.569499999999991</v>
      </c>
      <c r="K76">
        <f t="shared" ca="1" si="13"/>
        <v>1.2496208898786267</v>
      </c>
      <c r="L76">
        <f t="shared" ca="1" si="14"/>
        <v>100.06874177975725</v>
      </c>
      <c r="M76">
        <f t="shared" ca="1" si="15"/>
        <v>95.070258220242735</v>
      </c>
      <c r="N76">
        <f t="shared" ca="1" si="24"/>
        <v>-0.63000000000000966</v>
      </c>
      <c r="O76">
        <f t="shared" ca="1" si="25"/>
        <v>0</v>
      </c>
      <c r="P76">
        <f t="shared" ca="1" si="26"/>
        <v>0.63000000000000966</v>
      </c>
      <c r="Q76">
        <f t="shared" ca="1" si="10"/>
        <v>0.51556766475623572</v>
      </c>
      <c r="R76">
        <f t="shared" ca="1" si="11"/>
        <v>0.33978252940670972</v>
      </c>
      <c r="S76">
        <f t="shared" ca="1" si="8"/>
        <v>1.5173460085086257</v>
      </c>
      <c r="T76">
        <f t="shared" ca="1" si="9"/>
        <v>60.275623747391037</v>
      </c>
      <c r="U76">
        <f>70</f>
        <v>70</v>
      </c>
      <c r="V76">
        <f>30</f>
        <v>30</v>
      </c>
      <c r="W76">
        <f t="shared" ca="1" si="7"/>
        <v>98.21272367678705</v>
      </c>
      <c r="X76">
        <f t="shared" ca="1" si="17"/>
        <v>97.077168880155611</v>
      </c>
      <c r="Y76">
        <f t="shared" ca="1" si="16"/>
        <v>1.0312793332056316</v>
      </c>
      <c r="Z76">
        <f t="shared" ca="1" si="18"/>
        <v>1.0458462240626183</v>
      </c>
      <c r="AA76">
        <f t="shared" ca="1" si="19"/>
        <v>-1.4566890856986703E-2</v>
      </c>
    </row>
    <row r="77" spans="1:27" x14ac:dyDescent="0.25">
      <c r="A77" s="20">
        <f t="shared" ca="1" si="20"/>
        <v>45810</v>
      </c>
      <c r="B77" vm="226">
        <f ca="1"/>
        <v>45813</v>
      </c>
      <c r="C77" vm="227">
        <f ca="1"/>
        <v>97.96</v>
      </c>
      <c r="D77" vm="228">
        <f ca="1"/>
        <v>15825276</v>
      </c>
      <c r="E77">
        <f t="shared" ca="1" si="21"/>
        <v>1550244036.9599998</v>
      </c>
      <c r="F77">
        <f ca="1">SUM($E$2:E77)/SUM($D$2:D77)</f>
        <v>92.537623266349058</v>
      </c>
      <c r="G77">
        <f ca="1">_xlfn.STDEV.P($C$2:C77)</f>
        <v>5.3580450989009005</v>
      </c>
      <c r="H77">
        <f t="shared" ca="1" si="22"/>
        <v>97.895668365249961</v>
      </c>
      <c r="I77">
        <f t="shared" ca="1" si="23"/>
        <v>87.179578167448156</v>
      </c>
      <c r="J77">
        <f t="shared" ca="1" si="12"/>
        <v>97.525999999999982</v>
      </c>
      <c r="K77">
        <f t="shared" ca="1" si="13"/>
        <v>1.2181798328913329</v>
      </c>
      <c r="L77">
        <f t="shared" ca="1" si="14"/>
        <v>99.962359665782643</v>
      </c>
      <c r="M77">
        <f t="shared" ca="1" si="15"/>
        <v>95.089640334217322</v>
      </c>
      <c r="N77">
        <f t="shared" ca="1" si="24"/>
        <v>-1.3900000000000006</v>
      </c>
      <c r="O77">
        <f t="shared" ca="1" si="25"/>
        <v>0</v>
      </c>
      <c r="P77">
        <f t="shared" ca="1" si="26"/>
        <v>1.3900000000000006</v>
      </c>
      <c r="Q77">
        <f t="shared" ca="1" si="10"/>
        <v>0.47874140298793316</v>
      </c>
      <c r="R77">
        <f t="shared" ca="1" si="11"/>
        <v>0.41479806302051619</v>
      </c>
      <c r="S77">
        <f t="shared" ca="1" si="8"/>
        <v>1.1541553485129323</v>
      </c>
      <c r="T77">
        <f t="shared" ca="1" si="9"/>
        <v>53.578092652866232</v>
      </c>
      <c r="U77">
        <f>70</f>
        <v>70</v>
      </c>
      <c r="V77">
        <f>30</f>
        <v>30</v>
      </c>
      <c r="W77">
        <f t="shared" ca="1" si="7"/>
        <v>98.173843111127496</v>
      </c>
      <c r="X77">
        <f t="shared" ca="1" si="17"/>
        <v>97.142563777921865</v>
      </c>
      <c r="Y77">
        <f t="shared" ca="1" si="16"/>
        <v>0.89874124267880973</v>
      </c>
      <c r="Z77">
        <f t="shared" ca="1" si="18"/>
        <v>1.0164252277858565</v>
      </c>
      <c r="AA77">
        <f t="shared" ca="1" si="19"/>
        <v>-0.11768398510704681</v>
      </c>
    </row>
    <row r="78" spans="1:27" x14ac:dyDescent="0.25">
      <c r="A78" s="20">
        <f t="shared" ca="1" si="20"/>
        <v>45810</v>
      </c>
      <c r="B78" vm="229">
        <f ca="1"/>
        <v>45814</v>
      </c>
      <c r="C78" vm="230">
        <f ca="1"/>
        <v>97.47</v>
      </c>
      <c r="D78" vm="231">
        <f ca="1"/>
        <v>15599294</v>
      </c>
      <c r="E78">
        <f t="shared" ca="1" si="21"/>
        <v>1520463186.1800001</v>
      </c>
      <c r="F78">
        <f ca="1">SUM($E$2:E78)/SUM($D$2:D78)</f>
        <v>92.581457687352909</v>
      </c>
      <c r="G78">
        <f ca="1">_xlfn.STDEV.P($C$2:C78)</f>
        <v>5.3427173491235784</v>
      </c>
      <c r="H78">
        <f t="shared" ca="1" si="22"/>
        <v>97.924175036476484</v>
      </c>
      <c r="I78">
        <f t="shared" ca="1" si="23"/>
        <v>87.238740338229334</v>
      </c>
      <c r="J78">
        <f t="shared" ca="1" si="12"/>
        <v>97.527999999999992</v>
      </c>
      <c r="K78">
        <f t="shared" ca="1" si="13"/>
        <v>1.2180467539207351</v>
      </c>
      <c r="L78">
        <f t="shared" ca="1" si="14"/>
        <v>99.964093507841469</v>
      </c>
      <c r="M78">
        <f t="shared" ca="1" si="15"/>
        <v>95.091906492158515</v>
      </c>
      <c r="N78">
        <f t="shared" ca="1" si="24"/>
        <v>-0.48999999999999488</v>
      </c>
      <c r="O78">
        <f t="shared" ca="1" si="25"/>
        <v>0</v>
      </c>
      <c r="P78">
        <f t="shared" ca="1" si="26"/>
        <v>0.48999999999999488</v>
      </c>
      <c r="Q78">
        <f t="shared" ca="1" si="10"/>
        <v>0.44454558848879511</v>
      </c>
      <c r="R78">
        <f t="shared" ca="1" si="11"/>
        <v>0.4201696299476218</v>
      </c>
      <c r="S78">
        <f t="shared" ca="1" si="8"/>
        <v>1.0580145655558495</v>
      </c>
      <c r="T78">
        <f t="shared" ca="1" si="9"/>
        <v>51.409478983453653</v>
      </c>
      <c r="U78">
        <f>70</f>
        <v>70</v>
      </c>
      <c r="V78">
        <f>30</f>
        <v>30</v>
      </c>
      <c r="W78">
        <f t="shared" ca="1" si="7"/>
        <v>98.065559555569422</v>
      </c>
      <c r="X78">
        <f t="shared" ca="1" si="17"/>
        <v>97.166818312890612</v>
      </c>
      <c r="Y78">
        <f t="shared" ca="1" si="16"/>
        <v>0.78306335132384675</v>
      </c>
      <c r="Z78">
        <f t="shared" ca="1" si="18"/>
        <v>0.96975285249345455</v>
      </c>
      <c r="AA78">
        <f t="shared" ca="1" si="19"/>
        <v>-0.18668950116960781</v>
      </c>
    </row>
    <row r="79" spans="1:27" x14ac:dyDescent="0.25">
      <c r="A79" s="20">
        <f t="shared" ca="1" si="20"/>
        <v>45817</v>
      </c>
      <c r="B79" vm="232">
        <f ca="1"/>
        <v>45817</v>
      </c>
      <c r="C79" vm="233">
        <f ca="1"/>
        <v>97.45</v>
      </c>
      <c r="D79" vm="234">
        <f ca="1"/>
        <v>13655700</v>
      </c>
      <c r="E79">
        <f t="shared" ca="1" si="21"/>
        <v>1330747965</v>
      </c>
      <c r="F79">
        <f ca="1">SUM($E$2:E79)/SUM($D$2:D79)</f>
        <v>92.61904154552488</v>
      </c>
      <c r="G79">
        <f ca="1">_xlfn.STDEV.P($C$2:C79)</f>
        <v>5.3270553055266259</v>
      </c>
      <c r="H79">
        <f t="shared" ca="1" si="22"/>
        <v>97.946096851051507</v>
      </c>
      <c r="I79">
        <f t="shared" ca="1" si="23"/>
        <v>87.291986239998252</v>
      </c>
      <c r="J79">
        <f t="shared" ca="1" si="12"/>
        <v>97.564499999999995</v>
      </c>
      <c r="K79">
        <f t="shared" ca="1" si="13"/>
        <v>1.203409520356312</v>
      </c>
      <c r="L79">
        <f t="shared" ca="1" si="14"/>
        <v>99.971319040712615</v>
      </c>
      <c r="M79">
        <f t="shared" ca="1" si="15"/>
        <v>95.157680959287376</v>
      </c>
      <c r="N79">
        <f t="shared" ca="1" si="24"/>
        <v>-1.9999999999996021E-2</v>
      </c>
      <c r="O79">
        <f t="shared" ca="1" si="25"/>
        <v>0</v>
      </c>
      <c r="P79">
        <f t="shared" ca="1" si="26"/>
        <v>1.9999999999996021E-2</v>
      </c>
      <c r="Q79">
        <f t="shared" ca="1" si="10"/>
        <v>0.41279233216816685</v>
      </c>
      <c r="R79">
        <f t="shared" ca="1" si="11"/>
        <v>0.39158608495136277</v>
      </c>
      <c r="S79">
        <f t="shared" ca="1" si="8"/>
        <v>1.0541547517436378</v>
      </c>
      <c r="T79">
        <f t="shared" ca="1" si="9"/>
        <v>51.318176045345879</v>
      </c>
      <c r="U79">
        <f>70</f>
        <v>70</v>
      </c>
      <c r="V79">
        <f>30</f>
        <v>30</v>
      </c>
      <c r="W79">
        <f t="shared" ref="W79:W142" ca="1" si="27">C79*(2/(12+1)) + W78*(1-(2/(12+1)))</f>
        <v>97.970858085481822</v>
      </c>
      <c r="X79">
        <f t="shared" ca="1" si="17"/>
        <v>97.187794734157976</v>
      </c>
      <c r="Y79">
        <f t="shared" ca="1" si="16"/>
        <v>0.6731383555178212</v>
      </c>
      <c r="Z79">
        <f t="shared" ca="1" si="18"/>
        <v>0.91042995309832786</v>
      </c>
      <c r="AA79">
        <f t="shared" ca="1" si="19"/>
        <v>-0.23729159758050666</v>
      </c>
    </row>
    <row r="80" spans="1:27" x14ac:dyDescent="0.25">
      <c r="A80" s="20">
        <f t="shared" ca="1" si="20"/>
        <v>45817</v>
      </c>
      <c r="B80" vm="235">
        <f ca="1"/>
        <v>45818</v>
      </c>
      <c r="C80" vm="236">
        <f ca="1"/>
        <v>97.32</v>
      </c>
      <c r="D80" vm="237">
        <f ca="1"/>
        <v>17162468</v>
      </c>
      <c r="E80">
        <f t="shared" ca="1" si="21"/>
        <v>1670251385.76</v>
      </c>
      <c r="F80">
        <f ca="1">SUM($E$2:E80)/SUM($D$2:D80)</f>
        <v>92.664212712976507</v>
      </c>
      <c r="G80">
        <f ca="1">_xlfn.STDEV.P($C$2:C80)</f>
        <v>5.3101002096477004</v>
      </c>
      <c r="H80">
        <f t="shared" ca="1" si="22"/>
        <v>97.974312922624208</v>
      </c>
      <c r="I80">
        <f t="shared" ca="1" si="23"/>
        <v>87.354112503328807</v>
      </c>
      <c r="J80">
        <f t="shared" ca="1" si="12"/>
        <v>97.592999999999989</v>
      </c>
      <c r="K80">
        <f t="shared" ca="1" si="13"/>
        <v>1.1897770689016531</v>
      </c>
      <c r="L80">
        <f t="shared" ca="1" si="14"/>
        <v>99.9725541378033</v>
      </c>
      <c r="M80">
        <f t="shared" ca="1" si="15"/>
        <v>95.213445862196679</v>
      </c>
      <c r="N80">
        <f t="shared" ca="1" si="24"/>
        <v>-0.13000000000000966</v>
      </c>
      <c r="O80">
        <f t="shared" ca="1" si="25"/>
        <v>0</v>
      </c>
      <c r="P80">
        <f t="shared" ca="1" si="26"/>
        <v>0.13000000000000966</v>
      </c>
      <c r="Q80">
        <f t="shared" ca="1" si="10"/>
        <v>0.38330716558472633</v>
      </c>
      <c r="R80">
        <f t="shared" ca="1" si="11"/>
        <v>0.37290136459769468</v>
      </c>
      <c r="S80">
        <f t="shared" ref="S80:S143" ca="1" si="28">IF(R80=0,NA(),Q80/R80)</f>
        <v>1.027904968913852</v>
      </c>
      <c r="T80">
        <f t="shared" ref="T80:T143" ca="1" si="29">100-(100/(1+S80))</f>
        <v>50.688024570717374</v>
      </c>
      <c r="U80">
        <f>70</f>
        <v>70</v>
      </c>
      <c r="V80">
        <f>30</f>
        <v>30</v>
      </c>
      <c r="W80">
        <f t="shared" ca="1" si="27"/>
        <v>97.870726072330768</v>
      </c>
      <c r="X80">
        <f t="shared" ca="1" si="17"/>
        <v>97.197587716812947</v>
      </c>
      <c r="Y80">
        <f t="shared" ca="1" si="16"/>
        <v>0.45809012968099694</v>
      </c>
      <c r="Z80">
        <f t="shared" ca="1" si="18"/>
        <v>0.81996198841486168</v>
      </c>
      <c r="AA80">
        <f t="shared" ca="1" si="19"/>
        <v>-0.36187185873386474</v>
      </c>
    </row>
    <row r="81" spans="1:27" x14ac:dyDescent="0.25">
      <c r="A81" s="20">
        <f t="shared" ca="1" si="20"/>
        <v>45817</v>
      </c>
      <c r="B81" vm="238">
        <f ca="1"/>
        <v>45819</v>
      </c>
      <c r="C81" vm="239">
        <f ca="1"/>
        <v>95.8</v>
      </c>
      <c r="D81" vm="240">
        <f ca="1"/>
        <v>16389620</v>
      </c>
      <c r="E81">
        <f t="shared" ca="1" si="21"/>
        <v>1570125596</v>
      </c>
      <c r="F81">
        <f ca="1">SUM($E$2:E81)/SUM($D$2:D81)</f>
        <v>92.692725760017325</v>
      </c>
      <c r="G81">
        <f ca="1">_xlfn.STDEV.P($C$2:C81)</f>
        <v>5.2825433608608456</v>
      </c>
      <c r="H81">
        <f t="shared" ca="1" si="22"/>
        <v>97.975269120878167</v>
      </c>
      <c r="I81">
        <f t="shared" ca="1" si="23"/>
        <v>87.410182399156483</v>
      </c>
      <c r="J81">
        <f t="shared" ca="1" si="12"/>
        <v>97.588999999999999</v>
      </c>
      <c r="K81">
        <f t="shared" ca="1" si="13"/>
        <v>1.1959576651546255</v>
      </c>
      <c r="L81">
        <f t="shared" ca="1" si="14"/>
        <v>99.980915330309244</v>
      </c>
      <c r="M81">
        <f t="shared" ca="1" si="15"/>
        <v>95.197084669690753</v>
      </c>
      <c r="N81">
        <f t="shared" ca="1" si="24"/>
        <v>-1.519999999999996</v>
      </c>
      <c r="O81">
        <f t="shared" ca="1" si="25"/>
        <v>0</v>
      </c>
      <c r="P81">
        <f t="shared" ca="1" si="26"/>
        <v>1.519999999999996</v>
      </c>
      <c r="Q81">
        <f t="shared" ref="Q81:Q144" ca="1" si="30">(Q80*13+O81)/14</f>
        <v>0.35592808232867446</v>
      </c>
      <c r="R81">
        <f t="shared" ref="R81:R144" ca="1" si="31">(R80*13+P81)/14</f>
        <v>0.45483698141214479</v>
      </c>
      <c r="S81">
        <f t="shared" ca="1" si="28"/>
        <v>0.7825398920369554</v>
      </c>
      <c r="T81">
        <f t="shared" ca="1" si="29"/>
        <v>43.900273734840589</v>
      </c>
      <c r="U81">
        <f>70</f>
        <v>70</v>
      </c>
      <c r="V81">
        <f>30</f>
        <v>30</v>
      </c>
      <c r="W81">
        <f t="shared" ca="1" si="27"/>
        <v>97.552152830433727</v>
      </c>
      <c r="X81">
        <f t="shared" ca="1" si="17"/>
        <v>97.09406270075273</v>
      </c>
      <c r="Y81">
        <f t="shared" ca="1" si="16"/>
        <v>0.2070057347412444</v>
      </c>
      <c r="Z81">
        <f t="shared" ca="1" si="18"/>
        <v>0.69737073768013835</v>
      </c>
      <c r="AA81">
        <f t="shared" ca="1" si="19"/>
        <v>-0.49036500293889396</v>
      </c>
    </row>
    <row r="82" spans="1:27" x14ac:dyDescent="0.25">
      <c r="A82" s="20">
        <f t="shared" ca="1" si="20"/>
        <v>45817</v>
      </c>
      <c r="B82" vm="241">
        <f ca="1"/>
        <v>45820</v>
      </c>
      <c r="C82" vm="242">
        <f ca="1"/>
        <v>94.83</v>
      </c>
      <c r="D82" vm="243">
        <f ca="1"/>
        <v>17845704</v>
      </c>
      <c r="E82">
        <f t="shared" ca="1" si="21"/>
        <v>1692308110.3199999</v>
      </c>
      <c r="F82">
        <f ca="1">SUM($E$2:E82)/SUM($D$2:D82)</f>
        <v>92.713678626922132</v>
      </c>
      <c r="G82">
        <f ca="1">_xlfn.STDEV.P($C$2:C82)</f>
        <v>5.2515545662201308</v>
      </c>
      <c r="H82">
        <f t="shared" ca="1" si="22"/>
        <v>97.965233193142268</v>
      </c>
      <c r="I82">
        <f t="shared" ca="1" si="23"/>
        <v>87.462124060701996</v>
      </c>
      <c r="J82">
        <f t="shared" ca="1" si="12"/>
        <v>97.489000000000004</v>
      </c>
      <c r="K82">
        <f t="shared" ca="1" si="13"/>
        <v>1.3379477607613512</v>
      </c>
      <c r="L82">
        <f t="shared" ca="1" si="14"/>
        <v>100.16489552152271</v>
      </c>
      <c r="M82">
        <f t="shared" ca="1" si="15"/>
        <v>94.8131044784773</v>
      </c>
      <c r="N82">
        <f t="shared" ca="1" si="24"/>
        <v>-0.96999999999999886</v>
      </c>
      <c r="O82">
        <f t="shared" ca="1" si="25"/>
        <v>0</v>
      </c>
      <c r="P82">
        <f t="shared" ca="1" si="26"/>
        <v>0.96999999999999886</v>
      </c>
      <c r="Q82">
        <f t="shared" ca="1" si="30"/>
        <v>0.33050464787662631</v>
      </c>
      <c r="R82">
        <f t="shared" ca="1" si="31"/>
        <v>0.49163433988270583</v>
      </c>
      <c r="S82">
        <f t="shared" ca="1" si="28"/>
        <v>0.6722570436301869</v>
      </c>
      <c r="T82">
        <f t="shared" ca="1" si="29"/>
        <v>40.200580777392375</v>
      </c>
      <c r="U82">
        <f>70</f>
        <v>70</v>
      </c>
      <c r="V82">
        <f>30</f>
        <v>30</v>
      </c>
      <c r="W82">
        <f t="shared" ca="1" si="27"/>
        <v>97.133360087290072</v>
      </c>
      <c r="X82">
        <f t="shared" ca="1" si="17"/>
        <v>96.926354352548827</v>
      </c>
      <c r="Y82">
        <f t="shared" ca="1" si="16"/>
        <v>-2.3182959125975344E-2</v>
      </c>
      <c r="Z82">
        <f t="shared" ca="1" si="18"/>
        <v>0.5532599983189157</v>
      </c>
      <c r="AA82">
        <f t="shared" ca="1" si="19"/>
        <v>-0.57644295744489105</v>
      </c>
    </row>
    <row r="83" spans="1:27" x14ac:dyDescent="0.25">
      <c r="A83" s="20">
        <f t="shared" ca="1" si="20"/>
        <v>45817</v>
      </c>
      <c r="B83" vm="244">
        <f ca="1"/>
        <v>45821</v>
      </c>
      <c r="C83" vm="245">
        <f ca="1"/>
        <v>94.44</v>
      </c>
      <c r="D83" vm="246">
        <f ca="1"/>
        <v>18694739</v>
      </c>
      <c r="E83">
        <f t="shared" ca="1" si="21"/>
        <v>1765531151.1599998</v>
      </c>
      <c r="F83">
        <f ca="1">SUM($E$2:E83)/SUM($D$2:D83)</f>
        <v>92.731227657476111</v>
      </c>
      <c r="G83">
        <f ca="1">_xlfn.STDEV.P($C$2:C83)</f>
        <v>5.220196137090694</v>
      </c>
      <c r="H83">
        <f t="shared" ca="1" si="22"/>
        <v>97.951423794566807</v>
      </c>
      <c r="I83">
        <f t="shared" ca="1" si="23"/>
        <v>87.511031520385416</v>
      </c>
      <c r="J83">
        <f t="shared" ca="1" si="12"/>
        <v>97.393500000000003</v>
      </c>
      <c r="K83">
        <f t="shared" ca="1" si="13"/>
        <v>1.4837480102412048</v>
      </c>
      <c r="L83">
        <f t="shared" ca="1" si="14"/>
        <v>100.36099602048242</v>
      </c>
      <c r="M83">
        <f t="shared" ca="1" si="15"/>
        <v>94.426003979517589</v>
      </c>
      <c r="N83">
        <f t="shared" ca="1" si="24"/>
        <v>-0.39000000000000057</v>
      </c>
      <c r="O83">
        <f t="shared" ca="1" si="25"/>
        <v>0</v>
      </c>
      <c r="P83">
        <f t="shared" ca="1" si="26"/>
        <v>0.39000000000000057</v>
      </c>
      <c r="Q83">
        <f t="shared" ca="1" si="30"/>
        <v>0.30689717302829589</v>
      </c>
      <c r="R83">
        <f t="shared" ca="1" si="31"/>
        <v>0.48437474417679832</v>
      </c>
      <c r="S83">
        <f t="shared" ca="1" si="28"/>
        <v>0.63359449830496828</v>
      </c>
      <c r="T83">
        <f t="shared" ca="1" si="29"/>
        <v>38.785298246437009</v>
      </c>
      <c r="U83">
        <f>70</f>
        <v>70</v>
      </c>
      <c r="V83">
        <f>30</f>
        <v>30</v>
      </c>
      <c r="W83">
        <f t="shared" ca="1" si="27"/>
        <v>96.718996996937747</v>
      </c>
      <c r="X83">
        <f t="shared" ca="1" si="17"/>
        <v>96.742179956063723</v>
      </c>
      <c r="Y83">
        <f t="shared" ca="1" si="16"/>
        <v>-0.21523184510029125</v>
      </c>
      <c r="Z83">
        <f t="shared" ca="1" si="18"/>
        <v>0.3995616296350743</v>
      </c>
      <c r="AA83">
        <f t="shared" ca="1" si="19"/>
        <v>-0.61479347473536561</v>
      </c>
    </row>
    <row r="84" spans="1:27" x14ac:dyDescent="0.25">
      <c r="A84" s="20">
        <f t="shared" ca="1" si="20"/>
        <v>45824</v>
      </c>
      <c r="B84" vm="247">
        <f ca="1"/>
        <v>45824</v>
      </c>
      <c r="C84" vm="248">
        <f ca="1"/>
        <v>94.29</v>
      </c>
      <c r="D84" vm="249">
        <f ca="1"/>
        <v>14881663</v>
      </c>
      <c r="E84">
        <f t="shared" ca="1" si="21"/>
        <v>1403192004.27</v>
      </c>
      <c r="F84">
        <f ca="1">SUM($E$2:E84)/SUM($D$2:D84)</f>
        <v>92.743740212594261</v>
      </c>
      <c r="G84">
        <f ca="1">_xlfn.STDEV.P($C$2:C84)</f>
        <v>5.1891421166236746</v>
      </c>
      <c r="H84">
        <f t="shared" ca="1" si="22"/>
        <v>97.932882329217932</v>
      </c>
      <c r="I84">
        <f t="shared" ca="1" si="23"/>
        <v>87.55459809597059</v>
      </c>
      <c r="J84">
        <f t="shared" ca="1" si="12"/>
        <v>97.195999999999998</v>
      </c>
      <c r="K84">
        <f t="shared" ca="1" si="13"/>
        <v>1.6216249160706211</v>
      </c>
      <c r="L84">
        <f t="shared" ca="1" si="14"/>
        <v>100.43924983214124</v>
      </c>
      <c r="M84">
        <f t="shared" ca="1" si="15"/>
        <v>93.952750167858753</v>
      </c>
      <c r="N84">
        <f t="shared" ca="1" si="24"/>
        <v>-0.14999999999999147</v>
      </c>
      <c r="O84">
        <f t="shared" ca="1" si="25"/>
        <v>0</v>
      </c>
      <c r="P84">
        <f t="shared" ca="1" si="26"/>
        <v>0.14999999999999147</v>
      </c>
      <c r="Q84">
        <f t="shared" ca="1" si="30"/>
        <v>0.28497594638341761</v>
      </c>
      <c r="R84">
        <f t="shared" ca="1" si="31"/>
        <v>0.46049083387845496</v>
      </c>
      <c r="S84">
        <f t="shared" ca="1" si="28"/>
        <v>0.61885259253311453</v>
      </c>
      <c r="T84">
        <f t="shared" ca="1" si="29"/>
        <v>38.227853195994776</v>
      </c>
      <c r="U84">
        <f>70</f>
        <v>70</v>
      </c>
      <c r="V84">
        <f>30</f>
        <v>30</v>
      </c>
      <c r="W84">
        <f t="shared" ca="1" si="27"/>
        <v>96.345305151255019</v>
      </c>
      <c r="X84">
        <f t="shared" ca="1" si="17"/>
        <v>96.56053699635531</v>
      </c>
      <c r="Y84">
        <f t="shared" ca="1" si="16"/>
        <v>-0.36643559513599655</v>
      </c>
      <c r="Z84">
        <f t="shared" ca="1" si="18"/>
        <v>0.24636218468086013</v>
      </c>
      <c r="AA84">
        <f t="shared" ca="1" si="19"/>
        <v>-0.61279777981685668</v>
      </c>
    </row>
    <row r="85" spans="1:27" x14ac:dyDescent="0.25">
      <c r="A85" s="20">
        <f t="shared" ca="1" si="20"/>
        <v>45824</v>
      </c>
      <c r="B85" vm="250">
        <f ca="1"/>
        <v>45825</v>
      </c>
      <c r="C85" vm="251">
        <f ca="1"/>
        <v>94.25</v>
      </c>
      <c r="D85" vm="252">
        <f ca="1"/>
        <v>14935630</v>
      </c>
      <c r="E85">
        <f t="shared" ca="1" si="21"/>
        <v>1407683127.5</v>
      </c>
      <c r="F85">
        <f ca="1">SUM($E$2:E85)/SUM($D$2:D85)</f>
        <v>92.755778105864465</v>
      </c>
      <c r="G85">
        <f ca="1">_xlfn.STDEV.P($C$2:C85)</f>
        <v>5.1585786430740832</v>
      </c>
      <c r="H85">
        <f t="shared" ca="1" si="22"/>
        <v>97.914356748938545</v>
      </c>
      <c r="I85">
        <f t="shared" ca="1" si="23"/>
        <v>87.597199462790385</v>
      </c>
      <c r="J85">
        <f t="shared" ca="1" si="12"/>
        <v>97.002499999999998</v>
      </c>
      <c r="K85">
        <f t="shared" ca="1" si="13"/>
        <v>1.7326580584086455</v>
      </c>
      <c r="L85">
        <f t="shared" ca="1" si="14"/>
        <v>100.46781611681729</v>
      </c>
      <c r="M85">
        <f t="shared" ca="1" si="15"/>
        <v>93.537183883182706</v>
      </c>
      <c r="N85">
        <f t="shared" ca="1" si="24"/>
        <v>-4.0000000000006253E-2</v>
      </c>
      <c r="O85">
        <f t="shared" ca="1" si="25"/>
        <v>0</v>
      </c>
      <c r="P85">
        <f t="shared" ca="1" si="26"/>
        <v>4.0000000000006253E-2</v>
      </c>
      <c r="Q85">
        <f t="shared" ca="1" si="30"/>
        <v>0.26462052164174493</v>
      </c>
      <c r="R85">
        <f t="shared" ca="1" si="31"/>
        <v>0.43045577431570864</v>
      </c>
      <c r="S85">
        <f t="shared" ca="1" si="28"/>
        <v>0.61474496900967257</v>
      </c>
      <c r="T85">
        <f t="shared" ca="1" si="29"/>
        <v>38.070715859650406</v>
      </c>
      <c r="U85">
        <f>70</f>
        <v>70</v>
      </c>
      <c r="V85">
        <f>30</f>
        <v>30</v>
      </c>
      <c r="W85">
        <f t="shared" ca="1" si="27"/>
        <v>96.022950512600403</v>
      </c>
      <c r="X85">
        <f t="shared" ca="1" si="17"/>
        <v>96.389386107736399</v>
      </c>
      <c r="Y85">
        <f t="shared" ca="1" si="16"/>
        <v>-0.41371562043306653</v>
      </c>
      <c r="Z85">
        <f t="shared" ca="1" si="18"/>
        <v>0.11434662365807481</v>
      </c>
      <c r="AA85">
        <f t="shared" ca="1" si="19"/>
        <v>-0.52806224409114133</v>
      </c>
    </row>
    <row r="86" spans="1:27" x14ac:dyDescent="0.25">
      <c r="A86" s="20">
        <f t="shared" ca="1" si="20"/>
        <v>45824</v>
      </c>
      <c r="B86" vm="253">
        <f ca="1"/>
        <v>45826</v>
      </c>
      <c r="C86" vm="143">
        <f ca="1"/>
        <v>95.09</v>
      </c>
      <c r="D86" vm="254">
        <f ca="1"/>
        <v>11333690</v>
      </c>
      <c r="E86">
        <f t="shared" ca="1" si="21"/>
        <v>1077720582.1000001</v>
      </c>
      <c r="F86">
        <f ca="1">SUM($E$2:E86)/SUM($D$2:D86)</f>
        <v>92.769848772797573</v>
      </c>
      <c r="G86">
        <f ca="1">_xlfn.STDEV.P($C$2:C86)</f>
        <v>5.1304857941942554</v>
      </c>
      <c r="H86">
        <f t="shared" ca="1" si="22"/>
        <v>97.90033456699183</v>
      </c>
      <c r="I86">
        <f t="shared" ca="1" si="23"/>
        <v>87.639362978603316</v>
      </c>
      <c r="J86">
        <f t="shared" ref="J86:J149" ca="1" si="32">AVERAGE(C67:C86)</f>
        <v>96.86699999999999</v>
      </c>
      <c r="K86">
        <f t="shared" ref="K86:K149" ca="1" si="33">_xlfn.STDEV.S(C67:C86)</f>
        <v>1.7725156075327977</v>
      </c>
      <c r="L86">
        <f t="shared" ref="L86:L149" ca="1" si="34">J86 + 2*K86</f>
        <v>100.41203121506558</v>
      </c>
      <c r="M86">
        <f t="shared" ref="M86:M149" ca="1" si="35">J86-2*K86</f>
        <v>93.321968784934398</v>
      </c>
      <c r="N86">
        <f t="shared" ca="1" si="24"/>
        <v>0.84000000000000341</v>
      </c>
      <c r="O86">
        <f t="shared" ca="1" si="25"/>
        <v>0.84000000000000341</v>
      </c>
      <c r="P86">
        <f t="shared" ca="1" si="26"/>
        <v>0</v>
      </c>
      <c r="Q86">
        <f t="shared" ca="1" si="30"/>
        <v>0.30571905581019199</v>
      </c>
      <c r="R86">
        <f t="shared" ca="1" si="31"/>
        <v>0.39970893329315799</v>
      </c>
      <c r="S86">
        <f t="shared" ca="1" si="28"/>
        <v>0.76485419850741454</v>
      </c>
      <c r="T86">
        <f t="shared" ca="1" si="29"/>
        <v>43.338095529606505</v>
      </c>
      <c r="U86">
        <f>70</f>
        <v>70</v>
      </c>
      <c r="V86">
        <f>30</f>
        <v>30</v>
      </c>
      <c r="W86">
        <f t="shared" ca="1" si="27"/>
        <v>95.879419664508035</v>
      </c>
      <c r="X86">
        <f t="shared" ca="1" si="17"/>
        <v>96.293135284941101</v>
      </c>
      <c r="Y86">
        <f t="shared" ca="1" si="16"/>
        <v>-0.36387842520504421</v>
      </c>
      <c r="Z86">
        <f t="shared" ca="1" si="18"/>
        <v>1.870161388545101E-2</v>
      </c>
      <c r="AA86">
        <f t="shared" ca="1" si="19"/>
        <v>-0.38258003909049521</v>
      </c>
    </row>
    <row r="87" spans="1:27" x14ac:dyDescent="0.25">
      <c r="A87" s="20">
        <f t="shared" ca="1" si="20"/>
        <v>45824</v>
      </c>
      <c r="B87" vm="255">
        <f ca="1"/>
        <v>45828</v>
      </c>
      <c r="C87" vm="256">
        <f ca="1"/>
        <v>96.12</v>
      </c>
      <c r="D87" vm="257">
        <f ca="1"/>
        <v>20604918</v>
      </c>
      <c r="E87">
        <f t="shared" ca="1" si="21"/>
        <v>1980544718.1600001</v>
      </c>
      <c r="F87">
        <f ca="1">SUM($E$2:E87)/SUM($D$2:D87)</f>
        <v>92.806165187076886</v>
      </c>
      <c r="G87">
        <f ca="1">_xlfn.STDEV.P($C$2:C87)</f>
        <v>5.1073307595877564</v>
      </c>
      <c r="H87">
        <f t="shared" ca="1" si="22"/>
        <v>97.913495946664639</v>
      </c>
      <c r="I87">
        <f t="shared" ca="1" si="23"/>
        <v>87.698834427489132</v>
      </c>
      <c r="J87">
        <f t="shared" ca="1" si="32"/>
        <v>96.851499999999987</v>
      </c>
      <c r="K87">
        <f t="shared" ca="1" si="33"/>
        <v>1.7778854234588244</v>
      </c>
      <c r="L87">
        <f t="shared" ca="1" si="34"/>
        <v>100.40727084691764</v>
      </c>
      <c r="M87">
        <f t="shared" ca="1" si="35"/>
        <v>93.295729153082334</v>
      </c>
      <c r="N87">
        <f t="shared" ca="1" si="24"/>
        <v>1.0300000000000011</v>
      </c>
      <c r="O87">
        <f t="shared" ca="1" si="25"/>
        <v>1.0300000000000011</v>
      </c>
      <c r="P87">
        <f t="shared" ca="1" si="26"/>
        <v>0</v>
      </c>
      <c r="Q87">
        <f t="shared" ca="1" si="30"/>
        <v>0.35745340896660693</v>
      </c>
      <c r="R87">
        <f t="shared" ca="1" si="31"/>
        <v>0.37115829520078952</v>
      </c>
      <c r="S87">
        <f t="shared" ca="1" si="28"/>
        <v>0.96307536053648346</v>
      </c>
      <c r="T87">
        <f t="shared" ca="1" si="29"/>
        <v>49.059520581690109</v>
      </c>
      <c r="U87">
        <f>70</f>
        <v>70</v>
      </c>
      <c r="V87">
        <f>30</f>
        <v>30</v>
      </c>
      <c r="W87">
        <f t="shared" ca="1" si="27"/>
        <v>95.916432023814494</v>
      </c>
      <c r="X87">
        <f t="shared" ca="1" si="17"/>
        <v>96.280310449019538</v>
      </c>
      <c r="Y87">
        <f t="shared" ca="1" si="16"/>
        <v>-0.18108428734598192</v>
      </c>
      <c r="Z87">
        <f t="shared" ca="1" si="18"/>
        <v>-2.125556636083558E-2</v>
      </c>
      <c r="AA87">
        <f t="shared" ca="1" si="19"/>
        <v>-0.15982872098514633</v>
      </c>
    </row>
    <row r="88" spans="1:27" x14ac:dyDescent="0.25">
      <c r="A88" s="20">
        <f t="shared" ca="1" si="20"/>
        <v>45831</v>
      </c>
      <c r="B88" vm="258">
        <f ca="1"/>
        <v>45831</v>
      </c>
      <c r="C88" vm="259">
        <f ca="1"/>
        <v>97.87</v>
      </c>
      <c r="D88" vm="260">
        <f ca="1"/>
        <v>20432351</v>
      </c>
      <c r="E88">
        <f t="shared" ca="1" si="21"/>
        <v>1999714192.3700001</v>
      </c>
      <c r="F88">
        <f ca="1">SUM($E$2:E88)/SUM($D$2:D88)</f>
        <v>92.860019689670452</v>
      </c>
      <c r="G88">
        <f ca="1">_xlfn.STDEV.P($C$2:C88)</f>
        <v>5.0973291315485598</v>
      </c>
      <c r="H88">
        <f t="shared" ca="1" si="22"/>
        <v>97.957348821219014</v>
      </c>
      <c r="I88">
        <f t="shared" ca="1" si="23"/>
        <v>87.762690558121889</v>
      </c>
      <c r="J88">
        <f t="shared" ca="1" si="32"/>
        <v>96.948499999999996</v>
      </c>
      <c r="K88">
        <f t="shared" ca="1" si="33"/>
        <v>1.7778854234588246</v>
      </c>
      <c r="L88">
        <f t="shared" ca="1" si="34"/>
        <v>100.50427084691765</v>
      </c>
      <c r="M88">
        <f t="shared" ca="1" si="35"/>
        <v>93.392729153082342</v>
      </c>
      <c r="N88">
        <f t="shared" ca="1" si="24"/>
        <v>1.75</v>
      </c>
      <c r="O88">
        <f t="shared" ca="1" si="25"/>
        <v>1.75</v>
      </c>
      <c r="P88">
        <f t="shared" ca="1" si="26"/>
        <v>0</v>
      </c>
      <c r="Q88">
        <f t="shared" ca="1" si="30"/>
        <v>0.4569210226118493</v>
      </c>
      <c r="R88">
        <f t="shared" ca="1" si="31"/>
        <v>0.34464698840073316</v>
      </c>
      <c r="S88">
        <f t="shared" ca="1" si="28"/>
        <v>1.325765313464951</v>
      </c>
      <c r="T88">
        <f t="shared" ca="1" si="29"/>
        <v>57.003400377048841</v>
      </c>
      <c r="U88">
        <f>70</f>
        <v>70</v>
      </c>
      <c r="V88">
        <f>30</f>
        <v>30</v>
      </c>
      <c r="W88">
        <f t="shared" ca="1" si="27"/>
        <v>96.216980943227654</v>
      </c>
      <c r="X88">
        <f t="shared" ca="1" si="17"/>
        <v>96.398065230573636</v>
      </c>
      <c r="Y88">
        <f t="shared" ca="1" si="16"/>
        <v>-2.5435497999467316E-2</v>
      </c>
      <c r="Z88">
        <f t="shared" ca="1" si="18"/>
        <v>-2.2091552688561927E-2</v>
      </c>
      <c r="AA88">
        <f t="shared" ca="1" si="19"/>
        <v>-3.3439453109053892E-3</v>
      </c>
    </row>
    <row r="89" spans="1:27" x14ac:dyDescent="0.25">
      <c r="A89" s="20">
        <f t="shared" ca="1" si="20"/>
        <v>45831</v>
      </c>
      <c r="B89" vm="261">
        <f ca="1"/>
        <v>45832</v>
      </c>
      <c r="C89" vm="262">
        <f ca="1"/>
        <v>98</v>
      </c>
      <c r="D89" vm="263">
        <f ca="1"/>
        <v>22403655</v>
      </c>
      <c r="E89">
        <f t="shared" ca="1" si="21"/>
        <v>2195558190</v>
      </c>
      <c r="F89">
        <f ca="1">SUM($E$2:E89)/SUM($D$2:D89)</f>
        <v>92.919267102208565</v>
      </c>
      <c r="G89">
        <f ca="1">_xlfn.STDEV.P($C$2:C89)</f>
        <v>5.0883015998943675</v>
      </c>
      <c r="H89">
        <f t="shared" ca="1" si="22"/>
        <v>98.00756870210293</v>
      </c>
      <c r="I89">
        <f t="shared" ca="1" si="23"/>
        <v>87.8309655023142</v>
      </c>
      <c r="J89">
        <f t="shared" ca="1" si="32"/>
        <v>97.03149999999998</v>
      </c>
      <c r="K89">
        <f t="shared" ca="1" si="33"/>
        <v>1.7867090447317693</v>
      </c>
      <c r="L89">
        <f t="shared" ca="1" si="34"/>
        <v>100.60491808946352</v>
      </c>
      <c r="M89">
        <f t="shared" ca="1" si="35"/>
        <v>93.458081910536436</v>
      </c>
      <c r="N89">
        <f t="shared" ca="1" si="24"/>
        <v>0.12999999999999545</v>
      </c>
      <c r="O89">
        <f t="shared" ca="1" si="25"/>
        <v>0.12999999999999545</v>
      </c>
      <c r="P89">
        <f t="shared" ca="1" si="26"/>
        <v>0</v>
      </c>
      <c r="Q89">
        <f t="shared" ca="1" si="30"/>
        <v>0.43356952099671686</v>
      </c>
      <c r="R89">
        <f t="shared" ca="1" si="31"/>
        <v>0.32002934637210939</v>
      </c>
      <c r="S89">
        <f t="shared" ca="1" si="28"/>
        <v>1.3547805096992271</v>
      </c>
      <c r="T89">
        <f t="shared" ca="1" si="29"/>
        <v>57.53319700579106</v>
      </c>
      <c r="U89">
        <f>70</f>
        <v>70</v>
      </c>
      <c r="V89">
        <f>30</f>
        <v>30</v>
      </c>
      <c r="W89">
        <f t="shared" ca="1" si="27"/>
        <v>96.491291567346479</v>
      </c>
      <c r="X89">
        <f t="shared" ca="1" si="17"/>
        <v>96.516727065345947</v>
      </c>
      <c r="Y89">
        <f t="shared" ca="1" si="16"/>
        <v>3.7770083374553565E-2</v>
      </c>
      <c r="Z89">
        <f t="shared" ca="1" si="18"/>
        <v>-1.0119225475938829E-2</v>
      </c>
      <c r="AA89">
        <f t="shared" ca="1" si="19"/>
        <v>4.788930885049239E-2</v>
      </c>
    </row>
    <row r="90" spans="1:27" x14ac:dyDescent="0.25">
      <c r="A90" s="20">
        <f t="shared" ca="1" si="20"/>
        <v>45831</v>
      </c>
      <c r="B90" vm="264">
        <f ca="1"/>
        <v>45833</v>
      </c>
      <c r="C90" vm="265">
        <f ca="1"/>
        <v>97.26</v>
      </c>
      <c r="D90" vm="266">
        <f ca="1"/>
        <v>11154676</v>
      </c>
      <c r="E90">
        <f t="shared" ca="1" si="21"/>
        <v>1084903787.76</v>
      </c>
      <c r="F90">
        <f ca="1">SUM($E$2:E90)/SUM($D$2:D90)</f>
        <v>92.94403697252568</v>
      </c>
      <c r="G90">
        <f ca="1">_xlfn.STDEV.P($C$2:C90)</f>
        <v>5.0728042851304629</v>
      </c>
      <c r="H90">
        <f t="shared" ca="1" si="22"/>
        <v>98.016841257656139</v>
      </c>
      <c r="I90">
        <f t="shared" ca="1" si="23"/>
        <v>87.871232687395221</v>
      </c>
      <c r="J90">
        <f t="shared" ca="1" si="32"/>
        <v>97.015499999999989</v>
      </c>
      <c r="K90">
        <f t="shared" ca="1" si="33"/>
        <v>1.7829675883348604</v>
      </c>
      <c r="L90">
        <f t="shared" ca="1" si="34"/>
        <v>100.58143517666971</v>
      </c>
      <c r="M90">
        <f t="shared" ca="1" si="35"/>
        <v>93.449564823330263</v>
      </c>
      <c r="N90">
        <f t="shared" ca="1" si="24"/>
        <v>-0.73999999999999488</v>
      </c>
      <c r="O90">
        <f t="shared" ca="1" si="25"/>
        <v>0</v>
      </c>
      <c r="P90">
        <f t="shared" ca="1" si="26"/>
        <v>0.73999999999999488</v>
      </c>
      <c r="Q90">
        <f t="shared" ca="1" si="30"/>
        <v>0.40260026949695138</v>
      </c>
      <c r="R90">
        <f t="shared" ca="1" si="31"/>
        <v>0.35002725020267267</v>
      </c>
      <c r="S90">
        <f t="shared" ca="1" si="28"/>
        <v>1.1501969325640728</v>
      </c>
      <c r="T90">
        <f t="shared" ca="1" si="29"/>
        <v>53.492632007082385</v>
      </c>
      <c r="U90">
        <f>70</f>
        <v>70</v>
      </c>
      <c r="V90">
        <f>30</f>
        <v>30</v>
      </c>
      <c r="W90">
        <f t="shared" ca="1" si="27"/>
        <v>96.609554403139327</v>
      </c>
      <c r="X90">
        <f t="shared" ca="1" si="17"/>
        <v>96.571784319764774</v>
      </c>
      <c r="Y90">
        <f t="shared" ca="1" si="16"/>
        <v>-1.2057681456326463E-2</v>
      </c>
      <c r="Z90">
        <f t="shared" ca="1" si="18"/>
        <v>-1.0506916672016357E-2</v>
      </c>
      <c r="AA90">
        <f t="shared" ca="1" si="19"/>
        <v>-1.5507647843101061E-3</v>
      </c>
    </row>
    <row r="91" spans="1:27" x14ac:dyDescent="0.25">
      <c r="A91" s="20">
        <f t="shared" ca="1" si="20"/>
        <v>45831</v>
      </c>
      <c r="B91" vm="267">
        <f ca="1"/>
        <v>45834</v>
      </c>
      <c r="C91" vm="268">
        <f ca="1"/>
        <v>96.02</v>
      </c>
      <c r="D91" vm="269">
        <f ca="1"/>
        <v>19361417</v>
      </c>
      <c r="E91">
        <f t="shared" ca="1" si="21"/>
        <v>1859083260.3399999</v>
      </c>
      <c r="F91">
        <f ca="1">SUM($E$2:E91)/SUM($D$2:D91)</f>
        <v>92.974204628780498</v>
      </c>
      <c r="G91">
        <f ca="1">_xlfn.STDEV.P($C$2:C91)</f>
        <v>5.0497483570110502</v>
      </c>
      <c r="H91">
        <f t="shared" ca="1" si="22"/>
        <v>98.023952985791553</v>
      </c>
      <c r="I91">
        <f t="shared" ca="1" si="23"/>
        <v>87.924456271769444</v>
      </c>
      <c r="J91">
        <f t="shared" ca="1" si="32"/>
        <v>96.954499999999996</v>
      </c>
      <c r="K91">
        <f t="shared" ca="1" si="33"/>
        <v>1.7957067953139898</v>
      </c>
      <c r="L91">
        <f t="shared" ca="1" si="34"/>
        <v>100.54591359062798</v>
      </c>
      <c r="M91">
        <f t="shared" ca="1" si="35"/>
        <v>93.363086409372016</v>
      </c>
      <c r="N91">
        <f t="shared" ca="1" si="24"/>
        <v>-1.2400000000000091</v>
      </c>
      <c r="O91">
        <f t="shared" ca="1" si="25"/>
        <v>0</v>
      </c>
      <c r="P91">
        <f t="shared" ca="1" si="26"/>
        <v>1.2400000000000091</v>
      </c>
      <c r="Q91">
        <f t="shared" ca="1" si="30"/>
        <v>0.37384310739002624</v>
      </c>
      <c r="R91">
        <f t="shared" ca="1" si="31"/>
        <v>0.41359673233105382</v>
      </c>
      <c r="S91">
        <f t="shared" ca="1" si="28"/>
        <v>0.90388312616259325</v>
      </c>
      <c r="T91">
        <f t="shared" ca="1" si="29"/>
        <v>47.475767484973282</v>
      </c>
      <c r="U91">
        <f>70</f>
        <v>70</v>
      </c>
      <c r="V91">
        <f>30</f>
        <v>30</v>
      </c>
      <c r="W91">
        <f t="shared" ca="1" si="27"/>
        <v>96.51885372573328</v>
      </c>
      <c r="X91">
        <f t="shared" ca="1" si="17"/>
        <v>96.530911407189606</v>
      </c>
      <c r="Y91">
        <f t="shared" ca="1" si="16"/>
        <v>4.8755980644330066E-2</v>
      </c>
      <c r="Z91">
        <f t="shared" ca="1" si="18"/>
        <v>1.345662791252927E-3</v>
      </c>
      <c r="AA91">
        <f t="shared" ca="1" si="19"/>
        <v>4.7410317853077137E-2</v>
      </c>
    </row>
    <row r="92" spans="1:27" x14ac:dyDescent="0.25">
      <c r="A92" s="20">
        <f t="shared" ca="1" si="20"/>
        <v>45831</v>
      </c>
      <c r="B92" vm="270">
        <f ca="1"/>
        <v>45835</v>
      </c>
      <c r="C92" vm="271">
        <f ca="1"/>
        <v>97.27</v>
      </c>
      <c r="D92" vm="272">
        <f ca="1"/>
        <v>31431912</v>
      </c>
      <c r="E92">
        <f t="shared" ca="1" si="21"/>
        <v>3057382080.2399998</v>
      </c>
      <c r="F92">
        <f ca="1">SUM($E$2:E92)/SUM($D$2:D92)</f>
        <v>93.041529789118272</v>
      </c>
      <c r="G92">
        <f ca="1">_xlfn.STDEV.P($C$2:C92)</f>
        <v>5.0345106539219442</v>
      </c>
      <c r="H92">
        <f t="shared" ca="1" si="22"/>
        <v>98.076040443040213</v>
      </c>
      <c r="I92">
        <f t="shared" ca="1" si="23"/>
        <v>88.00701913519633</v>
      </c>
      <c r="J92">
        <f t="shared" ca="1" si="32"/>
        <v>96.96299999999998</v>
      </c>
      <c r="K92">
        <f t="shared" ca="1" si="33"/>
        <v>1.796833764973089</v>
      </c>
      <c r="L92">
        <f t="shared" ca="1" si="34"/>
        <v>100.55666752994615</v>
      </c>
      <c r="M92">
        <f t="shared" ca="1" si="35"/>
        <v>93.369332470053806</v>
      </c>
      <c r="N92">
        <f t="shared" ca="1" si="24"/>
        <v>1.25</v>
      </c>
      <c r="O92">
        <f t="shared" ca="1" si="25"/>
        <v>1.25</v>
      </c>
      <c r="P92">
        <f t="shared" ca="1" si="26"/>
        <v>0</v>
      </c>
      <c r="Q92">
        <f t="shared" ca="1" si="30"/>
        <v>0.43642574257645295</v>
      </c>
      <c r="R92">
        <f t="shared" ca="1" si="31"/>
        <v>0.38405410859312139</v>
      </c>
      <c r="S92">
        <f t="shared" ca="1" si="28"/>
        <v>1.1363652485718247</v>
      </c>
      <c r="T92">
        <f t="shared" ca="1" si="29"/>
        <v>53.19152468574805</v>
      </c>
      <c r="U92">
        <f>70</f>
        <v>70</v>
      </c>
      <c r="V92">
        <f>30</f>
        <v>30</v>
      </c>
      <c r="W92">
        <f t="shared" ca="1" si="27"/>
        <v>96.634414691005077</v>
      </c>
      <c r="X92">
        <f t="shared" ca="1" si="17"/>
        <v>96.585658710360747</v>
      </c>
      <c r="Y92">
        <f t="shared" ref="Y92:Y155" ca="1" si="36">W93-X93</f>
        <v>0.13653014917738915</v>
      </c>
      <c r="Z92">
        <f t="shared" ca="1" si="18"/>
        <v>2.8382560068480174E-2</v>
      </c>
      <c r="AA92">
        <f t="shared" ca="1" si="19"/>
        <v>0.10814758910890898</v>
      </c>
    </row>
    <row r="93" spans="1:27" x14ac:dyDescent="0.25">
      <c r="A93" s="20">
        <f t="shared" ca="1" si="20"/>
        <v>45838</v>
      </c>
      <c r="B93" vm="273">
        <f ca="1"/>
        <v>45838</v>
      </c>
      <c r="C93" vm="274">
        <f ca="1"/>
        <v>97.78</v>
      </c>
      <c r="D93" vm="275">
        <f ca="1"/>
        <v>17803030</v>
      </c>
      <c r="E93">
        <f t="shared" ca="1" si="21"/>
        <v>1740780273.4000001</v>
      </c>
      <c r="F93">
        <f ca="1">SUM($E$2:E93)/SUM($D$2:D93)</f>
        <v>93.083222194283778</v>
      </c>
      <c r="G93">
        <f ca="1">_xlfn.STDEV.P($C$2:C93)</f>
        <v>5.0232522600361627</v>
      </c>
      <c r="H93">
        <f t="shared" ca="1" si="22"/>
        <v>98.106474454319937</v>
      </c>
      <c r="I93">
        <f t="shared" ca="1" si="23"/>
        <v>88.059969934247619</v>
      </c>
      <c r="J93">
        <f t="shared" ca="1" si="32"/>
        <v>96.915999999999983</v>
      </c>
      <c r="K93">
        <f t="shared" ca="1" si="33"/>
        <v>1.7603809396353896</v>
      </c>
      <c r="L93">
        <f t="shared" ca="1" si="34"/>
        <v>100.43676187927076</v>
      </c>
      <c r="M93">
        <f t="shared" ca="1" si="35"/>
        <v>93.395238120729204</v>
      </c>
      <c r="N93">
        <f t="shared" ca="1" si="24"/>
        <v>0.51000000000000512</v>
      </c>
      <c r="O93">
        <f t="shared" ca="1" si="25"/>
        <v>0.51000000000000512</v>
      </c>
      <c r="P93">
        <f t="shared" ca="1" si="26"/>
        <v>0</v>
      </c>
      <c r="Q93">
        <f t="shared" ca="1" si="30"/>
        <v>0.44168104667813524</v>
      </c>
      <c r="R93">
        <f t="shared" ca="1" si="31"/>
        <v>0.35662167226504132</v>
      </c>
      <c r="S93">
        <f t="shared" ca="1" si="28"/>
        <v>1.2385143165104049</v>
      </c>
      <c r="T93">
        <f t="shared" ca="1" si="29"/>
        <v>55.32751376105162</v>
      </c>
      <c r="U93">
        <f>70</f>
        <v>70</v>
      </c>
      <c r="V93">
        <f>30</f>
        <v>30</v>
      </c>
      <c r="W93">
        <f t="shared" ca="1" si="27"/>
        <v>96.810658584696597</v>
      </c>
      <c r="X93">
        <f t="shared" ref="X93:X156" ca="1" si="37">C93*(2/(26+1)) + X92*(1-(2/(26+1)))</f>
        <v>96.674128435519208</v>
      </c>
      <c r="Y93">
        <f t="shared" ca="1" si="36"/>
        <v>0.24043834219700955</v>
      </c>
      <c r="Z93">
        <f t="shared" ca="1" si="18"/>
        <v>7.079371649418606E-2</v>
      </c>
      <c r="AA93">
        <f t="shared" ca="1" si="19"/>
        <v>0.16964462570282349</v>
      </c>
    </row>
    <row r="94" spans="1:27" x14ac:dyDescent="0.25">
      <c r="A94" s="20">
        <f t="shared" ca="1" si="20"/>
        <v>45838</v>
      </c>
      <c r="B94" vm="276">
        <f ca="1"/>
        <v>45839</v>
      </c>
      <c r="C94" vm="188">
        <f ca="1"/>
        <v>98.24</v>
      </c>
      <c r="D94" vm="277">
        <f ca="1"/>
        <v>15635847</v>
      </c>
      <c r="E94">
        <f t="shared" ca="1" si="21"/>
        <v>1536065609.28</v>
      </c>
      <c r="F94">
        <f ca="1">SUM($E$2:E94)/SUM($D$2:D94)</f>
        <v>93.122766279772449</v>
      </c>
      <c r="G94">
        <f ca="1">_xlfn.STDEV.P($C$2:C94)</f>
        <v>5.0158417094352465</v>
      </c>
      <c r="H94">
        <f t="shared" ca="1" si="22"/>
        <v>98.138607989207699</v>
      </c>
      <c r="I94">
        <f t="shared" ca="1" si="23"/>
        <v>88.106924570337199</v>
      </c>
      <c r="J94">
        <f t="shared" ca="1" si="32"/>
        <v>96.839499999999987</v>
      </c>
      <c r="K94">
        <f t="shared" ca="1" si="33"/>
        <v>1.6602234313806263</v>
      </c>
      <c r="L94">
        <f t="shared" ca="1" si="34"/>
        <v>100.15994686276125</v>
      </c>
      <c r="M94">
        <f t="shared" ca="1" si="35"/>
        <v>93.519053137238728</v>
      </c>
      <c r="N94">
        <f t="shared" ca="1" si="24"/>
        <v>0.45999999999999375</v>
      </c>
      <c r="O94">
        <f t="shared" ca="1" si="25"/>
        <v>0.45999999999999375</v>
      </c>
      <c r="P94">
        <f t="shared" ca="1" si="26"/>
        <v>0</v>
      </c>
      <c r="Q94">
        <f t="shared" ca="1" si="30"/>
        <v>0.44298954334398227</v>
      </c>
      <c r="R94">
        <f t="shared" ca="1" si="31"/>
        <v>0.33114869567468125</v>
      </c>
      <c r="S94">
        <f t="shared" ca="1" si="28"/>
        <v>1.3377360355940309</v>
      </c>
      <c r="T94">
        <f t="shared" ca="1" si="29"/>
        <v>57.223570806363739</v>
      </c>
      <c r="U94">
        <f>70</f>
        <v>70</v>
      </c>
      <c r="V94">
        <f>30</f>
        <v>30</v>
      </c>
      <c r="W94">
        <f t="shared" ca="1" si="27"/>
        <v>97.030557263974046</v>
      </c>
      <c r="X94">
        <f t="shared" ca="1" si="37"/>
        <v>96.790118921777037</v>
      </c>
      <c r="Y94">
        <f t="shared" ca="1" si="36"/>
        <v>0.2688514467884886</v>
      </c>
      <c r="Z94">
        <f t="shared" ca="1" si="18"/>
        <v>0.11040526255304658</v>
      </c>
      <c r="AA94">
        <f t="shared" ca="1" si="19"/>
        <v>0.15844618423544202</v>
      </c>
    </row>
    <row r="95" spans="1:27" x14ac:dyDescent="0.25">
      <c r="A95" s="20">
        <f t="shared" ca="1" si="20"/>
        <v>45838</v>
      </c>
      <c r="B95" vm="278">
        <f ca="1"/>
        <v>45840</v>
      </c>
      <c r="C95" vm="279">
        <f ca="1"/>
        <v>97.61</v>
      </c>
      <c r="D95" vm="280">
        <f ca="1"/>
        <v>12501965</v>
      </c>
      <c r="E95">
        <f t="shared" ca="1" si="21"/>
        <v>1220316803.6500001</v>
      </c>
      <c r="F95">
        <f ca="1">SUM($E$2:E95)/SUM($D$2:D95)</f>
        <v>93.150111660195051</v>
      </c>
      <c r="G95">
        <f ca="1">_xlfn.STDEV.P($C$2:C95)</f>
        <v>5.0029431491788703</v>
      </c>
      <c r="H95">
        <f t="shared" ca="1" si="22"/>
        <v>98.153054809373927</v>
      </c>
      <c r="I95">
        <f t="shared" ca="1" si="23"/>
        <v>88.147168511016176</v>
      </c>
      <c r="J95">
        <f t="shared" ca="1" si="32"/>
        <v>96.720999999999975</v>
      </c>
      <c r="K95">
        <f t="shared" ca="1" si="33"/>
        <v>1.5012377349514303</v>
      </c>
      <c r="L95">
        <f t="shared" ca="1" si="34"/>
        <v>99.723475469902837</v>
      </c>
      <c r="M95">
        <f t="shared" ca="1" si="35"/>
        <v>93.718524530097113</v>
      </c>
      <c r="N95">
        <f t="shared" ca="1" si="24"/>
        <v>-0.62999999999999545</v>
      </c>
      <c r="O95">
        <f t="shared" ca="1" si="25"/>
        <v>0</v>
      </c>
      <c r="P95">
        <f t="shared" ca="1" si="26"/>
        <v>0.62999999999999545</v>
      </c>
      <c r="Q95">
        <f t="shared" ca="1" si="30"/>
        <v>0.41134743310512639</v>
      </c>
      <c r="R95">
        <f t="shared" ca="1" si="31"/>
        <v>0.35249521741220369</v>
      </c>
      <c r="S95">
        <f t="shared" ca="1" si="28"/>
        <v>1.1669589054994232</v>
      </c>
      <c r="T95">
        <f t="shared" ca="1" si="29"/>
        <v>53.852378212519532</v>
      </c>
      <c r="U95">
        <f>70</f>
        <v>70</v>
      </c>
      <c r="V95">
        <f>30</f>
        <v>30</v>
      </c>
      <c r="W95">
        <f t="shared" ca="1" si="27"/>
        <v>97.119702300285738</v>
      </c>
      <c r="X95">
        <f t="shared" ca="1" si="37"/>
        <v>96.850850853497249</v>
      </c>
      <c r="Y95">
        <f t="shared" ca="1" si="36"/>
        <v>0.34787765184690045</v>
      </c>
      <c r="Z95">
        <f t="shared" ca="1" si="18"/>
        <v>0.15789974041181737</v>
      </c>
      <c r="AA95">
        <f t="shared" ca="1" si="19"/>
        <v>0.18997791143508308</v>
      </c>
    </row>
    <row r="96" spans="1:27" x14ac:dyDescent="0.25">
      <c r="A96" s="20">
        <f t="shared" ca="1" si="20"/>
        <v>45838</v>
      </c>
      <c r="B96" vm="281">
        <f ca="1"/>
        <v>45841</v>
      </c>
      <c r="C96" vm="282">
        <f ca="1"/>
        <v>98.36</v>
      </c>
      <c r="D96" vm="283">
        <f ca="1"/>
        <v>7686204</v>
      </c>
      <c r="E96">
        <f t="shared" ca="1" si="21"/>
        <v>756015025.43999994</v>
      </c>
      <c r="F96">
        <f ca="1">SUM($E$2:E96)/SUM($D$2:D96)</f>
        <v>93.16955823996733</v>
      </c>
      <c r="G96">
        <f ca="1">_xlfn.STDEV.P($C$2:C96)</f>
        <v>4.996194800244929</v>
      </c>
      <c r="H96">
        <f t="shared" ca="1" si="22"/>
        <v>98.165753040212252</v>
      </c>
      <c r="I96">
        <f t="shared" ca="1" si="23"/>
        <v>88.173363439722408</v>
      </c>
      <c r="J96">
        <f t="shared" ca="1" si="32"/>
        <v>96.67149999999998</v>
      </c>
      <c r="K96">
        <f t="shared" ca="1" si="33"/>
        <v>1.4243420457031706</v>
      </c>
      <c r="L96">
        <f t="shared" ca="1" si="34"/>
        <v>99.520184091406321</v>
      </c>
      <c r="M96">
        <f t="shared" ca="1" si="35"/>
        <v>93.82281590859364</v>
      </c>
      <c r="N96">
        <f t="shared" ca="1" si="24"/>
        <v>0.75</v>
      </c>
      <c r="O96">
        <f t="shared" ca="1" si="25"/>
        <v>0.75</v>
      </c>
      <c r="P96">
        <f t="shared" ca="1" si="26"/>
        <v>0</v>
      </c>
      <c r="Q96">
        <f t="shared" ca="1" si="30"/>
        <v>0.43553690216904595</v>
      </c>
      <c r="R96">
        <f t="shared" ca="1" si="31"/>
        <v>0.32731698759704625</v>
      </c>
      <c r="S96">
        <f t="shared" ca="1" si="28"/>
        <v>1.3306272472030301</v>
      </c>
      <c r="T96">
        <f t="shared" ca="1" si="29"/>
        <v>57.093095809289402</v>
      </c>
      <c r="U96">
        <f>70</f>
        <v>70</v>
      </c>
      <c r="V96">
        <f>30</f>
        <v>30</v>
      </c>
      <c r="W96">
        <f t="shared" ca="1" si="27"/>
        <v>97.310517331011013</v>
      </c>
      <c r="X96">
        <f t="shared" ca="1" si="37"/>
        <v>96.962639679164113</v>
      </c>
      <c r="Y96">
        <f t="shared" ca="1" si="36"/>
        <v>0.48480271105962913</v>
      </c>
      <c r="Z96">
        <f t="shared" ca="1" si="18"/>
        <v>0.22328033454137974</v>
      </c>
      <c r="AA96">
        <f t="shared" ca="1" si="19"/>
        <v>0.26152237651824939</v>
      </c>
    </row>
    <row r="97" spans="1:28" x14ac:dyDescent="0.25">
      <c r="A97" s="20">
        <f t="shared" ca="1" si="20"/>
        <v>45845</v>
      </c>
      <c r="B97" vm="284">
        <f ca="1"/>
        <v>45845</v>
      </c>
      <c r="C97" vm="224">
        <f ca="1"/>
        <v>99.35</v>
      </c>
      <c r="D97" vm="285">
        <f ca="1"/>
        <v>12930913</v>
      </c>
      <c r="E97">
        <f t="shared" ca="1" si="21"/>
        <v>1284686206.55</v>
      </c>
      <c r="F97">
        <f ca="1">SUM($E$2:E97)/SUM($D$2:D97)</f>
        <v>93.208126757490945</v>
      </c>
      <c r="G97">
        <f ca="1">_xlfn.STDEV.P($C$2:C97)</f>
        <v>4.9989556624202764</v>
      </c>
      <c r="H97">
        <f t="shared" ca="1" si="22"/>
        <v>98.207082419911217</v>
      </c>
      <c r="I97">
        <f t="shared" ca="1" si="23"/>
        <v>88.209171095070673</v>
      </c>
      <c r="J97">
        <f t="shared" ca="1" si="32"/>
        <v>96.740999999999971</v>
      </c>
      <c r="K97">
        <f t="shared" ca="1" si="33"/>
        <v>1.5211453441057938</v>
      </c>
      <c r="L97">
        <f t="shared" ca="1" si="34"/>
        <v>99.783290688211565</v>
      </c>
      <c r="M97">
        <f t="shared" ca="1" si="35"/>
        <v>93.698709311788377</v>
      </c>
      <c r="N97">
        <f t="shared" ca="1" si="24"/>
        <v>0.98999999999999488</v>
      </c>
      <c r="O97">
        <f t="shared" ca="1" si="25"/>
        <v>0.98999999999999488</v>
      </c>
      <c r="P97">
        <f t="shared" ca="1" si="26"/>
        <v>0</v>
      </c>
      <c r="Q97">
        <f t="shared" ca="1" si="30"/>
        <v>0.47514140915697084</v>
      </c>
      <c r="R97">
        <f t="shared" ca="1" si="31"/>
        <v>0.3039372027686858</v>
      </c>
      <c r="S97">
        <f t="shared" ca="1" si="28"/>
        <v>1.5632880898709249</v>
      </c>
      <c r="T97">
        <f t="shared" ca="1" si="29"/>
        <v>60.987607910652166</v>
      </c>
      <c r="U97">
        <f>70</f>
        <v>70</v>
      </c>
      <c r="V97">
        <f>30</f>
        <v>30</v>
      </c>
      <c r="W97">
        <f t="shared" ca="1" si="27"/>
        <v>97.624283895470853</v>
      </c>
      <c r="X97">
        <f t="shared" ca="1" si="37"/>
        <v>97.139481184411224</v>
      </c>
      <c r="Y97">
        <f t="shared" ca="1" si="36"/>
        <v>0.40627046159885083</v>
      </c>
      <c r="Z97">
        <f t="shared" ca="1" si="18"/>
        <v>0.25987835995287395</v>
      </c>
      <c r="AA97">
        <f t="shared" ca="1" si="19"/>
        <v>0.14639210164597688</v>
      </c>
    </row>
    <row r="98" spans="1:28" x14ac:dyDescent="0.25">
      <c r="A98" s="20">
        <f t="shared" ca="1" si="20"/>
        <v>45845</v>
      </c>
      <c r="B98" vm="286">
        <f ca="1"/>
        <v>45846</v>
      </c>
      <c r="C98" vm="287">
        <f ca="1"/>
        <v>97.09</v>
      </c>
      <c r="D98" vm="288">
        <f ca="1"/>
        <v>16874954</v>
      </c>
      <c r="E98">
        <f t="shared" ca="1" si="21"/>
        <v>1638389283.8600001</v>
      </c>
      <c r="F98">
        <f ca="1">SUM($E$2:E98)/SUM($D$2:D98)</f>
        <v>93.239484566028182</v>
      </c>
      <c r="G98">
        <f ca="1">_xlfn.STDEV.P($C$2:C98)</f>
        <v>4.9821443829719794</v>
      </c>
      <c r="H98">
        <f t="shared" ca="1" si="22"/>
        <v>98.221628949000163</v>
      </c>
      <c r="I98">
        <f t="shared" ca="1" si="23"/>
        <v>88.257340183056201</v>
      </c>
      <c r="J98">
        <f t="shared" ca="1" si="32"/>
        <v>96.72199999999998</v>
      </c>
      <c r="K98">
        <f t="shared" ca="1" si="33"/>
        <v>1.5139164963414375</v>
      </c>
      <c r="L98">
        <f t="shared" ca="1" si="34"/>
        <v>99.749832992682855</v>
      </c>
      <c r="M98">
        <f t="shared" ca="1" si="35"/>
        <v>93.694167007317105</v>
      </c>
      <c r="N98">
        <f t="shared" ca="1" si="24"/>
        <v>-2.2599999999999909</v>
      </c>
      <c r="O98">
        <f t="shared" ca="1" si="25"/>
        <v>0</v>
      </c>
      <c r="P98">
        <f t="shared" ca="1" si="26"/>
        <v>2.2599999999999909</v>
      </c>
      <c r="Q98">
        <f t="shared" ca="1" si="30"/>
        <v>0.44120273707433005</v>
      </c>
      <c r="R98">
        <f t="shared" ca="1" si="31"/>
        <v>0.4436559739994933</v>
      </c>
      <c r="S98">
        <f t="shared" ca="1" si="28"/>
        <v>0.99447040709708545</v>
      </c>
      <c r="T98">
        <f t="shared" ca="1" si="29"/>
        <v>49.861376912807579</v>
      </c>
      <c r="U98">
        <f>70</f>
        <v>70</v>
      </c>
      <c r="V98">
        <f>30</f>
        <v>30</v>
      </c>
      <c r="W98">
        <f t="shared" ca="1" si="27"/>
        <v>97.542086373090726</v>
      </c>
      <c r="X98">
        <f t="shared" ca="1" si="37"/>
        <v>97.135815911491875</v>
      </c>
      <c r="Y98">
        <f t="shared" ca="1" si="36"/>
        <v>0.31777630077802144</v>
      </c>
      <c r="Z98">
        <f t="shared" ca="1" si="18"/>
        <v>0.27145794811790347</v>
      </c>
      <c r="AA98">
        <f t="shared" ca="1" si="19"/>
        <v>4.6318352660117967E-2</v>
      </c>
    </row>
    <row r="99" spans="1:28" x14ac:dyDescent="0.25">
      <c r="A99" s="20">
        <f t="shared" ca="1" si="20"/>
        <v>45845</v>
      </c>
      <c r="B99" vm="289">
        <f ca="1"/>
        <v>45847</v>
      </c>
      <c r="C99" vm="290">
        <f ca="1"/>
        <v>96.81</v>
      </c>
      <c r="D99" vm="291">
        <f ca="1"/>
        <v>13702615</v>
      </c>
      <c r="E99">
        <f t="shared" ca="1" si="21"/>
        <v>1326550158.1500001</v>
      </c>
      <c r="F99">
        <f ca="1">SUM($E$2:E99)/SUM($D$2:D99)</f>
        <v>93.262752440421067</v>
      </c>
      <c r="G99">
        <f ca="1">_xlfn.STDEV.P($C$2:C99)</f>
        <v>4.9638452779849445</v>
      </c>
      <c r="H99">
        <f t="shared" ca="1" si="22"/>
        <v>98.226597718406012</v>
      </c>
      <c r="I99">
        <f t="shared" ca="1" si="23"/>
        <v>88.298907162436123</v>
      </c>
      <c r="J99">
        <f t="shared" ca="1" si="32"/>
        <v>96.689999999999984</v>
      </c>
      <c r="K99">
        <f t="shared" ca="1" si="33"/>
        <v>1.5044530392698929</v>
      </c>
      <c r="L99">
        <f t="shared" ca="1" si="34"/>
        <v>99.698906078539764</v>
      </c>
      <c r="M99">
        <f t="shared" ca="1" si="35"/>
        <v>93.681093921460203</v>
      </c>
      <c r="N99">
        <f t="shared" ca="1" si="24"/>
        <v>-0.28000000000000114</v>
      </c>
      <c r="O99">
        <f t="shared" ca="1" si="25"/>
        <v>0</v>
      </c>
      <c r="P99">
        <f t="shared" ca="1" si="26"/>
        <v>0.28000000000000114</v>
      </c>
      <c r="Q99">
        <f t="shared" ca="1" si="30"/>
        <v>0.40968825585473506</v>
      </c>
      <c r="R99">
        <f t="shared" ca="1" si="31"/>
        <v>0.43196626157095819</v>
      </c>
      <c r="S99">
        <f t="shared" ca="1" si="28"/>
        <v>0.94842651452638149</v>
      </c>
      <c r="T99">
        <f t="shared" ca="1" si="29"/>
        <v>48.67653501199262</v>
      </c>
      <c r="U99">
        <f>70</f>
        <v>70</v>
      </c>
      <c r="V99">
        <f>30</f>
        <v>30</v>
      </c>
      <c r="W99">
        <f t="shared" ca="1" si="27"/>
        <v>97.429457700307537</v>
      </c>
      <c r="X99">
        <f t="shared" ca="1" si="37"/>
        <v>97.111681399529516</v>
      </c>
      <c r="Y99">
        <f t="shared" ca="1" si="36"/>
        <v>8.9266330895284796E-2</v>
      </c>
      <c r="Z99">
        <f t="shared" ca="1" si="18"/>
        <v>0.23501962467337975</v>
      </c>
      <c r="AA99">
        <f t="shared" ca="1" si="19"/>
        <v>-0.14575329377809496</v>
      </c>
    </row>
    <row r="100" spans="1:28" x14ac:dyDescent="0.25">
      <c r="A100" s="20">
        <f t="shared" ca="1" si="20"/>
        <v>45845</v>
      </c>
      <c r="B100" vm="292">
        <f ca="1"/>
        <v>45848</v>
      </c>
      <c r="C100" vm="293">
        <f ca="1"/>
        <v>94.86</v>
      </c>
      <c r="D100" vm="294">
        <f ca="1"/>
        <v>18894787</v>
      </c>
      <c r="E100">
        <f t="shared" ca="1" si="21"/>
        <v>1792359494.8199999</v>
      </c>
      <c r="F100">
        <f ca="1">SUM($E$2:E100)/SUM($D$2:D100)</f>
        <v>93.276977413471414</v>
      </c>
      <c r="G100">
        <f ca="1">_xlfn.STDEV.P($C$2:C100)</f>
        <v>4.9391790889217209</v>
      </c>
      <c r="H100">
        <f t="shared" ca="1" si="22"/>
        <v>98.216156502393133</v>
      </c>
      <c r="I100">
        <f t="shared" ca="1" si="23"/>
        <v>88.337798324549695</v>
      </c>
      <c r="J100">
        <f t="shared" ca="1" si="32"/>
        <v>96.566999999999979</v>
      </c>
      <c r="K100">
        <f t="shared" ca="1" si="33"/>
        <v>1.5501039014411759</v>
      </c>
      <c r="L100">
        <f t="shared" ca="1" si="34"/>
        <v>99.667207802882331</v>
      </c>
      <c r="M100">
        <f t="shared" ca="1" si="35"/>
        <v>93.466792197117627</v>
      </c>
      <c r="N100">
        <f t="shared" ca="1" si="24"/>
        <v>-1.9500000000000028</v>
      </c>
      <c r="O100">
        <f t="shared" ca="1" si="25"/>
        <v>0</v>
      </c>
      <c r="P100">
        <f t="shared" ca="1" si="26"/>
        <v>1.9500000000000028</v>
      </c>
      <c r="Q100">
        <f t="shared" ca="1" si="30"/>
        <v>0.38042480900796827</v>
      </c>
      <c r="R100">
        <f t="shared" ca="1" si="31"/>
        <v>0.5403972428873185</v>
      </c>
      <c r="S100">
        <f t="shared" ca="1" si="28"/>
        <v>0.70397252024339607</v>
      </c>
      <c r="T100">
        <f t="shared" ca="1" si="29"/>
        <v>41.313607577594055</v>
      </c>
      <c r="U100">
        <f>70</f>
        <v>70</v>
      </c>
      <c r="V100">
        <f>30</f>
        <v>30</v>
      </c>
      <c r="W100">
        <f t="shared" ca="1" si="27"/>
        <v>97.034156515644838</v>
      </c>
      <c r="X100">
        <f t="shared" ca="1" si="37"/>
        <v>96.944890184749553</v>
      </c>
      <c r="Y100">
        <f t="shared" ca="1" si="36"/>
        <v>-0.12747813360992666</v>
      </c>
      <c r="Z100">
        <f t="shared" ca="1" si="18"/>
        <v>0.16252007301671847</v>
      </c>
      <c r="AA100">
        <f t="shared" ca="1" si="19"/>
        <v>-0.28999820662664511</v>
      </c>
    </row>
    <row r="101" spans="1:28" x14ac:dyDescent="0.25">
      <c r="A101" s="20">
        <f t="shared" ca="1" si="20"/>
        <v>45845</v>
      </c>
      <c r="B101" vm="295">
        <f ca="1"/>
        <v>45849</v>
      </c>
      <c r="C101" vm="296">
        <f ca="1"/>
        <v>94.4</v>
      </c>
      <c r="D101" vm="297">
        <f ca="1"/>
        <v>14595047</v>
      </c>
      <c r="E101">
        <f t="shared" ca="1" si="21"/>
        <v>1377772436.8000002</v>
      </c>
      <c r="F101">
        <f ca="1">SUM($E$2:E101)/SUM($D$2:D101)</f>
        <v>93.284650212189007</v>
      </c>
      <c r="G101">
        <f ca="1">_xlfn.STDEV.P($C$2:C101)</f>
        <v>4.9144666801190127</v>
      </c>
      <c r="H101">
        <f t="shared" ca="1" si="22"/>
        <v>98.199116892308012</v>
      </c>
      <c r="I101">
        <f t="shared" ca="1" si="23"/>
        <v>88.370183532070001</v>
      </c>
      <c r="J101">
        <f t="shared" ca="1" si="32"/>
        <v>96.496999999999986</v>
      </c>
      <c r="K101">
        <f t="shared" ca="1" si="33"/>
        <v>1.6167416875340732</v>
      </c>
      <c r="L101">
        <f t="shared" ca="1" si="34"/>
        <v>99.730483375068133</v>
      </c>
      <c r="M101">
        <f t="shared" ca="1" si="35"/>
        <v>93.263516624931839</v>
      </c>
      <c r="N101">
        <f t="shared" ca="1" si="24"/>
        <v>-0.45999999999999375</v>
      </c>
      <c r="O101">
        <f t="shared" ca="1" si="25"/>
        <v>0</v>
      </c>
      <c r="P101">
        <f t="shared" ca="1" si="26"/>
        <v>0.45999999999999375</v>
      </c>
      <c r="Q101">
        <f t="shared" ca="1" si="30"/>
        <v>0.35325160836454195</v>
      </c>
      <c r="R101">
        <f t="shared" ca="1" si="31"/>
        <v>0.53465458268108101</v>
      </c>
      <c r="S101">
        <f t="shared" ca="1" si="28"/>
        <v>0.66070996079959698</v>
      </c>
      <c r="T101">
        <f t="shared" ca="1" si="29"/>
        <v>39.784789421114752</v>
      </c>
      <c r="U101">
        <f>70</f>
        <v>70</v>
      </c>
      <c r="V101">
        <f>30</f>
        <v>30</v>
      </c>
      <c r="W101">
        <f t="shared" ca="1" si="27"/>
        <v>96.628901667084094</v>
      </c>
      <c r="X101">
        <f t="shared" ca="1" si="37"/>
        <v>96.75637980069402</v>
      </c>
      <c r="Y101">
        <f t="shared" ca="1" si="36"/>
        <v>-0.18575396040336045</v>
      </c>
      <c r="Z101">
        <f t="shared" ca="1" si="18"/>
        <v>9.2865266332702701E-2</v>
      </c>
      <c r="AA101">
        <f t="shared" ca="1" si="19"/>
        <v>-0.27861922673606315</v>
      </c>
      <c r="AB101">
        <f ca="1">AVERAGE(C2:C101)</f>
        <v>94.189500000000038</v>
      </c>
    </row>
    <row r="102" spans="1:28" x14ac:dyDescent="0.25">
      <c r="A102" s="20">
        <f t="shared" ca="1" si="20"/>
        <v>45852</v>
      </c>
      <c r="B102" vm="298">
        <f ca="1"/>
        <v>45852</v>
      </c>
      <c r="C102" vm="299">
        <f ca="1"/>
        <v>95.78</v>
      </c>
      <c r="D102" vm="300">
        <f ca="1"/>
        <v>13779084</v>
      </c>
      <c r="E102">
        <f t="shared" ca="1" si="21"/>
        <v>1319760665.52</v>
      </c>
      <c r="F102">
        <f ca="1">SUM($E$2:E102)/SUM($D$2:D102)</f>
        <v>93.300642819030941</v>
      </c>
      <c r="G102">
        <f ca="1">_xlfn.STDEV.P($C$2:C102)</f>
        <v>4.892612048947246</v>
      </c>
      <c r="H102">
        <f t="shared" ca="1" si="22"/>
        <v>98.193254867978183</v>
      </c>
      <c r="I102">
        <f t="shared" ca="1" si="23"/>
        <v>88.408030770083698</v>
      </c>
      <c r="J102">
        <f t="shared" ca="1" si="32"/>
        <v>96.544499999999985</v>
      </c>
      <c r="K102">
        <f t="shared" ca="1" si="33"/>
        <v>1.5786952474149409</v>
      </c>
      <c r="L102">
        <f t="shared" ca="1" si="34"/>
        <v>99.701890494829868</v>
      </c>
      <c r="M102">
        <f t="shared" ca="1" si="35"/>
        <v>93.387109505170102</v>
      </c>
      <c r="N102">
        <f t="shared" ca="1" si="24"/>
        <v>1.3799999999999955</v>
      </c>
      <c r="O102">
        <f t="shared" ca="1" si="25"/>
        <v>1.3799999999999955</v>
      </c>
      <c r="P102">
        <f t="shared" ca="1" si="26"/>
        <v>0</v>
      </c>
      <c r="Q102">
        <f t="shared" ca="1" si="30"/>
        <v>0.42659077919564575</v>
      </c>
      <c r="R102">
        <f t="shared" ca="1" si="31"/>
        <v>0.49646496963243242</v>
      </c>
      <c r="S102">
        <f t="shared" ca="1" si="28"/>
        <v>0.85925655441809035</v>
      </c>
      <c r="T102">
        <f t="shared" ca="1" si="29"/>
        <v>46.215061196168286</v>
      </c>
      <c r="U102">
        <f>70</f>
        <v>70</v>
      </c>
      <c r="V102">
        <f>30</f>
        <v>30</v>
      </c>
      <c r="W102">
        <f t="shared" ca="1" si="27"/>
        <v>96.498301410609614</v>
      </c>
      <c r="X102">
        <f t="shared" ca="1" si="37"/>
        <v>96.684055371012974</v>
      </c>
      <c r="Y102">
        <f t="shared" ca="1" si="36"/>
        <v>-0.26040591631954157</v>
      </c>
      <c r="Z102">
        <f t="shared" ref="Z102:Z165" ca="1" si="38">Y102*(2/(9+1)) + Z101*(1-(2/(9+1)))</f>
        <v>2.2211029802253854E-2</v>
      </c>
      <c r="AA102">
        <f t="shared" ref="AA102:AA165" ca="1" si="39">Y102-Z102</f>
        <v>-0.28261694612179544</v>
      </c>
      <c r="AB102">
        <f t="shared" ref="AB102:AB165" ca="1" si="40">AVERAGE(C3:C102)</f>
        <v>94.10950000000004</v>
      </c>
    </row>
    <row r="103" spans="1:28" x14ac:dyDescent="0.25">
      <c r="A103" s="20">
        <f t="shared" ca="1" si="20"/>
        <v>45852</v>
      </c>
      <c r="B103" vm="301">
        <f ca="1"/>
        <v>45853</v>
      </c>
      <c r="C103" vm="302">
        <f ca="1"/>
        <v>95.39</v>
      </c>
      <c r="D103" vm="303">
        <f ca="1"/>
        <v>10450759</v>
      </c>
      <c r="E103">
        <f t="shared" ca="1" si="21"/>
        <v>996897901.00999999</v>
      </c>
      <c r="F103">
        <f ca="1">SUM($E$2:E103)/SUM($D$2:D103)</f>
        <v>93.310749814313866</v>
      </c>
      <c r="G103">
        <f ca="1">_xlfn.STDEV.P($C$2:C103)</f>
        <v>4.8699687925062323</v>
      </c>
      <c r="H103">
        <f t="shared" ca="1" si="22"/>
        <v>98.180718606820093</v>
      </c>
      <c r="I103">
        <f t="shared" ca="1" si="23"/>
        <v>88.440781021807638</v>
      </c>
      <c r="J103">
        <f t="shared" ca="1" si="32"/>
        <v>96.59199999999997</v>
      </c>
      <c r="K103">
        <f t="shared" ca="1" si="33"/>
        <v>1.5254355719631429</v>
      </c>
      <c r="L103">
        <f t="shared" ca="1" si="34"/>
        <v>99.642871143926257</v>
      </c>
      <c r="M103">
        <f t="shared" ca="1" si="35"/>
        <v>93.541128856073684</v>
      </c>
      <c r="N103">
        <f t="shared" ca="1" si="24"/>
        <v>-0.39000000000000057</v>
      </c>
      <c r="O103">
        <f t="shared" ca="1" si="25"/>
        <v>0</v>
      </c>
      <c r="P103">
        <f t="shared" ca="1" si="26"/>
        <v>0.39000000000000057</v>
      </c>
      <c r="Q103">
        <f t="shared" ca="1" si="30"/>
        <v>0.39612000925309959</v>
      </c>
      <c r="R103">
        <f t="shared" ca="1" si="31"/>
        <v>0.48886032894440162</v>
      </c>
      <c r="S103">
        <f t="shared" ca="1" si="28"/>
        <v>0.81029280921289593</v>
      </c>
      <c r="T103">
        <f t="shared" ca="1" si="29"/>
        <v>44.760317507155442</v>
      </c>
      <c r="U103">
        <f>70</f>
        <v>70</v>
      </c>
      <c r="V103">
        <f>30</f>
        <v>30</v>
      </c>
      <c r="W103">
        <f t="shared" ca="1" si="27"/>
        <v>96.327793501285058</v>
      </c>
      <c r="X103">
        <f t="shared" ca="1" si="37"/>
        <v>96.588199417604599</v>
      </c>
      <c r="Y103">
        <f t="shared" ca="1" si="36"/>
        <v>-0.33507162632429299</v>
      </c>
      <c r="Z103">
        <f t="shared" ca="1" si="38"/>
        <v>-4.9245501423055518E-2</v>
      </c>
      <c r="AA103">
        <f t="shared" ca="1" si="39"/>
        <v>-0.28582612490123749</v>
      </c>
      <c r="AB103">
        <f t="shared" ca="1" si="40"/>
        <v>94.023400000000038</v>
      </c>
    </row>
    <row r="104" spans="1:28" x14ac:dyDescent="0.25">
      <c r="A104" s="20">
        <f t="shared" ca="1" si="20"/>
        <v>45852</v>
      </c>
      <c r="B104" vm="304">
        <f ca="1"/>
        <v>45854</v>
      </c>
      <c r="C104" vm="305">
        <f ca="1"/>
        <v>95.15</v>
      </c>
      <c r="D104" vm="306">
        <f ca="1"/>
        <v>11181552</v>
      </c>
      <c r="E104">
        <f t="shared" ca="1" si="21"/>
        <v>1063924672.8000001</v>
      </c>
      <c r="F104">
        <f ca="1">SUM($E$2:E104)/SUM($D$2:D104)</f>
        <v>93.320220086987433</v>
      </c>
      <c r="G104">
        <f ca="1">_xlfn.STDEV.P($C$2:C104)</f>
        <v>4.8471341621828854</v>
      </c>
      <c r="H104">
        <f t="shared" ca="1" si="22"/>
        <v>98.167354249170316</v>
      </c>
      <c r="I104">
        <f t="shared" ca="1" si="23"/>
        <v>88.47308592480455</v>
      </c>
      <c r="J104">
        <f t="shared" ca="1" si="32"/>
        <v>96.634999999999991</v>
      </c>
      <c r="K104">
        <f t="shared" ca="1" si="33"/>
        <v>1.4681764557651622</v>
      </c>
      <c r="L104">
        <f t="shared" ca="1" si="34"/>
        <v>99.571352911530312</v>
      </c>
      <c r="M104">
        <f t="shared" ca="1" si="35"/>
        <v>93.69864708846967</v>
      </c>
      <c r="N104">
        <f t="shared" ca="1" si="24"/>
        <v>-0.23999999999999488</v>
      </c>
      <c r="O104">
        <f t="shared" ca="1" si="25"/>
        <v>0</v>
      </c>
      <c r="P104">
        <f t="shared" ca="1" si="26"/>
        <v>0.23999999999999488</v>
      </c>
      <c r="Q104">
        <f t="shared" ca="1" si="30"/>
        <v>0.36782572287787818</v>
      </c>
      <c r="R104">
        <f t="shared" ca="1" si="31"/>
        <v>0.47108459116265827</v>
      </c>
      <c r="S104">
        <f t="shared" ca="1" si="28"/>
        <v>0.78080610102331627</v>
      </c>
      <c r="T104">
        <f t="shared" ca="1" si="29"/>
        <v>43.845655098252223</v>
      </c>
      <c r="U104">
        <f>70</f>
        <v>70</v>
      </c>
      <c r="V104">
        <f>30</f>
        <v>30</v>
      </c>
      <c r="W104">
        <f t="shared" ca="1" si="27"/>
        <v>96.146594501087364</v>
      </c>
      <c r="X104">
        <f t="shared" ca="1" si="37"/>
        <v>96.481666127411657</v>
      </c>
      <c r="Y104">
        <f t="shared" ca="1" si="36"/>
        <v>-0.39453824668329673</v>
      </c>
      <c r="Z104">
        <f t="shared" ca="1" si="38"/>
        <v>-0.11830405047510377</v>
      </c>
      <c r="AA104">
        <f t="shared" ca="1" si="39"/>
        <v>-0.27623419620819295</v>
      </c>
      <c r="AB104">
        <f t="shared" ca="1" si="40"/>
        <v>94.002800000000036</v>
      </c>
    </row>
    <row r="105" spans="1:28" x14ac:dyDescent="0.25">
      <c r="A105" s="20">
        <f t="shared" ca="1" si="20"/>
        <v>45852</v>
      </c>
      <c r="B105" vm="307">
        <f ca="1"/>
        <v>45855</v>
      </c>
      <c r="C105" vm="143">
        <f ca="1"/>
        <v>95.09</v>
      </c>
      <c r="D105" vm="308">
        <f ca="1"/>
        <v>11165126</v>
      </c>
      <c r="E105">
        <f t="shared" ca="1" si="21"/>
        <v>1061691831.34</v>
      </c>
      <c r="F105">
        <f ca="1">SUM($E$2:E105)/SUM($D$2:D105)</f>
        <v>93.329272728172725</v>
      </c>
      <c r="G105">
        <f ca="1">_xlfn.STDEV.P($C$2:C105)</f>
        <v>4.824511273037781</v>
      </c>
      <c r="H105">
        <f t="shared" ca="1" si="22"/>
        <v>98.153784001210511</v>
      </c>
      <c r="I105">
        <f t="shared" ca="1" si="23"/>
        <v>88.50476145513494</v>
      </c>
      <c r="J105">
        <f t="shared" ca="1" si="32"/>
        <v>96.676999999999992</v>
      </c>
      <c r="K105">
        <f t="shared" ca="1" si="33"/>
        <v>1.4071026596296508</v>
      </c>
      <c r="L105">
        <f t="shared" ca="1" si="34"/>
        <v>99.491205319259294</v>
      </c>
      <c r="M105">
        <f t="shared" ca="1" si="35"/>
        <v>93.862794680740691</v>
      </c>
      <c r="N105">
        <f t="shared" ca="1" si="24"/>
        <v>-6.0000000000002274E-2</v>
      </c>
      <c r="O105">
        <f t="shared" ca="1" si="25"/>
        <v>0</v>
      </c>
      <c r="P105">
        <f t="shared" ca="1" si="26"/>
        <v>6.0000000000002274E-2</v>
      </c>
      <c r="Q105">
        <f t="shared" ca="1" si="30"/>
        <v>0.34155245695802972</v>
      </c>
      <c r="R105">
        <f t="shared" ca="1" si="31"/>
        <v>0.44172140607961141</v>
      </c>
      <c r="S105">
        <f t="shared" ca="1" si="28"/>
        <v>0.77323048477408796</v>
      </c>
      <c r="T105">
        <f t="shared" ca="1" si="29"/>
        <v>43.605751841819846</v>
      </c>
      <c r="U105">
        <f>70</f>
        <v>70</v>
      </c>
      <c r="V105">
        <f>30</f>
        <v>30</v>
      </c>
      <c r="W105">
        <f t="shared" ca="1" si="27"/>
        <v>95.984041500920085</v>
      </c>
      <c r="X105">
        <f t="shared" ca="1" si="37"/>
        <v>96.378579747603382</v>
      </c>
      <c r="Y105">
        <f t="shared" ca="1" si="36"/>
        <v>-0.43982362449526136</v>
      </c>
      <c r="Z105">
        <f t="shared" ca="1" si="38"/>
        <v>-0.18260796527913531</v>
      </c>
      <c r="AA105">
        <f t="shared" ca="1" si="39"/>
        <v>-0.25721565921612605</v>
      </c>
      <c r="AB105">
        <f t="shared" ca="1" si="40"/>
        <v>94.00590000000004</v>
      </c>
    </row>
    <row r="106" spans="1:28" x14ac:dyDescent="0.25">
      <c r="A106" s="20">
        <f t="shared" ca="1" si="20"/>
        <v>45852</v>
      </c>
      <c r="B106" vm="309">
        <f ca="1"/>
        <v>45856</v>
      </c>
      <c r="C106" vm="310">
        <f ca="1"/>
        <v>95.05</v>
      </c>
      <c r="D106" vm="311">
        <f ca="1"/>
        <v>14636294</v>
      </c>
      <c r="E106">
        <f t="shared" ca="1" si="21"/>
        <v>1391179744.7</v>
      </c>
      <c r="F106">
        <f ca="1">SUM($E$2:E106)/SUM($D$2:D106)</f>
        <v>93.340734010025372</v>
      </c>
      <c r="G106">
        <f ca="1">_xlfn.STDEV.P($C$2:C106)</f>
        <v>4.8021361119917483</v>
      </c>
      <c r="H106">
        <f t="shared" ca="1" si="22"/>
        <v>98.142870122017115</v>
      </c>
      <c r="I106">
        <f t="shared" ca="1" si="23"/>
        <v>88.538597898033629</v>
      </c>
      <c r="J106">
        <f t="shared" ca="1" si="32"/>
        <v>96.674999999999983</v>
      </c>
      <c r="K106">
        <f t="shared" ca="1" si="33"/>
        <v>1.4095034586690436</v>
      </c>
      <c r="L106">
        <f t="shared" ca="1" si="34"/>
        <v>99.494006917338069</v>
      </c>
      <c r="M106">
        <f t="shared" ca="1" si="35"/>
        <v>93.855993082661897</v>
      </c>
      <c r="N106">
        <f t="shared" ca="1" si="24"/>
        <v>-4.0000000000006253E-2</v>
      </c>
      <c r="O106">
        <f t="shared" ca="1" si="25"/>
        <v>0</v>
      </c>
      <c r="P106">
        <f t="shared" ca="1" si="26"/>
        <v>4.0000000000006253E-2</v>
      </c>
      <c r="Q106">
        <f t="shared" ca="1" si="30"/>
        <v>0.31715585288959902</v>
      </c>
      <c r="R106">
        <f t="shared" ca="1" si="31"/>
        <v>0.41302701993106822</v>
      </c>
      <c r="S106">
        <f t="shared" ca="1" si="28"/>
        <v>0.76788160964028573</v>
      </c>
      <c r="T106">
        <f t="shared" ca="1" si="29"/>
        <v>43.435126280686191</v>
      </c>
      <c r="U106">
        <f>70</f>
        <v>70</v>
      </c>
      <c r="V106">
        <f>30</f>
        <v>30</v>
      </c>
      <c r="W106">
        <f t="shared" ca="1" si="27"/>
        <v>95.840342808470837</v>
      </c>
      <c r="X106">
        <f t="shared" ca="1" si="37"/>
        <v>96.280166432966098</v>
      </c>
      <c r="Y106">
        <f t="shared" ca="1" si="36"/>
        <v>-0.42083269686081337</v>
      </c>
      <c r="Z106">
        <f t="shared" ca="1" si="38"/>
        <v>-0.23025291159547093</v>
      </c>
      <c r="AA106">
        <f t="shared" ca="1" si="39"/>
        <v>-0.19057978526534244</v>
      </c>
      <c r="AB106">
        <f t="shared" ca="1" si="40"/>
        <v>94.019700000000029</v>
      </c>
    </row>
    <row r="107" spans="1:28" x14ac:dyDescent="0.25">
      <c r="A107" s="20">
        <f t="shared" ca="1" si="20"/>
        <v>45859</v>
      </c>
      <c r="B107" vm="312">
        <f ca="1"/>
        <v>45859</v>
      </c>
      <c r="C107" vm="313">
        <f ca="1"/>
        <v>95.67</v>
      </c>
      <c r="D107" vm="314">
        <f ca="1"/>
        <v>13450359</v>
      </c>
      <c r="E107">
        <f t="shared" ca="1" si="21"/>
        <v>1286795845.53</v>
      </c>
      <c r="F107">
        <f ca="1">SUM($E$2:E107)/SUM($D$2:D107)</f>
        <v>93.354904757692964</v>
      </c>
      <c r="G107">
        <f ca="1">_xlfn.STDEV.P($C$2:C107)</f>
        <v>4.7814239870083295</v>
      </c>
      <c r="H107">
        <f t="shared" ca="1" si="22"/>
        <v>98.136328744701288</v>
      </c>
      <c r="I107">
        <f t="shared" ca="1" si="23"/>
        <v>88.57348077068464</v>
      </c>
      <c r="J107">
        <f t="shared" ca="1" si="32"/>
        <v>96.652500000000003</v>
      </c>
      <c r="K107">
        <f t="shared" ca="1" si="33"/>
        <v>1.4223622863687742</v>
      </c>
      <c r="L107">
        <f t="shared" ca="1" si="34"/>
        <v>99.497224572737551</v>
      </c>
      <c r="M107">
        <f t="shared" ca="1" si="35"/>
        <v>93.807775427262456</v>
      </c>
      <c r="N107">
        <f t="shared" ca="1" si="24"/>
        <v>0.62000000000000455</v>
      </c>
      <c r="O107">
        <f t="shared" ca="1" si="25"/>
        <v>0.62000000000000455</v>
      </c>
      <c r="P107">
        <f t="shared" ca="1" si="26"/>
        <v>0</v>
      </c>
      <c r="Q107">
        <f t="shared" ca="1" si="30"/>
        <v>0.33878757768319939</v>
      </c>
      <c r="R107">
        <f t="shared" ca="1" si="31"/>
        <v>0.38352508993599194</v>
      </c>
      <c r="S107">
        <f t="shared" ca="1" si="28"/>
        <v>0.88335179776567163</v>
      </c>
      <c r="T107">
        <f t="shared" ca="1" si="29"/>
        <v>46.903175435074985</v>
      </c>
      <c r="U107">
        <f>70</f>
        <v>70</v>
      </c>
      <c r="V107">
        <f>30</f>
        <v>30</v>
      </c>
      <c r="W107">
        <f t="shared" ca="1" si="27"/>
        <v>95.81413622255225</v>
      </c>
      <c r="X107">
        <f t="shared" ca="1" si="37"/>
        <v>96.234968919413063</v>
      </c>
      <c r="Y107">
        <f t="shared" ca="1" si="36"/>
        <v>-0.38679897638526484</v>
      </c>
      <c r="Z107">
        <f t="shared" ca="1" si="38"/>
        <v>-0.26156212455342975</v>
      </c>
      <c r="AA107">
        <f t="shared" ca="1" si="39"/>
        <v>-0.12523685183183508</v>
      </c>
      <c r="AB107">
        <f t="shared" ca="1" si="40"/>
        <v>93.999500000000026</v>
      </c>
    </row>
    <row r="108" spans="1:28" x14ac:dyDescent="0.25">
      <c r="A108" s="20">
        <f t="shared" ca="1" si="20"/>
        <v>45859</v>
      </c>
      <c r="B108" vm="315">
        <f ca="1"/>
        <v>45860</v>
      </c>
      <c r="C108" vm="316">
        <f ca="1"/>
        <v>95.85</v>
      </c>
      <c r="D108" vm="317">
        <f ca="1"/>
        <v>9049130</v>
      </c>
      <c r="E108">
        <f t="shared" ca="1" si="21"/>
        <v>867359110.5</v>
      </c>
      <c r="F108">
        <f ca="1">SUM($E$2:E108)/SUM($D$2:D108)</f>
        <v>93.365075667409258</v>
      </c>
      <c r="G108">
        <f ca="1">_xlfn.STDEV.P($C$2:C108)</f>
        <v>4.7615009659806686</v>
      </c>
      <c r="H108">
        <f t="shared" ca="1" si="22"/>
        <v>98.126576633389931</v>
      </c>
      <c r="I108">
        <f t="shared" ca="1" si="23"/>
        <v>88.603574701428585</v>
      </c>
      <c r="J108">
        <f t="shared" ca="1" si="32"/>
        <v>96.551500000000004</v>
      </c>
      <c r="K108">
        <f t="shared" ca="1" si="33"/>
        <v>1.4029453041069655</v>
      </c>
      <c r="L108">
        <f t="shared" ca="1" si="34"/>
        <v>99.357390608213933</v>
      </c>
      <c r="M108">
        <f t="shared" ca="1" si="35"/>
        <v>93.745609391786076</v>
      </c>
      <c r="N108">
        <f t="shared" ca="1" si="24"/>
        <v>0.17999999999999261</v>
      </c>
      <c r="O108">
        <f t="shared" ca="1" si="25"/>
        <v>0.17999999999999261</v>
      </c>
      <c r="P108">
        <f t="shared" ca="1" si="26"/>
        <v>0</v>
      </c>
      <c r="Q108">
        <f t="shared" ca="1" si="30"/>
        <v>0.32744560784868465</v>
      </c>
      <c r="R108">
        <f t="shared" ca="1" si="31"/>
        <v>0.35613044065484967</v>
      </c>
      <c r="S108">
        <f t="shared" ca="1" si="28"/>
        <v>0.91945413946244081</v>
      </c>
      <c r="T108">
        <f t="shared" ca="1" si="29"/>
        <v>47.901855040930627</v>
      </c>
      <c r="U108">
        <f>70</f>
        <v>70</v>
      </c>
      <c r="V108">
        <f>30</f>
        <v>30</v>
      </c>
      <c r="W108">
        <f t="shared" ca="1" si="27"/>
        <v>95.819653726774973</v>
      </c>
      <c r="X108">
        <f t="shared" ca="1" si="37"/>
        <v>96.206452703160238</v>
      </c>
      <c r="Y108">
        <f t="shared" ca="1" si="36"/>
        <v>-0.36928766858949302</v>
      </c>
      <c r="Z108">
        <f t="shared" ca="1" si="38"/>
        <v>-0.28310723336064242</v>
      </c>
      <c r="AA108">
        <f t="shared" ca="1" si="39"/>
        <v>-8.6180435228850605E-2</v>
      </c>
      <c r="AB108">
        <f t="shared" ca="1" si="40"/>
        <v>93.996000000000024</v>
      </c>
    </row>
    <row r="109" spans="1:28" x14ac:dyDescent="0.25">
      <c r="A109" s="20">
        <f t="shared" ca="1" si="20"/>
        <v>45859</v>
      </c>
      <c r="B109" vm="318">
        <f ca="1"/>
        <v>45861</v>
      </c>
      <c r="C109" vm="319">
        <f ca="1"/>
        <v>95.68</v>
      </c>
      <c r="D109" vm="320">
        <f ca="1"/>
        <v>9729672</v>
      </c>
      <c r="E109">
        <f t="shared" ca="1" si="21"/>
        <v>930935016.96000004</v>
      </c>
      <c r="F109">
        <f ca="1">SUM($E$2:E109)/SUM($D$2:D109)</f>
        <v>93.375177531533097</v>
      </c>
      <c r="G109">
        <f ca="1">_xlfn.STDEV.P($C$2:C109)</f>
        <v>4.741328373411088</v>
      </c>
      <c r="H109">
        <f t="shared" ca="1" si="22"/>
        <v>98.116505904944191</v>
      </c>
      <c r="I109">
        <f t="shared" ca="1" si="23"/>
        <v>88.633849158122004</v>
      </c>
      <c r="J109">
        <f t="shared" ca="1" si="32"/>
        <v>96.435500000000019</v>
      </c>
      <c r="K109">
        <f t="shared" ca="1" si="33"/>
        <v>1.3724564032956983</v>
      </c>
      <c r="L109">
        <f t="shared" ca="1" si="34"/>
        <v>99.18041280659142</v>
      </c>
      <c r="M109">
        <f t="shared" ca="1" si="35"/>
        <v>93.690587193408618</v>
      </c>
      <c r="N109">
        <f t="shared" ca="1" si="24"/>
        <v>-0.16999999999998749</v>
      </c>
      <c r="O109">
        <f t="shared" ca="1" si="25"/>
        <v>0</v>
      </c>
      <c r="P109">
        <f t="shared" ca="1" si="26"/>
        <v>0.16999999999998749</v>
      </c>
      <c r="Q109">
        <f t="shared" ca="1" si="30"/>
        <v>0.30405663585949289</v>
      </c>
      <c r="R109">
        <f t="shared" ca="1" si="31"/>
        <v>0.34283540917950234</v>
      </c>
      <c r="S109">
        <f t="shared" ca="1" si="28"/>
        <v>0.88688807433042716</v>
      </c>
      <c r="T109">
        <f t="shared" ca="1" si="29"/>
        <v>47.002685871823338</v>
      </c>
      <c r="U109">
        <f>70</f>
        <v>70</v>
      </c>
      <c r="V109">
        <f>30</f>
        <v>30</v>
      </c>
      <c r="W109">
        <f t="shared" ca="1" si="27"/>
        <v>95.798168538040358</v>
      </c>
      <c r="X109">
        <f t="shared" ca="1" si="37"/>
        <v>96.167456206629851</v>
      </c>
      <c r="Y109">
        <f t="shared" ca="1" si="36"/>
        <v>-0.27796926312454673</v>
      </c>
      <c r="Z109">
        <f t="shared" ca="1" si="38"/>
        <v>-0.28207963931342328</v>
      </c>
      <c r="AA109">
        <f t="shared" ca="1" si="39"/>
        <v>4.1103761888765522E-3</v>
      </c>
      <c r="AB109">
        <f t="shared" ca="1" si="40"/>
        <v>93.98490000000001</v>
      </c>
    </row>
    <row r="110" spans="1:28" x14ac:dyDescent="0.25">
      <c r="A110" s="20">
        <f t="shared" ca="1" si="20"/>
        <v>45859</v>
      </c>
      <c r="B110" vm="321">
        <f ca="1"/>
        <v>45862</v>
      </c>
      <c r="C110" vm="322">
        <f ca="1"/>
        <v>96.6</v>
      </c>
      <c r="D110" vm="323">
        <f ca="1"/>
        <v>14991517</v>
      </c>
      <c r="E110">
        <f t="shared" ca="1" si="21"/>
        <v>1448180542.1999998</v>
      </c>
      <c r="F110">
        <f ca="1">SUM($E$2:E110)/SUM($D$2:D110)</f>
        <v>93.396715641873413</v>
      </c>
      <c r="G110">
        <f ca="1">_xlfn.STDEV.P($C$2:C110)</f>
        <v>4.7246943629720324</v>
      </c>
      <c r="H110">
        <f t="shared" ca="1" si="22"/>
        <v>98.121410004845444</v>
      </c>
      <c r="I110">
        <f t="shared" ca="1" si="23"/>
        <v>88.672021278901383</v>
      </c>
      <c r="J110">
        <f t="shared" ca="1" si="32"/>
        <v>96.402500000000003</v>
      </c>
      <c r="K110">
        <f t="shared" ca="1" si="33"/>
        <v>1.3594614839397934</v>
      </c>
      <c r="L110">
        <f t="shared" ca="1" si="34"/>
        <v>99.121422967879596</v>
      </c>
      <c r="M110">
        <f t="shared" ca="1" si="35"/>
        <v>93.683577032120411</v>
      </c>
      <c r="N110">
        <f t="shared" ca="1" si="24"/>
        <v>0.91999999999998749</v>
      </c>
      <c r="O110">
        <f t="shared" ca="1" si="25"/>
        <v>0.91999999999998749</v>
      </c>
      <c r="P110">
        <f t="shared" ca="1" si="26"/>
        <v>0</v>
      </c>
      <c r="Q110">
        <f t="shared" ca="1" si="30"/>
        <v>0.34805259044095677</v>
      </c>
      <c r="R110">
        <f t="shared" ca="1" si="31"/>
        <v>0.3183471656666807</v>
      </c>
      <c r="S110">
        <f t="shared" ca="1" si="28"/>
        <v>1.0933114158942396</v>
      </c>
      <c r="T110">
        <f t="shared" ca="1" si="29"/>
        <v>52.228799193128609</v>
      </c>
      <c r="U110">
        <f>70</f>
        <v>70</v>
      </c>
      <c r="V110">
        <f>30</f>
        <v>30</v>
      </c>
      <c r="W110">
        <f t="shared" ca="1" si="27"/>
        <v>95.921527224495676</v>
      </c>
      <c r="X110">
        <f t="shared" ca="1" si="37"/>
        <v>96.199496487620223</v>
      </c>
      <c r="Y110">
        <f t="shared" ca="1" si="36"/>
        <v>-0.13385405356513047</v>
      </c>
      <c r="Z110">
        <f t="shared" ca="1" si="38"/>
        <v>-0.25243452216376472</v>
      </c>
      <c r="AA110">
        <f t="shared" ca="1" si="39"/>
        <v>0.11858046859863425</v>
      </c>
      <c r="AB110">
        <f t="shared" ca="1" si="40"/>
        <v>93.964800000000011</v>
      </c>
    </row>
    <row r="111" spans="1:28" x14ac:dyDescent="0.25">
      <c r="A111" s="20">
        <f t="shared" ca="1" si="20"/>
        <v>45859</v>
      </c>
      <c r="B111" vm="324">
        <f ca="1"/>
        <v>45863</v>
      </c>
      <c r="C111" vm="230">
        <f ca="1"/>
        <v>97.47</v>
      </c>
      <c r="D111" vm="325">
        <f ca="1"/>
        <v>12868466</v>
      </c>
      <c r="E111">
        <f t="shared" ca="1" si="21"/>
        <v>1254289381.02</v>
      </c>
      <c r="F111">
        <f ca="1">SUM($E$2:E111)/SUM($D$2:D111)</f>
        <v>93.419934721853025</v>
      </c>
      <c r="G111">
        <f ca="1">_xlfn.STDEV.P($C$2:C111)</f>
        <v>4.7127549241613016</v>
      </c>
      <c r="H111">
        <f t="shared" ca="1" si="22"/>
        <v>98.132689646014327</v>
      </c>
      <c r="I111">
        <f t="shared" ca="1" si="23"/>
        <v>88.707179797691722</v>
      </c>
      <c r="J111">
        <f t="shared" ca="1" si="32"/>
        <v>96.474999999999994</v>
      </c>
      <c r="K111">
        <f t="shared" ca="1" si="33"/>
        <v>1.3765460207956781</v>
      </c>
      <c r="L111">
        <f t="shared" ca="1" si="34"/>
        <v>99.228092041591353</v>
      </c>
      <c r="M111">
        <f t="shared" ca="1" si="35"/>
        <v>93.721907958408636</v>
      </c>
      <c r="N111">
        <f t="shared" ca="1" si="24"/>
        <v>0.87000000000000455</v>
      </c>
      <c r="O111">
        <f t="shared" ca="1" si="25"/>
        <v>0.87000000000000455</v>
      </c>
      <c r="P111">
        <f t="shared" ca="1" si="26"/>
        <v>0</v>
      </c>
      <c r="Q111">
        <f t="shared" ca="1" si="30"/>
        <v>0.38533454826660302</v>
      </c>
      <c r="R111">
        <f t="shared" ca="1" si="31"/>
        <v>0.29560808240477493</v>
      </c>
      <c r="S111">
        <f t="shared" ca="1" si="28"/>
        <v>1.3035318423363202</v>
      </c>
      <c r="T111">
        <f t="shared" ca="1" si="29"/>
        <v>56.588401270556517</v>
      </c>
      <c r="U111">
        <f>70</f>
        <v>70</v>
      </c>
      <c r="V111">
        <f>30</f>
        <v>30</v>
      </c>
      <c r="W111">
        <f t="shared" ca="1" si="27"/>
        <v>96.15975380534249</v>
      </c>
      <c r="X111">
        <f t="shared" ca="1" si="37"/>
        <v>96.29360785890762</v>
      </c>
      <c r="Y111">
        <f t="shared" ca="1" si="36"/>
        <v>-8.2497833568595524E-3</v>
      </c>
      <c r="Z111">
        <f t="shared" ca="1" si="38"/>
        <v>-0.20359757440238369</v>
      </c>
      <c r="AA111">
        <f t="shared" ca="1" si="39"/>
        <v>0.19534779104552413</v>
      </c>
      <c r="AB111">
        <f t="shared" ca="1" si="40"/>
        <v>93.963600000000028</v>
      </c>
    </row>
    <row r="112" spans="1:28" x14ac:dyDescent="0.25">
      <c r="A112" s="20">
        <f t="shared" ca="1" si="20"/>
        <v>45866</v>
      </c>
      <c r="B112" vm="326">
        <f ca="1"/>
        <v>45866</v>
      </c>
      <c r="C112" vm="279">
        <f ca="1"/>
        <v>97.61</v>
      </c>
      <c r="D112" vm="327">
        <f ca="1"/>
        <v>12293060</v>
      </c>
      <c r="E112">
        <f t="shared" ca="1" si="21"/>
        <v>1199925586.5999999</v>
      </c>
      <c r="F112">
        <f ca="1">SUM($E$2:E112)/SUM($D$2:D112)</f>
        <v>93.442627923767063</v>
      </c>
      <c r="G112">
        <f ca="1">_xlfn.STDEV.P($C$2:C112)</f>
        <v>4.7016821974433807</v>
      </c>
      <c r="H112">
        <f t="shared" ca="1" si="22"/>
        <v>98.144310121210438</v>
      </c>
      <c r="I112">
        <f t="shared" ca="1" si="23"/>
        <v>88.740945726323687</v>
      </c>
      <c r="J112">
        <f t="shared" ca="1" si="32"/>
        <v>96.49199999999999</v>
      </c>
      <c r="K112">
        <f t="shared" ca="1" si="33"/>
        <v>1.3889246124060743</v>
      </c>
      <c r="L112">
        <f t="shared" ca="1" si="34"/>
        <v>99.269849224812134</v>
      </c>
      <c r="M112">
        <f t="shared" ca="1" si="35"/>
        <v>93.714150775187846</v>
      </c>
      <c r="N112">
        <f t="shared" ca="1" si="24"/>
        <v>0.14000000000000057</v>
      </c>
      <c r="O112">
        <f t="shared" ca="1" si="25"/>
        <v>0.14000000000000057</v>
      </c>
      <c r="P112">
        <f t="shared" ca="1" si="26"/>
        <v>0</v>
      </c>
      <c r="Q112">
        <f t="shared" ca="1" si="30"/>
        <v>0.3678106519618457</v>
      </c>
      <c r="R112">
        <f t="shared" ca="1" si="31"/>
        <v>0.27449321937586241</v>
      </c>
      <c r="S112">
        <f t="shared" ca="1" si="28"/>
        <v>1.339962614734771</v>
      </c>
      <c r="T112">
        <f t="shared" ca="1" si="29"/>
        <v>57.264274492977421</v>
      </c>
      <c r="U112">
        <f>70</f>
        <v>70</v>
      </c>
      <c r="V112">
        <f>30</f>
        <v>30</v>
      </c>
      <c r="W112">
        <f t="shared" ca="1" si="27"/>
        <v>96.382868604520567</v>
      </c>
      <c r="X112">
        <f t="shared" ca="1" si="37"/>
        <v>96.391118387877427</v>
      </c>
      <c r="Y112">
        <f t="shared" ca="1" si="36"/>
        <v>0.14768803271351771</v>
      </c>
      <c r="Z112">
        <f t="shared" ca="1" si="38"/>
        <v>-0.13334045297920341</v>
      </c>
      <c r="AA112">
        <f t="shared" ca="1" si="39"/>
        <v>0.2810284856927211</v>
      </c>
      <c r="AB112">
        <f t="shared" ca="1" si="40"/>
        <v>93.990000000000023</v>
      </c>
    </row>
    <row r="113" spans="1:28" x14ac:dyDescent="0.25">
      <c r="A113" s="20">
        <f t="shared" ca="1" si="20"/>
        <v>45866</v>
      </c>
      <c r="B113" vm="328">
        <f ca="1"/>
        <v>45867</v>
      </c>
      <c r="C113" vm="329">
        <f ca="1"/>
        <v>98.33</v>
      </c>
      <c r="D113" vm="330">
        <f ca="1"/>
        <v>14034265</v>
      </c>
      <c r="E113">
        <f t="shared" ca="1" si="21"/>
        <v>1379989277.45</v>
      </c>
      <c r="F113">
        <f ca="1">SUM($E$2:E113)/SUM($D$2:D113)</f>
        <v>93.472661223766721</v>
      </c>
      <c r="G113">
        <f ca="1">_xlfn.STDEV.P($C$2:C113)</f>
        <v>4.6954977587904478</v>
      </c>
      <c r="H113">
        <f t="shared" ca="1" si="22"/>
        <v>98.168158982557173</v>
      </c>
      <c r="I113">
        <f t="shared" ca="1" si="23"/>
        <v>88.777163464976269</v>
      </c>
      <c r="J113">
        <f t="shared" ca="1" si="32"/>
        <v>96.519499999999979</v>
      </c>
      <c r="K113">
        <f t="shared" ca="1" si="33"/>
        <v>1.4208465786283875</v>
      </c>
      <c r="L113">
        <f t="shared" ca="1" si="34"/>
        <v>99.36119315725675</v>
      </c>
      <c r="M113">
        <f t="shared" ca="1" si="35"/>
        <v>93.677806842743209</v>
      </c>
      <c r="N113">
        <f t="shared" ca="1" si="24"/>
        <v>0.71999999999999886</v>
      </c>
      <c r="O113">
        <f t="shared" ca="1" si="25"/>
        <v>0.71999999999999886</v>
      </c>
      <c r="P113">
        <f t="shared" ca="1" si="26"/>
        <v>0</v>
      </c>
      <c r="Q113">
        <f t="shared" ca="1" si="30"/>
        <v>0.39296703396457089</v>
      </c>
      <c r="R113">
        <f t="shared" ca="1" si="31"/>
        <v>0.25488656084901506</v>
      </c>
      <c r="S113">
        <f t="shared" ca="1" si="28"/>
        <v>1.5417330464800354</v>
      </c>
      <c r="T113">
        <f t="shared" ca="1" si="29"/>
        <v>60.656765218327401</v>
      </c>
      <c r="U113">
        <f>70</f>
        <v>70</v>
      </c>
      <c r="V113">
        <f>30</f>
        <v>30</v>
      </c>
      <c r="W113">
        <f t="shared" ca="1" si="27"/>
        <v>96.682427280748172</v>
      </c>
      <c r="X113">
        <f t="shared" ca="1" si="37"/>
        <v>96.534739248034654</v>
      </c>
      <c r="Y113">
        <f t="shared" ca="1" si="36"/>
        <v>0.20914714179757254</v>
      </c>
      <c r="Z113">
        <f t="shared" ca="1" si="38"/>
        <v>-6.484293402384822E-2</v>
      </c>
      <c r="AA113">
        <f t="shared" ca="1" si="39"/>
        <v>0.27399007582142076</v>
      </c>
      <c r="AB113">
        <f t="shared" ca="1" si="40"/>
        <v>94.013500000000022</v>
      </c>
    </row>
    <row r="114" spans="1:28" x14ac:dyDescent="0.25">
      <c r="A114" s="20">
        <f t="shared" ca="1" si="20"/>
        <v>45866</v>
      </c>
      <c r="B114" vm="331">
        <f ca="1"/>
        <v>45868</v>
      </c>
      <c r="C114" vm="29">
        <f ca="1"/>
        <v>97.59</v>
      </c>
      <c r="D114" vm="332">
        <f ca="1"/>
        <v>13864096</v>
      </c>
      <c r="E114">
        <f t="shared" ca="1" si="21"/>
        <v>1352997128.6400001</v>
      </c>
      <c r="F114">
        <f ca="1">SUM($E$2:E114)/SUM($D$2:D114)</f>
        <v>93.497505004763738</v>
      </c>
      <c r="G114">
        <f ca="1">_xlfn.STDEV.P($C$2:C114)</f>
        <v>4.6842217949308571</v>
      </c>
      <c r="H114">
        <f t="shared" ca="1" si="22"/>
        <v>98.181726799694601</v>
      </c>
      <c r="I114">
        <f t="shared" ca="1" si="23"/>
        <v>88.813283209832875</v>
      </c>
      <c r="J114">
        <f t="shared" ca="1" si="32"/>
        <v>96.486999999999981</v>
      </c>
      <c r="K114">
        <f t="shared" ca="1" si="33"/>
        <v>1.3864384511933314</v>
      </c>
      <c r="L114">
        <f t="shared" ca="1" si="34"/>
        <v>99.259876902386637</v>
      </c>
      <c r="M114">
        <f t="shared" ca="1" si="35"/>
        <v>93.714123097613324</v>
      </c>
      <c r="N114">
        <f t="shared" ca="1" si="24"/>
        <v>-0.73999999999999488</v>
      </c>
      <c r="O114">
        <f t="shared" ca="1" si="25"/>
        <v>0</v>
      </c>
      <c r="P114">
        <f t="shared" ca="1" si="26"/>
        <v>0.73999999999999488</v>
      </c>
      <c r="Q114">
        <f t="shared" ca="1" si="30"/>
        <v>0.36489796010995867</v>
      </c>
      <c r="R114">
        <f t="shared" ca="1" si="31"/>
        <v>0.28953752078837081</v>
      </c>
      <c r="S114">
        <f t="shared" ca="1" si="28"/>
        <v>1.2602786648044502</v>
      </c>
      <c r="T114">
        <f t="shared" ca="1" si="29"/>
        <v>55.757667602170827</v>
      </c>
      <c r="U114">
        <f>70</f>
        <v>70</v>
      </c>
      <c r="V114">
        <f>30</f>
        <v>30</v>
      </c>
      <c r="W114">
        <f t="shared" ca="1" si="27"/>
        <v>96.822053852940769</v>
      </c>
      <c r="X114">
        <f t="shared" ca="1" si="37"/>
        <v>96.612906711143197</v>
      </c>
      <c r="Y114">
        <f t="shared" ca="1" si="36"/>
        <v>0.28602653333867067</v>
      </c>
      <c r="Z114">
        <f t="shared" ca="1" si="38"/>
        <v>5.3309594486555603E-3</v>
      </c>
      <c r="AA114">
        <f t="shared" ca="1" si="39"/>
        <v>0.28069557389001509</v>
      </c>
      <c r="AB114">
        <f t="shared" ca="1" si="40"/>
        <v>94.042999999999992</v>
      </c>
    </row>
    <row r="115" spans="1:28" x14ac:dyDescent="0.25">
      <c r="A115" s="20">
        <f t="shared" ca="1" si="20"/>
        <v>45866</v>
      </c>
      <c r="B115" vm="333">
        <f ca="1"/>
        <v>45869</v>
      </c>
      <c r="C115" vm="334">
        <f ca="1"/>
        <v>97.98</v>
      </c>
      <c r="D115" vm="335">
        <f ca="1"/>
        <v>15651348</v>
      </c>
      <c r="E115">
        <f t="shared" ca="1" si="21"/>
        <v>1533519077.04</v>
      </c>
      <c r="F115">
        <f ca="1">SUM($E$2:E115)/SUM($D$2:D115)</f>
        <v>93.527832238698963</v>
      </c>
      <c r="G115">
        <f ca="1">_xlfn.STDEV.P($C$2:C115)</f>
        <v>4.6753873577719656</v>
      </c>
      <c r="H115">
        <f t="shared" ca="1" si="22"/>
        <v>98.20321959647093</v>
      </c>
      <c r="I115">
        <f t="shared" ca="1" si="23"/>
        <v>88.852444880926996</v>
      </c>
      <c r="J115">
        <f t="shared" ca="1" si="32"/>
        <v>96.505499999999984</v>
      </c>
      <c r="K115">
        <f t="shared" ca="1" si="33"/>
        <v>1.4045620220140538</v>
      </c>
      <c r="L115">
        <f t="shared" ca="1" si="34"/>
        <v>99.314624044028093</v>
      </c>
      <c r="M115">
        <f t="shared" ca="1" si="35"/>
        <v>93.696375955971874</v>
      </c>
      <c r="N115">
        <f t="shared" ca="1" si="24"/>
        <v>0.39000000000000057</v>
      </c>
      <c r="O115">
        <f t="shared" ca="1" si="25"/>
        <v>0.39000000000000057</v>
      </c>
      <c r="P115">
        <f t="shared" ca="1" si="26"/>
        <v>0</v>
      </c>
      <c r="Q115">
        <f t="shared" ca="1" si="30"/>
        <v>0.36669096295924736</v>
      </c>
      <c r="R115">
        <f t="shared" ca="1" si="31"/>
        <v>0.26885626930348716</v>
      </c>
      <c r="S115">
        <f t="shared" ca="1" si="28"/>
        <v>1.3638921789297149</v>
      </c>
      <c r="T115">
        <f t="shared" ca="1" si="29"/>
        <v>57.696886139165457</v>
      </c>
      <c r="U115">
        <f>70</f>
        <v>70</v>
      </c>
      <c r="V115">
        <f>30</f>
        <v>30</v>
      </c>
      <c r="W115">
        <f t="shared" ca="1" si="27"/>
        <v>97.00019941402681</v>
      </c>
      <c r="X115">
        <f t="shared" ca="1" si="37"/>
        <v>96.714172880688139</v>
      </c>
      <c r="Y115">
        <f t="shared" ca="1" si="36"/>
        <v>0.38368387390973169</v>
      </c>
      <c r="Z115">
        <f t="shared" ca="1" si="38"/>
        <v>8.10015423408708E-2</v>
      </c>
      <c r="AA115">
        <f t="shared" ca="1" si="39"/>
        <v>0.30268233156886087</v>
      </c>
      <c r="AB115">
        <f t="shared" ca="1" si="40"/>
        <v>94.105599999999995</v>
      </c>
    </row>
    <row r="116" spans="1:28" x14ac:dyDescent="0.25">
      <c r="A116" s="20">
        <f t="shared" ca="1" si="20"/>
        <v>45866</v>
      </c>
      <c r="B116" vm="336">
        <f ca="1"/>
        <v>45870</v>
      </c>
      <c r="C116" vm="337">
        <f ca="1"/>
        <v>98.49</v>
      </c>
      <c r="D116" vm="338">
        <f ca="1"/>
        <v>16750407</v>
      </c>
      <c r="E116">
        <f t="shared" ca="1" si="21"/>
        <v>1649747585.4299998</v>
      </c>
      <c r="F116">
        <f ca="1">SUM($E$2:E116)/SUM($D$2:D116)</f>
        <v>93.5635040151097</v>
      </c>
      <c r="G116">
        <f ca="1">_xlfn.STDEV.P($C$2:C116)</f>
        <v>4.6700445515456872</v>
      </c>
      <c r="H116">
        <f t="shared" ca="1" si="22"/>
        <v>98.233548566655386</v>
      </c>
      <c r="I116">
        <f t="shared" ca="1" si="23"/>
        <v>88.893459463564014</v>
      </c>
      <c r="J116">
        <f t="shared" ca="1" si="32"/>
        <v>96.511999999999972</v>
      </c>
      <c r="K116">
        <f t="shared" ca="1" si="33"/>
        <v>1.4138659208373539</v>
      </c>
      <c r="L116">
        <f t="shared" ca="1" si="34"/>
        <v>99.339731841674677</v>
      </c>
      <c r="M116">
        <f t="shared" ca="1" si="35"/>
        <v>93.684268158325267</v>
      </c>
      <c r="N116">
        <f t="shared" ca="1" si="24"/>
        <v>0.50999999999999091</v>
      </c>
      <c r="O116">
        <f t="shared" ca="1" si="25"/>
        <v>0.50999999999999091</v>
      </c>
      <c r="P116">
        <f t="shared" ca="1" si="26"/>
        <v>0</v>
      </c>
      <c r="Q116">
        <f t="shared" ca="1" si="30"/>
        <v>0.37692732274787188</v>
      </c>
      <c r="R116">
        <f t="shared" ca="1" si="31"/>
        <v>0.24965225006752378</v>
      </c>
      <c r="S116">
        <f t="shared" ca="1" si="28"/>
        <v>1.5098094355084877</v>
      </c>
      <c r="T116">
        <f t="shared" ca="1" si="29"/>
        <v>60.156337534949145</v>
      </c>
      <c r="U116">
        <f>70</f>
        <v>70</v>
      </c>
      <c r="V116">
        <f>30</f>
        <v>30</v>
      </c>
      <c r="W116">
        <f t="shared" ca="1" si="27"/>
        <v>97.229399504176527</v>
      </c>
      <c r="X116">
        <f t="shared" ca="1" si="37"/>
        <v>96.845715630266795</v>
      </c>
      <c r="Y116">
        <f t="shared" ca="1" si="36"/>
        <v>0.54357285727556359</v>
      </c>
      <c r="Z116">
        <f t="shared" ca="1" si="38"/>
        <v>0.17351580532780936</v>
      </c>
      <c r="AA116">
        <f t="shared" ca="1" si="39"/>
        <v>0.37005705194775423</v>
      </c>
      <c r="AB116">
        <f t="shared" ca="1" si="40"/>
        <v>94.212299999999999</v>
      </c>
    </row>
    <row r="117" spans="1:28" x14ac:dyDescent="0.25">
      <c r="A117" s="20">
        <f t="shared" ca="1" si="20"/>
        <v>45873</v>
      </c>
      <c r="B117" vm="339">
        <f ca="1"/>
        <v>45873</v>
      </c>
      <c r="C117" vm="340">
        <f ca="1"/>
        <v>99.59</v>
      </c>
      <c r="D117" vm="341">
        <f ca="1"/>
        <v>19050206</v>
      </c>
      <c r="E117">
        <f t="shared" ca="1" si="21"/>
        <v>1897210015.54</v>
      </c>
      <c r="F117">
        <f ca="1">SUM($E$2:E117)/SUM($D$2:D117)</f>
        <v>93.612375578388239</v>
      </c>
      <c r="G117">
        <f ca="1">_xlfn.STDEV.P($C$2:C117)</f>
        <v>4.6736865385456312</v>
      </c>
      <c r="H117">
        <f t="shared" ca="1" si="22"/>
        <v>98.286062116933863</v>
      </c>
      <c r="I117">
        <f t="shared" ca="1" si="23"/>
        <v>88.938689039842615</v>
      </c>
      <c r="J117">
        <f t="shared" ca="1" si="32"/>
        <v>96.523999999999972</v>
      </c>
      <c r="K117">
        <f t="shared" ca="1" si="33"/>
        <v>1.4399978070158734</v>
      </c>
      <c r="L117">
        <f t="shared" ca="1" si="34"/>
        <v>99.403995614031714</v>
      </c>
      <c r="M117">
        <f t="shared" ca="1" si="35"/>
        <v>93.644004385968231</v>
      </c>
      <c r="N117">
        <f t="shared" ca="1" si="24"/>
        <v>1.1000000000000085</v>
      </c>
      <c r="O117">
        <f t="shared" ca="1" si="25"/>
        <v>1.1000000000000085</v>
      </c>
      <c r="P117">
        <f t="shared" ca="1" si="26"/>
        <v>0</v>
      </c>
      <c r="Q117">
        <f t="shared" ca="1" si="30"/>
        <v>0.42857537112302452</v>
      </c>
      <c r="R117">
        <f t="shared" ca="1" si="31"/>
        <v>0.23181994649127208</v>
      </c>
      <c r="S117">
        <f t="shared" ca="1" si="28"/>
        <v>1.8487424296733681</v>
      </c>
      <c r="T117">
        <f t="shared" ca="1" si="29"/>
        <v>64.896791314521948</v>
      </c>
      <c r="U117">
        <f>70</f>
        <v>70</v>
      </c>
      <c r="V117">
        <f>30</f>
        <v>30</v>
      </c>
      <c r="W117">
        <f t="shared" ca="1" si="27"/>
        <v>97.5925688112263</v>
      </c>
      <c r="X117">
        <f t="shared" ca="1" si="37"/>
        <v>97.048995953950737</v>
      </c>
      <c r="Y117">
        <f t="shared" ca="1" si="36"/>
        <v>0.64031125897500374</v>
      </c>
      <c r="Z117">
        <f t="shared" ca="1" si="38"/>
        <v>0.26687489605724823</v>
      </c>
      <c r="AA117">
        <f t="shared" ca="1" si="39"/>
        <v>0.3734363629177555</v>
      </c>
      <c r="AB117">
        <f t="shared" ca="1" si="40"/>
        <v>94.333799999999997</v>
      </c>
    </row>
    <row r="118" spans="1:28" x14ac:dyDescent="0.25">
      <c r="A118" s="20">
        <f t="shared" ca="1" si="20"/>
        <v>45873</v>
      </c>
      <c r="B118" vm="342">
        <f ca="1"/>
        <v>45874</v>
      </c>
      <c r="C118" vm="343">
        <f ca="1"/>
        <v>99.31</v>
      </c>
      <c r="D118" vm="344">
        <f ca="1"/>
        <v>17977008</v>
      </c>
      <c r="E118">
        <f t="shared" ca="1" si="21"/>
        <v>1785296664.48</v>
      </c>
      <c r="F118">
        <f ca="1">SUM($E$2:E118)/SUM($D$2:D118)</f>
        <v>93.655646095215516</v>
      </c>
      <c r="G118">
        <f ca="1">_xlfn.STDEV.P($C$2:C118)</f>
        <v>4.6743679401920364</v>
      </c>
      <c r="H118">
        <f t="shared" ca="1" si="22"/>
        <v>98.330014035407558</v>
      </c>
      <c r="I118">
        <f t="shared" ca="1" si="23"/>
        <v>88.981278155023475</v>
      </c>
      <c r="J118">
        <f t="shared" ca="1" si="32"/>
        <v>96.634999999999977</v>
      </c>
      <c r="K118">
        <f t="shared" ca="1" si="33"/>
        <v>1.5659753980725302</v>
      </c>
      <c r="L118">
        <f t="shared" ca="1" si="34"/>
        <v>99.766950796145039</v>
      </c>
      <c r="M118">
        <f t="shared" ca="1" si="35"/>
        <v>93.503049203854914</v>
      </c>
      <c r="N118">
        <f t="shared" ca="1" si="24"/>
        <v>-0.28000000000000114</v>
      </c>
      <c r="O118">
        <f t="shared" ca="1" si="25"/>
        <v>0</v>
      </c>
      <c r="P118">
        <f t="shared" ca="1" si="26"/>
        <v>0.28000000000000114</v>
      </c>
      <c r="Q118">
        <f t="shared" ca="1" si="30"/>
        <v>0.39796284461423703</v>
      </c>
      <c r="R118">
        <f t="shared" ca="1" si="31"/>
        <v>0.23526137888475271</v>
      </c>
      <c r="S118">
        <f t="shared" ca="1" si="28"/>
        <v>1.6915774552574852</v>
      </c>
      <c r="T118">
        <f t="shared" ca="1" si="29"/>
        <v>62.847065833209072</v>
      </c>
      <c r="U118">
        <f>70</f>
        <v>70</v>
      </c>
      <c r="V118">
        <f>30</f>
        <v>30</v>
      </c>
      <c r="W118">
        <f t="shared" ca="1" si="27"/>
        <v>97.856788994114567</v>
      </c>
      <c r="X118">
        <f t="shared" ca="1" si="37"/>
        <v>97.216477735139563</v>
      </c>
      <c r="Y118">
        <f t="shared" ca="1" si="36"/>
        <v>1.0318833827113139</v>
      </c>
      <c r="Z118">
        <f t="shared" ca="1" si="38"/>
        <v>0.41987659338806138</v>
      </c>
      <c r="AA118">
        <f t="shared" ca="1" si="39"/>
        <v>0.61200678932325248</v>
      </c>
      <c r="AB118">
        <f t="shared" ca="1" si="40"/>
        <v>94.474899999999991</v>
      </c>
    </row>
    <row r="119" spans="1:28" x14ac:dyDescent="0.25">
      <c r="A119" s="20">
        <f t="shared" ca="1" si="20"/>
        <v>45873</v>
      </c>
      <c r="B119" vm="345">
        <f ca="1"/>
        <v>45875</v>
      </c>
      <c r="C119" vm="346">
        <f ca="1"/>
        <v>103.36</v>
      </c>
      <c r="D119" vm="347">
        <f ca="1"/>
        <v>23738420</v>
      </c>
      <c r="E119">
        <f t="shared" ca="1" si="21"/>
        <v>2453603091.1999998</v>
      </c>
      <c r="F119">
        <f ca="1">SUM($E$2:E119)/SUM($D$2:D119)</f>
        <v>93.75199919549776</v>
      </c>
      <c r="G119">
        <f ca="1">_xlfn.STDEV.P($C$2:C119)</f>
        <v>4.7236275128556491</v>
      </c>
      <c r="H119">
        <f t="shared" ca="1" si="22"/>
        <v>98.475626708353403</v>
      </c>
      <c r="I119">
        <f t="shared" ca="1" si="23"/>
        <v>89.028371682642117</v>
      </c>
      <c r="J119">
        <f t="shared" ca="1" si="32"/>
        <v>96.962499999999963</v>
      </c>
      <c r="K119">
        <f t="shared" ca="1" si="33"/>
        <v>2.1721099976993017</v>
      </c>
      <c r="L119">
        <f t="shared" ca="1" si="34"/>
        <v>101.30671999539857</v>
      </c>
      <c r="M119">
        <f t="shared" ca="1" si="35"/>
        <v>92.61828000460136</v>
      </c>
      <c r="N119">
        <f t="shared" ca="1" si="24"/>
        <v>4.0499999999999972</v>
      </c>
      <c r="O119">
        <f t="shared" ca="1" si="25"/>
        <v>4.0499999999999972</v>
      </c>
      <c r="P119">
        <f t="shared" ca="1" si="26"/>
        <v>0</v>
      </c>
      <c r="Q119">
        <f t="shared" ca="1" si="30"/>
        <v>0.65882264142750557</v>
      </c>
      <c r="R119">
        <f t="shared" ca="1" si="31"/>
        <v>0.21845699467869895</v>
      </c>
      <c r="S119">
        <f t="shared" ca="1" si="28"/>
        <v>3.0158001687997462</v>
      </c>
      <c r="T119">
        <f t="shared" ca="1" si="29"/>
        <v>75.098362518897872</v>
      </c>
      <c r="U119">
        <f>70</f>
        <v>70</v>
      </c>
      <c r="V119">
        <f>30</f>
        <v>30</v>
      </c>
      <c r="W119">
        <f t="shared" ca="1" si="27"/>
        <v>98.703436841173868</v>
      </c>
      <c r="X119">
        <f t="shared" ca="1" si="37"/>
        <v>97.671553458462554</v>
      </c>
      <c r="Y119">
        <f t="shared" ca="1" si="36"/>
        <v>1.3077660052088476</v>
      </c>
      <c r="Z119">
        <f t="shared" ca="1" si="38"/>
        <v>0.59745447575221866</v>
      </c>
      <c r="AA119">
        <f t="shared" ca="1" si="39"/>
        <v>0.7103115294566289</v>
      </c>
      <c r="AB119">
        <f t="shared" ca="1" si="40"/>
        <v>94.663499999999999</v>
      </c>
    </row>
    <row r="120" spans="1:28" x14ac:dyDescent="0.25">
      <c r="A120" s="20">
        <f t="shared" ca="1" si="20"/>
        <v>45873</v>
      </c>
      <c r="B120" vm="348">
        <f ca="1"/>
        <v>45876</v>
      </c>
      <c r="C120" vm="349">
        <f ca="1"/>
        <v>103.12</v>
      </c>
      <c r="D120" vm="350">
        <f ca="1"/>
        <v>12509479</v>
      </c>
      <c r="E120">
        <f t="shared" ca="1" si="21"/>
        <v>1289977474.48</v>
      </c>
      <c r="F120">
        <f ca="1">SUM($E$2:E120)/SUM($D$2:D120)</f>
        <v>93.800759565940709</v>
      </c>
      <c r="G120">
        <f ca="1">_xlfn.STDEV.P($C$2:C120)</f>
        <v>4.7668298809485954</v>
      </c>
      <c r="H120">
        <f t="shared" ca="1" si="22"/>
        <v>98.567589446889301</v>
      </c>
      <c r="I120">
        <f t="shared" ca="1" si="23"/>
        <v>89.033929684992117</v>
      </c>
      <c r="J120">
        <f t="shared" ca="1" si="32"/>
        <v>97.37549999999996</v>
      </c>
      <c r="K120">
        <f t="shared" ca="1" si="33"/>
        <v>2.5102536567153191</v>
      </c>
      <c r="L120">
        <f t="shared" ca="1" si="34"/>
        <v>102.3960073134306</v>
      </c>
      <c r="M120">
        <f t="shared" ca="1" si="35"/>
        <v>92.354992686569318</v>
      </c>
      <c r="N120">
        <f t="shared" ca="1" si="24"/>
        <v>-0.23999999999999488</v>
      </c>
      <c r="O120">
        <f t="shared" ca="1" si="25"/>
        <v>0</v>
      </c>
      <c r="P120">
        <f t="shared" ca="1" si="26"/>
        <v>0.23999999999999488</v>
      </c>
      <c r="Q120">
        <f t="shared" ca="1" si="30"/>
        <v>0.61176388132554094</v>
      </c>
      <c r="R120">
        <f t="shared" ca="1" si="31"/>
        <v>0.21999578077307724</v>
      </c>
      <c r="S120">
        <f t="shared" ca="1" si="28"/>
        <v>2.7807982461107623</v>
      </c>
      <c r="T120">
        <f t="shared" ca="1" si="29"/>
        <v>73.550559037931166</v>
      </c>
      <c r="U120">
        <f>70</f>
        <v>70</v>
      </c>
      <c r="V120">
        <f>30</f>
        <v>30</v>
      </c>
      <c r="W120">
        <f t="shared" ca="1" si="27"/>
        <v>99.382908096377889</v>
      </c>
      <c r="X120">
        <f t="shared" ca="1" si="37"/>
        <v>98.075142091169042</v>
      </c>
      <c r="Y120">
        <f t="shared" ca="1" si="36"/>
        <v>1.5576710113797532</v>
      </c>
      <c r="Z120">
        <f t="shared" ca="1" si="38"/>
        <v>0.78949778287772565</v>
      </c>
      <c r="AA120">
        <f t="shared" ca="1" si="39"/>
        <v>0.76817322850202752</v>
      </c>
      <c r="AB120">
        <f t="shared" ca="1" si="40"/>
        <v>94.841200000000015</v>
      </c>
    </row>
    <row r="121" spans="1:28" x14ac:dyDescent="0.25">
      <c r="A121" s="20">
        <f t="shared" ca="1" si="20"/>
        <v>45873</v>
      </c>
      <c r="B121" vm="351">
        <f ca="1"/>
        <v>45877</v>
      </c>
      <c r="C121" vm="352">
        <f ca="1"/>
        <v>103.73</v>
      </c>
      <c r="D121" vm="353">
        <f ca="1"/>
        <v>12394722</v>
      </c>
      <c r="E121">
        <f t="shared" ca="1" si="21"/>
        <v>1285704513.0599999</v>
      </c>
      <c r="F121">
        <f ca="1">SUM($E$2:E121)/SUM($D$2:D121)</f>
        <v>93.851704342939499</v>
      </c>
      <c r="G121">
        <f ca="1">_xlfn.STDEV.P($C$2:C121)</f>
        <v>4.817021843162018</v>
      </c>
      <c r="H121">
        <f t="shared" ca="1" si="22"/>
        <v>98.668726186101523</v>
      </c>
      <c r="I121">
        <f t="shared" ca="1" si="23"/>
        <v>89.034682499777475</v>
      </c>
      <c r="J121">
        <f t="shared" ca="1" si="32"/>
        <v>97.841999999999985</v>
      </c>
      <c r="K121">
        <f t="shared" ca="1" si="33"/>
        <v>2.780569044373169</v>
      </c>
      <c r="L121">
        <f t="shared" ca="1" si="34"/>
        <v>103.40313808874632</v>
      </c>
      <c r="M121">
        <f t="shared" ca="1" si="35"/>
        <v>92.280861911253652</v>
      </c>
      <c r="N121">
        <f t="shared" ca="1" si="24"/>
        <v>0.60999999999999943</v>
      </c>
      <c r="O121">
        <f t="shared" ca="1" si="25"/>
        <v>0.60999999999999943</v>
      </c>
      <c r="P121">
        <f t="shared" ca="1" si="26"/>
        <v>0</v>
      </c>
      <c r="Q121">
        <f t="shared" ca="1" si="30"/>
        <v>0.61163788980228795</v>
      </c>
      <c r="R121">
        <f t="shared" ca="1" si="31"/>
        <v>0.20428179643214314</v>
      </c>
      <c r="S121">
        <f t="shared" ca="1" si="28"/>
        <v>2.9940890499533932</v>
      </c>
      <c r="T121">
        <f t="shared" ca="1" si="29"/>
        <v>74.963001888711801</v>
      </c>
      <c r="U121">
        <f>70</f>
        <v>70</v>
      </c>
      <c r="V121">
        <f>30</f>
        <v>30</v>
      </c>
      <c r="W121">
        <f t="shared" ca="1" si="27"/>
        <v>100.05169146616591</v>
      </c>
      <c r="X121">
        <f t="shared" ca="1" si="37"/>
        <v>98.494020454786153</v>
      </c>
      <c r="Y121">
        <f t="shared" ca="1" si="36"/>
        <v>1.7516687112415212</v>
      </c>
      <c r="Z121">
        <f t="shared" ca="1" si="38"/>
        <v>0.98193196855048481</v>
      </c>
      <c r="AA121">
        <f t="shared" ca="1" si="39"/>
        <v>0.76973674269103642</v>
      </c>
      <c r="AB121">
        <f t="shared" ca="1" si="40"/>
        <v>95.003900000000016</v>
      </c>
    </row>
    <row r="122" spans="1:28" x14ac:dyDescent="0.25">
      <c r="A122" s="20">
        <f t="shared" ca="1" si="20"/>
        <v>45880</v>
      </c>
      <c r="B122" vm="354">
        <f ca="1"/>
        <v>45880</v>
      </c>
      <c r="C122" vm="355">
        <f ca="1"/>
        <v>103.93</v>
      </c>
      <c r="D122" vm="356">
        <f ca="1"/>
        <v>12856706</v>
      </c>
      <c r="E122">
        <f t="shared" ca="1" si="21"/>
        <v>1336197454.5800002</v>
      </c>
      <c r="F122">
        <f ca="1">SUM($E$2:E122)/SUM($D$2:D122)</f>
        <v>93.905057295690867</v>
      </c>
      <c r="G122">
        <f ca="1">_xlfn.STDEV.P($C$2:C122)</f>
        <v>4.8677922995395839</v>
      </c>
      <c r="H122">
        <f t="shared" ca="1" si="22"/>
        <v>98.772849595230454</v>
      </c>
      <c r="I122">
        <f t="shared" ca="1" si="23"/>
        <v>89.037264996151279</v>
      </c>
      <c r="J122">
        <f t="shared" ca="1" si="32"/>
        <v>98.249499999999998</v>
      </c>
      <c r="K122">
        <f t="shared" ca="1" si="33"/>
        <v>3.0469181582638387</v>
      </c>
      <c r="L122">
        <f t="shared" ca="1" si="34"/>
        <v>104.34333631652767</v>
      </c>
      <c r="M122">
        <f t="shared" ca="1" si="35"/>
        <v>92.155663683472326</v>
      </c>
      <c r="N122">
        <f t="shared" ca="1" si="24"/>
        <v>0.20000000000000284</v>
      </c>
      <c r="O122">
        <f t="shared" ca="1" si="25"/>
        <v>0.20000000000000284</v>
      </c>
      <c r="P122">
        <f t="shared" ca="1" si="26"/>
        <v>0</v>
      </c>
      <c r="Q122">
        <f t="shared" ca="1" si="30"/>
        <v>0.58223518338783897</v>
      </c>
      <c r="R122">
        <f t="shared" ca="1" si="31"/>
        <v>0.18969023954413292</v>
      </c>
      <c r="S122">
        <f t="shared" ca="1" si="28"/>
        <v>3.0693998003644114</v>
      </c>
      <c r="T122">
        <f t="shared" ca="1" si="29"/>
        <v>75.426351573751717</v>
      </c>
      <c r="U122">
        <f>70</f>
        <v>70</v>
      </c>
      <c r="V122">
        <f>30</f>
        <v>30</v>
      </c>
      <c r="W122">
        <f t="shared" ca="1" si="27"/>
        <v>100.648354317525</v>
      </c>
      <c r="X122">
        <f t="shared" ca="1" si="37"/>
        <v>98.896685606283484</v>
      </c>
      <c r="Y122">
        <f t="shared" ca="1" si="36"/>
        <v>1.8589698298085153</v>
      </c>
      <c r="Z122">
        <f t="shared" ca="1" si="38"/>
        <v>1.157339540802091</v>
      </c>
      <c r="AA122">
        <f t="shared" ca="1" si="39"/>
        <v>0.70163028900642432</v>
      </c>
      <c r="AB122">
        <f t="shared" ca="1" si="40"/>
        <v>95.187300000000008</v>
      </c>
    </row>
    <row r="123" spans="1:28" x14ac:dyDescent="0.25">
      <c r="A123" s="20">
        <f t="shared" ca="1" si="20"/>
        <v>45880</v>
      </c>
      <c r="B123" vm="357">
        <f ca="1"/>
        <v>45881</v>
      </c>
      <c r="C123" vm="358">
        <f ca="1"/>
        <v>103.62</v>
      </c>
      <c r="D123" vm="359">
        <f ca="1"/>
        <v>17919327</v>
      </c>
      <c r="E123">
        <f t="shared" ca="1" si="21"/>
        <v>1856800663.74</v>
      </c>
      <c r="F123">
        <f ca="1">SUM($E$2:E123)/SUM($D$2:D123)</f>
        <v>93.976213200877766</v>
      </c>
      <c r="G123">
        <f ca="1">_xlfn.STDEV.P($C$2:C123)</f>
        <v>4.9115237773669564</v>
      </c>
      <c r="H123">
        <f t="shared" ca="1" si="22"/>
        <v>98.887736978244718</v>
      </c>
      <c r="I123">
        <f t="shared" ca="1" si="23"/>
        <v>89.064689423510814</v>
      </c>
      <c r="J123">
        <f t="shared" ca="1" si="32"/>
        <v>98.661000000000016</v>
      </c>
      <c r="K123">
        <f t="shared" ca="1" si="33"/>
        <v>3.1926674213199693</v>
      </c>
      <c r="L123">
        <f t="shared" ca="1" si="34"/>
        <v>105.04633484263995</v>
      </c>
      <c r="M123">
        <f t="shared" ca="1" si="35"/>
        <v>92.275665157360081</v>
      </c>
      <c r="N123">
        <f t="shared" ca="1" si="24"/>
        <v>-0.31000000000000227</v>
      </c>
      <c r="O123">
        <f t="shared" ca="1" si="25"/>
        <v>0</v>
      </c>
      <c r="P123">
        <f t="shared" ca="1" si="26"/>
        <v>0.31000000000000227</v>
      </c>
      <c r="Q123">
        <f t="shared" ca="1" si="30"/>
        <v>0.54064695600299328</v>
      </c>
      <c r="R123">
        <f t="shared" ca="1" si="31"/>
        <v>0.1982837938624093</v>
      </c>
      <c r="S123">
        <f t="shared" ca="1" si="28"/>
        <v>2.7266320936856419</v>
      </c>
      <c r="T123">
        <f t="shared" ca="1" si="29"/>
        <v>73.166119572297276</v>
      </c>
      <c r="U123">
        <f>70</f>
        <v>70</v>
      </c>
      <c r="V123">
        <f>30</f>
        <v>30</v>
      </c>
      <c r="W123">
        <f t="shared" ca="1" si="27"/>
        <v>101.1055305763673</v>
      </c>
      <c r="X123">
        <f t="shared" ca="1" si="37"/>
        <v>99.246560746558785</v>
      </c>
      <c r="Y123">
        <f t="shared" ca="1" si="36"/>
        <v>1.7120522465797166</v>
      </c>
      <c r="Z123">
        <f t="shared" ca="1" si="38"/>
        <v>1.2682820819576162</v>
      </c>
      <c r="AA123">
        <f t="shared" ca="1" si="39"/>
        <v>0.44377016462210039</v>
      </c>
      <c r="AB123">
        <f t="shared" ca="1" si="40"/>
        <v>95.360200000000006</v>
      </c>
    </row>
    <row r="124" spans="1:28" x14ac:dyDescent="0.25">
      <c r="A124" s="20">
        <f t="shared" ca="1" si="20"/>
        <v>45880</v>
      </c>
      <c r="B124" vm="360">
        <f ca="1"/>
        <v>45882</v>
      </c>
      <c r="C124" vm="361">
        <f ca="1"/>
        <v>100.99</v>
      </c>
      <c r="D124" vm="362">
        <f ca="1"/>
        <v>19398499</v>
      </c>
      <c r="E124">
        <f t="shared" ca="1" si="21"/>
        <v>1959054414.01</v>
      </c>
      <c r="F124">
        <f ca="1">SUM($E$2:E124)/SUM($D$2:D124)</f>
        <v>94.031387873598931</v>
      </c>
      <c r="G124">
        <f ca="1">_xlfn.STDEV.P($C$2:C124)</f>
        <v>4.9215422019506567</v>
      </c>
      <c r="H124">
        <f t="shared" ca="1" si="22"/>
        <v>98.952930075549588</v>
      </c>
      <c r="I124">
        <f t="shared" ca="1" si="23"/>
        <v>89.109845671648273</v>
      </c>
      <c r="J124">
        <f t="shared" ca="1" si="32"/>
        <v>98.953000000000003</v>
      </c>
      <c r="K124">
        <f t="shared" ca="1" si="33"/>
        <v>3.1209075940383637</v>
      </c>
      <c r="L124">
        <f t="shared" ca="1" si="34"/>
        <v>105.19481518807673</v>
      </c>
      <c r="M124">
        <f t="shared" ca="1" si="35"/>
        <v>92.711184811923275</v>
      </c>
      <c r="N124">
        <f t="shared" ca="1" si="24"/>
        <v>-2.6300000000000097</v>
      </c>
      <c r="O124">
        <f t="shared" ca="1" si="25"/>
        <v>0</v>
      </c>
      <c r="P124">
        <f t="shared" ca="1" si="26"/>
        <v>2.6300000000000097</v>
      </c>
      <c r="Q124">
        <f t="shared" ca="1" si="30"/>
        <v>0.50202931628849379</v>
      </c>
      <c r="R124">
        <f t="shared" ca="1" si="31"/>
        <v>0.37197780858652363</v>
      </c>
      <c r="S124">
        <f t="shared" ca="1" si="28"/>
        <v>1.3496216836056758</v>
      </c>
      <c r="T124">
        <f t="shared" ca="1" si="29"/>
        <v>57.43995695232848</v>
      </c>
      <c r="U124">
        <f>70</f>
        <v>70</v>
      </c>
      <c r="V124">
        <f>30</f>
        <v>30</v>
      </c>
      <c r="W124">
        <f t="shared" ca="1" si="27"/>
        <v>101.08775664154156</v>
      </c>
      <c r="X124">
        <f t="shared" ca="1" si="37"/>
        <v>99.375704394961843</v>
      </c>
      <c r="Y124">
        <f t="shared" ca="1" si="36"/>
        <v>1.5662672198725005</v>
      </c>
      <c r="Z124">
        <f t="shared" ca="1" si="38"/>
        <v>1.3278791095405931</v>
      </c>
      <c r="AA124">
        <f t="shared" ca="1" si="39"/>
        <v>0.23838811033190743</v>
      </c>
      <c r="AB124">
        <f t="shared" ca="1" si="40"/>
        <v>95.512</v>
      </c>
    </row>
    <row r="125" spans="1:28" x14ac:dyDescent="0.25">
      <c r="A125" s="20">
        <f t="shared" ca="1" si="20"/>
        <v>45880</v>
      </c>
      <c r="B125" vm="363">
        <f ca="1"/>
        <v>45883</v>
      </c>
      <c r="C125" vm="364">
        <f ca="1"/>
        <v>100.85</v>
      </c>
      <c r="D125" vm="365">
        <f ca="1"/>
        <v>10858447</v>
      </c>
      <c r="E125">
        <f t="shared" ca="1" si="21"/>
        <v>1095074379.95</v>
      </c>
      <c r="F125">
        <f ca="1">SUM($E$2:E125)/SUM($D$2:D125)</f>
        <v>94.061281225372696</v>
      </c>
      <c r="G125">
        <f ca="1">_xlfn.STDEV.P($C$2:C125)</f>
        <v>4.9295552126102367</v>
      </c>
      <c r="H125">
        <f t="shared" ca="1" si="22"/>
        <v>98.990836437982935</v>
      </c>
      <c r="I125">
        <f t="shared" ca="1" si="23"/>
        <v>89.131726012762456</v>
      </c>
      <c r="J125">
        <f t="shared" ca="1" si="32"/>
        <v>99.241</v>
      </c>
      <c r="K125">
        <f t="shared" ca="1" si="33"/>
        <v>3.0094428580369295</v>
      </c>
      <c r="L125">
        <f t="shared" ca="1" si="34"/>
        <v>105.25988571607385</v>
      </c>
      <c r="M125">
        <f t="shared" ca="1" si="35"/>
        <v>93.222114283926146</v>
      </c>
      <c r="N125">
        <f t="shared" ca="1" si="24"/>
        <v>-0.14000000000000057</v>
      </c>
      <c r="O125">
        <f t="shared" ca="1" si="25"/>
        <v>0</v>
      </c>
      <c r="P125">
        <f t="shared" ca="1" si="26"/>
        <v>0.14000000000000057</v>
      </c>
      <c r="Q125">
        <f t="shared" ca="1" si="30"/>
        <v>0.46617007941074423</v>
      </c>
      <c r="R125">
        <f t="shared" ca="1" si="31"/>
        <v>0.35540796511605771</v>
      </c>
      <c r="S125">
        <f t="shared" ca="1" si="28"/>
        <v>1.3116478108714231</v>
      </c>
      <c r="T125">
        <f t="shared" ca="1" si="29"/>
        <v>56.740815132084094</v>
      </c>
      <c r="U125">
        <f>70</f>
        <v>70</v>
      </c>
      <c r="V125">
        <f>30</f>
        <v>30</v>
      </c>
      <c r="W125">
        <f t="shared" ca="1" si="27"/>
        <v>101.05117869668902</v>
      </c>
      <c r="X125">
        <f t="shared" ca="1" si="37"/>
        <v>99.484911476816521</v>
      </c>
      <c r="Y125">
        <f t="shared" ca="1" si="36"/>
        <v>1.3663927149608952</v>
      </c>
      <c r="Z125">
        <f t="shared" ca="1" si="38"/>
        <v>1.3355818306246536</v>
      </c>
      <c r="AA125">
        <f t="shared" ca="1" si="39"/>
        <v>3.0810884336241573E-2</v>
      </c>
      <c r="AB125">
        <f t="shared" ca="1" si="40"/>
        <v>95.66070000000002</v>
      </c>
    </row>
    <row r="126" spans="1:28" x14ac:dyDescent="0.25">
      <c r="A126" s="20">
        <f t="shared" ca="1" si="20"/>
        <v>45880</v>
      </c>
      <c r="B126" vm="366">
        <f ca="1"/>
        <v>45884</v>
      </c>
      <c r="C126" vm="367">
        <f ca="1"/>
        <v>100</v>
      </c>
      <c r="D126" vm="368">
        <f ca="1"/>
        <v>13604944</v>
      </c>
      <c r="E126">
        <f t="shared" ca="1" si="21"/>
        <v>1360494400</v>
      </c>
      <c r="F126">
        <f ca="1">SUM($E$2:E126)/SUM($D$2:D126)</f>
        <v>94.093724253857616</v>
      </c>
      <c r="G126">
        <f ca="1">_xlfn.STDEV.P($C$2:C126)</f>
        <v>4.9296256578365041</v>
      </c>
      <c r="H126">
        <f t="shared" ca="1" si="22"/>
        <v>99.023349911694126</v>
      </c>
      <c r="I126">
        <f t="shared" ca="1" si="23"/>
        <v>89.164098596021105</v>
      </c>
      <c r="J126">
        <f t="shared" ca="1" si="32"/>
        <v>99.488500000000016</v>
      </c>
      <c r="K126">
        <f t="shared" ca="1" si="33"/>
        <v>2.845723060461455</v>
      </c>
      <c r="L126">
        <f t="shared" ca="1" si="34"/>
        <v>105.17994612092292</v>
      </c>
      <c r="M126">
        <f t="shared" ca="1" si="35"/>
        <v>93.797053879077112</v>
      </c>
      <c r="N126">
        <f t="shared" ca="1" si="24"/>
        <v>-0.84999999999999432</v>
      </c>
      <c r="O126">
        <f t="shared" ca="1" si="25"/>
        <v>0</v>
      </c>
      <c r="P126">
        <f t="shared" ca="1" si="26"/>
        <v>0.84999999999999432</v>
      </c>
      <c r="Q126">
        <f t="shared" ca="1" si="30"/>
        <v>0.43287221659569103</v>
      </c>
      <c r="R126">
        <f t="shared" ca="1" si="31"/>
        <v>0.39073596760776746</v>
      </c>
      <c r="S126">
        <f t="shared" ca="1" si="28"/>
        <v>1.1078381630590537</v>
      </c>
      <c r="T126">
        <f t="shared" ca="1" si="29"/>
        <v>52.558027578895114</v>
      </c>
      <c r="U126">
        <f>70</f>
        <v>70</v>
      </c>
      <c r="V126">
        <f>30</f>
        <v>30</v>
      </c>
      <c r="W126">
        <f t="shared" ca="1" si="27"/>
        <v>100.88945889719841</v>
      </c>
      <c r="X126">
        <f t="shared" ca="1" si="37"/>
        <v>99.523066182237514</v>
      </c>
      <c r="Y126">
        <f t="shared" ca="1" si="36"/>
        <v>1.2500649095177607</v>
      </c>
      <c r="Z126">
        <f t="shared" ca="1" si="38"/>
        <v>1.3184784464032751</v>
      </c>
      <c r="AA126">
        <f t="shared" ca="1" si="39"/>
        <v>-6.8413536885514326E-2</v>
      </c>
      <c r="AB126">
        <f t="shared" ca="1" si="40"/>
        <v>95.785800000000023</v>
      </c>
    </row>
    <row r="127" spans="1:28" x14ac:dyDescent="0.25">
      <c r="A127" s="20">
        <f t="shared" ca="1" si="20"/>
        <v>45887</v>
      </c>
      <c r="B127" vm="369">
        <f ca="1"/>
        <v>45887</v>
      </c>
      <c r="C127" vm="370">
        <f ca="1"/>
        <v>100.7</v>
      </c>
      <c r="D127" vm="371">
        <f ca="1"/>
        <v>11656135</v>
      </c>
      <c r="E127">
        <f t="shared" ca="1" si="21"/>
        <v>1173772794.5</v>
      </c>
      <c r="F127">
        <f ca="1">SUM($E$2:E127)/SUM($D$2:D127)</f>
        <v>94.124500467590877</v>
      </c>
      <c r="G127">
        <f ca="1">_xlfn.STDEV.P($C$2:C127)</f>
        <v>4.935270546188077</v>
      </c>
      <c r="H127">
        <f t="shared" ca="1" si="22"/>
        <v>99.059771013778956</v>
      </c>
      <c r="I127">
        <f t="shared" ca="1" si="23"/>
        <v>89.189229921402799</v>
      </c>
      <c r="J127">
        <f t="shared" ca="1" si="32"/>
        <v>99.740000000000009</v>
      </c>
      <c r="K127">
        <f t="shared" ca="1" si="33"/>
        <v>2.7094998567418709</v>
      </c>
      <c r="L127">
        <f t="shared" ca="1" si="34"/>
        <v>105.15899971348375</v>
      </c>
      <c r="M127">
        <f t="shared" ca="1" si="35"/>
        <v>94.321000286516266</v>
      </c>
      <c r="N127">
        <f t="shared" ca="1" si="24"/>
        <v>0.70000000000000284</v>
      </c>
      <c r="O127">
        <f t="shared" ca="1" si="25"/>
        <v>0.70000000000000284</v>
      </c>
      <c r="P127">
        <f t="shared" ca="1" si="26"/>
        <v>0</v>
      </c>
      <c r="Q127">
        <f t="shared" ca="1" si="30"/>
        <v>0.45195277255314187</v>
      </c>
      <c r="R127">
        <f t="shared" ca="1" si="31"/>
        <v>0.36282625563578408</v>
      </c>
      <c r="S127">
        <f t="shared" ca="1" si="28"/>
        <v>1.2456451690938972</v>
      </c>
      <c r="T127">
        <f t="shared" ca="1" si="29"/>
        <v>55.469367388816224</v>
      </c>
      <c r="U127">
        <f>70</f>
        <v>70</v>
      </c>
      <c r="V127">
        <f>30</f>
        <v>30</v>
      </c>
      <c r="W127">
        <f t="shared" ca="1" si="27"/>
        <v>100.8603113745525</v>
      </c>
      <c r="X127">
        <f t="shared" ca="1" si="37"/>
        <v>99.610246465034734</v>
      </c>
      <c r="Y127">
        <f t="shared" ca="1" si="36"/>
        <v>1.1917446641190992</v>
      </c>
      <c r="Z127">
        <f t="shared" ca="1" si="38"/>
        <v>1.2931316899464398</v>
      </c>
      <c r="AA127">
        <f t="shared" ca="1" si="39"/>
        <v>-0.1013870258273406</v>
      </c>
      <c r="AB127">
        <f t="shared" ca="1" si="40"/>
        <v>95.945200000000028</v>
      </c>
    </row>
    <row r="128" spans="1:28" x14ac:dyDescent="0.25">
      <c r="A128" s="20">
        <f t="shared" ca="1" si="20"/>
        <v>45887</v>
      </c>
      <c r="B128" vm="372">
        <f ca="1"/>
        <v>45888</v>
      </c>
      <c r="C128" vm="373">
        <f ca="1"/>
        <v>101.29</v>
      </c>
      <c r="D128" vm="374">
        <f ca="1"/>
        <v>16999004</v>
      </c>
      <c r="E128">
        <f t="shared" ca="1" si="21"/>
        <v>1721829115.1600001</v>
      </c>
      <c r="F128">
        <f ca="1">SUM($E$2:E128)/SUM($D$2:D128)</f>
        <v>94.17285456046308</v>
      </c>
      <c r="G128">
        <f ca="1">_xlfn.STDEV.P($C$2:C128)</f>
        <v>4.9458995592556176</v>
      </c>
      <c r="H128">
        <f t="shared" ca="1" si="22"/>
        <v>99.118754119718702</v>
      </c>
      <c r="I128">
        <f t="shared" ca="1" si="23"/>
        <v>89.226955001207457</v>
      </c>
      <c r="J128">
        <f t="shared" ca="1" si="32"/>
        <v>100.01200000000001</v>
      </c>
      <c r="K128">
        <f t="shared" ca="1" si="33"/>
        <v>2.5677874973562269</v>
      </c>
      <c r="L128">
        <f t="shared" ca="1" si="34"/>
        <v>105.14757499471247</v>
      </c>
      <c r="M128">
        <f t="shared" ca="1" si="35"/>
        <v>94.876425005287558</v>
      </c>
      <c r="N128">
        <f t="shared" ca="1" si="24"/>
        <v>0.59000000000000341</v>
      </c>
      <c r="O128">
        <f t="shared" ca="1" si="25"/>
        <v>0.59000000000000341</v>
      </c>
      <c r="P128">
        <f t="shared" ca="1" si="26"/>
        <v>0</v>
      </c>
      <c r="Q128">
        <f t="shared" ca="1" si="30"/>
        <v>0.4618132887993463</v>
      </c>
      <c r="R128">
        <f t="shared" ca="1" si="31"/>
        <v>0.33691009451894238</v>
      </c>
      <c r="S128">
        <f t="shared" ca="1" si="28"/>
        <v>1.3707315284178325</v>
      </c>
      <c r="T128">
        <f t="shared" ca="1" si="29"/>
        <v>57.818926858100404</v>
      </c>
      <c r="U128">
        <f>70</f>
        <v>70</v>
      </c>
      <c r="V128">
        <f>30</f>
        <v>30</v>
      </c>
      <c r="W128">
        <f t="shared" ca="1" si="27"/>
        <v>100.92641731692905</v>
      </c>
      <c r="X128">
        <f t="shared" ca="1" si="37"/>
        <v>99.734672652809948</v>
      </c>
      <c r="Y128">
        <f t="shared" ca="1" si="36"/>
        <v>1.2345792904976918</v>
      </c>
      <c r="Z128">
        <f t="shared" ca="1" si="38"/>
        <v>1.2814212100566902</v>
      </c>
      <c r="AA128">
        <f t="shared" ca="1" si="39"/>
        <v>-4.6841919558998413E-2</v>
      </c>
      <c r="AB128">
        <f t="shared" ca="1" si="40"/>
        <v>96.106000000000023</v>
      </c>
    </row>
    <row r="129" spans="1:28" x14ac:dyDescent="0.25">
      <c r="A129" s="20">
        <f t="shared" ca="1" si="20"/>
        <v>45887</v>
      </c>
      <c r="B129" vm="375">
        <f ca="1"/>
        <v>45889</v>
      </c>
      <c r="C129" vm="376">
        <f ca="1"/>
        <v>102.57</v>
      </c>
      <c r="D129" vm="377">
        <f ca="1"/>
        <v>18655026</v>
      </c>
      <c r="E129">
        <f t="shared" ca="1" si="21"/>
        <v>1913446016.8199999</v>
      </c>
      <c r="F129">
        <f ca="1">SUM($E$2:E129)/SUM($D$2:D129)</f>
        <v>94.234583167033776</v>
      </c>
      <c r="G129">
        <f ca="1">_xlfn.STDEV.P($C$2:C129)</f>
        <v>4.9693822686362061</v>
      </c>
      <c r="H129">
        <f t="shared" ca="1" si="22"/>
        <v>99.203965435669986</v>
      </c>
      <c r="I129">
        <f t="shared" ca="1" si="23"/>
        <v>89.265200898397566</v>
      </c>
      <c r="J129">
        <f t="shared" ca="1" si="32"/>
        <v>100.3565</v>
      </c>
      <c r="K129">
        <f t="shared" ca="1" si="33"/>
        <v>2.413565336090771</v>
      </c>
      <c r="L129">
        <f t="shared" ca="1" si="34"/>
        <v>105.18363067218154</v>
      </c>
      <c r="M129">
        <f t="shared" ca="1" si="35"/>
        <v>95.529369327818458</v>
      </c>
      <c r="N129">
        <f t="shared" ca="1" si="24"/>
        <v>1.2799999999999869</v>
      </c>
      <c r="O129">
        <f t="shared" ca="1" si="25"/>
        <v>1.2799999999999869</v>
      </c>
      <c r="P129">
        <f t="shared" ca="1" si="26"/>
        <v>0</v>
      </c>
      <c r="Q129">
        <f t="shared" ca="1" si="30"/>
        <v>0.52025519674224918</v>
      </c>
      <c r="R129">
        <f t="shared" ca="1" si="31"/>
        <v>0.31284508776758935</v>
      </c>
      <c r="S129">
        <f t="shared" ca="1" si="28"/>
        <v>1.6629802323402421</v>
      </c>
      <c r="T129">
        <f t="shared" ca="1" si="29"/>
        <v>62.448087753126345</v>
      </c>
      <c r="U129">
        <f>70</f>
        <v>70</v>
      </c>
      <c r="V129">
        <f>30</f>
        <v>30</v>
      </c>
      <c r="W129">
        <f t="shared" ca="1" si="27"/>
        <v>101.17927619124765</v>
      </c>
      <c r="X129">
        <f t="shared" ca="1" si="37"/>
        <v>99.94469690074996</v>
      </c>
      <c r="Y129">
        <f t="shared" ca="1" si="36"/>
        <v>0.88632061554648089</v>
      </c>
      <c r="Z129">
        <f t="shared" ca="1" si="38"/>
        <v>1.2024010911546483</v>
      </c>
      <c r="AA129">
        <f t="shared" ca="1" si="39"/>
        <v>-0.31608047560816743</v>
      </c>
      <c r="AB129">
        <f t="shared" ca="1" si="40"/>
        <v>96.275400000000033</v>
      </c>
    </row>
    <row r="130" spans="1:28" x14ac:dyDescent="0.25">
      <c r="A130" s="20">
        <f t="shared" ca="1" si="20"/>
        <v>45887</v>
      </c>
      <c r="B130" vm="378">
        <f ca="1"/>
        <v>45890</v>
      </c>
      <c r="C130" vm="227">
        <f ca="1"/>
        <v>97.96</v>
      </c>
      <c r="D130" vm="379">
        <f ca="1"/>
        <v>51825050</v>
      </c>
      <c r="E130">
        <f t="shared" ca="1" si="21"/>
        <v>5076781898</v>
      </c>
      <c r="F130">
        <f ca="1">SUM($E$2:E130)/SUM($D$2:D130)</f>
        <v>94.309141076217216</v>
      </c>
      <c r="G130">
        <f ca="1">_xlfn.STDEV.P($C$2:C130)</f>
        <v>4.955860777737243</v>
      </c>
      <c r="H130">
        <f t="shared" ca="1" si="22"/>
        <v>99.265001853954459</v>
      </c>
      <c r="I130">
        <f t="shared" ca="1" si="23"/>
        <v>89.353280298479973</v>
      </c>
      <c r="J130">
        <f t="shared" ca="1" si="32"/>
        <v>100.42449999999999</v>
      </c>
      <c r="K130">
        <f t="shared" ca="1" si="33"/>
        <v>2.319483778774925</v>
      </c>
      <c r="L130">
        <f t="shared" ca="1" si="34"/>
        <v>105.06346755754984</v>
      </c>
      <c r="M130">
        <f t="shared" ca="1" si="35"/>
        <v>95.785532442450148</v>
      </c>
      <c r="N130">
        <f t="shared" ca="1" si="24"/>
        <v>-4.6099999999999994</v>
      </c>
      <c r="O130">
        <f t="shared" ca="1" si="25"/>
        <v>0</v>
      </c>
      <c r="P130">
        <f t="shared" ca="1" si="26"/>
        <v>4.6099999999999994</v>
      </c>
      <c r="Q130">
        <f t="shared" ca="1" si="30"/>
        <v>0.48309411126065999</v>
      </c>
      <c r="R130">
        <f t="shared" ca="1" si="31"/>
        <v>0.6197847243556186</v>
      </c>
      <c r="S130">
        <f t="shared" ca="1" si="28"/>
        <v>0.77945469172852899</v>
      </c>
      <c r="T130">
        <f t="shared" ca="1" si="29"/>
        <v>43.803008604359647</v>
      </c>
      <c r="U130">
        <f>70</f>
        <v>70</v>
      </c>
      <c r="V130">
        <f>30</f>
        <v>30</v>
      </c>
      <c r="W130">
        <f t="shared" ca="1" si="27"/>
        <v>100.6840029310557</v>
      </c>
      <c r="X130">
        <f t="shared" ca="1" si="37"/>
        <v>99.797682315509221</v>
      </c>
      <c r="Y130">
        <f t="shared" ca="1" si="36"/>
        <v>0.51322540735910138</v>
      </c>
      <c r="Z130">
        <f t="shared" ca="1" si="38"/>
        <v>1.064565954395539</v>
      </c>
      <c r="AA130">
        <f t="shared" ca="1" si="39"/>
        <v>-0.55134054703643764</v>
      </c>
      <c r="AB130">
        <f t="shared" ca="1" si="40"/>
        <v>96.403500000000022</v>
      </c>
    </row>
    <row r="131" spans="1:28" x14ac:dyDescent="0.25">
      <c r="A131" s="20">
        <f t="shared" ref="A131:A194" ca="1" si="41">B131 - WEEKDAY(B131, 2) + 1</f>
        <v>45887</v>
      </c>
      <c r="B131" vm="380">
        <f ca="1"/>
        <v>45891</v>
      </c>
      <c r="C131" vm="182">
        <f ca="1"/>
        <v>96.83</v>
      </c>
      <c r="D131" vm="381">
        <f ca="1"/>
        <v>32695177</v>
      </c>
      <c r="E131">
        <f t="shared" ref="E131:E194" ca="1" si="42">C131*D131</f>
        <v>3165873988.9099998</v>
      </c>
      <c r="F131">
        <f ca="1">SUM($E$2:E131)/SUM($D$2:D131)</f>
        <v>94.340572374193982</v>
      </c>
      <c r="G131">
        <f ca="1">_xlfn.STDEV.P($C$2:C131)</f>
        <v>4.9386840358457009</v>
      </c>
      <c r="H131">
        <f t="shared" ref="H131:H194" ca="1" si="43">F131 + G131</f>
        <v>99.279256410039679</v>
      </c>
      <c r="I131">
        <f t="shared" ref="I131:I194" ca="1" si="44">F131 - G131</f>
        <v>89.401888338348286</v>
      </c>
      <c r="J131">
        <f t="shared" ca="1" si="32"/>
        <v>100.39250000000001</v>
      </c>
      <c r="K131">
        <f t="shared" ca="1" si="33"/>
        <v>2.3663315490437951</v>
      </c>
      <c r="L131">
        <f t="shared" ca="1" si="34"/>
        <v>105.1251630980876</v>
      </c>
      <c r="M131">
        <f t="shared" ca="1" si="35"/>
        <v>95.659836901912428</v>
      </c>
      <c r="N131">
        <f t="shared" ca="1" si="24"/>
        <v>-1.1299999999999955</v>
      </c>
      <c r="O131">
        <f t="shared" ca="1" si="25"/>
        <v>0</v>
      </c>
      <c r="P131">
        <f t="shared" ca="1" si="26"/>
        <v>1.1299999999999955</v>
      </c>
      <c r="Q131">
        <f t="shared" ca="1" si="30"/>
        <v>0.44858738902775569</v>
      </c>
      <c r="R131">
        <f t="shared" ca="1" si="31"/>
        <v>0.65622867261593121</v>
      </c>
      <c r="S131">
        <f t="shared" ca="1" si="28"/>
        <v>0.68358395136796923</v>
      </c>
      <c r="T131">
        <f t="shared" ca="1" si="29"/>
        <v>40.602902564646932</v>
      </c>
      <c r="U131">
        <f>70</f>
        <v>70</v>
      </c>
      <c r="V131">
        <f>30</f>
        <v>30</v>
      </c>
      <c r="W131">
        <f t="shared" ca="1" si="27"/>
        <v>100.09107940320098</v>
      </c>
      <c r="X131">
        <f t="shared" ca="1" si="37"/>
        <v>99.577853995841878</v>
      </c>
      <c r="Y131">
        <f t="shared" ca="1" si="36"/>
        <v>0.15443884359567051</v>
      </c>
      <c r="Z131">
        <f t="shared" ca="1" si="38"/>
        <v>0.88254053223556539</v>
      </c>
      <c r="AA131">
        <f t="shared" ca="1" si="39"/>
        <v>-0.72810168863989488</v>
      </c>
      <c r="AB131">
        <f t="shared" ca="1" si="40"/>
        <v>96.493900000000011</v>
      </c>
    </row>
    <row r="132" spans="1:28" x14ac:dyDescent="0.25">
      <c r="A132" s="20">
        <f t="shared" ca="1" si="41"/>
        <v>45894</v>
      </c>
      <c r="B132" vm="382">
        <f ca="1"/>
        <v>45894</v>
      </c>
      <c r="C132" vm="383">
        <f ca="1"/>
        <v>96.07</v>
      </c>
      <c r="D132" vm="384">
        <f ca="1"/>
        <v>18956143</v>
      </c>
      <c r="E132">
        <f t="shared" ca="1" si="42"/>
        <v>1821116658.0099998</v>
      </c>
      <c r="F132">
        <f ca="1">SUM($E$2:E132)/SUM($D$2:D132)</f>
        <v>94.352984729964746</v>
      </c>
      <c r="G132">
        <f ca="1">_xlfn.STDEV.P($C$2:C132)</f>
        <v>4.9202960999641254</v>
      </c>
      <c r="H132">
        <f t="shared" ca="1" si="43"/>
        <v>99.273280829928865</v>
      </c>
      <c r="I132">
        <f t="shared" ca="1" si="44"/>
        <v>89.432688630000627</v>
      </c>
      <c r="J132">
        <f t="shared" ca="1" si="32"/>
        <v>100.3155</v>
      </c>
      <c r="K132">
        <f t="shared" ca="1" si="33"/>
        <v>2.4837799610144318</v>
      </c>
      <c r="L132">
        <f t="shared" ca="1" si="34"/>
        <v>105.28305992202887</v>
      </c>
      <c r="M132">
        <f t="shared" ca="1" si="35"/>
        <v>95.347940077971131</v>
      </c>
      <c r="N132">
        <f t="shared" ref="N132:N195" ca="1" si="45">C132-C131</f>
        <v>-0.76000000000000512</v>
      </c>
      <c r="O132">
        <f t="shared" ref="O132:O195" ca="1" si="46">MAX(N132,0)</f>
        <v>0</v>
      </c>
      <c r="P132">
        <f t="shared" ref="P132:P195" ca="1" si="47">MAX(-N132,0)</f>
        <v>0.76000000000000512</v>
      </c>
      <c r="Q132">
        <f t="shared" ca="1" si="30"/>
        <v>0.41654543266863031</v>
      </c>
      <c r="R132">
        <f t="shared" ca="1" si="31"/>
        <v>0.66364091028622219</v>
      </c>
      <c r="S132">
        <f t="shared" ca="1" si="28"/>
        <v>0.62766689969275424</v>
      </c>
      <c r="T132">
        <f t="shared" ca="1" si="29"/>
        <v>38.562368001169979</v>
      </c>
      <c r="U132">
        <f>70</f>
        <v>70</v>
      </c>
      <c r="V132">
        <f>30</f>
        <v>30</v>
      </c>
      <c r="W132">
        <f t="shared" ca="1" si="27"/>
        <v>99.47245180270852</v>
      </c>
      <c r="X132">
        <f t="shared" ca="1" si="37"/>
        <v>99.318012959112849</v>
      </c>
      <c r="Y132">
        <f t="shared" ca="1" si="36"/>
        <v>-0.1300171689665035</v>
      </c>
      <c r="Z132">
        <f t="shared" ca="1" si="38"/>
        <v>0.68002899199515165</v>
      </c>
      <c r="AA132">
        <f t="shared" ca="1" si="39"/>
        <v>-0.81004616096165516</v>
      </c>
      <c r="AB132">
        <f t="shared" ca="1" si="40"/>
        <v>96.566300000000012</v>
      </c>
    </row>
    <row r="133" spans="1:28" x14ac:dyDescent="0.25">
      <c r="A133" s="20">
        <f t="shared" ca="1" si="41"/>
        <v>45894</v>
      </c>
      <c r="B133" vm="385">
        <f ca="1"/>
        <v>45895</v>
      </c>
      <c r="C133" vm="386">
        <f ca="1"/>
        <v>96.05</v>
      </c>
      <c r="D133" vm="387">
        <f ca="1"/>
        <v>22270353</v>
      </c>
      <c r="E133">
        <f t="shared" ca="1" si="42"/>
        <v>2139067405.6499999</v>
      </c>
      <c r="F133">
        <f ca="1">SUM($E$2:E133)/SUM($D$2:D133)</f>
        <v>94.367174262667262</v>
      </c>
      <c r="G133">
        <f ca="1">_xlfn.STDEV.P($C$2:C133)</f>
        <v>4.9020876597642422</v>
      </c>
      <c r="H133">
        <f t="shared" ca="1" si="43"/>
        <v>99.269261922431511</v>
      </c>
      <c r="I133">
        <f t="shared" ca="1" si="44"/>
        <v>89.465086602903014</v>
      </c>
      <c r="J133">
        <f t="shared" ca="1" si="32"/>
        <v>100.20149999999998</v>
      </c>
      <c r="K133">
        <f t="shared" ca="1" si="33"/>
        <v>2.6278513836853201</v>
      </c>
      <c r="L133">
        <f t="shared" ca="1" si="34"/>
        <v>105.45720276737062</v>
      </c>
      <c r="M133">
        <f t="shared" ca="1" si="35"/>
        <v>94.945797232629346</v>
      </c>
      <c r="N133">
        <f t="shared" ca="1" si="45"/>
        <v>-1.9999999999996021E-2</v>
      </c>
      <c r="O133">
        <f t="shared" ca="1" si="46"/>
        <v>0</v>
      </c>
      <c r="P133">
        <f t="shared" ca="1" si="47"/>
        <v>1.9999999999996021E-2</v>
      </c>
      <c r="Q133">
        <f t="shared" ca="1" si="30"/>
        <v>0.38679218747801386</v>
      </c>
      <c r="R133">
        <f t="shared" ca="1" si="31"/>
        <v>0.61766655955149175</v>
      </c>
      <c r="S133">
        <f t="shared" ca="1" si="28"/>
        <v>0.62621519895601363</v>
      </c>
      <c r="T133">
        <f t="shared" ca="1" si="29"/>
        <v>38.507523442040572</v>
      </c>
      <c r="U133">
        <f>70</f>
        <v>70</v>
      </c>
      <c r="V133">
        <f>30</f>
        <v>30</v>
      </c>
      <c r="W133">
        <f t="shared" ca="1" si="27"/>
        <v>98.94592075613798</v>
      </c>
      <c r="X133">
        <f t="shared" ca="1" si="37"/>
        <v>99.075937925104483</v>
      </c>
      <c r="Y133">
        <f t="shared" ca="1" si="36"/>
        <v>-0.34900672674066868</v>
      </c>
      <c r="Z133">
        <f t="shared" ca="1" si="38"/>
        <v>0.47422184824798763</v>
      </c>
      <c r="AA133">
        <f t="shared" ca="1" si="39"/>
        <v>-0.82322857498865631</v>
      </c>
      <c r="AB133">
        <f t="shared" ca="1" si="40"/>
        <v>96.629199999999997</v>
      </c>
    </row>
    <row r="134" spans="1:28" x14ac:dyDescent="0.25">
      <c r="A134" s="20">
        <f t="shared" ca="1" si="41"/>
        <v>45894</v>
      </c>
      <c r="B134" vm="388">
        <f ca="1"/>
        <v>45896</v>
      </c>
      <c r="C134" vm="389">
        <f ca="1"/>
        <v>96.08</v>
      </c>
      <c r="D134" vm="390">
        <f ca="1"/>
        <v>12925656</v>
      </c>
      <c r="E134">
        <f t="shared" ca="1" si="42"/>
        <v>1241897028.48</v>
      </c>
      <c r="F134">
        <f ca="1">SUM($E$2:E134)/SUM($D$2:D134)</f>
        <v>94.375446414444369</v>
      </c>
      <c r="G134">
        <f ca="1">_xlfn.STDEV.P($C$2:C134)</f>
        <v>4.8841158031390393</v>
      </c>
      <c r="H134">
        <f t="shared" ca="1" si="43"/>
        <v>99.259562217583408</v>
      </c>
      <c r="I134">
        <f t="shared" ca="1" si="44"/>
        <v>89.49133061130533</v>
      </c>
      <c r="J134">
        <f t="shared" ca="1" si="32"/>
        <v>100.12599999999999</v>
      </c>
      <c r="K134">
        <f t="shared" ca="1" si="33"/>
        <v>2.7266644361505934</v>
      </c>
      <c r="L134">
        <f t="shared" ca="1" si="34"/>
        <v>105.57932887230118</v>
      </c>
      <c r="M134">
        <f t="shared" ca="1" si="35"/>
        <v>94.672671127698806</v>
      </c>
      <c r="N134">
        <f t="shared" ca="1" si="45"/>
        <v>3.0000000000001137E-2</v>
      </c>
      <c r="O134">
        <f t="shared" ca="1" si="46"/>
        <v>3.0000000000001137E-2</v>
      </c>
      <c r="P134">
        <f t="shared" ca="1" si="47"/>
        <v>0</v>
      </c>
      <c r="Q134">
        <f t="shared" ca="1" si="30"/>
        <v>0.36130703122958435</v>
      </c>
      <c r="R134">
        <f t="shared" ca="1" si="31"/>
        <v>0.57354751958352801</v>
      </c>
      <c r="S134">
        <f t="shared" ca="1" si="28"/>
        <v>0.62995134473241454</v>
      </c>
      <c r="T134">
        <f t="shared" ca="1" si="29"/>
        <v>38.648475414205215</v>
      </c>
      <c r="U134">
        <f>70</f>
        <v>70</v>
      </c>
      <c r="V134">
        <f>30</f>
        <v>30</v>
      </c>
      <c r="W134">
        <f t="shared" ca="1" si="27"/>
        <v>98.505009870578291</v>
      </c>
      <c r="X134">
        <f t="shared" ca="1" si="37"/>
        <v>98.85401659731896</v>
      </c>
      <c r="Y134">
        <f t="shared" ca="1" si="36"/>
        <v>-0.51420929506240043</v>
      </c>
      <c r="Z134">
        <f t="shared" ca="1" si="38"/>
        <v>0.27653561958591</v>
      </c>
      <c r="AA134">
        <f t="shared" ca="1" si="39"/>
        <v>-0.79074491464831043</v>
      </c>
      <c r="AB134">
        <f t="shared" ca="1" si="40"/>
        <v>96.717399999999998</v>
      </c>
    </row>
    <row r="135" spans="1:28" x14ac:dyDescent="0.25">
      <c r="A135" s="20">
        <f t="shared" ca="1" si="41"/>
        <v>45894</v>
      </c>
      <c r="B135" vm="391">
        <f ca="1"/>
        <v>45897</v>
      </c>
      <c r="C135" vm="392">
        <f ca="1"/>
        <v>96.11</v>
      </c>
      <c r="D135" vm="393">
        <f ca="1"/>
        <v>19241634</v>
      </c>
      <c r="E135">
        <f t="shared" ca="1" si="42"/>
        <v>1849313443.74</v>
      </c>
      <c r="F135">
        <f ca="1">SUM($E$2:E135)/SUM($D$2:D135)</f>
        <v>94.387827856520843</v>
      </c>
      <c r="G135">
        <f ca="1">_xlfn.STDEV.P($C$2:C135)</f>
        <v>4.8663770251448506</v>
      </c>
      <c r="H135">
        <f t="shared" ca="1" si="43"/>
        <v>99.2542048816657</v>
      </c>
      <c r="I135">
        <f t="shared" ca="1" si="44"/>
        <v>89.521450831375986</v>
      </c>
      <c r="J135">
        <f t="shared" ca="1" si="32"/>
        <v>100.03249999999998</v>
      </c>
      <c r="K135">
        <f t="shared" ca="1" si="33"/>
        <v>2.8340725299933962</v>
      </c>
      <c r="L135">
        <f t="shared" ca="1" si="34"/>
        <v>105.70064505998678</v>
      </c>
      <c r="M135">
        <f t="shared" ca="1" si="35"/>
        <v>94.364354940013186</v>
      </c>
      <c r="N135">
        <f t="shared" ca="1" si="45"/>
        <v>3.0000000000001137E-2</v>
      </c>
      <c r="O135">
        <f t="shared" ca="1" si="46"/>
        <v>3.0000000000001137E-2</v>
      </c>
      <c r="P135">
        <f t="shared" ca="1" si="47"/>
        <v>0</v>
      </c>
      <c r="Q135">
        <f t="shared" ca="1" si="30"/>
        <v>0.33764224328461412</v>
      </c>
      <c r="R135">
        <f t="shared" ca="1" si="31"/>
        <v>0.53257983961327604</v>
      </c>
      <c r="S135">
        <f t="shared" ca="1" si="28"/>
        <v>0.63397488633776933</v>
      </c>
      <c r="T135">
        <f t="shared" ca="1" si="29"/>
        <v>38.799548979525518</v>
      </c>
      <c r="U135">
        <f>70</f>
        <v>70</v>
      </c>
      <c r="V135">
        <f>30</f>
        <v>30</v>
      </c>
      <c r="W135">
        <f t="shared" ca="1" si="27"/>
        <v>98.136546813566255</v>
      </c>
      <c r="X135">
        <f t="shared" ca="1" si="37"/>
        <v>98.650756108628656</v>
      </c>
      <c r="Y135">
        <f t="shared" ca="1" si="36"/>
        <v>-0.56837986232231685</v>
      </c>
      <c r="Z135">
        <f t="shared" ca="1" si="38"/>
        <v>0.10755252320426464</v>
      </c>
      <c r="AA135">
        <f t="shared" ca="1" si="39"/>
        <v>-0.67593238552658153</v>
      </c>
      <c r="AB135">
        <f t="shared" ca="1" si="40"/>
        <v>96.846599999999995</v>
      </c>
    </row>
    <row r="136" spans="1:28" x14ac:dyDescent="0.25">
      <c r="A136" s="20">
        <f t="shared" ca="1" si="41"/>
        <v>45894</v>
      </c>
      <c r="B136" vm="394">
        <f ca="1"/>
        <v>45898</v>
      </c>
      <c r="C136" vm="395">
        <f ca="1"/>
        <v>96.98</v>
      </c>
      <c r="D136" vm="396">
        <f ca="1"/>
        <v>15600269</v>
      </c>
      <c r="E136">
        <f t="shared" ca="1" si="42"/>
        <v>1512914087.6200001</v>
      </c>
      <c r="F136">
        <f ca="1">SUM($E$2:E136)/SUM($D$2:D136)</f>
        <v>94.402743134504433</v>
      </c>
      <c r="G136">
        <f ca="1">_xlfn.STDEV.P($C$2:C136)</f>
        <v>4.8504854598441076</v>
      </c>
      <c r="H136">
        <f t="shared" ca="1" si="43"/>
        <v>99.253228594348542</v>
      </c>
      <c r="I136">
        <f t="shared" ca="1" si="44"/>
        <v>89.552257674660325</v>
      </c>
      <c r="J136">
        <f t="shared" ca="1" si="32"/>
        <v>99.956999999999979</v>
      </c>
      <c r="K136">
        <f t="shared" ca="1" si="33"/>
        <v>2.8967479042976185</v>
      </c>
      <c r="L136">
        <f t="shared" ca="1" si="34"/>
        <v>105.75049580859522</v>
      </c>
      <c r="M136">
        <f t="shared" ca="1" si="35"/>
        <v>94.163504191404741</v>
      </c>
      <c r="N136">
        <f t="shared" ca="1" si="45"/>
        <v>0.87000000000000455</v>
      </c>
      <c r="O136">
        <f t="shared" ca="1" si="46"/>
        <v>0.87000000000000455</v>
      </c>
      <c r="P136">
        <f t="shared" ca="1" si="47"/>
        <v>0</v>
      </c>
      <c r="Q136">
        <f t="shared" ca="1" si="30"/>
        <v>0.37566779733571343</v>
      </c>
      <c r="R136">
        <f t="shared" ca="1" si="31"/>
        <v>0.49453842249804209</v>
      </c>
      <c r="S136">
        <f t="shared" ca="1" si="28"/>
        <v>0.75963318570500094</v>
      </c>
      <c r="T136">
        <f t="shared" ca="1" si="29"/>
        <v>43.169973826144464</v>
      </c>
      <c r="U136">
        <f>70</f>
        <v>70</v>
      </c>
      <c r="V136">
        <f>30</f>
        <v>30</v>
      </c>
      <c r="W136">
        <f t="shared" ca="1" si="27"/>
        <v>97.958616534556057</v>
      </c>
      <c r="X136">
        <f t="shared" ca="1" si="37"/>
        <v>98.526996396878374</v>
      </c>
      <c r="Y136">
        <f t="shared" ca="1" si="36"/>
        <v>-0.53494221715760659</v>
      </c>
      <c r="Z136">
        <f t="shared" ca="1" si="38"/>
        <v>-2.0946424868109603E-2</v>
      </c>
      <c r="AA136">
        <f t="shared" ca="1" si="39"/>
        <v>-0.51399579228949699</v>
      </c>
      <c r="AB136">
        <f t="shared" ca="1" si="40"/>
        <v>96.978099999999998</v>
      </c>
    </row>
    <row r="137" spans="1:28" x14ac:dyDescent="0.25">
      <c r="A137" s="20">
        <f t="shared" ca="1" si="41"/>
        <v>45901</v>
      </c>
      <c r="B137" vm="397">
        <f ca="1"/>
        <v>45902</v>
      </c>
      <c r="C137" vm="398">
        <f ca="1"/>
        <v>97.85</v>
      </c>
      <c r="D137" vm="399">
        <f ca="1"/>
        <v>15351293</v>
      </c>
      <c r="E137">
        <f t="shared" ca="1" si="42"/>
        <v>1502124020.05</v>
      </c>
      <c r="F137">
        <f ca="1">SUM($E$2:E137)/SUM($D$2:D137)</f>
        <v>94.422152079636746</v>
      </c>
      <c r="G137">
        <f ca="1">_xlfn.STDEV.P($C$2:C137)</f>
        <v>4.8375187600782485</v>
      </c>
      <c r="H137">
        <f t="shared" ca="1" si="43"/>
        <v>99.259670839715</v>
      </c>
      <c r="I137">
        <f t="shared" ca="1" si="44"/>
        <v>89.584633319558492</v>
      </c>
      <c r="J137">
        <f t="shared" ca="1" si="32"/>
        <v>99.869999999999976</v>
      </c>
      <c r="K137">
        <f t="shared" ca="1" si="33"/>
        <v>2.9342371016025721</v>
      </c>
      <c r="L137">
        <f t="shared" ca="1" si="34"/>
        <v>105.73847420320512</v>
      </c>
      <c r="M137">
        <f t="shared" ca="1" si="35"/>
        <v>94.001525796794837</v>
      </c>
      <c r="N137">
        <f t="shared" ca="1" si="45"/>
        <v>0.86999999999999034</v>
      </c>
      <c r="O137">
        <f t="shared" ca="1" si="46"/>
        <v>0.86999999999999034</v>
      </c>
      <c r="P137">
        <f t="shared" ca="1" si="47"/>
        <v>0</v>
      </c>
      <c r="Q137">
        <f t="shared" ca="1" si="30"/>
        <v>0.4109772403831618</v>
      </c>
      <c r="R137">
        <f t="shared" ca="1" si="31"/>
        <v>0.45921424946246769</v>
      </c>
      <c r="S137">
        <f t="shared" ca="1" si="28"/>
        <v>0.89495750810047892</v>
      </c>
      <c r="T137">
        <f t="shared" ca="1" si="29"/>
        <v>47.228368144127501</v>
      </c>
      <c r="U137">
        <f>70</f>
        <v>70</v>
      </c>
      <c r="V137">
        <f>30</f>
        <v>30</v>
      </c>
      <c r="W137">
        <f t="shared" ca="1" si="27"/>
        <v>97.941906298470514</v>
      </c>
      <c r="X137">
        <f t="shared" ca="1" si="37"/>
        <v>98.47684851562812</v>
      </c>
      <c r="Y137">
        <f t="shared" ca="1" si="36"/>
        <v>-0.37581081747406131</v>
      </c>
      <c r="Z137">
        <f t="shared" ca="1" si="38"/>
        <v>-9.1919303389299947E-2</v>
      </c>
      <c r="AA137">
        <f t="shared" ca="1" si="39"/>
        <v>-0.28389151408476138</v>
      </c>
      <c r="AB137">
        <f t="shared" ca="1" si="40"/>
        <v>97.138699999999986</v>
      </c>
    </row>
    <row r="138" spans="1:28" x14ac:dyDescent="0.25">
      <c r="A138" s="20">
        <f t="shared" ca="1" si="41"/>
        <v>45901</v>
      </c>
      <c r="B138" vm="400">
        <f ca="1"/>
        <v>45903</v>
      </c>
      <c r="C138" vm="401">
        <f ca="1"/>
        <v>99.44</v>
      </c>
      <c r="D138" vm="402">
        <f ca="1"/>
        <v>18995914</v>
      </c>
      <c r="E138">
        <f t="shared" ca="1" si="42"/>
        <v>1888953688.1599998</v>
      </c>
      <c r="F138">
        <f ca="1">SUM($E$2:E138)/SUM($D$2:D138)</f>
        <v>94.456869367725886</v>
      </c>
      <c r="G138">
        <f ca="1">_xlfn.STDEV.P($C$2:C138)</f>
        <v>4.832566993383316</v>
      </c>
      <c r="H138">
        <f t="shared" ca="1" si="43"/>
        <v>99.289436361109196</v>
      </c>
      <c r="I138">
        <f t="shared" ca="1" si="44"/>
        <v>89.624302374342577</v>
      </c>
      <c r="J138">
        <f t="shared" ca="1" si="32"/>
        <v>99.876499999999993</v>
      </c>
      <c r="K138">
        <f t="shared" ca="1" si="33"/>
        <v>2.9330750434529165</v>
      </c>
      <c r="L138">
        <f t="shared" ca="1" si="34"/>
        <v>105.74265008690583</v>
      </c>
      <c r="M138">
        <f t="shared" ca="1" si="35"/>
        <v>94.01034991309416</v>
      </c>
      <c r="N138">
        <f t="shared" ca="1" si="45"/>
        <v>1.5900000000000034</v>
      </c>
      <c r="O138">
        <f t="shared" ca="1" si="46"/>
        <v>1.5900000000000034</v>
      </c>
      <c r="P138">
        <f t="shared" ca="1" si="47"/>
        <v>0</v>
      </c>
      <c r="Q138">
        <f t="shared" ca="1" si="30"/>
        <v>0.49519315178436474</v>
      </c>
      <c r="R138">
        <f t="shared" ca="1" si="31"/>
        <v>0.42641323164371997</v>
      </c>
      <c r="S138">
        <f t="shared" ca="1" si="28"/>
        <v>1.1612987474040493</v>
      </c>
      <c r="T138">
        <f t="shared" ca="1" si="29"/>
        <v>53.731523640537574</v>
      </c>
      <c r="U138">
        <f>70</f>
        <v>70</v>
      </c>
      <c r="V138">
        <f>30</f>
        <v>30</v>
      </c>
      <c r="W138">
        <f t="shared" ca="1" si="27"/>
        <v>98.172382252551969</v>
      </c>
      <c r="X138">
        <f t="shared" ca="1" si="37"/>
        <v>98.548193070026031</v>
      </c>
      <c r="Y138">
        <f t="shared" ca="1" si="36"/>
        <v>-0.12799207621232256</v>
      </c>
      <c r="Z138">
        <f t="shared" ca="1" si="38"/>
        <v>-9.9133857953904475E-2</v>
      </c>
      <c r="AA138">
        <f t="shared" ca="1" si="39"/>
        <v>-2.8858218258418084E-2</v>
      </c>
      <c r="AB138">
        <f t="shared" ca="1" si="40"/>
        <v>97.237099999999998</v>
      </c>
    </row>
    <row r="139" spans="1:28" x14ac:dyDescent="0.25">
      <c r="A139" s="20">
        <f t="shared" ca="1" si="41"/>
        <v>45901</v>
      </c>
      <c r="B139" vm="403">
        <f ca="1"/>
        <v>45904</v>
      </c>
      <c r="C139" vm="404">
        <f ca="1"/>
        <v>100.93</v>
      </c>
      <c r="D139" vm="405">
        <f ca="1"/>
        <v>15640895</v>
      </c>
      <c r="E139">
        <f t="shared" ca="1" si="42"/>
        <v>1578635532.3500001</v>
      </c>
      <c r="F139">
        <f ca="1">SUM($E$2:E139)/SUM($D$2:D139)</f>
        <v>94.493536505872612</v>
      </c>
      <c r="G139">
        <f ca="1">_xlfn.STDEV.P($C$2:C139)</f>
        <v>4.8382198556453186</v>
      </c>
      <c r="H139">
        <f t="shared" ca="1" si="43"/>
        <v>99.331756361517932</v>
      </c>
      <c r="I139">
        <f t="shared" ca="1" si="44"/>
        <v>89.655316650227292</v>
      </c>
      <c r="J139">
        <f t="shared" ca="1" si="32"/>
        <v>99.754999999999981</v>
      </c>
      <c r="K139">
        <f t="shared" ca="1" si="33"/>
        <v>2.8296875408686697</v>
      </c>
      <c r="L139">
        <f t="shared" ca="1" si="34"/>
        <v>105.41437508173732</v>
      </c>
      <c r="M139">
        <f t="shared" ca="1" si="35"/>
        <v>94.095624918262644</v>
      </c>
      <c r="N139">
        <f t="shared" ca="1" si="45"/>
        <v>1.4900000000000091</v>
      </c>
      <c r="O139">
        <f t="shared" ca="1" si="46"/>
        <v>1.4900000000000091</v>
      </c>
      <c r="P139">
        <f t="shared" ca="1" si="47"/>
        <v>0</v>
      </c>
      <c r="Q139">
        <f t="shared" ca="1" si="30"/>
        <v>0.5662507837997679</v>
      </c>
      <c r="R139">
        <f t="shared" ca="1" si="31"/>
        <v>0.39595514366916851</v>
      </c>
      <c r="S139">
        <f t="shared" ca="1" si="28"/>
        <v>1.4300882129034447</v>
      </c>
      <c r="T139">
        <f t="shared" ca="1" si="29"/>
        <v>58.849230464551319</v>
      </c>
      <c r="U139">
        <f>70</f>
        <v>70</v>
      </c>
      <c r="V139">
        <f>30</f>
        <v>30</v>
      </c>
      <c r="W139">
        <f t="shared" ca="1" si="27"/>
        <v>98.596631136774747</v>
      </c>
      <c r="X139">
        <f t="shared" ca="1" si="37"/>
        <v>98.724623212987069</v>
      </c>
      <c r="Y139">
        <f t="shared" ca="1" si="36"/>
        <v>3.4122231912547818E-2</v>
      </c>
      <c r="Z139">
        <f t="shared" ca="1" si="38"/>
        <v>-7.2482639980614022E-2</v>
      </c>
      <c r="AA139">
        <f t="shared" ca="1" si="39"/>
        <v>0.10660487189316184</v>
      </c>
      <c r="AB139">
        <f t="shared" ca="1" si="40"/>
        <v>97.340300000000013</v>
      </c>
    </row>
    <row r="140" spans="1:28" x14ac:dyDescent="0.25">
      <c r="A140" s="20">
        <f t="shared" ca="1" si="41"/>
        <v>45901</v>
      </c>
      <c r="B140" vm="406">
        <f ca="1"/>
        <v>45905</v>
      </c>
      <c r="C140" vm="407">
        <f ca="1"/>
        <v>100.51</v>
      </c>
      <c r="D140" vm="408">
        <f ca="1"/>
        <v>13748454</v>
      </c>
      <c r="E140">
        <f t="shared" ca="1" si="42"/>
        <v>1381857111.54</v>
      </c>
      <c r="F140">
        <f ca="1">SUM($E$2:E140)/SUM($D$2:D140)</f>
        <v>94.523344938682627</v>
      </c>
      <c r="G140">
        <f ca="1">_xlfn.STDEV.P($C$2:C140)</f>
        <v>4.8401534340078358</v>
      </c>
      <c r="H140">
        <f t="shared" ca="1" si="43"/>
        <v>99.363498372690458</v>
      </c>
      <c r="I140">
        <f t="shared" ca="1" si="44"/>
        <v>89.683191504674795</v>
      </c>
      <c r="J140">
        <f t="shared" ca="1" si="32"/>
        <v>99.624499999999983</v>
      </c>
      <c r="K140">
        <f t="shared" ca="1" si="33"/>
        <v>2.7245636541037483</v>
      </c>
      <c r="L140">
        <f t="shared" ca="1" si="34"/>
        <v>105.07362730820748</v>
      </c>
      <c r="M140">
        <f t="shared" ca="1" si="35"/>
        <v>94.175372691792489</v>
      </c>
      <c r="N140">
        <f t="shared" ca="1" si="45"/>
        <v>-0.42000000000000171</v>
      </c>
      <c r="O140">
        <f t="shared" ca="1" si="46"/>
        <v>0</v>
      </c>
      <c r="P140">
        <f t="shared" ca="1" si="47"/>
        <v>0.42000000000000171</v>
      </c>
      <c r="Q140">
        <f t="shared" ca="1" si="30"/>
        <v>0.5258042992426416</v>
      </c>
      <c r="R140">
        <f t="shared" ca="1" si="31"/>
        <v>0.39767263340708514</v>
      </c>
      <c r="S140">
        <f t="shared" ca="1" si="28"/>
        <v>1.3222038809605288</v>
      </c>
      <c r="T140">
        <f t="shared" ca="1" si="29"/>
        <v>56.937458928611726</v>
      </c>
      <c r="U140">
        <f>70</f>
        <v>70</v>
      </c>
      <c r="V140">
        <f>30</f>
        <v>30</v>
      </c>
      <c r="W140">
        <f t="shared" ca="1" si="27"/>
        <v>98.890995577270942</v>
      </c>
      <c r="X140">
        <f t="shared" ca="1" si="37"/>
        <v>98.856873345358395</v>
      </c>
      <c r="Y140">
        <f t="shared" ca="1" si="36"/>
        <v>0.30194259033616788</v>
      </c>
      <c r="Z140">
        <f t="shared" ca="1" si="38"/>
        <v>2.4024060827423643E-3</v>
      </c>
      <c r="AA140">
        <f t="shared" ca="1" si="39"/>
        <v>0.29954018425342555</v>
      </c>
      <c r="AB140">
        <f t="shared" ca="1" si="40"/>
        <v>97.417400000000001</v>
      </c>
    </row>
    <row r="141" spans="1:28" x14ac:dyDescent="0.25">
      <c r="A141" s="20">
        <f t="shared" ca="1" si="41"/>
        <v>45908</v>
      </c>
      <c r="B141" vm="409">
        <f ca="1"/>
        <v>45908</v>
      </c>
      <c r="C141" vm="410">
        <f ca="1"/>
        <v>102.28</v>
      </c>
      <c r="D141" vm="411">
        <f ca="1"/>
        <v>13685735</v>
      </c>
      <c r="E141">
        <f t="shared" ca="1" si="42"/>
        <v>1399776975.8</v>
      </c>
      <c r="F141">
        <f ca="1">SUM($E$2:E141)/SUM($D$2:D141)</f>
        <v>94.561412054713884</v>
      </c>
      <c r="G141">
        <f ca="1">_xlfn.STDEV.P($C$2:C141)</f>
        <v>4.8572285764494909</v>
      </c>
      <c r="H141">
        <f t="shared" ca="1" si="43"/>
        <v>99.41864063116337</v>
      </c>
      <c r="I141">
        <f t="shared" ca="1" si="44"/>
        <v>89.704183478264397</v>
      </c>
      <c r="J141">
        <f t="shared" ca="1" si="32"/>
        <v>99.551999999999992</v>
      </c>
      <c r="K141">
        <f t="shared" ca="1" si="33"/>
        <v>2.6271168907939266</v>
      </c>
      <c r="L141">
        <f t="shared" ca="1" si="34"/>
        <v>104.80623378158785</v>
      </c>
      <c r="M141">
        <f t="shared" ca="1" si="35"/>
        <v>94.297766218412136</v>
      </c>
      <c r="N141">
        <f t="shared" ca="1" si="45"/>
        <v>1.769999999999996</v>
      </c>
      <c r="O141">
        <f t="shared" ca="1" si="46"/>
        <v>1.769999999999996</v>
      </c>
      <c r="P141">
        <f t="shared" ca="1" si="47"/>
        <v>0</v>
      </c>
      <c r="Q141">
        <f t="shared" ca="1" si="30"/>
        <v>0.61467542072530978</v>
      </c>
      <c r="R141">
        <f t="shared" ca="1" si="31"/>
        <v>0.36926744530657907</v>
      </c>
      <c r="S141">
        <f t="shared" ca="1" si="28"/>
        <v>1.6645805866124597</v>
      </c>
      <c r="T141">
        <f t="shared" ca="1" si="29"/>
        <v>62.470641532695318</v>
      </c>
      <c r="U141">
        <f>70</f>
        <v>70</v>
      </c>
      <c r="V141">
        <f>30</f>
        <v>30</v>
      </c>
      <c r="W141">
        <f t="shared" ca="1" si="27"/>
        <v>99.412380873075421</v>
      </c>
      <c r="X141">
        <f t="shared" ca="1" si="37"/>
        <v>99.110438282739253</v>
      </c>
      <c r="Y141">
        <f t="shared" ca="1" si="36"/>
        <v>0.50913013508018423</v>
      </c>
      <c r="Z141">
        <f t="shared" ca="1" si="38"/>
        <v>0.10374795188223074</v>
      </c>
      <c r="AA141">
        <f t="shared" ca="1" si="39"/>
        <v>0.40538218319795349</v>
      </c>
      <c r="AB141">
        <f t="shared" ca="1" si="40"/>
        <v>97.492900000000006</v>
      </c>
    </row>
    <row r="142" spans="1:28" x14ac:dyDescent="0.25">
      <c r="A142" s="20">
        <f t="shared" ca="1" si="41"/>
        <v>45908</v>
      </c>
      <c r="B142" vm="412">
        <f ca="1"/>
        <v>45909</v>
      </c>
      <c r="C142" vm="413">
        <f ca="1"/>
        <v>102.29</v>
      </c>
      <c r="D142" vm="414">
        <f ca="1"/>
        <v>11819663</v>
      </c>
      <c r="E142">
        <f t="shared" ca="1" si="42"/>
        <v>1209033328.27</v>
      </c>
      <c r="F142">
        <f ca="1">SUM($E$2:E142)/SUM($D$2:D142)</f>
        <v>94.594031438296895</v>
      </c>
      <c r="G142">
        <f ca="1">_xlfn.STDEV.P($C$2:C142)</f>
        <v>4.8736203073956137</v>
      </c>
      <c r="H142">
        <f t="shared" ca="1" si="43"/>
        <v>99.467651745692507</v>
      </c>
      <c r="I142">
        <f t="shared" ca="1" si="44"/>
        <v>89.720411130901283</v>
      </c>
      <c r="J142">
        <f t="shared" ca="1" si="32"/>
        <v>99.47</v>
      </c>
      <c r="K142">
        <f t="shared" ca="1" si="33"/>
        <v>2.5060810252789447</v>
      </c>
      <c r="L142">
        <f t="shared" ca="1" si="34"/>
        <v>104.48216205055789</v>
      </c>
      <c r="M142">
        <f t="shared" ca="1" si="35"/>
        <v>94.457837949442109</v>
      </c>
      <c r="N142">
        <f t="shared" ca="1" si="45"/>
        <v>1.0000000000005116E-2</v>
      </c>
      <c r="O142">
        <f t="shared" ca="1" si="46"/>
        <v>1.0000000000005116E-2</v>
      </c>
      <c r="P142">
        <f t="shared" ca="1" si="47"/>
        <v>0</v>
      </c>
      <c r="Q142">
        <f t="shared" ca="1" si="30"/>
        <v>0.57148431924493082</v>
      </c>
      <c r="R142">
        <f t="shared" ca="1" si="31"/>
        <v>0.34289119921325201</v>
      </c>
      <c r="S142">
        <f t="shared" ca="1" si="28"/>
        <v>1.6666637130266835</v>
      </c>
      <c r="T142">
        <f t="shared" ca="1" si="29"/>
        <v>62.499958464391732</v>
      </c>
      <c r="U142">
        <f>70</f>
        <v>70</v>
      </c>
      <c r="V142">
        <f>30</f>
        <v>30</v>
      </c>
      <c r="W142">
        <f t="shared" ca="1" si="27"/>
        <v>99.855091507986899</v>
      </c>
      <c r="X142">
        <f t="shared" ca="1" si="37"/>
        <v>99.345961372906714</v>
      </c>
      <c r="Y142">
        <f t="shared" ca="1" si="36"/>
        <v>0.51568299623197333</v>
      </c>
      <c r="Z142">
        <f t="shared" ca="1" si="38"/>
        <v>0.18613496075217928</v>
      </c>
      <c r="AA142">
        <f t="shared" ca="1" si="39"/>
        <v>0.32954803547979405</v>
      </c>
      <c r="AB142">
        <f t="shared" ca="1" si="40"/>
        <v>97.576100000000011</v>
      </c>
    </row>
    <row r="143" spans="1:28" x14ac:dyDescent="0.25">
      <c r="A143" s="20">
        <f t="shared" ca="1" si="41"/>
        <v>45908</v>
      </c>
      <c r="B143" vm="415">
        <f ca="1"/>
        <v>45910</v>
      </c>
      <c r="C143" vm="416">
        <f ca="1"/>
        <v>100.41</v>
      </c>
      <c r="D143" vm="417">
        <f ca="1"/>
        <v>17934871</v>
      </c>
      <c r="E143">
        <f t="shared" ca="1" si="42"/>
        <v>1800840397.1099999</v>
      </c>
      <c r="F143">
        <f ca="1">SUM($E$2:E143)/SUM($D$2:D143)</f>
        <v>94.631041375205854</v>
      </c>
      <c r="G143">
        <f ca="1">_xlfn.STDEV.P($C$2:C143)</f>
        <v>4.8735744028207266</v>
      </c>
      <c r="H143">
        <f t="shared" ca="1" si="43"/>
        <v>99.504615778026576</v>
      </c>
      <c r="I143">
        <f t="shared" ca="1" si="44"/>
        <v>89.757466972385131</v>
      </c>
      <c r="J143">
        <f t="shared" ca="1" si="32"/>
        <v>99.309499999999986</v>
      </c>
      <c r="K143">
        <f t="shared" ca="1" si="33"/>
        <v>2.3223660235562411</v>
      </c>
      <c r="L143">
        <f t="shared" ca="1" si="34"/>
        <v>103.95423204711247</v>
      </c>
      <c r="M143">
        <f t="shared" ca="1" si="35"/>
        <v>94.664767952887502</v>
      </c>
      <c r="N143">
        <f t="shared" ca="1" si="45"/>
        <v>-1.8800000000000097</v>
      </c>
      <c r="O143">
        <f t="shared" ca="1" si="46"/>
        <v>0</v>
      </c>
      <c r="P143">
        <f t="shared" ca="1" si="47"/>
        <v>1.8800000000000097</v>
      </c>
      <c r="Q143">
        <f t="shared" ca="1" si="30"/>
        <v>0.53066401072743574</v>
      </c>
      <c r="R143">
        <f t="shared" ca="1" si="31"/>
        <v>0.45268468498373471</v>
      </c>
      <c r="S143">
        <f t="shared" ca="1" si="28"/>
        <v>1.1722596949497042</v>
      </c>
      <c r="T143">
        <f t="shared" ca="1" si="29"/>
        <v>53.964988517491527</v>
      </c>
      <c r="U143">
        <f>70</f>
        <v>70</v>
      </c>
      <c r="V143">
        <f>30</f>
        <v>30</v>
      </c>
      <c r="W143">
        <f t="shared" ref="W143:W206" ca="1" si="48">C143*(2/(12+1)) + W142*(1-(2/(12+1)))</f>
        <v>99.940462045219675</v>
      </c>
      <c r="X143">
        <f t="shared" ca="1" si="37"/>
        <v>99.424779048987702</v>
      </c>
      <c r="Y143">
        <f t="shared" ca="1" si="36"/>
        <v>0.69362973364457048</v>
      </c>
      <c r="Z143">
        <f t="shared" ca="1" si="38"/>
        <v>0.28763391533065752</v>
      </c>
      <c r="AA143">
        <f t="shared" ca="1" si="39"/>
        <v>0.40599581831391296</v>
      </c>
      <c r="AB143">
        <f t="shared" ca="1" si="40"/>
        <v>97.668300000000002</v>
      </c>
    </row>
    <row r="144" spans="1:28" x14ac:dyDescent="0.25">
      <c r="A144" s="20">
        <f t="shared" ca="1" si="41"/>
        <v>45908</v>
      </c>
      <c r="B144" vm="418">
        <f ca="1"/>
        <v>45911</v>
      </c>
      <c r="C144" vm="419">
        <f ca="1"/>
        <v>102.65</v>
      </c>
      <c r="D144" vm="420">
        <f ca="1"/>
        <v>15900790</v>
      </c>
      <c r="E144">
        <f t="shared" ca="1" si="42"/>
        <v>1632216093.5</v>
      </c>
      <c r="F144">
        <f ca="1">SUM($E$2:E144)/SUM($D$2:D144)</f>
        <v>94.676028827632251</v>
      </c>
      <c r="G144">
        <f ca="1">_xlfn.STDEV.P($C$2:C144)</f>
        <v>4.8923094225668367</v>
      </c>
      <c r="H144">
        <f t="shared" ca="1" si="43"/>
        <v>99.568338250199091</v>
      </c>
      <c r="I144">
        <f t="shared" ca="1" si="44"/>
        <v>89.783719405065412</v>
      </c>
      <c r="J144">
        <f t="shared" ca="1" si="32"/>
        <v>99.392500000000013</v>
      </c>
      <c r="K144">
        <f t="shared" ca="1" si="33"/>
        <v>2.413464151489789</v>
      </c>
      <c r="L144">
        <f t="shared" ca="1" si="34"/>
        <v>104.21942830297959</v>
      </c>
      <c r="M144">
        <f t="shared" ca="1" si="35"/>
        <v>94.565571697020431</v>
      </c>
      <c r="N144">
        <f t="shared" ca="1" si="45"/>
        <v>2.2400000000000091</v>
      </c>
      <c r="O144">
        <f t="shared" ca="1" si="46"/>
        <v>2.2400000000000091</v>
      </c>
      <c r="P144">
        <f t="shared" ca="1" si="47"/>
        <v>0</v>
      </c>
      <c r="Q144">
        <f t="shared" ca="1" si="30"/>
        <v>0.65275943853261964</v>
      </c>
      <c r="R144">
        <f t="shared" ca="1" si="31"/>
        <v>0.42035006462775371</v>
      </c>
      <c r="S144">
        <f t="shared" ref="S144:S207" ca="1" si="49">IF(R144=0,NA(),Q144/R144)</f>
        <v>1.5528948213929239</v>
      </c>
      <c r="T144">
        <f t="shared" ref="T144:T207" ca="1" si="50">100-(100/(1+S144))</f>
        <v>60.828781835423413</v>
      </c>
      <c r="U144">
        <f>70</f>
        <v>70</v>
      </c>
      <c r="V144">
        <f>30</f>
        <v>30</v>
      </c>
      <c r="W144">
        <f t="shared" ca="1" si="48"/>
        <v>100.35731403826281</v>
      </c>
      <c r="X144">
        <f t="shared" ca="1" si="37"/>
        <v>99.663684304618243</v>
      </c>
      <c r="Y144">
        <f t="shared" ca="1" si="36"/>
        <v>0.89215062781516963</v>
      </c>
      <c r="Z144">
        <f t="shared" ca="1" si="38"/>
        <v>0.40853725782756001</v>
      </c>
      <c r="AA144">
        <f t="shared" ca="1" si="39"/>
        <v>0.48361336998760962</v>
      </c>
      <c r="AB144">
        <f t="shared" ca="1" si="40"/>
        <v>97.762600000000006</v>
      </c>
    </row>
    <row r="145" spans="1:28" x14ac:dyDescent="0.25">
      <c r="A145" s="20">
        <f t="shared" ca="1" si="41"/>
        <v>45908</v>
      </c>
      <c r="B145" vm="421">
        <f ca="1"/>
        <v>45912</v>
      </c>
      <c r="C145" vm="422">
        <f ca="1"/>
        <v>103.49</v>
      </c>
      <c r="D145" vm="423">
        <f ca="1"/>
        <v>11641926</v>
      </c>
      <c r="E145">
        <f t="shared" ca="1" si="42"/>
        <v>1204822921.74</v>
      </c>
      <c r="F145">
        <f ca="1">SUM($E$2:E145)/SUM($D$2:D145)</f>
        <v>94.712084281501404</v>
      </c>
      <c r="G145">
        <f ca="1">_xlfn.STDEV.P($C$2:C145)</f>
        <v>4.9190174773737416</v>
      </c>
      <c r="H145">
        <f t="shared" ca="1" si="43"/>
        <v>99.631101758875147</v>
      </c>
      <c r="I145">
        <f t="shared" ca="1" si="44"/>
        <v>89.793066804127662</v>
      </c>
      <c r="J145">
        <f t="shared" ca="1" si="32"/>
        <v>99.524500000000018</v>
      </c>
      <c r="K145">
        <f t="shared" ca="1" si="33"/>
        <v>2.5648237345817142</v>
      </c>
      <c r="L145">
        <f t="shared" ca="1" si="34"/>
        <v>104.65414746916345</v>
      </c>
      <c r="M145">
        <f t="shared" ca="1" si="35"/>
        <v>94.394852530836587</v>
      </c>
      <c r="N145">
        <f t="shared" ca="1" si="45"/>
        <v>0.8399999999999892</v>
      </c>
      <c r="O145">
        <f t="shared" ca="1" si="46"/>
        <v>0.8399999999999892</v>
      </c>
      <c r="P145">
        <f t="shared" ca="1" si="47"/>
        <v>0</v>
      </c>
      <c r="Q145">
        <f t="shared" ref="Q145:Q208" ca="1" si="51">(Q144*13+O145)/14</f>
        <v>0.66613376435171745</v>
      </c>
      <c r="R145">
        <f t="shared" ref="R145:R208" ca="1" si="52">(R144*13+P145)/14</f>
        <v>0.39032506001148554</v>
      </c>
      <c r="S145">
        <f t="shared" ca="1" si="49"/>
        <v>1.7066128532257603</v>
      </c>
      <c r="T145">
        <f t="shared" ca="1" si="50"/>
        <v>63.053452627767101</v>
      </c>
      <c r="U145">
        <f>70</f>
        <v>70</v>
      </c>
      <c r="V145">
        <f>30</f>
        <v>30</v>
      </c>
      <c r="W145">
        <f t="shared" ca="1" si="48"/>
        <v>100.83926572468391</v>
      </c>
      <c r="X145">
        <f t="shared" ca="1" si="37"/>
        <v>99.947115096868743</v>
      </c>
      <c r="Y145">
        <f t="shared" ca="1" si="36"/>
        <v>1.0534743981446724</v>
      </c>
      <c r="Z145">
        <f t="shared" ca="1" si="38"/>
        <v>0.53752468589098257</v>
      </c>
      <c r="AA145">
        <f t="shared" ca="1" si="39"/>
        <v>0.5159497122536898</v>
      </c>
      <c r="AB145">
        <f t="shared" ca="1" si="40"/>
        <v>97.873400000000004</v>
      </c>
    </row>
    <row r="146" spans="1:28" x14ac:dyDescent="0.25">
      <c r="A146" s="20">
        <f t="shared" ca="1" si="41"/>
        <v>45915</v>
      </c>
      <c r="B146" vm="424">
        <f ca="1"/>
        <v>45915</v>
      </c>
      <c r="C146" vm="425">
        <f ca="1"/>
        <v>103.69</v>
      </c>
      <c r="D146" vm="426">
        <f ca="1"/>
        <v>10756876</v>
      </c>
      <c r="E146">
        <f t="shared" ca="1" si="42"/>
        <v>1115380472.4400001</v>
      </c>
      <c r="F146">
        <f ca="1">SUM($E$2:E146)/SUM($D$2:D146)</f>
        <v>94.745890591695144</v>
      </c>
      <c r="G146">
        <f ca="1">_xlfn.STDEV.P($C$2:C146)</f>
        <v>4.9468178479151463</v>
      </c>
      <c r="H146">
        <f t="shared" ca="1" si="43"/>
        <v>99.692708439610286</v>
      </c>
      <c r="I146">
        <f t="shared" ca="1" si="44"/>
        <v>89.799072743780002</v>
      </c>
      <c r="J146">
        <f t="shared" ca="1" si="32"/>
        <v>99.709000000000017</v>
      </c>
      <c r="K146">
        <f t="shared" ca="1" si="33"/>
        <v>2.7283364895115128</v>
      </c>
      <c r="L146">
        <f t="shared" ca="1" si="34"/>
        <v>105.16567297902304</v>
      </c>
      <c r="M146">
        <f t="shared" ca="1" si="35"/>
        <v>94.252327020976992</v>
      </c>
      <c r="N146">
        <f t="shared" ca="1" si="45"/>
        <v>0.20000000000000284</v>
      </c>
      <c r="O146">
        <f t="shared" ca="1" si="46"/>
        <v>0.20000000000000284</v>
      </c>
      <c r="P146">
        <f t="shared" ca="1" si="47"/>
        <v>0</v>
      </c>
      <c r="Q146">
        <f t="shared" ca="1" si="51"/>
        <v>0.63283849546945203</v>
      </c>
      <c r="R146">
        <f t="shared" ca="1" si="52"/>
        <v>0.36244469858209366</v>
      </c>
      <c r="S146">
        <f t="shared" ca="1" si="49"/>
        <v>1.7460277331828988</v>
      </c>
      <c r="T146">
        <f t="shared" ca="1" si="50"/>
        <v>63.583761812889342</v>
      </c>
      <c r="U146">
        <f>70</f>
        <v>70</v>
      </c>
      <c r="V146">
        <f>30</f>
        <v>30</v>
      </c>
      <c r="W146">
        <f t="shared" ca="1" si="48"/>
        <v>101.2778402285787</v>
      </c>
      <c r="X146">
        <f t="shared" ca="1" si="37"/>
        <v>100.22436583043402</v>
      </c>
      <c r="Y146">
        <f t="shared" ca="1" si="36"/>
        <v>1.1463237977117302</v>
      </c>
      <c r="Z146">
        <f t="shared" ca="1" si="38"/>
        <v>0.65928450825513218</v>
      </c>
      <c r="AA146">
        <f t="shared" ca="1" si="39"/>
        <v>0.48703928945659802</v>
      </c>
      <c r="AB146">
        <f t="shared" ca="1" si="40"/>
        <v>97.961799999999997</v>
      </c>
    </row>
    <row r="147" spans="1:28" x14ac:dyDescent="0.25">
      <c r="A147" s="20">
        <f t="shared" ca="1" si="41"/>
        <v>45915</v>
      </c>
      <c r="B147" vm="427">
        <f ca="1"/>
        <v>45916</v>
      </c>
      <c r="C147" vm="428">
        <f ca="1"/>
        <v>103.42</v>
      </c>
      <c r="D147" vm="429">
        <f ca="1"/>
        <v>14481863</v>
      </c>
      <c r="E147">
        <f t="shared" ca="1" si="42"/>
        <v>1497714271.46</v>
      </c>
      <c r="F147">
        <f ca="1">SUM($E$2:E147)/SUM($D$2:D147)</f>
        <v>94.789641728832606</v>
      </c>
      <c r="G147">
        <f ca="1">_xlfn.STDEV.P($C$2:C147)</f>
        <v>4.970587540261465</v>
      </c>
      <c r="H147">
        <f t="shared" ca="1" si="43"/>
        <v>99.760229269094069</v>
      </c>
      <c r="I147">
        <f t="shared" ca="1" si="44"/>
        <v>89.819054188571144</v>
      </c>
      <c r="J147">
        <f t="shared" ca="1" si="32"/>
        <v>99.845000000000013</v>
      </c>
      <c r="K147">
        <f t="shared" ca="1" si="33"/>
        <v>2.8456069558827743</v>
      </c>
      <c r="L147">
        <f t="shared" ca="1" si="34"/>
        <v>105.53621391176556</v>
      </c>
      <c r="M147">
        <f t="shared" ca="1" si="35"/>
        <v>94.153786088234469</v>
      </c>
      <c r="N147">
        <f t="shared" ca="1" si="45"/>
        <v>-0.26999999999999602</v>
      </c>
      <c r="O147">
        <f t="shared" ca="1" si="46"/>
        <v>0</v>
      </c>
      <c r="P147">
        <f t="shared" ca="1" si="47"/>
        <v>0.26999999999999602</v>
      </c>
      <c r="Q147">
        <f t="shared" ca="1" si="51"/>
        <v>0.58763574579306255</v>
      </c>
      <c r="R147">
        <f t="shared" ca="1" si="52"/>
        <v>0.35584150582622953</v>
      </c>
      <c r="S147">
        <f t="shared" ca="1" si="49"/>
        <v>1.6513974232112951</v>
      </c>
      <c r="T147">
        <f t="shared" ca="1" si="50"/>
        <v>62.284039682409087</v>
      </c>
      <c r="U147">
        <f>70</f>
        <v>70</v>
      </c>
      <c r="V147">
        <f>30</f>
        <v>30</v>
      </c>
      <c r="W147">
        <f t="shared" ca="1" si="48"/>
        <v>101.60740327033582</v>
      </c>
      <c r="X147">
        <f t="shared" ca="1" si="37"/>
        <v>100.46107947262409</v>
      </c>
      <c r="Y147">
        <f t="shared" ca="1" si="36"/>
        <v>1.2738118025268079</v>
      </c>
      <c r="Z147">
        <f t="shared" ca="1" si="38"/>
        <v>0.78218996710946742</v>
      </c>
      <c r="AA147">
        <f t="shared" ca="1" si="39"/>
        <v>0.4916218354173405</v>
      </c>
      <c r="AB147">
        <f t="shared" ca="1" si="40"/>
        <v>98.046400000000006</v>
      </c>
    </row>
    <row r="148" spans="1:28" x14ac:dyDescent="0.25">
      <c r="A148" s="20">
        <f t="shared" ca="1" si="41"/>
        <v>45915</v>
      </c>
      <c r="B148" vm="430">
        <f ca="1"/>
        <v>45917</v>
      </c>
      <c r="C148" vm="431">
        <f ca="1"/>
        <v>104.27</v>
      </c>
      <c r="D148" vm="432">
        <f ca="1"/>
        <v>25382015</v>
      </c>
      <c r="E148">
        <f t="shared" ca="1" si="42"/>
        <v>2646582704.0499997</v>
      </c>
      <c r="F148">
        <f ca="1">SUM($E$2:E148)/SUM($D$2:D148)</f>
        <v>94.872716364735666</v>
      </c>
      <c r="G148">
        <f ca="1">_xlfn.STDEV.P($C$2:C148)</f>
        <v>5.0026530302353338</v>
      </c>
      <c r="H148">
        <f t="shared" ca="1" si="43"/>
        <v>99.875369394971003</v>
      </c>
      <c r="I148">
        <f t="shared" ca="1" si="44"/>
        <v>89.87006333450033</v>
      </c>
      <c r="J148">
        <f t="shared" ca="1" si="32"/>
        <v>99.994000000000014</v>
      </c>
      <c r="K148">
        <f t="shared" ca="1" si="33"/>
        <v>2.9991286453866817</v>
      </c>
      <c r="L148">
        <f t="shared" ca="1" si="34"/>
        <v>105.99225729077338</v>
      </c>
      <c r="M148">
        <f t="shared" ca="1" si="35"/>
        <v>93.995742709226647</v>
      </c>
      <c r="N148">
        <f t="shared" ca="1" si="45"/>
        <v>0.84999999999999432</v>
      </c>
      <c r="O148">
        <f t="shared" ca="1" si="46"/>
        <v>0.84999999999999432</v>
      </c>
      <c r="P148">
        <f t="shared" ca="1" si="47"/>
        <v>0</v>
      </c>
      <c r="Q148">
        <f t="shared" ca="1" si="51"/>
        <v>0.60637604966498615</v>
      </c>
      <c r="R148">
        <f t="shared" ca="1" si="52"/>
        <v>0.33042425541007026</v>
      </c>
      <c r="S148">
        <f t="shared" ca="1" si="49"/>
        <v>1.8351438786249159</v>
      </c>
      <c r="T148">
        <f t="shared" ca="1" si="50"/>
        <v>64.72842145545664</v>
      </c>
      <c r="U148">
        <f>70</f>
        <v>70</v>
      </c>
      <c r="V148">
        <f>30</f>
        <v>30</v>
      </c>
      <c r="W148">
        <f t="shared" ca="1" si="48"/>
        <v>102.01703353643801</v>
      </c>
      <c r="X148">
        <f t="shared" ca="1" si="37"/>
        <v>100.7432217339112</v>
      </c>
      <c r="Y148">
        <f t="shared" ca="1" si="36"/>
        <v>1.3057318997178129</v>
      </c>
      <c r="Z148">
        <f t="shared" ca="1" si="38"/>
        <v>0.88689835363113656</v>
      </c>
      <c r="AA148">
        <f t="shared" ca="1" si="39"/>
        <v>0.41883354608667633</v>
      </c>
      <c r="AB148">
        <f t="shared" ca="1" si="40"/>
        <v>98.130700000000019</v>
      </c>
    </row>
    <row r="149" spans="1:28" x14ac:dyDescent="0.25">
      <c r="A149" s="20">
        <f t="shared" ca="1" si="41"/>
        <v>45915</v>
      </c>
      <c r="B149" vm="433">
        <f ca="1"/>
        <v>45918</v>
      </c>
      <c r="C149" vm="434">
        <f ca="1"/>
        <v>103.6</v>
      </c>
      <c r="D149" vm="435">
        <f ca="1"/>
        <v>14869387</v>
      </c>
      <c r="E149">
        <f t="shared" ca="1" si="42"/>
        <v>1540468493.1999998</v>
      </c>
      <c r="F149">
        <f ca="1">SUM($E$2:E149)/SUM($D$2:D149)</f>
        <v>94.917288765078879</v>
      </c>
      <c r="G149">
        <f ca="1">_xlfn.STDEV.P($C$2:C149)</f>
        <v>5.0261893605160539</v>
      </c>
      <c r="H149">
        <f t="shared" ca="1" si="43"/>
        <v>99.943478125594936</v>
      </c>
      <c r="I149">
        <f t="shared" ca="1" si="44"/>
        <v>89.891099404562823</v>
      </c>
      <c r="J149">
        <f t="shared" ca="1" si="32"/>
        <v>100.04550000000002</v>
      </c>
      <c r="K149">
        <f t="shared" ca="1" si="33"/>
        <v>3.0540318045426278</v>
      </c>
      <c r="L149">
        <f t="shared" ca="1" si="34"/>
        <v>106.15356360908527</v>
      </c>
      <c r="M149">
        <f t="shared" ca="1" si="35"/>
        <v>93.937436390914769</v>
      </c>
      <c r="N149">
        <f t="shared" ca="1" si="45"/>
        <v>-0.67000000000000171</v>
      </c>
      <c r="O149">
        <f t="shared" ca="1" si="46"/>
        <v>0</v>
      </c>
      <c r="P149">
        <f t="shared" ca="1" si="47"/>
        <v>0.67000000000000171</v>
      </c>
      <c r="Q149">
        <f t="shared" ca="1" si="51"/>
        <v>0.56306347468891571</v>
      </c>
      <c r="R149">
        <f t="shared" ca="1" si="52"/>
        <v>0.35467966573792253</v>
      </c>
      <c r="S149">
        <f t="shared" ca="1" si="49"/>
        <v>1.587526799760127</v>
      </c>
      <c r="T149">
        <f t="shared" ca="1" si="50"/>
        <v>61.353057286490575</v>
      </c>
      <c r="U149">
        <f>70</f>
        <v>70</v>
      </c>
      <c r="V149">
        <f>30</f>
        <v>30</v>
      </c>
      <c r="W149">
        <f t="shared" ca="1" si="48"/>
        <v>102.26056683852447</v>
      </c>
      <c r="X149">
        <f t="shared" ca="1" si="37"/>
        <v>100.95483493880666</v>
      </c>
      <c r="Y149">
        <f t="shared" ca="1" si="36"/>
        <v>1.2145498459533002</v>
      </c>
      <c r="Z149">
        <f t="shared" ca="1" si="38"/>
        <v>0.95242865209556937</v>
      </c>
      <c r="AA149">
        <f t="shared" ca="1" si="39"/>
        <v>0.26212119385773081</v>
      </c>
      <c r="AB149">
        <f t="shared" ca="1" si="40"/>
        <v>98.215800000000016</v>
      </c>
    </row>
    <row r="150" spans="1:28" x14ac:dyDescent="0.25">
      <c r="A150" s="20">
        <f t="shared" ca="1" si="41"/>
        <v>45915</v>
      </c>
      <c r="B150" vm="436">
        <f ca="1"/>
        <v>45919</v>
      </c>
      <c r="C150" vm="437">
        <f ca="1"/>
        <v>102.33</v>
      </c>
      <c r="D150" vm="438">
        <f ca="1"/>
        <v>34791573</v>
      </c>
      <c r="E150">
        <f t="shared" ca="1" si="42"/>
        <v>3560221665.0900002</v>
      </c>
      <c r="F150">
        <f ca="1">SUM($E$2:E150)/SUM($D$2:D150)</f>
        <v>95.004824616234487</v>
      </c>
      <c r="G150">
        <f ca="1">_xlfn.STDEV.P($C$2:C150)</f>
        <v>5.0368771377106158</v>
      </c>
      <c r="H150">
        <f t="shared" ca="1" si="43"/>
        <v>100.04170175394511</v>
      </c>
      <c r="I150">
        <f t="shared" ca="1" si="44"/>
        <v>89.967947478523868</v>
      </c>
      <c r="J150">
        <f t="shared" ref="J150:J213" ca="1" si="53">AVERAGE(C131:C150)</f>
        <v>100.26400000000001</v>
      </c>
      <c r="K150">
        <f t="shared" ref="K150:K213" ca="1" si="54">_xlfn.STDEV.S(C131:C150)</f>
        <v>3.0532974409902973</v>
      </c>
      <c r="L150">
        <f t="shared" ref="L150:L213" ca="1" si="55">J150 + 2*K150</f>
        <v>106.37059488198061</v>
      </c>
      <c r="M150">
        <f t="shared" ref="M150:M213" ca="1" si="56">J150-2*K150</f>
        <v>94.157405118019412</v>
      </c>
      <c r="N150">
        <f t="shared" ca="1" si="45"/>
        <v>-1.269999999999996</v>
      </c>
      <c r="O150">
        <f t="shared" ca="1" si="46"/>
        <v>0</v>
      </c>
      <c r="P150">
        <f t="shared" ca="1" si="47"/>
        <v>1.269999999999996</v>
      </c>
      <c r="Q150">
        <f t="shared" ca="1" si="51"/>
        <v>0.52284465506827893</v>
      </c>
      <c r="R150">
        <f t="shared" ca="1" si="52"/>
        <v>0.42005968961378493</v>
      </c>
      <c r="S150">
        <f t="shared" ca="1" si="49"/>
        <v>1.2446913331507661</v>
      </c>
      <c r="T150">
        <f t="shared" ca="1" si="50"/>
        <v>55.450445001881498</v>
      </c>
      <c r="U150">
        <f>70</f>
        <v>70</v>
      </c>
      <c r="V150">
        <f>30</f>
        <v>30</v>
      </c>
      <c r="W150">
        <f t="shared" ca="1" si="48"/>
        <v>102.27124886336686</v>
      </c>
      <c r="X150">
        <f t="shared" ca="1" si="37"/>
        <v>101.05669901741356</v>
      </c>
      <c r="Y150">
        <f t="shared" ca="1" si="36"/>
        <v>1.1683582101440066</v>
      </c>
      <c r="Z150">
        <f t="shared" ca="1" si="38"/>
        <v>0.99561456370525681</v>
      </c>
      <c r="AA150">
        <f t="shared" ca="1" si="39"/>
        <v>0.17274364643874984</v>
      </c>
      <c r="AB150">
        <f t="shared" ca="1" si="40"/>
        <v>98.286900000000017</v>
      </c>
    </row>
    <row r="151" spans="1:28" x14ac:dyDescent="0.25">
      <c r="A151" s="20">
        <f t="shared" ca="1" si="41"/>
        <v>45922</v>
      </c>
      <c r="B151" vm="439">
        <f ca="1"/>
        <v>45922</v>
      </c>
      <c r="C151" vm="440">
        <f ca="1"/>
        <v>102.82</v>
      </c>
      <c r="D151" vm="441">
        <f ca="1"/>
        <v>12861946</v>
      </c>
      <c r="E151">
        <f t="shared" ca="1" si="42"/>
        <v>1322465287.72</v>
      </c>
      <c r="F151">
        <f ca="1">SUM($E$2:E151)/SUM($D$2:D151)</f>
        <v>95.038794057513186</v>
      </c>
      <c r="G151">
        <f ca="1">_xlfn.STDEV.P($C$2:C151)</f>
        <v>5.0513096651594562</v>
      </c>
      <c r="H151">
        <f t="shared" ca="1" si="43"/>
        <v>100.09010372267264</v>
      </c>
      <c r="I151">
        <f t="shared" ca="1" si="44"/>
        <v>89.987484392353736</v>
      </c>
      <c r="J151">
        <f t="shared" ca="1" si="53"/>
        <v>100.5635</v>
      </c>
      <c r="K151">
        <f t="shared" ca="1" si="54"/>
        <v>2.9918895191395087</v>
      </c>
      <c r="L151">
        <f t="shared" ca="1" si="55"/>
        <v>106.54727903827902</v>
      </c>
      <c r="M151">
        <f t="shared" ca="1" si="56"/>
        <v>94.579720961720994</v>
      </c>
      <c r="N151">
        <f t="shared" ca="1" si="45"/>
        <v>0.48999999999999488</v>
      </c>
      <c r="O151">
        <f t="shared" ca="1" si="46"/>
        <v>0.48999999999999488</v>
      </c>
      <c r="P151">
        <f t="shared" ca="1" si="47"/>
        <v>0</v>
      </c>
      <c r="Q151">
        <f t="shared" ca="1" si="51"/>
        <v>0.52049860827768724</v>
      </c>
      <c r="R151">
        <f t="shared" ca="1" si="52"/>
        <v>0.39005542606994315</v>
      </c>
      <c r="S151">
        <f t="shared" ca="1" si="49"/>
        <v>1.3344221705157193</v>
      </c>
      <c r="T151">
        <f t="shared" ca="1" si="50"/>
        <v>57.162846865051812</v>
      </c>
      <c r="U151">
        <f>70</f>
        <v>70</v>
      </c>
      <c r="V151">
        <f>30</f>
        <v>30</v>
      </c>
      <c r="W151">
        <f t="shared" ca="1" si="48"/>
        <v>102.35567211515657</v>
      </c>
      <c r="X151">
        <f t="shared" ca="1" si="37"/>
        <v>101.18731390501256</v>
      </c>
      <c r="Y151">
        <f t="shared" ca="1" si="36"/>
        <v>1.0949219346792489</v>
      </c>
      <c r="Z151">
        <f t="shared" ca="1" si="38"/>
        <v>1.0154760379000554</v>
      </c>
      <c r="AA151">
        <f t="shared" ca="1" si="39"/>
        <v>7.9445896779193559E-2</v>
      </c>
      <c r="AB151">
        <f t="shared" ca="1" si="40"/>
        <v>98.354700000000037</v>
      </c>
    </row>
    <row r="152" spans="1:28" x14ac:dyDescent="0.25">
      <c r="A152" s="20">
        <f t="shared" ca="1" si="41"/>
        <v>45922</v>
      </c>
      <c r="B152" vm="442">
        <f ca="1"/>
        <v>45923</v>
      </c>
      <c r="C152" vm="443">
        <f ca="1"/>
        <v>102.52</v>
      </c>
      <c r="D152" vm="444">
        <f ca="1"/>
        <v>13158658</v>
      </c>
      <c r="E152">
        <f t="shared" ca="1" si="42"/>
        <v>1349025618.1599998</v>
      </c>
      <c r="F152">
        <f ca="1">SUM($E$2:E152)/SUM($D$2:D152)</f>
        <v>95.071914736577085</v>
      </c>
      <c r="G152">
        <f ca="1">_xlfn.STDEV.P($C$2:C152)</f>
        <v>5.0624914389376627</v>
      </c>
      <c r="H152">
        <f t="shared" ca="1" si="43"/>
        <v>100.13440617551475</v>
      </c>
      <c r="I152">
        <f t="shared" ca="1" si="44"/>
        <v>90.009423297639415</v>
      </c>
      <c r="J152">
        <f t="shared" ca="1" si="53"/>
        <v>100.886</v>
      </c>
      <c r="K152">
        <f t="shared" ca="1" si="54"/>
        <v>2.8250093618848133</v>
      </c>
      <c r="L152">
        <f t="shared" ca="1" si="55"/>
        <v>106.53601872376962</v>
      </c>
      <c r="M152">
        <f t="shared" ca="1" si="56"/>
        <v>95.235981276230376</v>
      </c>
      <c r="N152">
        <f t="shared" ca="1" si="45"/>
        <v>-0.29999999999999716</v>
      </c>
      <c r="O152">
        <f t="shared" ca="1" si="46"/>
        <v>0</v>
      </c>
      <c r="P152">
        <f t="shared" ca="1" si="47"/>
        <v>0.29999999999999716</v>
      </c>
      <c r="Q152">
        <f t="shared" ca="1" si="51"/>
        <v>0.48332013625785247</v>
      </c>
      <c r="R152">
        <f t="shared" ca="1" si="52"/>
        <v>0.38362289563637558</v>
      </c>
      <c r="S152">
        <f t="shared" ca="1" si="49"/>
        <v>1.2598834474050185</v>
      </c>
      <c r="T152">
        <f t="shared" ca="1" si="50"/>
        <v>55.749930327235184</v>
      </c>
      <c r="U152">
        <f>70</f>
        <v>70</v>
      </c>
      <c r="V152">
        <f>30</f>
        <v>30</v>
      </c>
      <c r="W152">
        <f t="shared" ca="1" si="48"/>
        <v>102.3809533282094</v>
      </c>
      <c r="X152">
        <f t="shared" ca="1" si="37"/>
        <v>101.28603139353015</v>
      </c>
      <c r="Y152">
        <f t="shared" ca="1" si="36"/>
        <v>1.0416607851307589</v>
      </c>
      <c r="Z152">
        <f t="shared" ca="1" si="38"/>
        <v>1.0207129873461962</v>
      </c>
      <c r="AA152">
        <f t="shared" ca="1" si="39"/>
        <v>2.0947797784562683E-2</v>
      </c>
      <c r="AB152">
        <f t="shared" ca="1" si="40"/>
        <v>98.407400000000038</v>
      </c>
    </row>
    <row r="153" spans="1:28" x14ac:dyDescent="0.25">
      <c r="A153" s="20">
        <f t="shared" ca="1" si="41"/>
        <v>45922</v>
      </c>
      <c r="B153" vm="445">
        <f ca="1"/>
        <v>45924</v>
      </c>
      <c r="C153" vm="446">
        <f ca="1"/>
        <v>102.73</v>
      </c>
      <c r="D153" vm="447">
        <f ca="1"/>
        <v>11391834</v>
      </c>
      <c r="E153">
        <f t="shared" ca="1" si="42"/>
        <v>1170283106.8199999</v>
      </c>
      <c r="F153">
        <f ca="1">SUM($E$2:E153)/SUM($D$2:D153)</f>
        <v>95.101154140222448</v>
      </c>
      <c r="G153">
        <f ca="1">_xlfn.STDEV.P($C$2:C153)</f>
        <v>5.0749264110319059</v>
      </c>
      <c r="H153">
        <f t="shared" ca="1" si="43"/>
        <v>100.17608055125436</v>
      </c>
      <c r="I153">
        <f t="shared" ca="1" si="44"/>
        <v>90.026227729190538</v>
      </c>
      <c r="J153">
        <f t="shared" ca="1" si="53"/>
        <v>101.22</v>
      </c>
      <c r="K153">
        <f t="shared" ca="1" si="54"/>
        <v>2.60985178042537</v>
      </c>
      <c r="L153">
        <f t="shared" ca="1" si="55"/>
        <v>106.43970356085075</v>
      </c>
      <c r="M153">
        <f t="shared" ca="1" si="56"/>
        <v>96.000296439149253</v>
      </c>
      <c r="N153">
        <f t="shared" ca="1" si="45"/>
        <v>0.21000000000000796</v>
      </c>
      <c r="O153">
        <f t="shared" ca="1" si="46"/>
        <v>0.21000000000000796</v>
      </c>
      <c r="P153">
        <f t="shared" ca="1" si="47"/>
        <v>0</v>
      </c>
      <c r="Q153">
        <f t="shared" ca="1" si="51"/>
        <v>0.46379726938229215</v>
      </c>
      <c r="R153">
        <f t="shared" ca="1" si="52"/>
        <v>0.35622126023377731</v>
      </c>
      <c r="S153">
        <f t="shared" ca="1" si="49"/>
        <v>1.3019921075960372</v>
      </c>
      <c r="T153">
        <f t="shared" ca="1" si="50"/>
        <v>56.559364530389431</v>
      </c>
      <c r="U153">
        <f>70</f>
        <v>70</v>
      </c>
      <c r="V153">
        <f>30</f>
        <v>30</v>
      </c>
      <c r="W153">
        <f t="shared" ca="1" si="48"/>
        <v>102.43465281617719</v>
      </c>
      <c r="X153">
        <f t="shared" ca="1" si="37"/>
        <v>101.39299203104643</v>
      </c>
      <c r="Y153">
        <f t="shared" ca="1" si="36"/>
        <v>1.0135882516083541</v>
      </c>
      <c r="Z153">
        <f t="shared" ca="1" si="38"/>
        <v>1.0192880401986277</v>
      </c>
      <c r="AA153">
        <f t="shared" ca="1" si="39"/>
        <v>-5.6997885902736467E-3</v>
      </c>
      <c r="AB153">
        <f t="shared" ca="1" si="40"/>
        <v>98.460600000000014</v>
      </c>
    </row>
    <row r="154" spans="1:28" x14ac:dyDescent="0.25">
      <c r="A154" s="20">
        <f t="shared" ca="1" si="41"/>
        <v>45922</v>
      </c>
      <c r="B154" vm="448">
        <f ca="1"/>
        <v>45925</v>
      </c>
      <c r="C154" vm="449">
        <f ca="1"/>
        <v>103.05</v>
      </c>
      <c r="D154" vm="450">
        <f ca="1"/>
        <v>13366747</v>
      </c>
      <c r="E154">
        <f t="shared" ca="1" si="42"/>
        <v>1377443278.3499999</v>
      </c>
      <c r="F154">
        <f ca="1">SUM($E$2:E154)/SUM($D$2:D154)</f>
        <v>95.136606338064752</v>
      </c>
      <c r="G154">
        <f ca="1">_xlfn.STDEV.P($C$2:C154)</f>
        <v>5.089582219582657</v>
      </c>
      <c r="H154">
        <f t="shared" ca="1" si="43"/>
        <v>100.2261885576474</v>
      </c>
      <c r="I154">
        <f t="shared" ca="1" si="44"/>
        <v>90.047024118482099</v>
      </c>
      <c r="J154">
        <f t="shared" ca="1" si="53"/>
        <v>101.56849999999999</v>
      </c>
      <c r="K154">
        <f t="shared" ca="1" si="54"/>
        <v>2.3386394492704956</v>
      </c>
      <c r="L154">
        <f t="shared" ca="1" si="55"/>
        <v>106.24577889854098</v>
      </c>
      <c r="M154">
        <f t="shared" ca="1" si="56"/>
        <v>96.891221101458996</v>
      </c>
      <c r="N154">
        <f t="shared" ca="1" si="45"/>
        <v>0.31999999999999318</v>
      </c>
      <c r="O154">
        <f t="shared" ca="1" si="46"/>
        <v>0.31999999999999318</v>
      </c>
      <c r="P154">
        <f t="shared" ca="1" si="47"/>
        <v>0</v>
      </c>
      <c r="Q154">
        <f t="shared" ca="1" si="51"/>
        <v>0.45352603585498513</v>
      </c>
      <c r="R154">
        <f t="shared" ca="1" si="52"/>
        <v>0.33077688450279324</v>
      </c>
      <c r="S154">
        <f t="shared" ca="1" si="49"/>
        <v>1.3710934986787304</v>
      </c>
      <c r="T154">
        <f t="shared" ca="1" si="50"/>
        <v>57.825366205202762</v>
      </c>
      <c r="U154">
        <f>70</f>
        <v>70</v>
      </c>
      <c r="V154">
        <f>30</f>
        <v>30</v>
      </c>
      <c r="W154">
        <f t="shared" ca="1" si="48"/>
        <v>102.52932161368838</v>
      </c>
      <c r="X154">
        <f t="shared" ca="1" si="37"/>
        <v>101.51573336208003</v>
      </c>
      <c r="Y154">
        <f t="shared" ca="1" si="36"/>
        <v>0.98881816692149016</v>
      </c>
      <c r="Z154">
        <f t="shared" ca="1" si="38"/>
        <v>1.0131940655432001</v>
      </c>
      <c r="AA154">
        <f t="shared" ca="1" si="39"/>
        <v>-2.4375898621709968E-2</v>
      </c>
      <c r="AB154">
        <f t="shared" ca="1" si="40"/>
        <v>98.503600000000006</v>
      </c>
    </row>
    <row r="155" spans="1:28" x14ac:dyDescent="0.25">
      <c r="A155" s="20">
        <f t="shared" ca="1" si="41"/>
        <v>45922</v>
      </c>
      <c r="B155" vm="451">
        <f ca="1"/>
        <v>45926</v>
      </c>
      <c r="C155" vm="452">
        <f ca="1"/>
        <v>103.16</v>
      </c>
      <c r="D155" vm="453">
        <f ca="1"/>
        <v>11859265</v>
      </c>
      <c r="E155">
        <f t="shared" ca="1" si="42"/>
        <v>1223401777.3999999</v>
      </c>
      <c r="F155">
        <f ca="1">SUM($E$2:E155)/SUM($D$2:D155)</f>
        <v>95.168230141605761</v>
      </c>
      <c r="G155">
        <f ca="1">_xlfn.STDEV.P($C$2:C155)</f>
        <v>5.1045785621521516</v>
      </c>
      <c r="H155">
        <f t="shared" ca="1" si="43"/>
        <v>100.27280870375792</v>
      </c>
      <c r="I155">
        <f t="shared" ca="1" si="44"/>
        <v>90.063651579453605</v>
      </c>
      <c r="J155">
        <f t="shared" ca="1" si="53"/>
        <v>101.92099999999999</v>
      </c>
      <c r="K155">
        <f t="shared" ca="1" si="54"/>
        <v>1.97574742685821</v>
      </c>
      <c r="L155">
        <f t="shared" ca="1" si="55"/>
        <v>105.87249485371642</v>
      </c>
      <c r="M155">
        <f t="shared" ca="1" si="56"/>
        <v>97.969505146283566</v>
      </c>
      <c r="N155">
        <f t="shared" ca="1" si="45"/>
        <v>0.10999999999999943</v>
      </c>
      <c r="O155">
        <f t="shared" ca="1" si="46"/>
        <v>0.10999999999999943</v>
      </c>
      <c r="P155">
        <f t="shared" ca="1" si="47"/>
        <v>0</v>
      </c>
      <c r="Q155">
        <f t="shared" ca="1" si="51"/>
        <v>0.42898846186534328</v>
      </c>
      <c r="R155">
        <f t="shared" ca="1" si="52"/>
        <v>0.30714996418116514</v>
      </c>
      <c r="S155">
        <f t="shared" ca="1" si="49"/>
        <v>1.3966743021083818</v>
      </c>
      <c r="T155">
        <f t="shared" ca="1" si="50"/>
        <v>58.275515403979234</v>
      </c>
      <c r="U155">
        <f>70</f>
        <v>70</v>
      </c>
      <c r="V155">
        <f>30</f>
        <v>30</v>
      </c>
      <c r="W155">
        <f t="shared" ca="1" si="48"/>
        <v>102.62634905773632</v>
      </c>
      <c r="X155">
        <f t="shared" ca="1" si="37"/>
        <v>101.63753089081483</v>
      </c>
      <c r="Y155">
        <f t="shared" ca="1" si="36"/>
        <v>0.95176105593408522</v>
      </c>
      <c r="Z155">
        <f t="shared" ca="1" si="38"/>
        <v>1.0009074636213773</v>
      </c>
      <c r="AA155">
        <f t="shared" ca="1" si="39"/>
        <v>-4.914640768729206E-2</v>
      </c>
      <c r="AB155">
        <f t="shared" ca="1" si="40"/>
        <v>98.541899999999998</v>
      </c>
    </row>
    <row r="156" spans="1:28" x14ac:dyDescent="0.25">
      <c r="A156" s="20">
        <f t="shared" ca="1" si="41"/>
        <v>45929</v>
      </c>
      <c r="B156" vm="454">
        <f ca="1"/>
        <v>45929</v>
      </c>
      <c r="C156" vm="455">
        <f ca="1"/>
        <v>103.08</v>
      </c>
      <c r="D156" vm="456">
        <f ca="1"/>
        <v>15477159</v>
      </c>
      <c r="E156">
        <f t="shared" ca="1" si="42"/>
        <v>1595385549.72</v>
      </c>
      <c r="F156">
        <f ca="1">SUM($E$2:E156)/SUM($D$2:D156)</f>
        <v>95.208718940433826</v>
      </c>
      <c r="G156">
        <f ca="1">_xlfn.STDEV.P($C$2:C156)</f>
        <v>5.1182380976001189</v>
      </c>
      <c r="H156">
        <f t="shared" ca="1" si="43"/>
        <v>100.32695703803394</v>
      </c>
      <c r="I156">
        <f t="shared" ca="1" si="44"/>
        <v>90.090480842833713</v>
      </c>
      <c r="J156">
        <f t="shared" ca="1" si="53"/>
        <v>102.22599999999998</v>
      </c>
      <c r="K156">
        <f t="shared" ca="1" si="54"/>
        <v>1.6097937102230471</v>
      </c>
      <c r="L156">
        <f t="shared" ca="1" si="55"/>
        <v>105.44558742044607</v>
      </c>
      <c r="M156">
        <f t="shared" ca="1" si="56"/>
        <v>99.006412579553896</v>
      </c>
      <c r="N156">
        <f t="shared" ca="1" si="45"/>
        <v>-7.9999999999998295E-2</v>
      </c>
      <c r="O156">
        <f t="shared" ca="1" si="46"/>
        <v>0</v>
      </c>
      <c r="P156">
        <f t="shared" ca="1" si="47"/>
        <v>7.9999999999998295E-2</v>
      </c>
      <c r="Q156">
        <f t="shared" ca="1" si="51"/>
        <v>0.39834642887496158</v>
      </c>
      <c r="R156">
        <f t="shared" ca="1" si="52"/>
        <v>0.29092496673965318</v>
      </c>
      <c r="S156">
        <f t="shared" ca="1" si="49"/>
        <v>1.3692411254323151</v>
      </c>
      <c r="T156">
        <f t="shared" ca="1" si="50"/>
        <v>57.792392286896074</v>
      </c>
      <c r="U156">
        <f>70</f>
        <v>70</v>
      </c>
      <c r="V156">
        <f>30</f>
        <v>30</v>
      </c>
      <c r="W156">
        <f t="shared" ca="1" si="48"/>
        <v>102.69614151039227</v>
      </c>
      <c r="X156">
        <f t="shared" ca="1" si="37"/>
        <v>101.74438045445818</v>
      </c>
      <c r="Y156">
        <f t="shared" ref="Y156:Y219" ca="1" si="57">W157-X157</f>
        <v>0.91028598543474004</v>
      </c>
      <c r="Z156">
        <f t="shared" ca="1" si="38"/>
        <v>0.98278316798404985</v>
      </c>
      <c r="AA156">
        <f t="shared" ca="1" si="39"/>
        <v>-7.2497182549309813E-2</v>
      </c>
      <c r="AB156">
        <f t="shared" ca="1" si="40"/>
        <v>98.587199999999996</v>
      </c>
    </row>
    <row r="157" spans="1:28" x14ac:dyDescent="0.25">
      <c r="A157" s="20">
        <f t="shared" ca="1" si="41"/>
        <v>45929</v>
      </c>
      <c r="B157" vm="457">
        <f ca="1"/>
        <v>45930</v>
      </c>
      <c r="C157" vm="458">
        <f ca="1"/>
        <v>103.06</v>
      </c>
      <c r="D157" vm="459">
        <f ca="1"/>
        <v>13873389</v>
      </c>
      <c r="E157">
        <f t="shared" ca="1" si="42"/>
        <v>1429791470.3399999</v>
      </c>
      <c r="F157">
        <f ca="1">SUM($E$2:E157)/SUM($D$2:D157)</f>
        <v>95.244570283382956</v>
      </c>
      <c r="G157">
        <f ca="1">_xlfn.STDEV.P($C$2:C157)</f>
        <v>5.1311342211827053</v>
      </c>
      <c r="H157">
        <f t="shared" ca="1" si="43"/>
        <v>100.37570450456566</v>
      </c>
      <c r="I157">
        <f t="shared" ca="1" si="44"/>
        <v>90.11343606220025</v>
      </c>
      <c r="J157">
        <f t="shared" ca="1" si="53"/>
        <v>102.48650000000001</v>
      </c>
      <c r="K157">
        <f t="shared" ca="1" si="54"/>
        <v>1.2444879521947536</v>
      </c>
      <c r="L157">
        <f t="shared" ca="1" si="55"/>
        <v>104.97547590438951</v>
      </c>
      <c r="M157">
        <f t="shared" ca="1" si="56"/>
        <v>99.997524095610501</v>
      </c>
      <c r="N157">
        <f t="shared" ca="1" si="45"/>
        <v>-1.9999999999996021E-2</v>
      </c>
      <c r="O157">
        <f t="shared" ca="1" si="46"/>
        <v>0</v>
      </c>
      <c r="P157">
        <f t="shared" ca="1" si="47"/>
        <v>1.9999999999996021E-2</v>
      </c>
      <c r="Q157">
        <f t="shared" ca="1" si="51"/>
        <v>0.36989311252675</v>
      </c>
      <c r="R157">
        <f t="shared" ca="1" si="52"/>
        <v>0.27157318340110626</v>
      </c>
      <c r="S157">
        <f t="shared" ca="1" si="49"/>
        <v>1.362038430651777</v>
      </c>
      <c r="T157">
        <f t="shared" ca="1" si="50"/>
        <v>57.663686287946568</v>
      </c>
      <c r="U157">
        <f>70</f>
        <v>70</v>
      </c>
      <c r="V157">
        <f>30</f>
        <v>30</v>
      </c>
      <c r="W157">
        <f t="shared" ca="1" si="48"/>
        <v>102.75211973956269</v>
      </c>
      <c r="X157">
        <f t="shared" ref="X157:X220" ca="1" si="58">C157*(2/(26+1)) + X156*(1-(2/(26+1)))</f>
        <v>101.84183375412795</v>
      </c>
      <c r="Y157">
        <f t="shared" ca="1" si="57"/>
        <v>0.77966835486760999</v>
      </c>
      <c r="Z157">
        <f t="shared" ca="1" si="38"/>
        <v>0.94216020536076184</v>
      </c>
      <c r="AA157">
        <f t="shared" ca="1" si="39"/>
        <v>-0.16249185049315185</v>
      </c>
      <c r="AB157">
        <f t="shared" ca="1" si="40"/>
        <v>98.629499999999993</v>
      </c>
    </row>
    <row r="158" spans="1:28" x14ac:dyDescent="0.25">
      <c r="A158" s="20">
        <f t="shared" ca="1" si="41"/>
        <v>45929</v>
      </c>
      <c r="B158" vm="460">
        <f ca="1"/>
        <v>45931</v>
      </c>
      <c r="C158" vm="461">
        <f ca="1"/>
        <v>101.96</v>
      </c>
      <c r="D158" vm="462">
        <f ca="1"/>
        <v>16142766</v>
      </c>
      <c r="E158">
        <f t="shared" ca="1" si="42"/>
        <v>1645916421.3599999</v>
      </c>
      <c r="F158">
        <f ca="1">SUM($E$2:E158)/SUM($D$2:D158)</f>
        <v>95.280062464823473</v>
      </c>
      <c r="G158">
        <f ca="1">_xlfn.STDEV.P($C$2:C158)</f>
        <v>5.1349712116028092</v>
      </c>
      <c r="H158">
        <f t="shared" ca="1" si="43"/>
        <v>100.41503367642628</v>
      </c>
      <c r="I158">
        <f t="shared" ca="1" si="44"/>
        <v>90.14509125322067</v>
      </c>
      <c r="J158">
        <f t="shared" ca="1" si="53"/>
        <v>102.61249999999998</v>
      </c>
      <c r="K158">
        <f t="shared" ca="1" si="54"/>
        <v>1.0286622636373783</v>
      </c>
      <c r="L158">
        <f t="shared" ca="1" si="55"/>
        <v>104.66982452727474</v>
      </c>
      <c r="M158">
        <f t="shared" ca="1" si="56"/>
        <v>100.55517547272522</v>
      </c>
      <c r="N158">
        <f t="shared" ca="1" si="45"/>
        <v>-1.1000000000000085</v>
      </c>
      <c r="O158">
        <f t="shared" ca="1" si="46"/>
        <v>0</v>
      </c>
      <c r="P158">
        <f t="shared" ca="1" si="47"/>
        <v>1.1000000000000085</v>
      </c>
      <c r="Q158">
        <f t="shared" ca="1" si="51"/>
        <v>0.34347217591769647</v>
      </c>
      <c r="R158">
        <f t="shared" ca="1" si="52"/>
        <v>0.330746527443885</v>
      </c>
      <c r="S158">
        <f t="shared" ca="1" si="49"/>
        <v>1.0384755316167924</v>
      </c>
      <c r="T158">
        <f t="shared" ca="1" si="50"/>
        <v>50.943732976433523</v>
      </c>
      <c r="U158">
        <f>70</f>
        <v>70</v>
      </c>
      <c r="V158">
        <f>30</f>
        <v>30</v>
      </c>
      <c r="W158">
        <f t="shared" ca="1" si="48"/>
        <v>102.63025516424534</v>
      </c>
      <c r="X158">
        <f t="shared" ca="1" si="58"/>
        <v>101.85058680937773</v>
      </c>
      <c r="Y158">
        <f t="shared" ca="1" si="57"/>
        <v>0.64770675422536783</v>
      </c>
      <c r="Z158">
        <f t="shared" ca="1" si="38"/>
        <v>0.88326951513368313</v>
      </c>
      <c r="AA158">
        <f t="shared" ca="1" si="39"/>
        <v>-0.23556276090831529</v>
      </c>
      <c r="AB158">
        <f t="shared" ca="1" si="40"/>
        <v>98.674799999999976</v>
      </c>
    </row>
    <row r="159" spans="1:28" x14ac:dyDescent="0.25">
      <c r="A159" s="20">
        <f t="shared" ca="1" si="41"/>
        <v>45929</v>
      </c>
      <c r="B159" vm="463">
        <f ca="1"/>
        <v>45932</v>
      </c>
      <c r="C159" vm="464">
        <f ca="1"/>
        <v>101.7</v>
      </c>
      <c r="D159" vm="465">
        <f ca="1"/>
        <v>15605363</v>
      </c>
      <c r="E159">
        <f t="shared" ca="1" si="42"/>
        <v>1587065417.1000001</v>
      </c>
      <c r="F159">
        <f ca="1">SUM($E$2:E159)/SUM($D$2:D159)</f>
        <v>95.312696618428362</v>
      </c>
      <c r="G159">
        <f ca="1">_xlfn.STDEV.P($C$2:C159)</f>
        <v>5.1367357508451397</v>
      </c>
      <c r="H159">
        <f t="shared" ca="1" si="43"/>
        <v>100.4494323692735</v>
      </c>
      <c r="I159">
        <f t="shared" ca="1" si="44"/>
        <v>90.175960867583228</v>
      </c>
      <c r="J159">
        <f t="shared" ca="1" si="53"/>
        <v>102.65099999999998</v>
      </c>
      <c r="K159">
        <f t="shared" ca="1" si="54"/>
        <v>0.97540760710586916</v>
      </c>
      <c r="L159">
        <f t="shared" ca="1" si="55"/>
        <v>104.60181521421173</v>
      </c>
      <c r="M159">
        <f t="shared" ca="1" si="56"/>
        <v>100.70018478578824</v>
      </c>
      <c r="N159">
        <f t="shared" ca="1" si="45"/>
        <v>-0.25999999999999091</v>
      </c>
      <c r="O159">
        <f t="shared" ca="1" si="46"/>
        <v>0</v>
      </c>
      <c r="P159">
        <f t="shared" ca="1" si="47"/>
        <v>0.25999999999999091</v>
      </c>
      <c r="Q159">
        <f t="shared" ca="1" si="51"/>
        <v>0.31893844906643248</v>
      </c>
      <c r="R159">
        <f t="shared" ca="1" si="52"/>
        <v>0.32569320405503543</v>
      </c>
      <c r="S159">
        <f t="shared" ca="1" si="49"/>
        <v>0.97926037478061245</v>
      </c>
      <c r="T159">
        <f t="shared" ca="1" si="50"/>
        <v>49.476076379751539</v>
      </c>
      <c r="U159">
        <f>70</f>
        <v>70</v>
      </c>
      <c r="V159">
        <f>30</f>
        <v>30</v>
      </c>
      <c r="W159">
        <f t="shared" ca="1" si="48"/>
        <v>102.48713898513067</v>
      </c>
      <c r="X159">
        <f t="shared" ca="1" si="58"/>
        <v>101.8394322309053</v>
      </c>
      <c r="Y159">
        <f t="shared" ca="1" si="57"/>
        <v>0.56645243173670679</v>
      </c>
      <c r="Z159">
        <f t="shared" ca="1" si="38"/>
        <v>0.81990609845428797</v>
      </c>
      <c r="AA159">
        <f t="shared" ca="1" si="39"/>
        <v>-0.25345366671758118</v>
      </c>
      <c r="AB159">
        <f t="shared" ca="1" si="40"/>
        <v>98.724599999999995</v>
      </c>
    </row>
    <row r="160" spans="1:28" x14ac:dyDescent="0.25">
      <c r="A160" s="20">
        <f t="shared" ca="1" si="41"/>
        <v>45929</v>
      </c>
      <c r="B160" vm="466">
        <f ca="1"/>
        <v>45933</v>
      </c>
      <c r="C160" vm="467">
        <f ca="1"/>
        <v>102.07</v>
      </c>
      <c r="D160" vm="468">
        <f ca="1"/>
        <v>11867483</v>
      </c>
      <c r="E160">
        <f t="shared" ca="1" si="42"/>
        <v>1211313989.8099999</v>
      </c>
      <c r="F160">
        <f ca="1">SUM($E$2:E160)/SUM($D$2:D160)</f>
        <v>95.338717625649323</v>
      </c>
      <c r="G160">
        <f ca="1">_xlfn.STDEV.P($C$2:C160)</f>
        <v>5.1407605947855428</v>
      </c>
      <c r="H160">
        <f t="shared" ca="1" si="43"/>
        <v>100.47947822043487</v>
      </c>
      <c r="I160">
        <f t="shared" ca="1" si="44"/>
        <v>90.197957030863776</v>
      </c>
      <c r="J160">
        <f t="shared" ca="1" si="53"/>
        <v>102.729</v>
      </c>
      <c r="K160">
        <f t="shared" ca="1" si="54"/>
        <v>0.84942643186911371</v>
      </c>
      <c r="L160">
        <f t="shared" ca="1" si="55"/>
        <v>104.42785286373822</v>
      </c>
      <c r="M160">
        <f t="shared" ca="1" si="56"/>
        <v>101.03014713626177</v>
      </c>
      <c r="N160">
        <f t="shared" ca="1" si="45"/>
        <v>0.36999999999999034</v>
      </c>
      <c r="O160">
        <f t="shared" ca="1" si="46"/>
        <v>0.36999999999999034</v>
      </c>
      <c r="P160">
        <f t="shared" ca="1" si="47"/>
        <v>0</v>
      </c>
      <c r="Q160">
        <f t="shared" ca="1" si="51"/>
        <v>0.32258570270454373</v>
      </c>
      <c r="R160">
        <f t="shared" ca="1" si="52"/>
        <v>0.30242940376539007</v>
      </c>
      <c r="S160">
        <f t="shared" ca="1" si="49"/>
        <v>1.0666479472174271</v>
      </c>
      <c r="T160">
        <f t="shared" ca="1" si="50"/>
        <v>51.612464941287243</v>
      </c>
      <c r="U160">
        <f>70</f>
        <v>70</v>
      </c>
      <c r="V160">
        <f>30</f>
        <v>30</v>
      </c>
      <c r="W160">
        <f t="shared" ca="1" si="48"/>
        <v>102.42296375664903</v>
      </c>
      <c r="X160">
        <f t="shared" ca="1" si="58"/>
        <v>101.85651132491232</v>
      </c>
      <c r="Y160">
        <f t="shared" ca="1" si="57"/>
        <v>0.54659274965315774</v>
      </c>
      <c r="Z160">
        <f t="shared" ca="1" si="38"/>
        <v>0.76524342869406192</v>
      </c>
      <c r="AA160">
        <f t="shared" ca="1" si="39"/>
        <v>-0.21865067904090418</v>
      </c>
      <c r="AB160">
        <f t="shared" ca="1" si="40"/>
        <v>98.777799999999985</v>
      </c>
    </row>
    <row r="161" spans="1:28" x14ac:dyDescent="0.25">
      <c r="A161" s="20">
        <f t="shared" ca="1" si="41"/>
        <v>45936</v>
      </c>
      <c r="B161" vm="469">
        <f ca="1"/>
        <v>45936</v>
      </c>
      <c r="C161" vm="470">
        <f ca="1"/>
        <v>102.7</v>
      </c>
      <c r="D161" vm="471">
        <f ca="1"/>
        <v>13303560</v>
      </c>
      <c r="E161">
        <f t="shared" ca="1" si="42"/>
        <v>1366275612</v>
      </c>
      <c r="F161">
        <f ca="1">SUM($E$2:E161)/SUM($D$2:D161)</f>
        <v>95.370358079043456</v>
      </c>
      <c r="G161">
        <f ca="1">_xlfn.STDEV.P($C$2:C161)</f>
        <v>5.1490724100165615</v>
      </c>
      <c r="H161">
        <f t="shared" ca="1" si="43"/>
        <v>100.51943048906001</v>
      </c>
      <c r="I161">
        <f t="shared" ca="1" si="44"/>
        <v>90.221285669026898</v>
      </c>
      <c r="J161">
        <f t="shared" ca="1" si="53"/>
        <v>102.75</v>
      </c>
      <c r="K161">
        <f t="shared" ca="1" si="54"/>
        <v>0.84290849849915772</v>
      </c>
      <c r="L161">
        <f t="shared" ca="1" si="55"/>
        <v>104.43581699699831</v>
      </c>
      <c r="M161">
        <f t="shared" ca="1" si="56"/>
        <v>101.06418300300169</v>
      </c>
      <c r="N161">
        <f t="shared" ca="1" si="45"/>
        <v>0.63000000000000966</v>
      </c>
      <c r="O161">
        <f t="shared" ca="1" si="46"/>
        <v>0.63000000000000966</v>
      </c>
      <c r="P161">
        <f t="shared" ca="1" si="47"/>
        <v>0</v>
      </c>
      <c r="Q161">
        <f t="shared" ca="1" si="51"/>
        <v>0.34454386679707699</v>
      </c>
      <c r="R161">
        <f t="shared" ca="1" si="52"/>
        <v>0.28082730349643364</v>
      </c>
      <c r="S161">
        <f t="shared" ca="1" si="49"/>
        <v>1.2268887765090566</v>
      </c>
      <c r="T161">
        <f t="shared" ca="1" si="50"/>
        <v>55.09429969970784</v>
      </c>
      <c r="U161">
        <f>70</f>
        <v>70</v>
      </c>
      <c r="V161">
        <f>30</f>
        <v>30</v>
      </c>
      <c r="W161">
        <f t="shared" ca="1" si="48"/>
        <v>102.46558471716456</v>
      </c>
      <c r="X161">
        <f t="shared" ca="1" si="58"/>
        <v>101.9189919675114</v>
      </c>
      <c r="Y161">
        <f t="shared" ca="1" si="57"/>
        <v>0.56788111554608633</v>
      </c>
      <c r="Z161">
        <f t="shared" ca="1" si="38"/>
        <v>0.72577096606446689</v>
      </c>
      <c r="AA161">
        <f t="shared" ca="1" si="39"/>
        <v>-0.15788985051838056</v>
      </c>
      <c r="AB161">
        <f t="shared" ca="1" si="40"/>
        <v>98.845999999999989</v>
      </c>
    </row>
    <row r="162" spans="1:28" x14ac:dyDescent="0.25">
      <c r="A162" s="20">
        <f t="shared" ca="1" si="41"/>
        <v>45936</v>
      </c>
      <c r="B162" vm="472">
        <f ca="1"/>
        <v>45937</v>
      </c>
      <c r="C162" vm="473">
        <f ca="1"/>
        <v>103.24</v>
      </c>
      <c r="D162" vm="474">
        <f ca="1"/>
        <v>15538855</v>
      </c>
      <c r="E162">
        <f t="shared" ca="1" si="42"/>
        <v>1604231390.1999998</v>
      </c>
      <c r="F162">
        <f ca="1">SUM($E$2:E162)/SUM($D$2:D162)</f>
        <v>95.409669654289871</v>
      </c>
      <c r="G162">
        <f ca="1">_xlfn.STDEV.P($C$2:C162)</f>
        <v>5.1612212918614437</v>
      </c>
      <c r="H162">
        <f t="shared" ca="1" si="43"/>
        <v>100.57089094615131</v>
      </c>
      <c r="I162">
        <f t="shared" ca="1" si="44"/>
        <v>90.248448362428434</v>
      </c>
      <c r="J162">
        <f t="shared" ca="1" si="53"/>
        <v>102.79749999999999</v>
      </c>
      <c r="K162">
        <f t="shared" ca="1" si="54"/>
        <v>0.84238930242620302</v>
      </c>
      <c r="L162">
        <f t="shared" ca="1" si="55"/>
        <v>104.4822786048524</v>
      </c>
      <c r="M162">
        <f t="shared" ca="1" si="56"/>
        <v>101.11272139514757</v>
      </c>
      <c r="N162">
        <f t="shared" ca="1" si="45"/>
        <v>0.53999999999999204</v>
      </c>
      <c r="O162">
        <f t="shared" ca="1" si="46"/>
        <v>0.53999999999999204</v>
      </c>
      <c r="P162">
        <f t="shared" ca="1" si="47"/>
        <v>0</v>
      </c>
      <c r="Q162">
        <f t="shared" ca="1" si="51"/>
        <v>0.3585050191687138</v>
      </c>
      <c r="R162">
        <f t="shared" ca="1" si="52"/>
        <v>0.26076821038954551</v>
      </c>
      <c r="S162">
        <f t="shared" ca="1" si="49"/>
        <v>1.3748033881628643</v>
      </c>
      <c r="T162">
        <f t="shared" ca="1" si="50"/>
        <v>57.891250914308543</v>
      </c>
      <c r="U162">
        <f>70</f>
        <v>70</v>
      </c>
      <c r="V162">
        <f>30</f>
        <v>30</v>
      </c>
      <c r="W162">
        <f t="shared" ca="1" si="48"/>
        <v>102.58472552990848</v>
      </c>
      <c r="X162">
        <f t="shared" ca="1" si="58"/>
        <v>102.0168444143624</v>
      </c>
      <c r="Y162">
        <f t="shared" ca="1" si="57"/>
        <v>0.55096594790610709</v>
      </c>
      <c r="Z162">
        <f t="shared" ca="1" si="38"/>
        <v>0.69080996243279502</v>
      </c>
      <c r="AA162">
        <f t="shared" ca="1" si="39"/>
        <v>-0.13984401452668793</v>
      </c>
      <c r="AB162">
        <f t="shared" ca="1" si="40"/>
        <v>98.910099999999986</v>
      </c>
    </row>
    <row r="163" spans="1:28" x14ac:dyDescent="0.25">
      <c r="A163" s="20">
        <f t="shared" ca="1" si="41"/>
        <v>45936</v>
      </c>
      <c r="B163" vm="475">
        <f ca="1"/>
        <v>45938</v>
      </c>
      <c r="C163" vm="476">
        <f ca="1"/>
        <v>102.9</v>
      </c>
      <c r="D163" vm="477">
        <f ca="1"/>
        <v>13584084</v>
      </c>
      <c r="E163">
        <f t="shared" ca="1" si="42"/>
        <v>1397802243.6000001</v>
      </c>
      <c r="F163">
        <f ca="1">SUM($E$2:E163)/SUM($D$2:D163)</f>
        <v>95.442237226431089</v>
      </c>
      <c r="G163">
        <f ca="1">_xlfn.STDEV.P($C$2:C163)</f>
        <v>5.1701698527421049</v>
      </c>
      <c r="H163">
        <f t="shared" ca="1" si="43"/>
        <v>100.6124070791732</v>
      </c>
      <c r="I163">
        <f t="shared" ca="1" si="44"/>
        <v>90.272067373688984</v>
      </c>
      <c r="J163">
        <f t="shared" ca="1" si="53"/>
        <v>102.922</v>
      </c>
      <c r="K163">
        <f t="shared" ca="1" si="54"/>
        <v>0.62757343877241234</v>
      </c>
      <c r="L163">
        <f t="shared" ca="1" si="55"/>
        <v>104.17714687754483</v>
      </c>
      <c r="M163">
        <f t="shared" ca="1" si="56"/>
        <v>101.66685312245517</v>
      </c>
      <c r="N163">
        <f t="shared" ca="1" si="45"/>
        <v>-0.3399999999999892</v>
      </c>
      <c r="O163">
        <f t="shared" ca="1" si="46"/>
        <v>0</v>
      </c>
      <c r="P163">
        <f t="shared" ca="1" si="47"/>
        <v>0.3399999999999892</v>
      </c>
      <c r="Q163">
        <f t="shared" ca="1" si="51"/>
        <v>0.33289751779951998</v>
      </c>
      <c r="R163">
        <f t="shared" ca="1" si="52"/>
        <v>0.26642762393314862</v>
      </c>
      <c r="S163">
        <f t="shared" ca="1" si="49"/>
        <v>1.2494857435768365</v>
      </c>
      <c r="T163">
        <f t="shared" ca="1" si="50"/>
        <v>55.545395081725147</v>
      </c>
      <c r="U163">
        <f>70</f>
        <v>70</v>
      </c>
      <c r="V163">
        <f>30</f>
        <v>30</v>
      </c>
      <c r="W163">
        <f t="shared" ca="1" si="48"/>
        <v>102.63322929453795</v>
      </c>
      <c r="X163">
        <f t="shared" ca="1" si="58"/>
        <v>102.08226334663185</v>
      </c>
      <c r="Y163">
        <f t="shared" ca="1" si="57"/>
        <v>0.44129205932313198</v>
      </c>
      <c r="Z163">
        <f t="shared" ca="1" si="38"/>
        <v>0.64090638181086246</v>
      </c>
      <c r="AA163">
        <f t="shared" ca="1" si="39"/>
        <v>-0.19961432248773048</v>
      </c>
      <c r="AB163">
        <f t="shared" ca="1" si="40"/>
        <v>98.975599999999972</v>
      </c>
    </row>
    <row r="164" spans="1:28" x14ac:dyDescent="0.25">
      <c r="A164" s="20">
        <f t="shared" ca="1" si="41"/>
        <v>45936</v>
      </c>
      <c r="B164" vm="478">
        <f ca="1"/>
        <v>45939</v>
      </c>
      <c r="C164" vm="479">
        <f ca="1"/>
        <v>101.77</v>
      </c>
      <c r="D164" vm="480">
        <f ca="1"/>
        <v>19508017</v>
      </c>
      <c r="E164">
        <f t="shared" ca="1" si="42"/>
        <v>1985330890.0899999</v>
      </c>
      <c r="F164">
        <f ca="1">SUM($E$2:E164)/SUM($D$2:D164)</f>
        <v>95.481502989145085</v>
      </c>
      <c r="G164">
        <f ca="1">_xlfn.STDEV.P($C$2:C164)</f>
        <v>5.1708806233577844</v>
      </c>
      <c r="H164">
        <f t="shared" ca="1" si="43"/>
        <v>100.65238361250287</v>
      </c>
      <c r="I164">
        <f t="shared" ca="1" si="44"/>
        <v>90.310622365787296</v>
      </c>
      <c r="J164">
        <f t="shared" ca="1" si="53"/>
        <v>102.87800000000001</v>
      </c>
      <c r="K164">
        <f t="shared" ca="1" si="54"/>
        <v>0.67658274477429248</v>
      </c>
      <c r="L164">
        <f t="shared" ca="1" si="55"/>
        <v>104.2311654895486</v>
      </c>
      <c r="M164">
        <f t="shared" ca="1" si="56"/>
        <v>101.52483451045143</v>
      </c>
      <c r="N164">
        <f t="shared" ca="1" si="45"/>
        <v>-1.1300000000000097</v>
      </c>
      <c r="O164">
        <f t="shared" ca="1" si="46"/>
        <v>0</v>
      </c>
      <c r="P164">
        <f t="shared" ca="1" si="47"/>
        <v>1.1300000000000097</v>
      </c>
      <c r="Q164">
        <f t="shared" ca="1" si="51"/>
        <v>0.30911912367098282</v>
      </c>
      <c r="R164">
        <f t="shared" ca="1" si="52"/>
        <v>0.32811136508078154</v>
      </c>
      <c r="S164">
        <f t="shared" ca="1" si="49"/>
        <v>0.94211647802835852</v>
      </c>
      <c r="T164">
        <f t="shared" ca="1" si="50"/>
        <v>48.509782429980596</v>
      </c>
      <c r="U164">
        <f>70</f>
        <v>70</v>
      </c>
      <c r="V164">
        <f>30</f>
        <v>30</v>
      </c>
      <c r="W164">
        <f t="shared" ca="1" si="48"/>
        <v>102.50042478768596</v>
      </c>
      <c r="X164">
        <f t="shared" ca="1" si="58"/>
        <v>102.05913272836283</v>
      </c>
      <c r="Y164">
        <f t="shared" ca="1" si="57"/>
        <v>0.35592029978579376</v>
      </c>
      <c r="Z164">
        <f t="shared" ca="1" si="38"/>
        <v>0.5839091654058487</v>
      </c>
      <c r="AA164">
        <f t="shared" ca="1" si="39"/>
        <v>-0.22798886562005494</v>
      </c>
      <c r="AB164">
        <f t="shared" ca="1" si="40"/>
        <v>99.010899999999964</v>
      </c>
    </row>
    <row r="165" spans="1:28" x14ac:dyDescent="0.25">
      <c r="A165" s="20">
        <f t="shared" ca="1" si="41"/>
        <v>45936</v>
      </c>
      <c r="B165" vm="481">
        <f ca="1"/>
        <v>45940</v>
      </c>
      <c r="C165" vm="482">
        <f ca="1"/>
        <v>101.84</v>
      </c>
      <c r="D165" vm="483">
        <f ca="1"/>
        <v>18519435</v>
      </c>
      <c r="E165">
        <f t="shared" ca="1" si="42"/>
        <v>1886019260.4000001</v>
      </c>
      <c r="F165">
        <f ca="1">SUM($E$2:E165)/SUM($D$2:D165)</f>
        <v>95.518740622115175</v>
      </c>
      <c r="G165">
        <f ca="1">_xlfn.STDEV.P($C$2:C165)</f>
        <v>5.1718168859545033</v>
      </c>
      <c r="H165">
        <f t="shared" ca="1" si="43"/>
        <v>100.69055750806967</v>
      </c>
      <c r="I165">
        <f t="shared" ca="1" si="44"/>
        <v>90.346923736160676</v>
      </c>
      <c r="J165">
        <f t="shared" ca="1" si="53"/>
        <v>102.79550000000002</v>
      </c>
      <c r="K165">
        <f t="shared" ca="1" si="54"/>
        <v>0.69827965292152816</v>
      </c>
      <c r="L165">
        <f t="shared" ca="1" si="55"/>
        <v>104.19205930584307</v>
      </c>
      <c r="M165">
        <f t="shared" ca="1" si="56"/>
        <v>101.39894069415696</v>
      </c>
      <c r="N165">
        <f t="shared" ca="1" si="45"/>
        <v>7.000000000000739E-2</v>
      </c>
      <c r="O165">
        <f t="shared" ca="1" si="46"/>
        <v>7.000000000000739E-2</v>
      </c>
      <c r="P165">
        <f t="shared" ca="1" si="47"/>
        <v>0</v>
      </c>
      <c r="Q165">
        <f t="shared" ca="1" si="51"/>
        <v>0.29203918626591319</v>
      </c>
      <c r="R165">
        <f t="shared" ca="1" si="52"/>
        <v>0.30467483900358289</v>
      </c>
      <c r="S165">
        <f t="shared" ca="1" si="49"/>
        <v>0.95852741637939753</v>
      </c>
      <c r="T165">
        <f t="shared" ca="1" si="50"/>
        <v>48.941230455245041</v>
      </c>
      <c r="U165">
        <f>70</f>
        <v>70</v>
      </c>
      <c r="V165">
        <f>30</f>
        <v>30</v>
      </c>
      <c r="W165">
        <f t="shared" ca="1" si="48"/>
        <v>102.39882097419581</v>
      </c>
      <c r="X165">
        <f t="shared" ca="1" si="58"/>
        <v>102.04290067441002</v>
      </c>
      <c r="Y165">
        <f t="shared" ca="1" si="57"/>
        <v>0.30731370413931813</v>
      </c>
      <c r="Z165">
        <f t="shared" ca="1" si="38"/>
        <v>0.52859007315254258</v>
      </c>
      <c r="AA165">
        <f t="shared" ca="1" si="39"/>
        <v>-0.22127636901322445</v>
      </c>
      <c r="AB165">
        <f t="shared" ca="1" si="40"/>
        <v>99.048099999999977</v>
      </c>
    </row>
    <row r="166" spans="1:28" x14ac:dyDescent="0.25">
      <c r="A166" s="20">
        <f t="shared" ca="1" si="41"/>
        <v>45943</v>
      </c>
      <c r="B166" vm="484">
        <f ca="1"/>
        <v>45943</v>
      </c>
      <c r="C166" vm="485">
        <f ca="1"/>
        <v>102.12</v>
      </c>
      <c r="D166" vm="486">
        <f ca="1"/>
        <v>10871182</v>
      </c>
      <c r="E166">
        <f t="shared" ca="1" si="42"/>
        <v>1110165105.8400002</v>
      </c>
      <c r="F166">
        <f ca="1">SUM($E$2:E166)/SUM($D$2:D166)</f>
        <v>95.541356475667499</v>
      </c>
      <c r="G166">
        <f ca="1">_xlfn.STDEV.P($C$2:C166)</f>
        <v>5.1743160330182816</v>
      </c>
      <c r="H166">
        <f t="shared" ca="1" si="43"/>
        <v>100.71567250868578</v>
      </c>
      <c r="I166">
        <f t="shared" ca="1" si="44"/>
        <v>90.367040442649213</v>
      </c>
      <c r="J166">
        <f t="shared" ca="1" si="53"/>
        <v>102.71699999999998</v>
      </c>
      <c r="K166">
        <f t="shared" ca="1" si="54"/>
        <v>0.68044954180847783</v>
      </c>
      <c r="L166">
        <f t="shared" ca="1" si="55"/>
        <v>104.07789908361694</v>
      </c>
      <c r="M166">
        <f t="shared" ca="1" si="56"/>
        <v>101.35610091638303</v>
      </c>
      <c r="N166">
        <f t="shared" ca="1" si="45"/>
        <v>0.28000000000000114</v>
      </c>
      <c r="O166">
        <f t="shared" ca="1" si="46"/>
        <v>0.28000000000000114</v>
      </c>
      <c r="P166">
        <f t="shared" ca="1" si="47"/>
        <v>0</v>
      </c>
      <c r="Q166">
        <f t="shared" ca="1" si="51"/>
        <v>0.2911792443897766</v>
      </c>
      <c r="R166">
        <f t="shared" ca="1" si="52"/>
        <v>0.28291235050332697</v>
      </c>
      <c r="S166">
        <f t="shared" ca="1" si="49"/>
        <v>1.0292206892761735</v>
      </c>
      <c r="T166">
        <f t="shared" ca="1" si="50"/>
        <v>50.719997815678603</v>
      </c>
      <c r="U166">
        <f>70</f>
        <v>70</v>
      </c>
      <c r="V166">
        <f>30</f>
        <v>30</v>
      </c>
      <c r="W166">
        <f t="shared" ca="1" si="48"/>
        <v>102.35592543970415</v>
      </c>
      <c r="X166">
        <f t="shared" ca="1" si="58"/>
        <v>102.04861173556483</v>
      </c>
      <c r="Y166">
        <f t="shared" ca="1" si="57"/>
        <v>0.67176934909846864</v>
      </c>
      <c r="Z166">
        <f t="shared" ref="Z166:Z229" ca="1" si="59">Y166*(2/(9+1)) + Z165*(1-(2/(9+1)))</f>
        <v>0.55722592834172779</v>
      </c>
      <c r="AA166">
        <f t="shared" ref="AA166:AA229" ca="1" si="60">Y166-Z166</f>
        <v>0.11454342075674084</v>
      </c>
      <c r="AB166">
        <f t="shared" ref="AB166:AB229" ca="1" si="61">AVERAGE(C67:C166)</f>
        <v>99.09129999999999</v>
      </c>
    </row>
    <row r="167" spans="1:28" x14ac:dyDescent="0.25">
      <c r="A167" s="20">
        <f t="shared" ca="1" si="41"/>
        <v>45943</v>
      </c>
      <c r="B167" vm="487">
        <f ca="1"/>
        <v>45944</v>
      </c>
      <c r="C167" vm="488">
        <f ca="1"/>
        <v>107.21</v>
      </c>
      <c r="D167" vm="489">
        <f ca="1"/>
        <v>30859504</v>
      </c>
      <c r="E167">
        <f t="shared" ca="1" si="42"/>
        <v>3308447423.8399997</v>
      </c>
      <c r="F167">
        <f ca="1">SUM($E$2:E167)/SUM($D$2:D167)</f>
        <v>95.653743336199994</v>
      </c>
      <c r="G167">
        <f ca="1">_xlfn.STDEV.P($C$2:C167)</f>
        <v>5.2240221567132288</v>
      </c>
      <c r="H167">
        <f t="shared" ca="1" si="43"/>
        <v>100.87776549291323</v>
      </c>
      <c r="I167">
        <f t="shared" ca="1" si="44"/>
        <v>90.429721179486762</v>
      </c>
      <c r="J167">
        <f t="shared" ca="1" si="53"/>
        <v>102.90650000000001</v>
      </c>
      <c r="K167">
        <f t="shared" ca="1" si="54"/>
        <v>1.2089981716062954</v>
      </c>
      <c r="L167">
        <f t="shared" ca="1" si="55"/>
        <v>105.3244963432126</v>
      </c>
      <c r="M167">
        <f t="shared" ca="1" si="56"/>
        <v>100.48850365678742</v>
      </c>
      <c r="N167">
        <f t="shared" ca="1" si="45"/>
        <v>5.0899999999999892</v>
      </c>
      <c r="O167">
        <f t="shared" ca="1" si="46"/>
        <v>5.0899999999999892</v>
      </c>
      <c r="P167">
        <f t="shared" ca="1" si="47"/>
        <v>0</v>
      </c>
      <c r="Q167">
        <f t="shared" ca="1" si="51"/>
        <v>0.63395215550479178</v>
      </c>
      <c r="R167">
        <f t="shared" ca="1" si="52"/>
        <v>0.26270432546737504</v>
      </c>
      <c r="S167">
        <f t="shared" ca="1" si="49"/>
        <v>2.4131774548322831</v>
      </c>
      <c r="T167">
        <f t="shared" ca="1" si="50"/>
        <v>70.70178702299151</v>
      </c>
      <c r="U167">
        <f>70</f>
        <v>70</v>
      </c>
      <c r="V167">
        <f>30</f>
        <v>30</v>
      </c>
      <c r="W167">
        <f t="shared" ca="1" si="48"/>
        <v>103.10270614128812</v>
      </c>
      <c r="X167">
        <f t="shared" ca="1" si="58"/>
        <v>102.43093679218966</v>
      </c>
      <c r="Y167">
        <f t="shared" ca="1" si="57"/>
        <v>1.0948412151023774</v>
      </c>
      <c r="Z167">
        <f t="shared" ca="1" si="59"/>
        <v>0.66474898569385776</v>
      </c>
      <c r="AA167">
        <f t="shared" ca="1" si="60"/>
        <v>0.43009222940851966</v>
      </c>
      <c r="AB167">
        <f t="shared" ca="1" si="61"/>
        <v>99.199099999999987</v>
      </c>
    </row>
    <row r="168" spans="1:28" x14ac:dyDescent="0.25">
      <c r="A168" s="20">
        <f t="shared" ca="1" si="41"/>
        <v>45943</v>
      </c>
      <c r="B168" vm="490">
        <f ca="1"/>
        <v>45945</v>
      </c>
      <c r="C168" vm="491">
        <f ca="1"/>
        <v>109.03</v>
      </c>
      <c r="D168" vm="492">
        <f ca="1"/>
        <v>21416294</v>
      </c>
      <c r="E168">
        <f t="shared" ca="1" si="42"/>
        <v>2335018534.8200002</v>
      </c>
      <c r="F168">
        <f ca="1">SUM($E$2:E168)/SUM($D$2:D168)</f>
        <v>95.742559473139806</v>
      </c>
      <c r="G168">
        <f ca="1">_xlfn.STDEV.P($C$2:C168)</f>
        <v>5.2954606723735065</v>
      </c>
      <c r="H168">
        <f t="shared" ca="1" si="43"/>
        <v>101.03802014551331</v>
      </c>
      <c r="I168">
        <f t="shared" ca="1" si="44"/>
        <v>90.447098800766298</v>
      </c>
      <c r="J168">
        <f t="shared" ca="1" si="53"/>
        <v>103.14450000000002</v>
      </c>
      <c r="K168">
        <f t="shared" ca="1" si="54"/>
        <v>1.8104534907324357</v>
      </c>
      <c r="L168">
        <f t="shared" ca="1" si="55"/>
        <v>106.76540698146489</v>
      </c>
      <c r="M168">
        <f t="shared" ca="1" si="56"/>
        <v>99.523593018535152</v>
      </c>
      <c r="N168">
        <f t="shared" ca="1" si="45"/>
        <v>1.8200000000000074</v>
      </c>
      <c r="O168">
        <f t="shared" ca="1" si="46"/>
        <v>1.8200000000000074</v>
      </c>
      <c r="P168">
        <f t="shared" ca="1" si="47"/>
        <v>0</v>
      </c>
      <c r="Q168">
        <f t="shared" ca="1" si="51"/>
        <v>0.71866985868302147</v>
      </c>
      <c r="R168">
        <f t="shared" ca="1" si="52"/>
        <v>0.24393973079113396</v>
      </c>
      <c r="S168">
        <f t="shared" ca="1" si="49"/>
        <v>2.9460959735925956</v>
      </c>
      <c r="T168">
        <f t="shared" ca="1" si="50"/>
        <v>74.658497748356012</v>
      </c>
      <c r="U168">
        <f>70</f>
        <v>70</v>
      </c>
      <c r="V168">
        <f>30</f>
        <v>30</v>
      </c>
      <c r="W168">
        <f t="shared" ca="1" si="48"/>
        <v>104.01459750416687</v>
      </c>
      <c r="X168">
        <f t="shared" ca="1" si="58"/>
        <v>102.91975628906449</v>
      </c>
      <c r="Y168">
        <f t="shared" ca="1" si="57"/>
        <v>1.2096144296056792</v>
      </c>
      <c r="Z168">
        <f t="shared" ca="1" si="59"/>
        <v>0.7737220744762221</v>
      </c>
      <c r="AA168">
        <f t="shared" ca="1" si="60"/>
        <v>0.43589235512945712</v>
      </c>
      <c r="AB168">
        <f t="shared" ca="1" si="61"/>
        <v>99.330099999999959</v>
      </c>
    </row>
    <row r="169" spans="1:28" x14ac:dyDescent="0.25">
      <c r="A169" s="20">
        <f t="shared" ca="1" si="41"/>
        <v>45943</v>
      </c>
      <c r="B169" vm="493">
        <f ca="1"/>
        <v>45946</v>
      </c>
      <c r="C169" vm="494">
        <f ca="1"/>
        <v>106.47</v>
      </c>
      <c r="D169" vm="495">
        <f ca="1"/>
        <v>16366166</v>
      </c>
      <c r="E169">
        <f t="shared" ca="1" si="42"/>
        <v>1742505694.02</v>
      </c>
      <c r="F169">
        <f ca="1">SUM($E$2:E169)/SUM($D$2:D169)</f>
        <v>95.796716890680557</v>
      </c>
      <c r="G169">
        <f ca="1">_xlfn.STDEV.P($C$2:C169)</f>
        <v>5.3328283213150769</v>
      </c>
      <c r="H169">
        <f t="shared" ca="1" si="43"/>
        <v>101.12954521199563</v>
      </c>
      <c r="I169">
        <f t="shared" ca="1" si="44"/>
        <v>90.46388856936548</v>
      </c>
      <c r="J169">
        <f t="shared" ca="1" si="53"/>
        <v>103.28800000000001</v>
      </c>
      <c r="K169">
        <f t="shared" ca="1" si="54"/>
        <v>1.9563220055690431</v>
      </c>
      <c r="L169">
        <f t="shared" ca="1" si="55"/>
        <v>107.2006440111381</v>
      </c>
      <c r="M169">
        <f t="shared" ca="1" si="56"/>
        <v>99.375355988861926</v>
      </c>
      <c r="N169">
        <f t="shared" ca="1" si="45"/>
        <v>-2.5600000000000023</v>
      </c>
      <c r="O169">
        <f t="shared" ca="1" si="46"/>
        <v>0</v>
      </c>
      <c r="P169">
        <f t="shared" ca="1" si="47"/>
        <v>2.5600000000000023</v>
      </c>
      <c r="Q169">
        <f t="shared" ca="1" si="51"/>
        <v>0.66733629734851996</v>
      </c>
      <c r="R169">
        <f t="shared" ca="1" si="52"/>
        <v>0.40937260716319596</v>
      </c>
      <c r="S169">
        <f t="shared" ca="1" si="49"/>
        <v>1.6301439951561953</v>
      </c>
      <c r="T169">
        <f t="shared" ca="1" si="50"/>
        <v>61.9792679852643</v>
      </c>
      <c r="U169">
        <f>70</f>
        <v>70</v>
      </c>
      <c r="V169">
        <f>30</f>
        <v>30</v>
      </c>
      <c r="W169">
        <f t="shared" ca="1" si="48"/>
        <v>104.39235173429503</v>
      </c>
      <c r="X169">
        <f t="shared" ca="1" si="58"/>
        <v>103.18273730468935</v>
      </c>
      <c r="Y169">
        <f t="shared" ca="1" si="57"/>
        <v>1.3862645044489454</v>
      </c>
      <c r="Z169">
        <f t="shared" ca="1" si="59"/>
        <v>0.89623056047076677</v>
      </c>
      <c r="AA169">
        <f t="shared" ca="1" si="60"/>
        <v>0.49003394397817868</v>
      </c>
      <c r="AB169">
        <f t="shared" ca="1" si="61"/>
        <v>99.431399999999982</v>
      </c>
    </row>
    <row r="170" spans="1:28" x14ac:dyDescent="0.25">
      <c r="A170" s="20">
        <f t="shared" ca="1" si="41"/>
        <v>45943</v>
      </c>
      <c r="B170" vm="496">
        <f ca="1"/>
        <v>45947</v>
      </c>
      <c r="C170" vm="497">
        <f ca="1"/>
        <v>107.73</v>
      </c>
      <c r="D170" vm="498">
        <f ca="1"/>
        <v>13735594</v>
      </c>
      <c r="E170">
        <f t="shared" ca="1" si="42"/>
        <v>1479735541.6200001</v>
      </c>
      <c r="F170">
        <f ca="1">SUM($E$2:E170)/SUM($D$2:D170)</f>
        <v>95.847065332495745</v>
      </c>
      <c r="G170">
        <f ca="1">_xlfn.STDEV.P($C$2:C170)</f>
        <v>5.3831293553847219</v>
      </c>
      <c r="H170">
        <f t="shared" ca="1" si="43"/>
        <v>101.23019468788047</v>
      </c>
      <c r="I170">
        <f t="shared" ca="1" si="44"/>
        <v>90.463935977111021</v>
      </c>
      <c r="J170">
        <f t="shared" ca="1" si="53"/>
        <v>103.55800000000002</v>
      </c>
      <c r="K170">
        <f t="shared" ca="1" si="54"/>
        <v>2.1773030154419555</v>
      </c>
      <c r="L170">
        <f t="shared" ca="1" si="55"/>
        <v>107.91260603088394</v>
      </c>
      <c r="M170">
        <f t="shared" ca="1" si="56"/>
        <v>99.203393969116107</v>
      </c>
      <c r="N170">
        <f t="shared" ca="1" si="45"/>
        <v>1.2600000000000051</v>
      </c>
      <c r="O170">
        <f t="shared" ca="1" si="46"/>
        <v>1.2600000000000051</v>
      </c>
      <c r="P170">
        <f t="shared" ca="1" si="47"/>
        <v>0</v>
      </c>
      <c r="Q170">
        <f t="shared" ca="1" si="51"/>
        <v>0.70966941896648328</v>
      </c>
      <c r="R170">
        <f t="shared" ca="1" si="52"/>
        <v>0.38013170665153911</v>
      </c>
      <c r="S170">
        <f t="shared" ca="1" si="49"/>
        <v>1.8669040402278947</v>
      </c>
      <c r="T170">
        <f t="shared" ca="1" si="50"/>
        <v>65.119167367718788</v>
      </c>
      <c r="U170">
        <f>70</f>
        <v>70</v>
      </c>
      <c r="V170">
        <f>30</f>
        <v>30</v>
      </c>
      <c r="W170">
        <f t="shared" ca="1" si="48"/>
        <v>104.90583608286502</v>
      </c>
      <c r="X170">
        <f t="shared" ca="1" si="58"/>
        <v>103.51957157841608</v>
      </c>
      <c r="Y170">
        <f t="shared" ca="1" si="57"/>
        <v>1.4546226599022418</v>
      </c>
      <c r="Z170">
        <f t="shared" ca="1" si="59"/>
        <v>1.0079089803570618</v>
      </c>
      <c r="AA170">
        <f t="shared" ca="1" si="60"/>
        <v>0.44671367954518004</v>
      </c>
      <c r="AB170">
        <f t="shared" ca="1" si="61"/>
        <v>99.53289999999997</v>
      </c>
    </row>
    <row r="171" spans="1:28" x14ac:dyDescent="0.25">
      <c r="A171" s="20">
        <f t="shared" ca="1" si="41"/>
        <v>45950</v>
      </c>
      <c r="B171" vm="499">
        <f ca="1"/>
        <v>45950</v>
      </c>
      <c r="C171" vm="500">
        <f ca="1"/>
        <v>107.05</v>
      </c>
      <c r="D171" vm="501">
        <f ca="1"/>
        <v>10581220</v>
      </c>
      <c r="E171">
        <f t="shared" ca="1" si="42"/>
        <v>1132719601</v>
      </c>
      <c r="F171">
        <f ca="1">SUM($E$2:E171)/SUM($D$2:D171)</f>
        <v>95.883359507048496</v>
      </c>
      <c r="G171">
        <f ca="1">_xlfn.STDEV.P($C$2:C171)</f>
        <v>5.4238826058914054</v>
      </c>
      <c r="H171">
        <f t="shared" ca="1" si="43"/>
        <v>101.3072421129399</v>
      </c>
      <c r="I171">
        <f t="shared" ca="1" si="44"/>
        <v>90.459476901157089</v>
      </c>
      <c r="J171">
        <f t="shared" ca="1" si="53"/>
        <v>103.76950000000002</v>
      </c>
      <c r="K171">
        <f t="shared" ca="1" si="54"/>
        <v>2.3036252322212301</v>
      </c>
      <c r="L171">
        <f t="shared" ca="1" si="55"/>
        <v>108.37675046444248</v>
      </c>
      <c r="M171">
        <f t="shared" ca="1" si="56"/>
        <v>99.162249535557564</v>
      </c>
      <c r="N171">
        <f t="shared" ca="1" si="45"/>
        <v>-0.68000000000000682</v>
      </c>
      <c r="O171">
        <f t="shared" ca="1" si="46"/>
        <v>0</v>
      </c>
      <c r="P171">
        <f t="shared" ca="1" si="47"/>
        <v>0.68000000000000682</v>
      </c>
      <c r="Q171">
        <f t="shared" ca="1" si="51"/>
        <v>0.65897874618316299</v>
      </c>
      <c r="R171">
        <f t="shared" ca="1" si="52"/>
        <v>0.40155087046214394</v>
      </c>
      <c r="S171">
        <f t="shared" ca="1" si="49"/>
        <v>1.6410840933422606</v>
      </c>
      <c r="T171">
        <f t="shared" ca="1" si="50"/>
        <v>62.136760335619911</v>
      </c>
      <c r="U171">
        <f>70</f>
        <v>70</v>
      </c>
      <c r="V171">
        <f>30</f>
        <v>30</v>
      </c>
      <c r="W171">
        <f t="shared" ca="1" si="48"/>
        <v>105.23570745473194</v>
      </c>
      <c r="X171">
        <f t="shared" ca="1" si="58"/>
        <v>103.7810847948297</v>
      </c>
      <c r="Y171">
        <f t="shared" ca="1" si="57"/>
        <v>1.4253918966829957</v>
      </c>
      <c r="Z171">
        <f t="shared" ca="1" si="59"/>
        <v>1.0914055636222486</v>
      </c>
      <c r="AA171">
        <f t="shared" ca="1" si="60"/>
        <v>0.3339863330607471</v>
      </c>
      <c r="AB171">
        <f t="shared" ca="1" si="61"/>
        <v>99.630999999999943</v>
      </c>
    </row>
    <row r="172" spans="1:28" x14ac:dyDescent="0.25">
      <c r="A172" s="20">
        <f t="shared" ca="1" si="41"/>
        <v>45950</v>
      </c>
      <c r="B172" vm="502">
        <f ca="1"/>
        <v>45951</v>
      </c>
      <c r="C172" vm="503">
        <f ca="1"/>
        <v>106.22</v>
      </c>
      <c r="D172" vm="504">
        <f ca="1"/>
        <v>10899733</v>
      </c>
      <c r="E172">
        <f t="shared" ca="1" si="42"/>
        <v>1157769639.26</v>
      </c>
      <c r="F172">
        <f ca="1">SUM($E$2:E172)/SUM($D$2:D172)</f>
        <v>95.917740445195022</v>
      </c>
      <c r="G172">
        <f ca="1">_xlfn.STDEV.P($C$2:C172)</f>
        <v>5.4545958275952851</v>
      </c>
      <c r="H172">
        <f t="shared" ca="1" si="43"/>
        <v>101.37233627279031</v>
      </c>
      <c r="I172">
        <f t="shared" ca="1" si="44"/>
        <v>90.463144617599738</v>
      </c>
      <c r="J172">
        <f t="shared" ca="1" si="53"/>
        <v>103.95450000000001</v>
      </c>
      <c r="K172">
        <f t="shared" ca="1" si="54"/>
        <v>2.3461760040766895</v>
      </c>
      <c r="L172">
        <f t="shared" ca="1" si="55"/>
        <v>108.64685200815339</v>
      </c>
      <c r="M172">
        <f t="shared" ca="1" si="56"/>
        <v>99.262147991846632</v>
      </c>
      <c r="N172">
        <f t="shared" ca="1" si="45"/>
        <v>-0.82999999999999829</v>
      </c>
      <c r="O172">
        <f t="shared" ca="1" si="46"/>
        <v>0</v>
      </c>
      <c r="P172">
        <f t="shared" ca="1" si="47"/>
        <v>0.82999999999999829</v>
      </c>
      <c r="Q172">
        <f t="shared" ca="1" si="51"/>
        <v>0.61190883574150845</v>
      </c>
      <c r="R172">
        <f t="shared" ca="1" si="52"/>
        <v>0.43215437971484782</v>
      </c>
      <c r="S172">
        <f t="shared" ca="1" si="49"/>
        <v>1.4159496338907165</v>
      </c>
      <c r="T172">
        <f t="shared" ca="1" si="50"/>
        <v>58.608408636831946</v>
      </c>
      <c r="U172">
        <f>70</f>
        <v>70</v>
      </c>
      <c r="V172">
        <f>30</f>
        <v>30</v>
      </c>
      <c r="W172">
        <f t="shared" ca="1" si="48"/>
        <v>105.38713707708087</v>
      </c>
      <c r="X172">
        <f t="shared" ca="1" si="58"/>
        <v>103.96174518039787</v>
      </c>
      <c r="Y172">
        <f t="shared" ca="1" si="57"/>
        <v>1.4596368326601379</v>
      </c>
      <c r="Z172">
        <f t="shared" ca="1" si="59"/>
        <v>1.1650518174298266</v>
      </c>
      <c r="AA172">
        <f t="shared" ca="1" si="60"/>
        <v>0.29458501523031133</v>
      </c>
      <c r="AB172">
        <f t="shared" ca="1" si="61"/>
        <v>99.722199999999958</v>
      </c>
    </row>
    <row r="173" spans="1:28" x14ac:dyDescent="0.25">
      <c r="A173" s="20">
        <f t="shared" ca="1" si="41"/>
        <v>45950</v>
      </c>
      <c r="B173" vm="505">
        <f ca="1"/>
        <v>45952</v>
      </c>
      <c r="C173" vm="506">
        <f ca="1"/>
        <v>107.14</v>
      </c>
      <c r="D173" vm="507">
        <f ca="1"/>
        <v>12296490</v>
      </c>
      <c r="E173">
        <f t="shared" ca="1" si="42"/>
        <v>1317445938.5999999</v>
      </c>
      <c r="F173">
        <f ca="1">SUM($E$2:E173)/SUM($D$2:D173)</f>
        <v>95.959692896846533</v>
      </c>
      <c r="G173">
        <f ca="1">_xlfn.STDEV.P($C$2:C173)</f>
        <v>5.4936818579413256</v>
      </c>
      <c r="H173">
        <f t="shared" ca="1" si="43"/>
        <v>101.45337475478786</v>
      </c>
      <c r="I173">
        <f t="shared" ca="1" si="44"/>
        <v>90.466011038905208</v>
      </c>
      <c r="J173">
        <f t="shared" ca="1" si="53"/>
        <v>104.175</v>
      </c>
      <c r="K173">
        <f t="shared" ca="1" si="54"/>
        <v>2.4307449583680265</v>
      </c>
      <c r="L173">
        <f t="shared" ca="1" si="55"/>
        <v>109.03648991673604</v>
      </c>
      <c r="M173">
        <f t="shared" ca="1" si="56"/>
        <v>99.313510083263949</v>
      </c>
      <c r="N173">
        <f t="shared" ca="1" si="45"/>
        <v>0.92000000000000171</v>
      </c>
      <c r="O173">
        <f t="shared" ca="1" si="46"/>
        <v>0.92000000000000171</v>
      </c>
      <c r="P173">
        <f t="shared" ca="1" si="47"/>
        <v>0</v>
      </c>
      <c r="Q173">
        <f t="shared" ca="1" si="51"/>
        <v>0.63391534747425793</v>
      </c>
      <c r="R173">
        <f t="shared" ca="1" si="52"/>
        <v>0.40128620973521584</v>
      </c>
      <c r="S173">
        <f t="shared" ca="1" si="49"/>
        <v>1.5797087766672564</v>
      </c>
      <c r="T173">
        <f t="shared" ca="1" si="50"/>
        <v>61.235934495989625</v>
      </c>
      <c r="U173">
        <f>70</f>
        <v>70</v>
      </c>
      <c r="V173">
        <f>30</f>
        <v>30</v>
      </c>
      <c r="W173">
        <f t="shared" ca="1" si="48"/>
        <v>105.6568082959915</v>
      </c>
      <c r="X173">
        <f t="shared" ca="1" si="58"/>
        <v>104.19717146333136</v>
      </c>
      <c r="Y173">
        <f t="shared" ca="1" si="57"/>
        <v>1.4474966903896842</v>
      </c>
      <c r="Z173">
        <f t="shared" ca="1" si="59"/>
        <v>1.2215407920217982</v>
      </c>
      <c r="AA173">
        <f t="shared" ca="1" si="60"/>
        <v>0.22595589836788599</v>
      </c>
      <c r="AB173">
        <f t="shared" ca="1" si="61"/>
        <v>99.806399999999954</v>
      </c>
    </row>
    <row r="174" spans="1:28" x14ac:dyDescent="0.25">
      <c r="A174" s="20">
        <f t="shared" ca="1" si="41"/>
        <v>45950</v>
      </c>
      <c r="B174" vm="508">
        <f ca="1"/>
        <v>45953</v>
      </c>
      <c r="C174" vm="509">
        <f ca="1"/>
        <v>106.86</v>
      </c>
      <c r="D174" vm="510">
        <f ca="1"/>
        <v>11408241</v>
      </c>
      <c r="E174">
        <f t="shared" ca="1" si="42"/>
        <v>1219084633.26</v>
      </c>
      <c r="F174">
        <f ca="1">SUM($E$2:E174)/SUM($D$2:D174)</f>
        <v>95.997367583267959</v>
      </c>
      <c r="G174">
        <f ca="1">_xlfn.STDEV.P($C$2:C174)</f>
        <v>5.5285114360243961</v>
      </c>
      <c r="H174">
        <f t="shared" ca="1" si="43"/>
        <v>101.52587901929236</v>
      </c>
      <c r="I174">
        <f t="shared" ca="1" si="44"/>
        <v>90.468856147243557</v>
      </c>
      <c r="J174">
        <f t="shared" ca="1" si="53"/>
        <v>104.3655</v>
      </c>
      <c r="K174">
        <f t="shared" ca="1" si="54"/>
        <v>2.4865924157580115</v>
      </c>
      <c r="L174">
        <f t="shared" ca="1" si="55"/>
        <v>109.33868483151602</v>
      </c>
      <c r="M174">
        <f t="shared" ca="1" si="56"/>
        <v>99.392315168483975</v>
      </c>
      <c r="N174">
        <f t="shared" ca="1" si="45"/>
        <v>-0.28000000000000114</v>
      </c>
      <c r="O174">
        <f t="shared" ca="1" si="46"/>
        <v>0</v>
      </c>
      <c r="P174">
        <f t="shared" ca="1" si="47"/>
        <v>0.28000000000000114</v>
      </c>
      <c r="Q174">
        <f t="shared" ca="1" si="51"/>
        <v>0.58863567979752518</v>
      </c>
      <c r="R174">
        <f t="shared" ca="1" si="52"/>
        <v>0.39262290903984332</v>
      </c>
      <c r="S174">
        <f t="shared" ca="1" si="49"/>
        <v>1.4992392604828633</v>
      </c>
      <c r="T174">
        <f t="shared" ca="1" si="50"/>
        <v>59.987824462760884</v>
      </c>
      <c r="U174">
        <f>70</f>
        <v>70</v>
      </c>
      <c r="V174">
        <f>30</f>
        <v>30</v>
      </c>
      <c r="W174">
        <f t="shared" ca="1" si="48"/>
        <v>105.8419147119928</v>
      </c>
      <c r="X174">
        <f t="shared" ca="1" si="58"/>
        <v>104.39441802160312</v>
      </c>
      <c r="Y174">
        <f t="shared" ca="1" si="57"/>
        <v>1.366446759090735</v>
      </c>
      <c r="Z174">
        <f t="shared" ca="1" si="59"/>
        <v>1.2505219854355856</v>
      </c>
      <c r="AA174">
        <f t="shared" ca="1" si="60"/>
        <v>0.11592477365514942</v>
      </c>
      <c r="AB174">
        <f t="shared" ca="1" si="61"/>
        <v>99.877299999999963</v>
      </c>
    </row>
    <row r="175" spans="1:28" x14ac:dyDescent="0.25">
      <c r="A175" s="20">
        <f t="shared" ca="1" si="41"/>
        <v>45950</v>
      </c>
      <c r="B175" vm="511">
        <f ca="1"/>
        <v>45954</v>
      </c>
      <c r="C175" vm="512">
        <f ca="1"/>
        <v>106.17</v>
      </c>
      <c r="D175" vm="513">
        <f ca="1"/>
        <v>10317959</v>
      </c>
      <c r="E175">
        <f t="shared" ca="1" si="42"/>
        <v>1095457707.03</v>
      </c>
      <c r="F175">
        <f ca="1">SUM($E$2:E175)/SUM($D$2:D175)</f>
        <v>96.029067921571908</v>
      </c>
      <c r="G175">
        <f ca="1">_xlfn.STDEV.P($C$2:C175)</f>
        <v>5.5554466839642744</v>
      </c>
      <c r="H175">
        <f t="shared" ca="1" si="43"/>
        <v>101.58451460553619</v>
      </c>
      <c r="I175">
        <f t="shared" ca="1" si="44"/>
        <v>90.473621237607631</v>
      </c>
      <c r="J175">
        <f t="shared" ca="1" si="53"/>
        <v>104.51600000000001</v>
      </c>
      <c r="K175">
        <f t="shared" ca="1" si="54"/>
        <v>2.5008385961933901</v>
      </c>
      <c r="L175">
        <f t="shared" ca="1" si="55"/>
        <v>109.51767719238678</v>
      </c>
      <c r="M175">
        <f t="shared" ca="1" si="56"/>
        <v>99.514322807613226</v>
      </c>
      <c r="N175">
        <f t="shared" ca="1" si="45"/>
        <v>-0.68999999999999773</v>
      </c>
      <c r="O175">
        <f t="shared" ca="1" si="46"/>
        <v>0</v>
      </c>
      <c r="P175">
        <f t="shared" ca="1" si="47"/>
        <v>0.68999999999999773</v>
      </c>
      <c r="Q175">
        <f t="shared" ca="1" si="51"/>
        <v>0.54659027409770189</v>
      </c>
      <c r="R175">
        <f t="shared" ca="1" si="52"/>
        <v>0.41386412982271148</v>
      </c>
      <c r="S175">
        <f t="shared" ca="1" si="49"/>
        <v>1.320699801482788</v>
      </c>
      <c r="T175">
        <f t="shared" ca="1" si="50"/>
        <v>56.909549466024863</v>
      </c>
      <c r="U175">
        <f>70</f>
        <v>70</v>
      </c>
      <c r="V175">
        <f>30</f>
        <v>30</v>
      </c>
      <c r="W175">
        <f t="shared" ca="1" si="48"/>
        <v>105.89238937168621</v>
      </c>
      <c r="X175">
        <f t="shared" ca="1" si="58"/>
        <v>104.52594261259547</v>
      </c>
      <c r="Y175">
        <f t="shared" ca="1" si="57"/>
        <v>1.151761522214457</v>
      </c>
      <c r="Z175">
        <f t="shared" ca="1" si="59"/>
        <v>1.23076989279136</v>
      </c>
      <c r="AA175">
        <f t="shared" ca="1" si="60"/>
        <v>-7.9008370576902909E-2</v>
      </c>
      <c r="AB175">
        <f t="shared" ca="1" si="61"/>
        <v>99.939199999999971</v>
      </c>
    </row>
    <row r="176" spans="1:28" x14ac:dyDescent="0.25">
      <c r="A176" s="20">
        <f t="shared" ca="1" si="41"/>
        <v>45957</v>
      </c>
      <c r="B176" vm="514">
        <f ca="1"/>
        <v>45957</v>
      </c>
      <c r="C176" vm="515">
        <f ca="1"/>
        <v>104.47</v>
      </c>
      <c r="D176" vm="516">
        <f ca="1"/>
        <v>16375860</v>
      </c>
      <c r="E176">
        <f t="shared" ca="1" si="42"/>
        <v>1710786094.2</v>
      </c>
      <c r="F176">
        <f ca="1">SUM($E$2:E176)/SUM($D$2:D176)</f>
        <v>96.070610037103734</v>
      </c>
      <c r="G176">
        <f ca="1">_xlfn.STDEV.P($C$2:C176)</f>
        <v>5.5672424273510801</v>
      </c>
      <c r="H176">
        <f t="shared" ca="1" si="43"/>
        <v>101.63785246445481</v>
      </c>
      <c r="I176">
        <f t="shared" ca="1" si="44"/>
        <v>90.503367609752658</v>
      </c>
      <c r="J176">
        <f t="shared" ca="1" si="53"/>
        <v>104.5855</v>
      </c>
      <c r="K176">
        <f t="shared" ca="1" si="54"/>
        <v>2.4780414061363696</v>
      </c>
      <c r="L176">
        <f t="shared" ca="1" si="55"/>
        <v>109.54158281227274</v>
      </c>
      <c r="M176">
        <f t="shared" ca="1" si="56"/>
        <v>99.629417187727256</v>
      </c>
      <c r="N176">
        <f t="shared" ca="1" si="45"/>
        <v>-1.7000000000000028</v>
      </c>
      <c r="O176">
        <f t="shared" ca="1" si="46"/>
        <v>0</v>
      </c>
      <c r="P176">
        <f t="shared" ca="1" si="47"/>
        <v>1.7000000000000028</v>
      </c>
      <c r="Q176">
        <f t="shared" ca="1" si="51"/>
        <v>0.50754811166215175</v>
      </c>
      <c r="R176">
        <f t="shared" ca="1" si="52"/>
        <v>0.50573097769251796</v>
      </c>
      <c r="S176">
        <f t="shared" ca="1" si="49"/>
        <v>1.0035930841688299</v>
      </c>
      <c r="T176">
        <f t="shared" ca="1" si="50"/>
        <v>50.08966601545044</v>
      </c>
      <c r="U176">
        <f>70</f>
        <v>70</v>
      </c>
      <c r="V176">
        <f>30</f>
        <v>30</v>
      </c>
      <c r="W176">
        <f t="shared" ca="1" si="48"/>
        <v>105.67356023758063</v>
      </c>
      <c r="X176">
        <f t="shared" ca="1" si="58"/>
        <v>104.52179871536617</v>
      </c>
      <c r="Y176">
        <f t="shared" ca="1" si="57"/>
        <v>0.8667316469157953</v>
      </c>
      <c r="Z176">
        <f t="shared" ca="1" si="59"/>
        <v>1.1579622436162471</v>
      </c>
      <c r="AA176">
        <f t="shared" ca="1" si="60"/>
        <v>-0.29123059670045182</v>
      </c>
      <c r="AB176">
        <f t="shared" ca="1" si="61"/>
        <v>99.990399999999951</v>
      </c>
    </row>
    <row r="177" spans="1:28" x14ac:dyDescent="0.25">
      <c r="A177" s="20">
        <f t="shared" ca="1" si="41"/>
        <v>45957</v>
      </c>
      <c r="B177" vm="517">
        <f ca="1"/>
        <v>45958</v>
      </c>
      <c r="C177" vm="518">
        <f ca="1"/>
        <v>103.17</v>
      </c>
      <c r="D177" vm="519">
        <f ca="1"/>
        <v>13322994</v>
      </c>
      <c r="E177">
        <f t="shared" ca="1" si="42"/>
        <v>1374533290.98</v>
      </c>
      <c r="F177">
        <f ca="1">SUM($E$2:E177)/SUM($D$2:D177)</f>
        <v>96.098922751030187</v>
      </c>
      <c r="G177">
        <f ca="1">_xlfn.STDEV.P($C$2:C177)</f>
        <v>5.5697859458828889</v>
      </c>
      <c r="H177">
        <f t="shared" ca="1" si="43"/>
        <v>101.66870869691307</v>
      </c>
      <c r="I177">
        <f t="shared" ca="1" si="44"/>
        <v>90.529136805147303</v>
      </c>
      <c r="J177">
        <f t="shared" ca="1" si="53"/>
        <v>104.59100000000001</v>
      </c>
      <c r="K177">
        <f t="shared" ca="1" si="54"/>
        <v>2.47459704322053</v>
      </c>
      <c r="L177">
        <f t="shared" ca="1" si="55"/>
        <v>109.54019408644106</v>
      </c>
      <c r="M177">
        <f t="shared" ca="1" si="56"/>
        <v>99.641805913558954</v>
      </c>
      <c r="N177">
        <f t="shared" ca="1" si="45"/>
        <v>-1.2999999999999972</v>
      </c>
      <c r="O177">
        <f t="shared" ca="1" si="46"/>
        <v>0</v>
      </c>
      <c r="P177">
        <f t="shared" ca="1" si="47"/>
        <v>1.2999999999999972</v>
      </c>
      <c r="Q177">
        <f t="shared" ca="1" si="51"/>
        <v>0.47129467511485518</v>
      </c>
      <c r="R177">
        <f t="shared" ca="1" si="52"/>
        <v>0.56246447928590937</v>
      </c>
      <c r="S177">
        <f t="shared" ca="1" si="49"/>
        <v>0.8379101124984798</v>
      </c>
      <c r="T177">
        <f t="shared" ca="1" si="50"/>
        <v>45.590375002584508</v>
      </c>
      <c r="U177">
        <f>70</f>
        <v>70</v>
      </c>
      <c r="V177">
        <f>30</f>
        <v>30</v>
      </c>
      <c r="W177">
        <f t="shared" ca="1" si="48"/>
        <v>105.28839712410669</v>
      </c>
      <c r="X177">
        <f t="shared" ca="1" si="58"/>
        <v>104.4216654771909</v>
      </c>
      <c r="Y177">
        <f t="shared" ca="1" si="57"/>
        <v>0.57690218168843899</v>
      </c>
      <c r="Z177">
        <f t="shared" ca="1" si="59"/>
        <v>1.0417502312306857</v>
      </c>
      <c r="AA177">
        <f t="shared" ca="1" si="60"/>
        <v>-0.46484804954224668</v>
      </c>
      <c r="AB177">
        <f t="shared" ca="1" si="61"/>
        <v>100.04249999999996</v>
      </c>
    </row>
    <row r="178" spans="1:28" x14ac:dyDescent="0.25">
      <c r="A178" s="20">
        <f t="shared" ca="1" si="41"/>
        <v>45957</v>
      </c>
      <c r="B178" vm="520">
        <f ca="1"/>
        <v>45959</v>
      </c>
      <c r="C178" vm="521">
        <f ca="1"/>
        <v>102.46</v>
      </c>
      <c r="D178" vm="522">
        <f ca="1"/>
        <v>11986407</v>
      </c>
      <c r="E178">
        <f t="shared" ca="1" si="42"/>
        <v>1228127261.22</v>
      </c>
      <c r="F178">
        <f ca="1">SUM($E$2:E178)/SUM($D$2:D178)</f>
        <v>96.121664448791378</v>
      </c>
      <c r="G178">
        <f ca="1">_xlfn.STDEV.P($C$2:C178)</f>
        <v>5.5680646193239012</v>
      </c>
      <c r="H178">
        <f t="shared" ca="1" si="43"/>
        <v>101.68972906811528</v>
      </c>
      <c r="I178">
        <f t="shared" ca="1" si="44"/>
        <v>90.553599829467473</v>
      </c>
      <c r="J178">
        <f t="shared" ca="1" si="53"/>
        <v>104.61600000000001</v>
      </c>
      <c r="K178">
        <f t="shared" ca="1" si="54"/>
        <v>2.4490114009749449</v>
      </c>
      <c r="L178">
        <f t="shared" ca="1" si="55"/>
        <v>109.51402280194991</v>
      </c>
      <c r="M178">
        <f t="shared" ca="1" si="56"/>
        <v>99.717977198050122</v>
      </c>
      <c r="N178">
        <f t="shared" ca="1" si="45"/>
        <v>-0.71000000000000796</v>
      </c>
      <c r="O178">
        <f t="shared" ca="1" si="46"/>
        <v>0</v>
      </c>
      <c r="P178">
        <f t="shared" ca="1" si="47"/>
        <v>0.71000000000000796</v>
      </c>
      <c r="Q178">
        <f t="shared" ca="1" si="51"/>
        <v>0.43763076974950837</v>
      </c>
      <c r="R178">
        <f t="shared" ca="1" si="52"/>
        <v>0.57300273076548791</v>
      </c>
      <c r="S178">
        <f t="shared" ca="1" si="49"/>
        <v>0.76374988503958274</v>
      </c>
      <c r="T178">
        <f t="shared" ca="1" si="50"/>
        <v>43.302618558211407</v>
      </c>
      <c r="U178">
        <f>70</f>
        <v>70</v>
      </c>
      <c r="V178">
        <f>30</f>
        <v>30</v>
      </c>
      <c r="W178">
        <f t="shared" ca="1" si="48"/>
        <v>104.85325910501335</v>
      </c>
      <c r="X178">
        <f t="shared" ca="1" si="58"/>
        <v>104.27635692332491</v>
      </c>
      <c r="Y178">
        <f t="shared" ca="1" si="57"/>
        <v>0.32490585216058321</v>
      </c>
      <c r="Z178">
        <f t="shared" ca="1" si="59"/>
        <v>0.89838135541666519</v>
      </c>
      <c r="AA178">
        <f t="shared" ca="1" si="60"/>
        <v>-0.57347550325608199</v>
      </c>
      <c r="AB178">
        <f t="shared" ca="1" si="61"/>
        <v>100.09239999999994</v>
      </c>
    </row>
    <row r="179" spans="1:28" x14ac:dyDescent="0.25">
      <c r="A179" s="20">
        <f t="shared" ca="1" si="41"/>
        <v>45957</v>
      </c>
      <c r="B179" vm="523">
        <f ca="1"/>
        <v>45960</v>
      </c>
      <c r="C179" vm="524">
        <f ca="1"/>
        <v>102.23</v>
      </c>
      <c r="D179" vm="525">
        <f ca="1"/>
        <v>14065077</v>
      </c>
      <c r="E179">
        <f t="shared" ca="1" si="42"/>
        <v>1437872821.71</v>
      </c>
      <c r="F179">
        <f ca="1">SUM($E$2:E179)/SUM($D$2:D179)</f>
        <v>96.147182651533754</v>
      </c>
      <c r="G179">
        <f ca="1">_xlfn.STDEV.P($C$2:C179)</f>
        <v>5.5650219541759958</v>
      </c>
      <c r="H179">
        <f t="shared" ca="1" si="43"/>
        <v>101.71220460570974</v>
      </c>
      <c r="I179">
        <f t="shared" ca="1" si="44"/>
        <v>90.582160697357764</v>
      </c>
      <c r="J179">
        <f t="shared" ca="1" si="53"/>
        <v>104.6425</v>
      </c>
      <c r="K179">
        <f t="shared" ca="1" si="54"/>
        <v>2.4184746715320595</v>
      </c>
      <c r="L179">
        <f t="shared" ca="1" si="55"/>
        <v>109.47944934306412</v>
      </c>
      <c r="M179">
        <f t="shared" ca="1" si="56"/>
        <v>99.805550656935878</v>
      </c>
      <c r="N179">
        <f t="shared" ca="1" si="45"/>
        <v>-0.22999999999998977</v>
      </c>
      <c r="O179">
        <f t="shared" ca="1" si="46"/>
        <v>0</v>
      </c>
      <c r="P179">
        <f t="shared" ca="1" si="47"/>
        <v>0.22999999999998977</v>
      </c>
      <c r="Q179">
        <f t="shared" ca="1" si="51"/>
        <v>0.40637142905311491</v>
      </c>
      <c r="R179">
        <f t="shared" ca="1" si="52"/>
        <v>0.54850253571080942</v>
      </c>
      <c r="S179">
        <f t="shared" ca="1" si="49"/>
        <v>0.74087429427558527</v>
      </c>
      <c r="T179">
        <f t="shared" ca="1" si="50"/>
        <v>42.557598599264672</v>
      </c>
      <c r="U179">
        <f>70</f>
        <v>70</v>
      </c>
      <c r="V179">
        <f>30</f>
        <v>30</v>
      </c>
      <c r="W179">
        <f t="shared" ca="1" si="48"/>
        <v>104.44968078116514</v>
      </c>
      <c r="X179">
        <f t="shared" ca="1" si="58"/>
        <v>104.12477492900456</v>
      </c>
      <c r="Y179">
        <f t="shared" ca="1" si="57"/>
        <v>4.0009515896201719E-2</v>
      </c>
      <c r="Z179">
        <f t="shared" ca="1" si="59"/>
        <v>0.72670698751257257</v>
      </c>
      <c r="AA179">
        <f t="shared" ca="1" si="60"/>
        <v>-0.68669747161637085</v>
      </c>
      <c r="AB179">
        <f t="shared" ca="1" si="61"/>
        <v>100.14019999999995</v>
      </c>
    </row>
    <row r="180" spans="1:28" x14ac:dyDescent="0.25">
      <c r="A180" s="20">
        <f t="shared" ca="1" si="41"/>
        <v>45957</v>
      </c>
      <c r="B180" vm="526">
        <f ca="1"/>
        <v>45961</v>
      </c>
      <c r="C180" vm="527">
        <f ca="1"/>
        <v>101.18</v>
      </c>
      <c r="D180" vm="528">
        <f ca="1"/>
        <v>20237018</v>
      </c>
      <c r="E180">
        <f t="shared" ca="1" si="42"/>
        <v>2047581481.2400002</v>
      </c>
      <c r="F180">
        <f ca="1">SUM($E$2:E180)/SUM($D$2:D180)</f>
        <v>96.177253115662822</v>
      </c>
      <c r="G180">
        <f ca="1">_xlfn.STDEV.P($C$2:C180)</f>
        <v>5.557193776680549</v>
      </c>
      <c r="H180">
        <f t="shared" ca="1" si="43"/>
        <v>101.73444689234337</v>
      </c>
      <c r="I180">
        <f t="shared" ca="1" si="44"/>
        <v>90.620059338982273</v>
      </c>
      <c r="J180">
        <f t="shared" ca="1" si="53"/>
        <v>104.598</v>
      </c>
      <c r="K180">
        <f t="shared" ca="1" si="54"/>
        <v>2.4758084272457448</v>
      </c>
      <c r="L180">
        <f t="shared" ca="1" si="55"/>
        <v>109.54961685449149</v>
      </c>
      <c r="M180">
        <f t="shared" ca="1" si="56"/>
        <v>99.646383145508509</v>
      </c>
      <c r="N180">
        <f t="shared" ca="1" si="45"/>
        <v>-1.0499999999999972</v>
      </c>
      <c r="O180">
        <f t="shared" ca="1" si="46"/>
        <v>0</v>
      </c>
      <c r="P180">
        <f t="shared" ca="1" si="47"/>
        <v>1.0499999999999972</v>
      </c>
      <c r="Q180">
        <f t="shared" ca="1" si="51"/>
        <v>0.37734489840646385</v>
      </c>
      <c r="R180">
        <f t="shared" ca="1" si="52"/>
        <v>0.58432378316003708</v>
      </c>
      <c r="S180">
        <f t="shared" ca="1" si="49"/>
        <v>0.64578048897098383</v>
      </c>
      <c r="T180">
        <f t="shared" ca="1" si="50"/>
        <v>39.238555402656097</v>
      </c>
      <c r="U180">
        <f>70</f>
        <v>70</v>
      </c>
      <c r="V180">
        <f>30</f>
        <v>30</v>
      </c>
      <c r="W180">
        <f t="shared" ca="1" si="48"/>
        <v>103.94665296867821</v>
      </c>
      <c r="X180">
        <f t="shared" ca="1" si="58"/>
        <v>103.90664345278201</v>
      </c>
      <c r="Y180">
        <f t="shared" ca="1" si="57"/>
        <v>-0.15094926056046631</v>
      </c>
      <c r="Z180">
        <f t="shared" ca="1" si="59"/>
        <v>0.55117573789796481</v>
      </c>
      <c r="AA180">
        <f t="shared" ca="1" si="60"/>
        <v>-0.70212499845843113</v>
      </c>
      <c r="AB180">
        <f t="shared" ca="1" si="61"/>
        <v>100.17879999999994</v>
      </c>
    </row>
    <row r="181" spans="1:28" x14ac:dyDescent="0.25">
      <c r="A181" s="20">
        <f t="shared" ca="1" si="41"/>
        <v>45964</v>
      </c>
      <c r="B181" vm="529">
        <f ca="1"/>
        <v>45964</v>
      </c>
      <c r="C181" vm="530">
        <f ca="1"/>
        <v>101.59</v>
      </c>
      <c r="D181" vm="531">
        <f ca="1"/>
        <v>14811687</v>
      </c>
      <c r="E181">
        <f t="shared" ca="1" si="42"/>
        <v>1504719282.3300002</v>
      </c>
      <c r="F181">
        <f ca="1">SUM($E$2:E181)/SUM($D$2:D181)</f>
        <v>96.200820404632069</v>
      </c>
      <c r="G181">
        <f ca="1">_xlfn.STDEV.P($C$2:C181)</f>
        <v>5.5510360994842909</v>
      </c>
      <c r="H181">
        <f t="shared" ca="1" si="43"/>
        <v>101.75185650411636</v>
      </c>
      <c r="I181">
        <f t="shared" ca="1" si="44"/>
        <v>90.649784305147776</v>
      </c>
      <c r="J181">
        <f t="shared" ca="1" si="53"/>
        <v>104.54250000000002</v>
      </c>
      <c r="K181">
        <f t="shared" ca="1" si="54"/>
        <v>2.5323899155166689</v>
      </c>
      <c r="L181">
        <f t="shared" ca="1" si="55"/>
        <v>109.60727983103335</v>
      </c>
      <c r="M181">
        <f t="shared" ca="1" si="56"/>
        <v>99.477720168966684</v>
      </c>
      <c r="N181">
        <f t="shared" ca="1" si="45"/>
        <v>0.40999999999999659</v>
      </c>
      <c r="O181">
        <f t="shared" ca="1" si="46"/>
        <v>0.40999999999999659</v>
      </c>
      <c r="P181">
        <f t="shared" ca="1" si="47"/>
        <v>0</v>
      </c>
      <c r="Q181">
        <f t="shared" ca="1" si="51"/>
        <v>0.37967740566314478</v>
      </c>
      <c r="R181">
        <f t="shared" ca="1" si="52"/>
        <v>0.54258637007717725</v>
      </c>
      <c r="S181">
        <f t="shared" ca="1" si="49"/>
        <v>0.69975477933428298</v>
      </c>
      <c r="T181">
        <f t="shared" ca="1" si="50"/>
        <v>41.167984219955848</v>
      </c>
      <c r="U181">
        <f>70</f>
        <v>70</v>
      </c>
      <c r="V181">
        <f>30</f>
        <v>30</v>
      </c>
      <c r="W181">
        <f t="shared" ca="1" si="48"/>
        <v>103.58409097349694</v>
      </c>
      <c r="X181">
        <f t="shared" ca="1" si="58"/>
        <v>103.73504023405741</v>
      </c>
      <c r="Y181">
        <f t="shared" ca="1" si="57"/>
        <v>-0.24459560381784229</v>
      </c>
      <c r="Z181">
        <f t="shared" ca="1" si="59"/>
        <v>0.39202146955480338</v>
      </c>
      <c r="AA181">
        <f t="shared" ca="1" si="60"/>
        <v>-0.63661707337264573</v>
      </c>
      <c r="AB181">
        <f t="shared" ca="1" si="61"/>
        <v>100.23669999999994</v>
      </c>
    </row>
    <row r="182" spans="1:28" x14ac:dyDescent="0.25">
      <c r="A182" s="20">
        <f t="shared" ca="1" si="41"/>
        <v>45964</v>
      </c>
      <c r="B182" vm="532">
        <f ca="1"/>
        <v>45965</v>
      </c>
      <c r="C182" vm="533">
        <f ca="1"/>
        <v>102.27</v>
      </c>
      <c r="D182" vm="534">
        <f ca="1"/>
        <v>12636350</v>
      </c>
      <c r="E182">
        <f t="shared" ca="1" si="42"/>
        <v>1292319514.5</v>
      </c>
      <c r="F182">
        <f ca="1">SUM($E$2:E182)/SUM($D$2:D182)</f>
        <v>96.223281389098432</v>
      </c>
      <c r="G182">
        <f ca="1">_xlfn.STDEV.P($C$2:C182)</f>
        <v>5.5479612974644725</v>
      </c>
      <c r="H182">
        <f t="shared" ca="1" si="43"/>
        <v>101.7712426865629</v>
      </c>
      <c r="I182">
        <f t="shared" ca="1" si="44"/>
        <v>90.675320091633964</v>
      </c>
      <c r="J182">
        <f t="shared" ca="1" si="53"/>
        <v>104.494</v>
      </c>
      <c r="K182">
        <f t="shared" ca="1" si="54"/>
        <v>2.5676907503579316</v>
      </c>
      <c r="L182">
        <f t="shared" ca="1" si="55"/>
        <v>109.62938150071587</v>
      </c>
      <c r="M182">
        <f t="shared" ca="1" si="56"/>
        <v>99.358618499284134</v>
      </c>
      <c r="N182">
        <f t="shared" ca="1" si="45"/>
        <v>0.67999999999999261</v>
      </c>
      <c r="O182">
        <f t="shared" ca="1" si="46"/>
        <v>0.67999999999999261</v>
      </c>
      <c r="P182">
        <f t="shared" ca="1" si="47"/>
        <v>0</v>
      </c>
      <c r="Q182">
        <f t="shared" ca="1" si="51"/>
        <v>0.40112901954434815</v>
      </c>
      <c r="R182">
        <f t="shared" ca="1" si="52"/>
        <v>0.50383020078595031</v>
      </c>
      <c r="S182">
        <f t="shared" ca="1" si="49"/>
        <v>0.79615914035841173</v>
      </c>
      <c r="T182">
        <f t="shared" ca="1" si="50"/>
        <v>44.325645900147997</v>
      </c>
      <c r="U182">
        <f>70</f>
        <v>70</v>
      </c>
      <c r="V182">
        <f>30</f>
        <v>30</v>
      </c>
      <c r="W182">
        <f t="shared" ca="1" si="48"/>
        <v>103.38192313142049</v>
      </c>
      <c r="X182">
        <f t="shared" ca="1" si="58"/>
        <v>103.62651873523834</v>
      </c>
      <c r="Y182">
        <f t="shared" ca="1" si="57"/>
        <v>-0.37899549550019174</v>
      </c>
      <c r="Z182">
        <f t="shared" ca="1" si="59"/>
        <v>0.23781807654380438</v>
      </c>
      <c r="AA182">
        <f t="shared" ca="1" si="60"/>
        <v>-0.61681357204399612</v>
      </c>
      <c r="AB182">
        <f t="shared" ca="1" si="61"/>
        <v>100.31109999999995</v>
      </c>
    </row>
    <row r="183" spans="1:28" x14ac:dyDescent="0.25">
      <c r="A183" s="20">
        <f t="shared" ca="1" si="41"/>
        <v>45964</v>
      </c>
      <c r="B183" vm="535">
        <f ca="1"/>
        <v>45966</v>
      </c>
      <c r="C183" vm="536">
        <f ca="1"/>
        <v>101.47</v>
      </c>
      <c r="D183" vm="537">
        <f ca="1"/>
        <v>13356821</v>
      </c>
      <c r="E183">
        <f t="shared" ca="1" si="42"/>
        <v>1355316626.8699999</v>
      </c>
      <c r="F183">
        <f ca="1">SUM($E$2:E183)/SUM($D$2:D183)</f>
        <v>96.243725699107728</v>
      </c>
      <c r="G183">
        <f ca="1">_xlfn.STDEV.P($C$2:C183)</f>
        <v>5.5411962636131387</v>
      </c>
      <c r="H183">
        <f t="shared" ca="1" si="43"/>
        <v>101.78492196272087</v>
      </c>
      <c r="I183">
        <f t="shared" ca="1" si="44"/>
        <v>90.702529435494583</v>
      </c>
      <c r="J183">
        <f t="shared" ca="1" si="53"/>
        <v>104.42250000000001</v>
      </c>
      <c r="K183">
        <f t="shared" ca="1" si="54"/>
        <v>2.6334805366362786</v>
      </c>
      <c r="L183">
        <f t="shared" ca="1" si="55"/>
        <v>109.68946107327257</v>
      </c>
      <c r="M183">
        <f t="shared" ca="1" si="56"/>
        <v>99.155538926727459</v>
      </c>
      <c r="N183">
        <f t="shared" ca="1" si="45"/>
        <v>-0.79999999999999716</v>
      </c>
      <c r="O183">
        <f t="shared" ca="1" si="46"/>
        <v>0</v>
      </c>
      <c r="P183">
        <f t="shared" ca="1" si="47"/>
        <v>0.79999999999999716</v>
      </c>
      <c r="Q183">
        <f t="shared" ca="1" si="51"/>
        <v>0.37247694671975184</v>
      </c>
      <c r="R183">
        <f t="shared" ca="1" si="52"/>
        <v>0.52498518644409653</v>
      </c>
      <c r="S183">
        <f t="shared" ca="1" si="49"/>
        <v>0.70949991797419099</v>
      </c>
      <c r="T183">
        <f t="shared" ca="1" si="50"/>
        <v>41.503360749789906</v>
      </c>
      <c r="U183">
        <f>70</f>
        <v>70</v>
      </c>
      <c r="V183">
        <f>30</f>
        <v>30</v>
      </c>
      <c r="W183">
        <f t="shared" ca="1" si="48"/>
        <v>103.08778111120196</v>
      </c>
      <c r="X183">
        <f t="shared" ca="1" si="58"/>
        <v>103.46677660670215</v>
      </c>
      <c r="Y183">
        <f t="shared" ca="1" si="57"/>
        <v>-0.4632233821972136</v>
      </c>
      <c r="Z183">
        <f t="shared" ca="1" si="59"/>
        <v>9.7609784795600799E-2</v>
      </c>
      <c r="AA183">
        <f t="shared" ca="1" si="60"/>
        <v>-0.56083316699281438</v>
      </c>
      <c r="AB183">
        <f t="shared" ca="1" si="61"/>
        <v>100.38139999999993</v>
      </c>
    </row>
    <row r="184" spans="1:28" x14ac:dyDescent="0.25">
      <c r="A184" s="20">
        <f t="shared" ca="1" si="41"/>
        <v>45964</v>
      </c>
      <c r="B184" vm="538">
        <f ca="1"/>
        <v>45967</v>
      </c>
      <c r="C184" vm="539">
        <f ca="1"/>
        <v>101.68</v>
      </c>
      <c r="D184" vm="540">
        <f ca="1"/>
        <v>14866025</v>
      </c>
      <c r="E184">
        <f t="shared" ca="1" si="42"/>
        <v>1511577422</v>
      </c>
      <c r="F184">
        <f ca="1">SUM($E$2:E184)/SUM($D$2:D184)</f>
        <v>96.267200309519552</v>
      </c>
      <c r="G184">
        <f ca="1">_xlfn.STDEV.P($C$2:C184)</f>
        <v>5.5352772607494352</v>
      </c>
      <c r="H184">
        <f t="shared" ca="1" si="43"/>
        <v>101.80247757026899</v>
      </c>
      <c r="I184">
        <f t="shared" ca="1" si="44"/>
        <v>90.731923048770113</v>
      </c>
      <c r="J184">
        <f t="shared" ca="1" si="53"/>
        <v>104.41800000000001</v>
      </c>
      <c r="K184">
        <f t="shared" ca="1" si="54"/>
        <v>2.6383240294191537</v>
      </c>
      <c r="L184">
        <f t="shared" ca="1" si="55"/>
        <v>109.69464805883831</v>
      </c>
      <c r="M184">
        <f t="shared" ca="1" si="56"/>
        <v>99.141351941161702</v>
      </c>
      <c r="N184">
        <f t="shared" ca="1" si="45"/>
        <v>0.21000000000000796</v>
      </c>
      <c r="O184">
        <f t="shared" ca="1" si="46"/>
        <v>0.21000000000000796</v>
      </c>
      <c r="P184">
        <f t="shared" ca="1" si="47"/>
        <v>0</v>
      </c>
      <c r="Q184">
        <f t="shared" ca="1" si="51"/>
        <v>0.36087145052548442</v>
      </c>
      <c r="R184">
        <f t="shared" ca="1" si="52"/>
        <v>0.48748624455523248</v>
      </c>
      <c r="S184">
        <f t="shared" ca="1" si="49"/>
        <v>0.74027001696167338</v>
      </c>
      <c r="T184">
        <f t="shared" ca="1" si="50"/>
        <v>42.537652763454844</v>
      </c>
      <c r="U184">
        <f>70</f>
        <v>70</v>
      </c>
      <c r="V184">
        <f>30</f>
        <v>30</v>
      </c>
      <c r="W184">
        <f t="shared" ca="1" si="48"/>
        <v>102.87119940178627</v>
      </c>
      <c r="X184">
        <f t="shared" ca="1" si="58"/>
        <v>103.33442278398348</v>
      </c>
      <c r="Y184">
        <f t="shared" ca="1" si="57"/>
        <v>-0.45134240018265359</v>
      </c>
      <c r="Z184">
        <f t="shared" ca="1" si="59"/>
        <v>-1.2180652200050074E-2</v>
      </c>
      <c r="AA184">
        <f t="shared" ca="1" si="60"/>
        <v>-0.43916174798260355</v>
      </c>
      <c r="AB184">
        <f t="shared" ca="1" si="61"/>
        <v>100.45529999999994</v>
      </c>
    </row>
    <row r="185" spans="1:28" x14ac:dyDescent="0.25">
      <c r="A185" s="20">
        <f t="shared" ca="1" si="41"/>
        <v>45964</v>
      </c>
      <c r="B185" vm="541">
        <f ca="1"/>
        <v>45968</v>
      </c>
      <c r="C185" vm="542">
        <f ca="1"/>
        <v>102.59</v>
      </c>
      <c r="D185" vm="543">
        <f ca="1"/>
        <v>17248716</v>
      </c>
      <c r="E185">
        <f t="shared" ca="1" si="42"/>
        <v>1769545774.4400001</v>
      </c>
      <c r="F185">
        <f ca="1">SUM($E$2:E185)/SUM($D$2:D185)</f>
        <v>96.298721156496882</v>
      </c>
      <c r="G185">
        <f ca="1">_xlfn.STDEV.P($C$2:C185)</f>
        <v>5.5335566239164651</v>
      </c>
      <c r="H185">
        <f t="shared" ca="1" si="43"/>
        <v>101.83227778041335</v>
      </c>
      <c r="I185">
        <f t="shared" ca="1" si="44"/>
        <v>90.765164532580414</v>
      </c>
      <c r="J185">
        <f t="shared" ca="1" si="53"/>
        <v>104.4555</v>
      </c>
      <c r="K185">
        <f t="shared" ca="1" si="54"/>
        <v>2.6048708928507467</v>
      </c>
      <c r="L185">
        <f t="shared" ca="1" si="55"/>
        <v>109.6652417857015</v>
      </c>
      <c r="M185">
        <f t="shared" ca="1" si="56"/>
        <v>99.245758214298505</v>
      </c>
      <c r="N185">
        <f t="shared" ca="1" si="45"/>
        <v>0.90999999999999659</v>
      </c>
      <c r="O185">
        <f t="shared" ca="1" si="46"/>
        <v>0.90999999999999659</v>
      </c>
      <c r="P185">
        <f t="shared" ca="1" si="47"/>
        <v>0</v>
      </c>
      <c r="Q185">
        <f t="shared" ca="1" si="51"/>
        <v>0.40009491834509248</v>
      </c>
      <c r="R185">
        <f t="shared" ca="1" si="52"/>
        <v>0.45266579851557298</v>
      </c>
      <c r="S185">
        <f t="shared" ca="1" si="49"/>
        <v>0.88386381223658561</v>
      </c>
      <c r="T185">
        <f t="shared" ca="1" si="50"/>
        <v>46.917606596372437</v>
      </c>
      <c r="U185">
        <f>70</f>
        <v>70</v>
      </c>
      <c r="V185">
        <f>30</f>
        <v>30</v>
      </c>
      <c r="W185">
        <f t="shared" ca="1" si="48"/>
        <v>102.82793795535761</v>
      </c>
      <c r="X185">
        <f t="shared" ca="1" si="58"/>
        <v>103.27928035554027</v>
      </c>
      <c r="Y185">
        <f t="shared" ca="1" si="57"/>
        <v>-0.4504516889156065</v>
      </c>
      <c r="Z185">
        <f t="shared" ca="1" si="59"/>
        <v>-9.9834859543161375E-2</v>
      </c>
      <c r="AA185">
        <f t="shared" ca="1" si="60"/>
        <v>-0.35061682937244509</v>
      </c>
      <c r="AB185">
        <f t="shared" ca="1" si="61"/>
        <v>100.53869999999993</v>
      </c>
    </row>
    <row r="186" spans="1:28" x14ac:dyDescent="0.25">
      <c r="A186" s="20">
        <f t="shared" ca="1" si="41"/>
        <v>45971</v>
      </c>
      <c r="B186" vm="544">
        <f ca="1"/>
        <v>45971</v>
      </c>
      <c r="C186" vm="545">
        <f ca="1"/>
        <v>102.42</v>
      </c>
      <c r="D186" vm="546">
        <f ca="1"/>
        <v>14507603</v>
      </c>
      <c r="E186">
        <f t="shared" ca="1" si="42"/>
        <v>1485868699.26</v>
      </c>
      <c r="F186">
        <f ca="1">SUM($E$2:E186)/SUM($D$2:D186)</f>
        <v>96.324280653899365</v>
      </c>
      <c r="G186">
        <f ca="1">_xlfn.STDEV.P($C$2:C186)</f>
        <v>5.5308664055908814</v>
      </c>
      <c r="H186">
        <f t="shared" ca="1" si="43"/>
        <v>101.85514705949025</v>
      </c>
      <c r="I186">
        <f t="shared" ca="1" si="44"/>
        <v>90.79341424830848</v>
      </c>
      <c r="J186">
        <f t="shared" ca="1" si="53"/>
        <v>104.47049999999999</v>
      </c>
      <c r="K186">
        <f t="shared" ca="1" si="54"/>
        <v>2.5915438905876353</v>
      </c>
      <c r="L186">
        <f t="shared" ca="1" si="55"/>
        <v>109.65358778117526</v>
      </c>
      <c r="M186">
        <f t="shared" ca="1" si="56"/>
        <v>99.287412218824713</v>
      </c>
      <c r="N186">
        <f t="shared" ca="1" si="45"/>
        <v>-0.17000000000000171</v>
      </c>
      <c r="O186">
        <f t="shared" ca="1" si="46"/>
        <v>0</v>
      </c>
      <c r="P186">
        <f t="shared" ca="1" si="47"/>
        <v>0.17000000000000171</v>
      </c>
      <c r="Q186">
        <f t="shared" ca="1" si="51"/>
        <v>0.37151670989187158</v>
      </c>
      <c r="R186">
        <f t="shared" ca="1" si="52"/>
        <v>0.43247538433588933</v>
      </c>
      <c r="S186">
        <f t="shared" ca="1" si="49"/>
        <v>0.8590470656783713</v>
      </c>
      <c r="T186">
        <f t="shared" ca="1" si="50"/>
        <v>46.209000381865138</v>
      </c>
      <c r="U186">
        <f>70</f>
        <v>70</v>
      </c>
      <c r="V186">
        <f>30</f>
        <v>30</v>
      </c>
      <c r="W186">
        <f t="shared" ca="1" si="48"/>
        <v>102.76517826991797</v>
      </c>
      <c r="X186">
        <f t="shared" ca="1" si="58"/>
        <v>103.21562995883357</v>
      </c>
      <c r="Y186">
        <f t="shared" ca="1" si="57"/>
        <v>-0.36325296426005593</v>
      </c>
      <c r="Z186">
        <f t="shared" ca="1" si="59"/>
        <v>-0.15251848048654029</v>
      </c>
      <c r="AA186">
        <f t="shared" ca="1" si="60"/>
        <v>-0.21073448377351564</v>
      </c>
      <c r="AB186">
        <f t="shared" ca="1" si="61"/>
        <v>100.61199999999994</v>
      </c>
    </row>
    <row r="187" spans="1:28" x14ac:dyDescent="0.25">
      <c r="A187" s="20">
        <f t="shared" ca="1" si="41"/>
        <v>45971</v>
      </c>
      <c r="B187" vm="547">
        <f ca="1"/>
        <v>45972</v>
      </c>
      <c r="C187" vm="548">
        <f ca="1"/>
        <v>103.44</v>
      </c>
      <c r="D187" vm="549">
        <f ca="1"/>
        <v>13182144</v>
      </c>
      <c r="E187">
        <f t="shared" ca="1" si="42"/>
        <v>1363560975.3599999</v>
      </c>
      <c r="F187">
        <f ca="1">SUM($E$2:E187)/SUM($D$2:D187)</f>
        <v>96.351175851421047</v>
      </c>
      <c r="G187">
        <f ca="1">_xlfn.STDEV.P($C$2:C187)</f>
        <v>5.5335042153258538</v>
      </c>
      <c r="H187">
        <f t="shared" ca="1" si="43"/>
        <v>101.8846800667469</v>
      </c>
      <c r="I187">
        <f t="shared" ca="1" si="44"/>
        <v>90.817671636095199</v>
      </c>
      <c r="J187">
        <f t="shared" ca="1" si="53"/>
        <v>104.282</v>
      </c>
      <c r="K187">
        <f t="shared" ca="1" si="54"/>
        <v>2.5178553948695468</v>
      </c>
      <c r="L187">
        <f t="shared" ca="1" si="55"/>
        <v>109.3177107897391</v>
      </c>
      <c r="M187">
        <f t="shared" ca="1" si="56"/>
        <v>99.246289210260898</v>
      </c>
      <c r="N187">
        <f t="shared" ca="1" si="45"/>
        <v>1.019999999999996</v>
      </c>
      <c r="O187">
        <f t="shared" ca="1" si="46"/>
        <v>1.019999999999996</v>
      </c>
      <c r="P187">
        <f t="shared" ca="1" si="47"/>
        <v>0</v>
      </c>
      <c r="Q187">
        <f t="shared" ca="1" si="51"/>
        <v>0.41783694489959478</v>
      </c>
      <c r="R187">
        <f t="shared" ca="1" si="52"/>
        <v>0.40158428545475439</v>
      </c>
      <c r="S187">
        <f t="shared" ca="1" si="49"/>
        <v>1.0404713531716907</v>
      </c>
      <c r="T187">
        <f t="shared" ca="1" si="50"/>
        <v>50.991715789314618</v>
      </c>
      <c r="U187">
        <f>70</f>
        <v>70</v>
      </c>
      <c r="V187">
        <f>30</f>
        <v>30</v>
      </c>
      <c r="W187">
        <f t="shared" ca="1" si="48"/>
        <v>102.86899699762289</v>
      </c>
      <c r="X187">
        <f t="shared" ca="1" si="58"/>
        <v>103.23224996188294</v>
      </c>
      <c r="Y187">
        <f t="shared" ca="1" si="57"/>
        <v>-0.2907952402221099</v>
      </c>
      <c r="Z187">
        <f t="shared" ca="1" si="59"/>
        <v>-0.18017383243365423</v>
      </c>
      <c r="AA187">
        <f t="shared" ca="1" si="60"/>
        <v>-0.11062140778845567</v>
      </c>
      <c r="AB187">
        <f t="shared" ca="1" si="61"/>
        <v>100.68519999999995</v>
      </c>
    </row>
    <row r="188" spans="1:28" x14ac:dyDescent="0.25">
      <c r="A188" s="20">
        <f t="shared" ca="1" si="41"/>
        <v>45971</v>
      </c>
      <c r="B188" vm="550">
        <f ca="1"/>
        <v>45973</v>
      </c>
      <c r="C188" vm="548">
        <f ca="1"/>
        <v>103.44</v>
      </c>
      <c r="D188" vm="551">
        <f ca="1"/>
        <v>12084407</v>
      </c>
      <c r="E188">
        <f t="shared" ca="1" si="42"/>
        <v>1250011060.0799999</v>
      </c>
      <c r="F188">
        <f ca="1">SUM($E$2:E188)/SUM($D$2:D188)</f>
        <v>96.375653360553883</v>
      </c>
      <c r="G188">
        <f ca="1">_xlfn.STDEV.P($C$2:C188)</f>
        <v>5.5359265172521335</v>
      </c>
      <c r="H188">
        <f t="shared" ca="1" si="43"/>
        <v>101.91157987780602</v>
      </c>
      <c r="I188">
        <f t="shared" ca="1" si="44"/>
        <v>90.839726843301747</v>
      </c>
      <c r="J188">
        <f t="shared" ca="1" si="53"/>
        <v>104.00250000000001</v>
      </c>
      <c r="K188">
        <f t="shared" ca="1" si="54"/>
        <v>2.2601277909841606</v>
      </c>
      <c r="L188">
        <f t="shared" ca="1" si="55"/>
        <v>108.52275558196834</v>
      </c>
      <c r="M188">
        <f t="shared" ca="1" si="56"/>
        <v>99.482244418031684</v>
      </c>
      <c r="N188">
        <f t="shared" ca="1" si="45"/>
        <v>0</v>
      </c>
      <c r="O188">
        <f t="shared" ca="1" si="46"/>
        <v>0</v>
      </c>
      <c r="P188">
        <f t="shared" ca="1" si="47"/>
        <v>0</v>
      </c>
      <c r="Q188">
        <f t="shared" ca="1" si="51"/>
        <v>0.38799144883533804</v>
      </c>
      <c r="R188">
        <f t="shared" ca="1" si="52"/>
        <v>0.37289969363655767</v>
      </c>
      <c r="S188">
        <f t="shared" ca="1" si="49"/>
        <v>1.0404713531716907</v>
      </c>
      <c r="T188">
        <f t="shared" ca="1" si="50"/>
        <v>50.991715789314618</v>
      </c>
      <c r="U188">
        <f>70</f>
        <v>70</v>
      </c>
      <c r="V188">
        <f>30</f>
        <v>30</v>
      </c>
      <c r="W188">
        <f t="shared" ca="1" si="48"/>
        <v>102.95684361337321</v>
      </c>
      <c r="X188">
        <f t="shared" ca="1" si="58"/>
        <v>103.24763885359532</v>
      </c>
      <c r="Y188">
        <f t="shared" ca="1" si="57"/>
        <v>-0.30250733403599384</v>
      </c>
      <c r="Z188">
        <f t="shared" ca="1" si="59"/>
        <v>-0.20464053275412214</v>
      </c>
      <c r="AA188">
        <f t="shared" ca="1" si="60"/>
        <v>-9.7866801281871696E-2</v>
      </c>
      <c r="AB188">
        <f t="shared" ca="1" si="61"/>
        <v>100.74089999999997</v>
      </c>
    </row>
    <row r="189" spans="1:28" x14ac:dyDescent="0.25">
      <c r="A189" s="20">
        <f t="shared" ca="1" si="41"/>
        <v>45971</v>
      </c>
      <c r="B189" vm="552">
        <f ca="1"/>
        <v>45974</v>
      </c>
      <c r="C189" vm="553">
        <f ca="1"/>
        <v>102.54</v>
      </c>
      <c r="D189" vm="554">
        <f ca="1"/>
        <v>18088506</v>
      </c>
      <c r="E189">
        <f t="shared" ca="1" si="42"/>
        <v>1854795405.24</v>
      </c>
      <c r="F189">
        <f ca="1">SUM($E$2:E189)/SUM($D$2:D189)</f>
        <v>96.407350387194697</v>
      </c>
      <c r="G189">
        <f ca="1">_xlfn.STDEV.P($C$2:C189)</f>
        <v>5.5334060211589131</v>
      </c>
      <c r="H189">
        <f t="shared" ca="1" si="43"/>
        <v>101.94075640835361</v>
      </c>
      <c r="I189">
        <f t="shared" ca="1" si="44"/>
        <v>90.873944366035786</v>
      </c>
      <c r="J189">
        <f t="shared" ca="1" si="53"/>
        <v>103.80600000000001</v>
      </c>
      <c r="K189">
        <f t="shared" ca="1" si="54"/>
        <v>2.2044629373398998</v>
      </c>
      <c r="L189">
        <f t="shared" ca="1" si="55"/>
        <v>108.21492587467981</v>
      </c>
      <c r="M189">
        <f t="shared" ca="1" si="56"/>
        <v>99.397074125320216</v>
      </c>
      <c r="N189">
        <f t="shared" ca="1" si="45"/>
        <v>-0.89999999999999147</v>
      </c>
      <c r="O189">
        <f t="shared" ca="1" si="46"/>
        <v>0</v>
      </c>
      <c r="P189">
        <f t="shared" ca="1" si="47"/>
        <v>0.89999999999999147</v>
      </c>
      <c r="Q189">
        <f t="shared" ca="1" si="51"/>
        <v>0.36027777391852822</v>
      </c>
      <c r="R189">
        <f t="shared" ca="1" si="52"/>
        <v>0.41054971551966007</v>
      </c>
      <c r="S189">
        <f t="shared" ca="1" si="49"/>
        <v>0.87754968594363947</v>
      </c>
      <c r="T189">
        <f t="shared" ca="1" si="50"/>
        <v>46.739092579730631</v>
      </c>
      <c r="U189">
        <f>70</f>
        <v>70</v>
      </c>
      <c r="V189">
        <f>30</f>
        <v>30</v>
      </c>
      <c r="W189">
        <f t="shared" ca="1" si="48"/>
        <v>102.8927138267004</v>
      </c>
      <c r="X189">
        <f t="shared" ca="1" si="58"/>
        <v>103.19522116073639</v>
      </c>
      <c r="Y189">
        <f t="shared" ca="1" si="57"/>
        <v>-0.31302242367326016</v>
      </c>
      <c r="Z189">
        <f t="shared" ca="1" si="59"/>
        <v>-0.22631691093794976</v>
      </c>
      <c r="AA189">
        <f t="shared" ca="1" si="60"/>
        <v>-8.6705512735310408E-2</v>
      </c>
      <c r="AB189">
        <f t="shared" ca="1" si="61"/>
        <v>100.78629999999997</v>
      </c>
    </row>
    <row r="190" spans="1:28" x14ac:dyDescent="0.25">
      <c r="A190" s="20">
        <f t="shared" ca="1" si="41"/>
        <v>45971</v>
      </c>
      <c r="B190" vm="555">
        <f ca="1"/>
        <v>45975</v>
      </c>
      <c r="C190" vm="556">
        <f ca="1"/>
        <v>102.48</v>
      </c>
      <c r="D190" vm="557">
        <f ca="1"/>
        <v>23424211</v>
      </c>
      <c r="E190">
        <f t="shared" ca="1" si="42"/>
        <v>2400513143.2800002</v>
      </c>
      <c r="F190">
        <f ca="1">SUM($E$2:E190)/SUM($D$2:D190)</f>
        <v>96.447519264100734</v>
      </c>
      <c r="G190">
        <f ca="1">_xlfn.STDEV.P($C$2:C190)</f>
        <v>5.5304972110030617</v>
      </c>
      <c r="H190">
        <f t="shared" ca="1" si="43"/>
        <v>101.9780164751038</v>
      </c>
      <c r="I190">
        <f t="shared" ca="1" si="44"/>
        <v>90.917022053097668</v>
      </c>
      <c r="J190">
        <f t="shared" ca="1" si="53"/>
        <v>103.54349999999999</v>
      </c>
      <c r="K190">
        <f t="shared" ca="1" si="54"/>
        <v>2.0172395807924706</v>
      </c>
      <c r="L190">
        <f t="shared" ca="1" si="55"/>
        <v>107.57797916158493</v>
      </c>
      <c r="M190">
        <f t="shared" ca="1" si="56"/>
        <v>99.509020838415054</v>
      </c>
      <c r="N190">
        <f t="shared" ca="1" si="45"/>
        <v>-6.0000000000002274E-2</v>
      </c>
      <c r="O190">
        <f t="shared" ca="1" si="46"/>
        <v>0</v>
      </c>
      <c r="P190">
        <f t="shared" ca="1" si="47"/>
        <v>6.0000000000002274E-2</v>
      </c>
      <c r="Q190">
        <f t="shared" ca="1" si="51"/>
        <v>0.33454364721006191</v>
      </c>
      <c r="R190">
        <f t="shared" ca="1" si="52"/>
        <v>0.38551045012539881</v>
      </c>
      <c r="S190">
        <f t="shared" ca="1" si="49"/>
        <v>0.86779397835062988</v>
      </c>
      <c r="T190">
        <f t="shared" ca="1" si="50"/>
        <v>46.460904597033881</v>
      </c>
      <c r="U190">
        <f>70</f>
        <v>70</v>
      </c>
      <c r="V190">
        <f>30</f>
        <v>30</v>
      </c>
      <c r="W190">
        <f t="shared" ca="1" si="48"/>
        <v>102.82921939182341</v>
      </c>
      <c r="X190">
        <f t="shared" ca="1" si="58"/>
        <v>103.14224181549667</v>
      </c>
      <c r="Y190">
        <f t="shared" ca="1" si="57"/>
        <v>-0.28020065716485476</v>
      </c>
      <c r="Z190">
        <f t="shared" ca="1" si="59"/>
        <v>-0.23709366018333078</v>
      </c>
      <c r="AA190">
        <f t="shared" ca="1" si="60"/>
        <v>-4.3106996981523982E-2</v>
      </c>
      <c r="AB190">
        <f t="shared" ca="1" si="61"/>
        <v>100.83849999999998</v>
      </c>
    </row>
    <row r="191" spans="1:28" x14ac:dyDescent="0.25">
      <c r="A191" s="20">
        <f t="shared" ca="1" si="41"/>
        <v>45978</v>
      </c>
      <c r="B191" vm="558">
        <f ca="1"/>
        <v>45978</v>
      </c>
      <c r="C191" vm="559">
        <f ca="1"/>
        <v>102.95</v>
      </c>
      <c r="D191" vm="560">
        <f ca="1"/>
        <v>15289373</v>
      </c>
      <c r="E191">
        <f t="shared" ca="1" si="42"/>
        <v>1574040950.3500001</v>
      </c>
      <c r="F191">
        <f ca="1">SUM($E$2:E191)/SUM($D$2:D191)</f>
        <v>96.475473279361623</v>
      </c>
      <c r="G191">
        <f ca="1">_xlfn.STDEV.P($C$2:C191)</f>
        <v>5.5297979365286549</v>
      </c>
      <c r="H191">
        <f t="shared" ca="1" si="43"/>
        <v>102.00527121589028</v>
      </c>
      <c r="I191">
        <f t="shared" ca="1" si="44"/>
        <v>90.945675342832971</v>
      </c>
      <c r="J191">
        <f t="shared" ca="1" si="53"/>
        <v>103.3385</v>
      </c>
      <c r="K191">
        <f t="shared" ca="1" si="54"/>
        <v>1.8429389429301277</v>
      </c>
      <c r="L191">
        <f t="shared" ca="1" si="55"/>
        <v>107.02437788586025</v>
      </c>
      <c r="M191">
        <f t="shared" ca="1" si="56"/>
        <v>99.652622114139746</v>
      </c>
      <c r="N191">
        <f t="shared" ca="1" si="45"/>
        <v>0.46999999999999886</v>
      </c>
      <c r="O191">
        <f t="shared" ca="1" si="46"/>
        <v>0.46999999999999886</v>
      </c>
      <c r="P191">
        <f t="shared" ca="1" si="47"/>
        <v>0</v>
      </c>
      <c r="Q191">
        <f t="shared" ca="1" si="51"/>
        <v>0.34421910098077169</v>
      </c>
      <c r="R191">
        <f t="shared" ca="1" si="52"/>
        <v>0.35797398940215602</v>
      </c>
      <c r="S191">
        <f t="shared" ca="1" si="49"/>
        <v>0.96157573223586423</v>
      </c>
      <c r="T191">
        <f t="shared" ca="1" si="50"/>
        <v>49.020576490301025</v>
      </c>
      <c r="U191">
        <f>70</f>
        <v>70</v>
      </c>
      <c r="V191">
        <f>30</f>
        <v>30</v>
      </c>
      <c r="W191">
        <f t="shared" ca="1" si="48"/>
        <v>102.84780102385059</v>
      </c>
      <c r="X191">
        <f t="shared" ca="1" si="58"/>
        <v>103.12800168101545</v>
      </c>
      <c r="Y191">
        <f t="shared" ca="1" si="57"/>
        <v>-0.3757368724968444</v>
      </c>
      <c r="Z191">
        <f t="shared" ca="1" si="59"/>
        <v>-0.26482230264603351</v>
      </c>
      <c r="AA191">
        <f t="shared" ca="1" si="60"/>
        <v>-0.11091456985081088</v>
      </c>
      <c r="AB191">
        <f t="shared" ca="1" si="61"/>
        <v>100.90779999999999</v>
      </c>
    </row>
    <row r="192" spans="1:28" x14ac:dyDescent="0.25">
      <c r="A192" s="20">
        <f t="shared" ca="1" si="41"/>
        <v>45978</v>
      </c>
      <c r="B192" vm="561">
        <f ca="1"/>
        <v>45979</v>
      </c>
      <c r="C192" vm="562">
        <f ca="1"/>
        <v>101.39</v>
      </c>
      <c r="D192" vm="563">
        <f ca="1"/>
        <v>17604460</v>
      </c>
      <c r="E192">
        <f t="shared" ca="1" si="42"/>
        <v>1784916199.4000001</v>
      </c>
      <c r="F192">
        <f ca="1">SUM($E$2:E192)/SUM($D$2:D192)</f>
        <v>96.49967997093681</v>
      </c>
      <c r="G192">
        <f ca="1">_xlfn.STDEV.P($C$2:C192)</f>
        <v>5.522195099418707</v>
      </c>
      <c r="H192">
        <f t="shared" ca="1" si="43"/>
        <v>102.02187507035552</v>
      </c>
      <c r="I192">
        <f t="shared" ca="1" si="44"/>
        <v>90.977484871518101</v>
      </c>
      <c r="J192">
        <f t="shared" ca="1" si="53"/>
        <v>103.09700000000002</v>
      </c>
      <c r="K192">
        <f t="shared" ca="1" si="54"/>
        <v>1.7600720679024833</v>
      </c>
      <c r="L192">
        <f t="shared" ca="1" si="55"/>
        <v>106.61714413580499</v>
      </c>
      <c r="M192">
        <f t="shared" ca="1" si="56"/>
        <v>99.576855864195053</v>
      </c>
      <c r="N192">
        <f t="shared" ca="1" si="45"/>
        <v>-1.5600000000000023</v>
      </c>
      <c r="O192">
        <f t="shared" ca="1" si="46"/>
        <v>0</v>
      </c>
      <c r="P192">
        <f t="shared" ca="1" si="47"/>
        <v>1.5600000000000023</v>
      </c>
      <c r="Q192">
        <f t="shared" ca="1" si="51"/>
        <v>0.319632022339288</v>
      </c>
      <c r="R192">
        <f t="shared" ca="1" si="52"/>
        <v>0.44383299015914501</v>
      </c>
      <c r="S192">
        <f t="shared" ca="1" si="49"/>
        <v>0.72016283022286753</v>
      </c>
      <c r="T192">
        <f t="shared" ca="1" si="50"/>
        <v>41.865968591447931</v>
      </c>
      <c r="U192">
        <f>70</f>
        <v>70</v>
      </c>
      <c r="V192">
        <f>30</f>
        <v>30</v>
      </c>
      <c r="W192">
        <f t="shared" ca="1" si="48"/>
        <v>102.62352394325819</v>
      </c>
      <c r="X192">
        <f t="shared" ca="1" si="58"/>
        <v>102.99926081575504</v>
      </c>
      <c r="Y192">
        <f t="shared" ca="1" si="57"/>
        <v>-0.50852750419572601</v>
      </c>
      <c r="Z192">
        <f t="shared" ca="1" si="59"/>
        <v>-0.31356334295597199</v>
      </c>
      <c r="AA192">
        <f t="shared" ca="1" si="60"/>
        <v>-0.19496416123975402</v>
      </c>
      <c r="AB192">
        <f t="shared" ca="1" si="61"/>
        <v>100.949</v>
      </c>
    </row>
    <row r="193" spans="1:28" x14ac:dyDescent="0.25">
      <c r="A193" s="20">
        <f t="shared" ca="1" si="41"/>
        <v>45978</v>
      </c>
      <c r="B193" vm="564">
        <f ca="1"/>
        <v>45980</v>
      </c>
      <c r="C193" vm="565">
        <f ca="1"/>
        <v>100.61</v>
      </c>
      <c r="D193" vm="566">
        <f ca="1"/>
        <v>22157029</v>
      </c>
      <c r="E193">
        <f t="shared" ca="1" si="42"/>
        <v>2229218687.6900001</v>
      </c>
      <c r="F193">
        <f ca="1">SUM($E$2:E193)/SUM($D$2:D193)</f>
        <v>96.525004080347614</v>
      </c>
      <c r="G193">
        <f ca="1">_xlfn.STDEV.P($C$2:C193)</f>
        <v>5.5120887940293457</v>
      </c>
      <c r="H193">
        <f t="shared" ca="1" si="43"/>
        <v>102.03709287437695</v>
      </c>
      <c r="I193">
        <f t="shared" ca="1" si="44"/>
        <v>91.012915286318275</v>
      </c>
      <c r="J193">
        <f t="shared" ca="1" si="53"/>
        <v>102.77050000000001</v>
      </c>
      <c r="K193">
        <f t="shared" ca="1" si="54"/>
        <v>1.5655248825536865</v>
      </c>
      <c r="L193">
        <f t="shared" ca="1" si="55"/>
        <v>105.90154976510739</v>
      </c>
      <c r="M193">
        <f t="shared" ca="1" si="56"/>
        <v>99.639450234892635</v>
      </c>
      <c r="N193">
        <f t="shared" ca="1" si="45"/>
        <v>-0.78000000000000114</v>
      </c>
      <c r="O193">
        <f t="shared" ca="1" si="46"/>
        <v>0</v>
      </c>
      <c r="P193">
        <f t="shared" ca="1" si="47"/>
        <v>0.78000000000000114</v>
      </c>
      <c r="Q193">
        <f t="shared" ca="1" si="51"/>
        <v>0.29680116360076741</v>
      </c>
      <c r="R193">
        <f t="shared" ca="1" si="52"/>
        <v>0.46784491943349188</v>
      </c>
      <c r="S193">
        <f t="shared" ca="1" si="49"/>
        <v>0.63440074108352096</v>
      </c>
      <c r="T193">
        <f t="shared" ca="1" si="50"/>
        <v>38.815495192626194</v>
      </c>
      <c r="U193">
        <f>70</f>
        <v>70</v>
      </c>
      <c r="V193">
        <f>30</f>
        <v>30</v>
      </c>
      <c r="W193">
        <f t="shared" ca="1" si="48"/>
        <v>102.31375102891079</v>
      </c>
      <c r="X193">
        <f t="shared" ca="1" si="58"/>
        <v>102.82227853310651</v>
      </c>
      <c r="Y193">
        <f t="shared" ca="1" si="57"/>
        <v>-8.8252044652747941E-2</v>
      </c>
      <c r="Z193">
        <f t="shared" ca="1" si="59"/>
        <v>-0.26850108329532718</v>
      </c>
      <c r="AA193">
        <f t="shared" ca="1" si="60"/>
        <v>0.18024903864257924</v>
      </c>
      <c r="AB193">
        <f t="shared" ca="1" si="61"/>
        <v>100.97729999999997</v>
      </c>
    </row>
    <row r="194" spans="1:28" x14ac:dyDescent="0.25">
      <c r="A194" s="20">
        <f t="shared" ca="1" si="41"/>
        <v>45978</v>
      </c>
      <c r="B194" vm="567">
        <f ca="1"/>
        <v>45981</v>
      </c>
      <c r="C194" vm="568">
        <f ca="1"/>
        <v>107.11</v>
      </c>
      <c r="D194" vm="569">
        <f ca="1"/>
        <v>50375920</v>
      </c>
      <c r="E194">
        <f t="shared" ca="1" si="42"/>
        <v>5395764791.1999998</v>
      </c>
      <c r="F194">
        <f ca="1">SUM($E$2:E194)/SUM($D$2:D194)</f>
        <v>96.671228331710509</v>
      </c>
      <c r="G194">
        <f ca="1">_xlfn.STDEV.P($C$2:C194)</f>
        <v>5.5399894354148902</v>
      </c>
      <c r="H194">
        <f t="shared" ca="1" si="43"/>
        <v>102.2112177671254</v>
      </c>
      <c r="I194">
        <f t="shared" ca="1" si="44"/>
        <v>91.131238896295613</v>
      </c>
      <c r="J194">
        <f t="shared" ca="1" si="53"/>
        <v>102.78300000000002</v>
      </c>
      <c r="K194">
        <f t="shared" ca="1" si="54"/>
        <v>1.6005035391861417</v>
      </c>
      <c r="L194">
        <f t="shared" ca="1" si="55"/>
        <v>105.9840070783723</v>
      </c>
      <c r="M194">
        <f t="shared" ca="1" si="56"/>
        <v>99.58199292162773</v>
      </c>
      <c r="N194">
        <f t="shared" ca="1" si="45"/>
        <v>6.5</v>
      </c>
      <c r="O194">
        <f t="shared" ca="1" si="46"/>
        <v>6.5</v>
      </c>
      <c r="P194">
        <f t="shared" ca="1" si="47"/>
        <v>0</v>
      </c>
      <c r="Q194">
        <f t="shared" ca="1" si="51"/>
        <v>0.73988679477214114</v>
      </c>
      <c r="R194">
        <f t="shared" ca="1" si="52"/>
        <v>0.43442742518824246</v>
      </c>
      <c r="S194">
        <f t="shared" ca="1" si="49"/>
        <v>1.703130953234685</v>
      </c>
      <c r="T194">
        <f t="shared" ca="1" si="50"/>
        <v>63.005861820961492</v>
      </c>
      <c r="U194">
        <f>70</f>
        <v>70</v>
      </c>
      <c r="V194">
        <f>30</f>
        <v>30</v>
      </c>
      <c r="W194">
        <f t="shared" ca="1" si="48"/>
        <v>103.05163548600143</v>
      </c>
      <c r="X194">
        <f t="shared" ca="1" si="58"/>
        <v>103.13988753065418</v>
      </c>
      <c r="Y194">
        <f t="shared" ca="1" si="57"/>
        <v>9.923729880289045E-2</v>
      </c>
      <c r="Z194">
        <f t="shared" ca="1" si="59"/>
        <v>-0.19495340687568366</v>
      </c>
      <c r="AA194">
        <f t="shared" ca="1" si="60"/>
        <v>0.29419070567857408</v>
      </c>
      <c r="AB194">
        <f t="shared" ca="1" si="61"/>
        <v>101.066</v>
      </c>
    </row>
    <row r="195" spans="1:28" x14ac:dyDescent="0.25">
      <c r="A195" s="20">
        <f t="shared" ref="A195:A251" ca="1" si="62">B195 - WEEKDAY(B195, 2) + 1</f>
        <v>45978</v>
      </c>
      <c r="B195" vm="570">
        <f ca="1"/>
        <v>45982</v>
      </c>
      <c r="C195" vm="571">
        <f ca="1"/>
        <v>105.32</v>
      </c>
      <c r="D195" vm="572">
        <f ca="1"/>
        <v>41420780</v>
      </c>
      <c r="E195">
        <f t="shared" ref="E195:E251" ca="1" si="63">C195*D195</f>
        <v>4362436549.5999994</v>
      </c>
      <c r="F195">
        <f ca="1">SUM($E$2:E195)/SUM($D$2:D195)</f>
        <v>96.768362776666436</v>
      </c>
      <c r="G195">
        <f ca="1">_xlfn.STDEV.P($C$2:C195)</f>
        <v>5.55290063147174</v>
      </c>
      <c r="H195">
        <f t="shared" ref="H195:H251" ca="1" si="64">F195 + G195</f>
        <v>102.32126340813818</v>
      </c>
      <c r="I195">
        <f t="shared" ref="I195:I251" ca="1" si="65">F195 - G195</f>
        <v>91.215462145194692</v>
      </c>
      <c r="J195">
        <f t="shared" ca="1" si="53"/>
        <v>102.7405</v>
      </c>
      <c r="K195">
        <f t="shared" ca="1" si="54"/>
        <v>1.514823161470114</v>
      </c>
      <c r="L195">
        <f t="shared" ca="1" si="55"/>
        <v>105.77014632294022</v>
      </c>
      <c r="M195">
        <f t="shared" ca="1" si="56"/>
        <v>99.710853677059774</v>
      </c>
      <c r="N195">
        <f t="shared" ca="1" si="45"/>
        <v>-1.7900000000000063</v>
      </c>
      <c r="O195">
        <f t="shared" ca="1" si="46"/>
        <v>0</v>
      </c>
      <c r="P195">
        <f t="shared" ca="1" si="47"/>
        <v>1.7900000000000063</v>
      </c>
      <c r="Q195">
        <f t="shared" ca="1" si="51"/>
        <v>0.68703773800270251</v>
      </c>
      <c r="R195">
        <f t="shared" ca="1" si="52"/>
        <v>0.53125403767479695</v>
      </c>
      <c r="S195">
        <f t="shared" ca="1" si="49"/>
        <v>1.2932376777967518</v>
      </c>
      <c r="T195">
        <f t="shared" ca="1" si="50"/>
        <v>56.393529999875163</v>
      </c>
      <c r="U195">
        <f>70</f>
        <v>70</v>
      </c>
      <c r="V195">
        <f>30</f>
        <v>30</v>
      </c>
      <c r="W195">
        <f t="shared" ca="1" si="48"/>
        <v>103.4006146420012</v>
      </c>
      <c r="X195">
        <f t="shared" ca="1" si="58"/>
        <v>103.30137734319831</v>
      </c>
      <c r="Y195">
        <f t="shared" ca="1" si="57"/>
        <v>0.14448692915928518</v>
      </c>
      <c r="Z195">
        <f t="shared" ca="1" si="59"/>
        <v>-0.12706533966868988</v>
      </c>
      <c r="AA195">
        <f t="shared" ca="1" si="60"/>
        <v>0.27155226882797506</v>
      </c>
      <c r="AB195">
        <f t="shared" ca="1" si="61"/>
        <v>101.14309999999999</v>
      </c>
    </row>
    <row r="196" spans="1:28" x14ac:dyDescent="0.25">
      <c r="A196" s="20">
        <f t="shared" ca="1" si="62"/>
        <v>45985</v>
      </c>
      <c r="B196" vm="573">
        <f ca="1"/>
        <v>45985</v>
      </c>
      <c r="C196" vm="574">
        <f ca="1"/>
        <v>104.06</v>
      </c>
      <c r="D196" vm="575">
        <f ca="1"/>
        <v>42519159</v>
      </c>
      <c r="E196">
        <f t="shared" ca="1" si="63"/>
        <v>4424543685.54</v>
      </c>
      <c r="F196">
        <f ca="1">SUM($E$2:E196)/SUM($D$2:D196)</f>
        <v>96.851468706380174</v>
      </c>
      <c r="G196">
        <f ca="1">_xlfn.STDEV.P($C$2:C196)</f>
        <v>5.5572853759283314</v>
      </c>
      <c r="H196">
        <f t="shared" ca="1" si="64"/>
        <v>102.4087540823085</v>
      </c>
      <c r="I196">
        <f t="shared" ca="1" si="65"/>
        <v>91.294183330451844</v>
      </c>
      <c r="J196">
        <f t="shared" ca="1" si="53"/>
        <v>102.72</v>
      </c>
      <c r="K196">
        <f t="shared" ca="1" si="54"/>
        <v>1.4928002651322589</v>
      </c>
      <c r="L196">
        <f t="shared" ca="1" si="55"/>
        <v>105.70560053026452</v>
      </c>
      <c r="M196">
        <f t="shared" ca="1" si="56"/>
        <v>99.734399469735479</v>
      </c>
      <c r="N196">
        <f t="shared" ref="N196:N251" ca="1" si="66">C196-C195</f>
        <v>-1.2599999999999909</v>
      </c>
      <c r="O196">
        <f t="shared" ref="O196:O251" ca="1" si="67">MAX(N196,0)</f>
        <v>0</v>
      </c>
      <c r="P196">
        <f t="shared" ref="P196:P251" ca="1" si="68">MAX(-N196,0)</f>
        <v>1.2599999999999909</v>
      </c>
      <c r="Q196">
        <f t="shared" ca="1" si="51"/>
        <v>0.63796361385965228</v>
      </c>
      <c r="R196">
        <f t="shared" ca="1" si="52"/>
        <v>0.58330732069802516</v>
      </c>
      <c r="S196">
        <f t="shared" ca="1" si="49"/>
        <v>1.0937006809656045</v>
      </c>
      <c r="T196">
        <f t="shared" ca="1" si="50"/>
        <v>52.237680911542476</v>
      </c>
      <c r="U196">
        <f>70</f>
        <v>70</v>
      </c>
      <c r="V196">
        <f>30</f>
        <v>30</v>
      </c>
      <c r="W196">
        <f t="shared" ca="1" si="48"/>
        <v>103.50205854323178</v>
      </c>
      <c r="X196">
        <f t="shared" ca="1" si="58"/>
        <v>103.3575716140725</v>
      </c>
      <c r="Y196">
        <f t="shared" ca="1" si="57"/>
        <v>0.41282225859339405</v>
      </c>
      <c r="Z196">
        <f t="shared" ca="1" si="59"/>
        <v>-1.9087820016273085E-2</v>
      </c>
      <c r="AA196">
        <f t="shared" ca="1" si="60"/>
        <v>0.43191007860966713</v>
      </c>
      <c r="AB196">
        <f t="shared" ca="1" si="61"/>
        <v>101.20010000000001</v>
      </c>
    </row>
    <row r="197" spans="1:28" x14ac:dyDescent="0.25">
      <c r="A197" s="20">
        <f t="shared" ca="1" si="62"/>
        <v>45985</v>
      </c>
      <c r="B197" vm="576">
        <f ca="1"/>
        <v>45986</v>
      </c>
      <c r="C197" vm="577">
        <f ca="1"/>
        <v>107</v>
      </c>
      <c r="D197" vm="578">
        <f ca="1"/>
        <v>20212882</v>
      </c>
      <c r="E197">
        <f t="shared" ca="1" si="63"/>
        <v>2162778374</v>
      </c>
      <c r="F197">
        <f ca="1">SUM($E$2:E197)/SUM($D$2:D197)</f>
        <v>96.90615859145484</v>
      </c>
      <c r="G197">
        <f ca="1">_xlfn.STDEV.P($C$2:C197)</f>
        <v>5.5823366965872792</v>
      </c>
      <c r="H197">
        <f t="shared" ca="1" si="64"/>
        <v>102.48849528804212</v>
      </c>
      <c r="I197">
        <f t="shared" ca="1" si="65"/>
        <v>91.323821894867564</v>
      </c>
      <c r="J197">
        <f t="shared" ca="1" si="53"/>
        <v>102.9115</v>
      </c>
      <c r="K197">
        <f t="shared" ca="1" si="54"/>
        <v>1.7729406882945977</v>
      </c>
      <c r="L197">
        <f t="shared" ca="1" si="55"/>
        <v>106.4573813765892</v>
      </c>
      <c r="M197">
        <f t="shared" ca="1" si="56"/>
        <v>99.365618623410811</v>
      </c>
      <c r="N197">
        <f t="shared" ca="1" si="66"/>
        <v>2.9399999999999977</v>
      </c>
      <c r="O197">
        <f t="shared" ca="1" si="67"/>
        <v>2.9399999999999977</v>
      </c>
      <c r="P197">
        <f t="shared" ca="1" si="68"/>
        <v>0</v>
      </c>
      <c r="Q197">
        <f t="shared" ca="1" si="51"/>
        <v>0.8023947842982484</v>
      </c>
      <c r="R197">
        <f t="shared" ca="1" si="52"/>
        <v>0.54164251207673764</v>
      </c>
      <c r="S197">
        <f t="shared" ca="1" si="49"/>
        <v>1.4814102778265095</v>
      </c>
      <c r="T197">
        <f t="shared" ca="1" si="50"/>
        <v>59.700336178348174</v>
      </c>
      <c r="U197">
        <f>70</f>
        <v>70</v>
      </c>
      <c r="V197">
        <f>30</f>
        <v>30</v>
      </c>
      <c r="W197">
        <f t="shared" ca="1" si="48"/>
        <v>104.04020338273459</v>
      </c>
      <c r="X197">
        <f t="shared" ca="1" si="58"/>
        <v>103.62738112414119</v>
      </c>
      <c r="Y197">
        <f t="shared" ca="1" si="57"/>
        <v>0.78587333141392435</v>
      </c>
      <c r="Z197">
        <f t="shared" ca="1" si="59"/>
        <v>0.14190441026976641</v>
      </c>
      <c r="AA197">
        <f t="shared" ca="1" si="60"/>
        <v>0.64396892114415794</v>
      </c>
      <c r="AB197">
        <f t="shared" ca="1" si="61"/>
        <v>101.27660000000002</v>
      </c>
    </row>
    <row r="198" spans="1:28" x14ac:dyDescent="0.25">
      <c r="A198" s="20">
        <f t="shared" ca="1" si="62"/>
        <v>45985</v>
      </c>
      <c r="B198" vm="579">
        <f ca="1"/>
        <v>45987</v>
      </c>
      <c r="C198" vm="580">
        <f ca="1"/>
        <v>109.1</v>
      </c>
      <c r="D198" vm="581">
        <f ca="1"/>
        <v>17783281</v>
      </c>
      <c r="E198">
        <f t="shared" ca="1" si="63"/>
        <v>1940155957.0999999</v>
      </c>
      <c r="F198">
        <f ca="1">SUM($E$2:E198)/SUM($D$2:D198)</f>
        <v>96.963699113913137</v>
      </c>
      <c r="G198">
        <f ca="1">_xlfn.STDEV.P($C$2:C198)</f>
        <v>5.626037633286705</v>
      </c>
      <c r="H198">
        <f t="shared" ca="1" si="64"/>
        <v>102.58973674719984</v>
      </c>
      <c r="I198">
        <f t="shared" ca="1" si="65"/>
        <v>91.337661480626437</v>
      </c>
      <c r="J198">
        <f t="shared" ca="1" si="53"/>
        <v>103.2435</v>
      </c>
      <c r="K198">
        <f t="shared" ca="1" si="54"/>
        <v>2.2432618989695365</v>
      </c>
      <c r="L198">
        <f t="shared" ca="1" si="55"/>
        <v>107.73002379793907</v>
      </c>
      <c r="M198">
        <f t="shared" ca="1" si="56"/>
        <v>98.756976202060926</v>
      </c>
      <c r="N198">
        <f t="shared" ca="1" si="66"/>
        <v>2.0999999999999943</v>
      </c>
      <c r="O198">
        <f t="shared" ca="1" si="67"/>
        <v>2.0999999999999943</v>
      </c>
      <c r="P198">
        <f t="shared" ca="1" si="68"/>
        <v>0</v>
      </c>
      <c r="Q198">
        <f t="shared" ca="1" si="51"/>
        <v>0.89508087113408741</v>
      </c>
      <c r="R198">
        <f t="shared" ca="1" si="52"/>
        <v>0.5029537612141135</v>
      </c>
      <c r="S198">
        <f t="shared" ca="1" si="49"/>
        <v>1.7796484292579744</v>
      </c>
      <c r="T198">
        <f t="shared" ca="1" si="50"/>
        <v>64.024227327664249</v>
      </c>
      <c r="U198">
        <f>70</f>
        <v>70</v>
      </c>
      <c r="V198">
        <f>30</f>
        <v>30</v>
      </c>
      <c r="W198">
        <f t="shared" ca="1" si="48"/>
        <v>104.81863363154466</v>
      </c>
      <c r="X198">
        <f t="shared" ca="1" si="58"/>
        <v>104.03276030013073</v>
      </c>
      <c r="Y198">
        <f t="shared" ca="1" si="57"/>
        <v>1.181672624006481</v>
      </c>
      <c r="Z198">
        <f t="shared" ca="1" si="59"/>
        <v>0.34985805301710937</v>
      </c>
      <c r="AA198">
        <f t="shared" ca="1" si="60"/>
        <v>0.83181457098937162</v>
      </c>
      <c r="AB198">
        <f t="shared" ca="1" si="61"/>
        <v>101.3967</v>
      </c>
    </row>
    <row r="199" spans="1:28" x14ac:dyDescent="0.25">
      <c r="A199" s="20">
        <f t="shared" ca="1" si="62"/>
        <v>45985</v>
      </c>
      <c r="B199" vm="582">
        <f ca="1"/>
        <v>45989</v>
      </c>
      <c r="C199" vm="583">
        <f ca="1"/>
        <v>110.51</v>
      </c>
      <c r="D199" vm="584">
        <f ca="1"/>
        <v>9846525</v>
      </c>
      <c r="E199">
        <f t="shared" ca="1" si="63"/>
        <v>1088139477.75</v>
      </c>
      <c r="F199">
        <f ca="1">SUM($E$2:E199)/SUM($D$2:D199)</f>
        <v>96.999000506108587</v>
      </c>
      <c r="G199">
        <f ca="1">_xlfn.STDEV.P($C$2:C199)</f>
        <v>5.6833392145902364</v>
      </c>
      <c r="H199">
        <f t="shared" ca="1" si="64"/>
        <v>102.68233972069882</v>
      </c>
      <c r="I199">
        <f t="shared" ca="1" si="65"/>
        <v>91.315661291518353</v>
      </c>
      <c r="J199">
        <f t="shared" ca="1" si="53"/>
        <v>103.65749999999998</v>
      </c>
      <c r="K199">
        <f t="shared" ca="1" si="54"/>
        <v>2.7525985330611729</v>
      </c>
      <c r="L199">
        <f t="shared" ca="1" si="55"/>
        <v>109.16269706612233</v>
      </c>
      <c r="M199">
        <f t="shared" ca="1" si="56"/>
        <v>98.152302933877635</v>
      </c>
      <c r="N199">
        <f t="shared" ca="1" si="66"/>
        <v>1.4100000000000108</v>
      </c>
      <c r="O199">
        <f t="shared" ca="1" si="67"/>
        <v>1.4100000000000108</v>
      </c>
      <c r="P199">
        <f t="shared" ca="1" si="68"/>
        <v>0</v>
      </c>
      <c r="Q199">
        <f t="shared" ca="1" si="51"/>
        <v>0.93186080891022471</v>
      </c>
      <c r="R199">
        <f t="shared" ca="1" si="52"/>
        <v>0.46702849255596257</v>
      </c>
      <c r="S199">
        <f t="shared" ca="1" si="49"/>
        <v>1.9952975541391893</v>
      </c>
      <c r="T199">
        <f t="shared" ca="1" si="50"/>
        <v>66.614335239645754</v>
      </c>
      <c r="U199">
        <f>70</f>
        <v>70</v>
      </c>
      <c r="V199">
        <f>30</f>
        <v>30</v>
      </c>
      <c r="W199">
        <f t="shared" ca="1" si="48"/>
        <v>105.69422845746087</v>
      </c>
      <c r="X199">
        <f t="shared" ca="1" si="58"/>
        <v>104.51255583345439</v>
      </c>
      <c r="Y199">
        <f t="shared" ca="1" si="57"/>
        <v>1.5596729515475829</v>
      </c>
      <c r="Z199">
        <f t="shared" ca="1" si="59"/>
        <v>0.59182103272320408</v>
      </c>
      <c r="AA199">
        <f t="shared" ca="1" si="60"/>
        <v>0.96785191882437882</v>
      </c>
      <c r="AB199">
        <f t="shared" ca="1" si="61"/>
        <v>101.53370000000001</v>
      </c>
    </row>
    <row r="200" spans="1:28" x14ac:dyDescent="0.25">
      <c r="A200" s="20">
        <f t="shared" ca="1" si="62"/>
        <v>45992</v>
      </c>
      <c r="B200" vm="585">
        <f ca="1"/>
        <v>45992</v>
      </c>
      <c r="C200" vm="586">
        <f ca="1"/>
        <v>111.53</v>
      </c>
      <c r="D200" vm="587">
        <f ca="1"/>
        <v>17236750</v>
      </c>
      <c r="E200">
        <f t="shared" ca="1" si="63"/>
        <v>1922414727.5</v>
      </c>
      <c r="F200">
        <f ca="1">SUM($E$2:E200)/SUM($D$2:D200)</f>
        <v>97.064988101893007</v>
      </c>
      <c r="G200">
        <f ca="1">_xlfn.STDEV.P($C$2:C200)</f>
        <v>5.7504501811533979</v>
      </c>
      <c r="H200">
        <f t="shared" ca="1" si="64"/>
        <v>102.8154382830464</v>
      </c>
      <c r="I200">
        <f t="shared" ca="1" si="65"/>
        <v>91.31453792073961</v>
      </c>
      <c r="J200">
        <f t="shared" ca="1" si="53"/>
        <v>104.175</v>
      </c>
      <c r="K200">
        <f t="shared" ca="1" si="54"/>
        <v>3.1990236997526202</v>
      </c>
      <c r="L200">
        <f t="shared" ca="1" si="55"/>
        <v>110.57304739950524</v>
      </c>
      <c r="M200">
        <f t="shared" ca="1" si="56"/>
        <v>97.776952600494752</v>
      </c>
      <c r="N200">
        <f t="shared" ca="1" si="66"/>
        <v>1.019999999999996</v>
      </c>
      <c r="O200">
        <f t="shared" ca="1" si="67"/>
        <v>1.019999999999996</v>
      </c>
      <c r="P200">
        <f t="shared" ca="1" si="68"/>
        <v>0</v>
      </c>
      <c r="Q200">
        <f t="shared" ca="1" si="51"/>
        <v>0.938156465416637</v>
      </c>
      <c r="R200">
        <f t="shared" ca="1" si="52"/>
        <v>0.43366931451625096</v>
      </c>
      <c r="S200">
        <f t="shared" ca="1" si="49"/>
        <v>2.1632991637029493</v>
      </c>
      <c r="T200">
        <f t="shared" ca="1" si="50"/>
        <v>68.387435134987271</v>
      </c>
      <c r="U200">
        <f>70</f>
        <v>70</v>
      </c>
      <c r="V200">
        <f>30</f>
        <v>30</v>
      </c>
      <c r="W200">
        <f t="shared" ca="1" si="48"/>
        <v>106.59203946400535</v>
      </c>
      <c r="X200">
        <f t="shared" ca="1" si="58"/>
        <v>105.03236651245777</v>
      </c>
      <c r="Y200">
        <f t="shared" ca="1" si="57"/>
        <v>1.908252433791489</v>
      </c>
      <c r="Z200">
        <f t="shared" ca="1" si="59"/>
        <v>0.85510731293686115</v>
      </c>
      <c r="AA200">
        <f t="shared" ca="1" si="60"/>
        <v>1.0531451208546279</v>
      </c>
      <c r="AB200">
        <f t="shared" ca="1" si="61"/>
        <v>101.70040000000003</v>
      </c>
    </row>
    <row r="201" spans="1:28" x14ac:dyDescent="0.25">
      <c r="A201" s="20">
        <f t="shared" ca="1" si="62"/>
        <v>45992</v>
      </c>
      <c r="B201" vm="588">
        <f ca="1"/>
        <v>45993</v>
      </c>
      <c r="C201" vm="589">
        <f ca="1"/>
        <v>112.41</v>
      </c>
      <c r="D201" vm="590">
        <f ca="1"/>
        <v>18711768</v>
      </c>
      <c r="E201">
        <f t="shared" ca="1" si="63"/>
        <v>2103389840.8799999</v>
      </c>
      <c r="F201">
        <f ca="1">SUM($E$2:E201)/SUM($D$2:D201)</f>
        <v>97.140264317719001</v>
      </c>
      <c r="G201">
        <f ca="1">_xlfn.STDEV.P($C$2:C201)</f>
        <v>5.8258676607008502</v>
      </c>
      <c r="H201">
        <f t="shared" ca="1" si="64"/>
        <v>102.96613197841985</v>
      </c>
      <c r="I201">
        <f t="shared" ca="1" si="65"/>
        <v>91.31439665701815</v>
      </c>
      <c r="J201">
        <f t="shared" ca="1" si="53"/>
        <v>104.71599999999998</v>
      </c>
      <c r="K201">
        <f t="shared" ca="1" si="54"/>
        <v>3.6253542839577095</v>
      </c>
      <c r="L201">
        <f t="shared" ca="1" si="55"/>
        <v>111.9667085679154</v>
      </c>
      <c r="M201">
        <f t="shared" ca="1" si="56"/>
        <v>97.465291432084555</v>
      </c>
      <c r="N201">
        <f t="shared" ca="1" si="66"/>
        <v>0.87999999999999545</v>
      </c>
      <c r="O201">
        <f t="shared" ca="1" si="67"/>
        <v>0.87999999999999545</v>
      </c>
      <c r="P201">
        <f t="shared" ca="1" si="68"/>
        <v>0</v>
      </c>
      <c r="Q201">
        <f t="shared" ca="1" si="51"/>
        <v>0.93400243217259116</v>
      </c>
      <c r="R201">
        <f t="shared" ca="1" si="52"/>
        <v>0.40269293490794728</v>
      </c>
      <c r="S201">
        <f t="shared" ca="1" si="49"/>
        <v>2.3193911569024608</v>
      </c>
      <c r="T201">
        <f t="shared" ca="1" si="50"/>
        <v>69.873993370122577</v>
      </c>
      <c r="U201">
        <f>70</f>
        <v>70</v>
      </c>
      <c r="V201">
        <f>30</f>
        <v>30</v>
      </c>
      <c r="W201">
        <f t="shared" ca="1" si="48"/>
        <v>107.48711031569684</v>
      </c>
      <c r="X201">
        <f t="shared" ca="1" si="58"/>
        <v>105.57885788190535</v>
      </c>
      <c r="Y201">
        <f t="shared" ca="1" si="57"/>
        <v>2.3191537098083472</v>
      </c>
      <c r="Z201">
        <f t="shared" ca="1" si="59"/>
        <v>1.1479165923111585</v>
      </c>
      <c r="AA201">
        <f t="shared" ca="1" si="60"/>
        <v>1.1712371174971887</v>
      </c>
      <c r="AB201">
        <f t="shared" ca="1" si="61"/>
        <v>101.88050000000003</v>
      </c>
    </row>
    <row r="202" spans="1:28" x14ac:dyDescent="0.25">
      <c r="A202" s="20">
        <f t="shared" ca="1" si="62"/>
        <v>45992</v>
      </c>
      <c r="B202" vm="591">
        <f ca="1"/>
        <v>45994</v>
      </c>
      <c r="C202" vm="592">
        <f ca="1"/>
        <v>114.41</v>
      </c>
      <c r="D202" vm="593">
        <f ca="1"/>
        <v>24478281</v>
      </c>
      <c r="E202">
        <f t="shared" ca="1" si="63"/>
        <v>2800560129.21</v>
      </c>
      <c r="F202">
        <f ca="1">SUM($E$2:E202)/SUM($D$2:D202)</f>
        <v>97.250383812628399</v>
      </c>
      <c r="G202">
        <f ca="1">_xlfn.STDEV.P($C$2:C202)</f>
        <v>5.9244637400496583</v>
      </c>
      <c r="H202">
        <f t="shared" ca="1" si="64"/>
        <v>103.17484755267806</v>
      </c>
      <c r="I202">
        <f t="shared" ca="1" si="65"/>
        <v>91.325920072578739</v>
      </c>
      <c r="J202">
        <f t="shared" ca="1" si="53"/>
        <v>105.32299999999998</v>
      </c>
      <c r="K202">
        <f t="shared" ca="1" si="54"/>
        <v>4.1697054042095978</v>
      </c>
      <c r="L202">
        <f t="shared" ca="1" si="55"/>
        <v>113.66241080841917</v>
      </c>
      <c r="M202">
        <f t="shared" ca="1" si="56"/>
        <v>96.983589191580791</v>
      </c>
      <c r="N202">
        <f t="shared" ca="1" si="66"/>
        <v>2</v>
      </c>
      <c r="O202">
        <f t="shared" ca="1" si="67"/>
        <v>2</v>
      </c>
      <c r="P202">
        <f t="shared" ca="1" si="68"/>
        <v>0</v>
      </c>
      <c r="Q202">
        <f t="shared" ca="1" si="51"/>
        <v>1.0101451155888346</v>
      </c>
      <c r="R202">
        <f t="shared" ca="1" si="52"/>
        <v>0.37392915384309389</v>
      </c>
      <c r="S202">
        <f t="shared" ca="1" si="49"/>
        <v>2.7014344969012662</v>
      </c>
      <c r="T202">
        <f t="shared" ca="1" si="50"/>
        <v>72.983447340830395</v>
      </c>
      <c r="U202">
        <f>70</f>
        <v>70</v>
      </c>
      <c r="V202">
        <f>30</f>
        <v>30</v>
      </c>
      <c r="W202">
        <f t="shared" ca="1" si="48"/>
        <v>108.5521702671281</v>
      </c>
      <c r="X202">
        <f t="shared" ca="1" si="58"/>
        <v>106.23301655731976</v>
      </c>
      <c r="Y202">
        <f t="shared" ca="1" si="57"/>
        <v>2.6489578011627515</v>
      </c>
      <c r="Z202">
        <f t="shared" ca="1" si="59"/>
        <v>1.4481248340814772</v>
      </c>
      <c r="AA202">
        <f t="shared" ca="1" si="60"/>
        <v>1.2008329670812743</v>
      </c>
      <c r="AB202">
        <f t="shared" ca="1" si="61"/>
        <v>102.06680000000004</v>
      </c>
    </row>
    <row r="203" spans="1:28" x14ac:dyDescent="0.25">
      <c r="A203" s="20">
        <f t="shared" ca="1" si="62"/>
        <v>45992</v>
      </c>
      <c r="B203" vm="594">
        <f ca="1"/>
        <v>45995</v>
      </c>
      <c r="C203" vm="595">
        <f ca="1"/>
        <v>114.84</v>
      </c>
      <c r="D203" vm="596">
        <f ca="1"/>
        <v>25905147</v>
      </c>
      <c r="E203">
        <f t="shared" ca="1" si="63"/>
        <v>2974947081.48</v>
      </c>
      <c r="F203">
        <f ca="1">SUM($E$2:E203)/SUM($D$2:D203)</f>
        <v>97.368285275898756</v>
      </c>
      <c r="G203">
        <f ca="1">_xlfn.STDEV.P($C$2:C203)</f>
        <v>6.0252132736640887</v>
      </c>
      <c r="H203">
        <f t="shared" ca="1" si="64"/>
        <v>103.39349854956285</v>
      </c>
      <c r="I203">
        <f t="shared" ca="1" si="65"/>
        <v>91.343072002234663</v>
      </c>
      <c r="J203">
        <f t="shared" ca="1" si="53"/>
        <v>105.9915</v>
      </c>
      <c r="K203">
        <f t="shared" ca="1" si="54"/>
        <v>4.5718374458831033</v>
      </c>
      <c r="L203">
        <f t="shared" ca="1" si="55"/>
        <v>115.13517489176621</v>
      </c>
      <c r="M203">
        <f t="shared" ca="1" si="56"/>
        <v>96.847825108233792</v>
      </c>
      <c r="N203">
        <f t="shared" ca="1" si="66"/>
        <v>0.43000000000000682</v>
      </c>
      <c r="O203">
        <f t="shared" ca="1" si="67"/>
        <v>0.43000000000000682</v>
      </c>
      <c r="P203">
        <f t="shared" ca="1" si="68"/>
        <v>0</v>
      </c>
      <c r="Q203">
        <f t="shared" ca="1" si="51"/>
        <v>0.96870617876106113</v>
      </c>
      <c r="R203">
        <f t="shared" ca="1" si="52"/>
        <v>0.34721992856858719</v>
      </c>
      <c r="S203">
        <f t="shared" ca="1" si="49"/>
        <v>2.7898922240856066</v>
      </c>
      <c r="T203">
        <f t="shared" ca="1" si="50"/>
        <v>73.614025389830928</v>
      </c>
      <c r="U203">
        <f>70</f>
        <v>70</v>
      </c>
      <c r="V203">
        <f>30</f>
        <v>30</v>
      </c>
      <c r="W203">
        <f t="shared" ca="1" si="48"/>
        <v>109.51952868756993</v>
      </c>
      <c r="X203">
        <f t="shared" ca="1" si="58"/>
        <v>106.87057088640718</v>
      </c>
      <c r="Y203">
        <f t="shared" ca="1" si="57"/>
        <v>2.8987022282790065</v>
      </c>
      <c r="Z203">
        <f t="shared" ca="1" si="59"/>
        <v>1.7382403129209831</v>
      </c>
      <c r="AA203">
        <f t="shared" ca="1" si="60"/>
        <v>1.1604619153580233</v>
      </c>
      <c r="AB203">
        <f t="shared" ca="1" si="61"/>
        <v>102.26130000000005</v>
      </c>
    </row>
    <row r="204" spans="1:28" x14ac:dyDescent="0.25">
      <c r="A204" s="20">
        <f t="shared" ca="1" si="62"/>
        <v>45992</v>
      </c>
      <c r="B204" vm="597">
        <f ca="1"/>
        <v>45996</v>
      </c>
      <c r="C204" vm="598">
        <f ca="1"/>
        <v>115.11</v>
      </c>
      <c r="D204" vm="599">
        <f ca="1"/>
        <v>23956427</v>
      </c>
      <c r="E204">
        <f t="shared" ca="1" si="63"/>
        <v>2757624311.9699998</v>
      </c>
      <c r="F204">
        <f ca="1">SUM($E$2:E204)/SUM($D$2:D204)</f>
        <v>97.47758288639649</v>
      </c>
      <c r="G204">
        <f ca="1">_xlfn.STDEV.P($C$2:C204)</f>
        <v>6.1258596935552339</v>
      </c>
      <c r="H204">
        <f t="shared" ca="1" si="64"/>
        <v>103.60344257995172</v>
      </c>
      <c r="I204">
        <f t="shared" ca="1" si="65"/>
        <v>91.351723192841263</v>
      </c>
      <c r="J204">
        <f t="shared" ca="1" si="53"/>
        <v>106.66299999999998</v>
      </c>
      <c r="K204">
        <f t="shared" ca="1" si="54"/>
        <v>4.881069878407267</v>
      </c>
      <c r="L204">
        <f t="shared" ca="1" si="55"/>
        <v>116.42513975681452</v>
      </c>
      <c r="M204">
        <f t="shared" ca="1" si="56"/>
        <v>96.900860243185448</v>
      </c>
      <c r="N204">
        <f t="shared" ca="1" si="66"/>
        <v>0.26999999999999602</v>
      </c>
      <c r="O204">
        <f t="shared" ca="1" si="67"/>
        <v>0.26999999999999602</v>
      </c>
      <c r="P204">
        <f t="shared" ca="1" si="68"/>
        <v>0</v>
      </c>
      <c r="Q204">
        <f t="shared" ca="1" si="51"/>
        <v>0.91879859456384216</v>
      </c>
      <c r="R204">
        <f t="shared" ca="1" si="52"/>
        <v>0.32241850509940234</v>
      </c>
      <c r="S204">
        <f t="shared" ca="1" si="49"/>
        <v>2.8497080038274309</v>
      </c>
      <c r="T204">
        <f t="shared" ca="1" si="50"/>
        <v>74.024003924303173</v>
      </c>
      <c r="U204">
        <f>70</f>
        <v>70</v>
      </c>
      <c r="V204">
        <f>30</f>
        <v>30</v>
      </c>
      <c r="W204">
        <f t="shared" ca="1" si="48"/>
        <v>110.37960119717455</v>
      </c>
      <c r="X204">
        <f t="shared" ca="1" si="58"/>
        <v>107.48089896889554</v>
      </c>
      <c r="Y204">
        <f t="shared" ca="1" si="57"/>
        <v>2.9376905717088135</v>
      </c>
      <c r="Z204">
        <f t="shared" ca="1" si="59"/>
        <v>1.9781303646785493</v>
      </c>
      <c r="AA204">
        <f t="shared" ca="1" si="60"/>
        <v>0.95956020703026423</v>
      </c>
      <c r="AB204">
        <f t="shared" ca="1" si="61"/>
        <v>102.46090000000005</v>
      </c>
    </row>
    <row r="205" spans="1:28" x14ac:dyDescent="0.25">
      <c r="A205" s="20">
        <f t="shared" ca="1" si="62"/>
        <v>45999</v>
      </c>
      <c r="B205" vm="600">
        <f ca="1"/>
        <v>45999</v>
      </c>
      <c r="C205" vm="601">
        <f ca="1"/>
        <v>113.56</v>
      </c>
      <c r="D205" vm="602">
        <f ca="1"/>
        <v>22700747</v>
      </c>
      <c r="E205">
        <f t="shared" ca="1" si="63"/>
        <v>2577896829.3200002</v>
      </c>
      <c r="F205">
        <f ca="1">SUM($E$2:E205)/SUM($D$2:D205)</f>
        <v>97.570920488823035</v>
      </c>
      <c r="G205">
        <f ca="1">_xlfn.STDEV.P($C$2:C205)</f>
        <v>6.2032826044866365</v>
      </c>
      <c r="H205">
        <f t="shared" ca="1" si="64"/>
        <v>103.77420309330967</v>
      </c>
      <c r="I205">
        <f t="shared" ca="1" si="65"/>
        <v>91.367637884336403</v>
      </c>
      <c r="J205">
        <f t="shared" ca="1" si="53"/>
        <v>107.2115</v>
      </c>
      <c r="K205">
        <f t="shared" ca="1" si="54"/>
        <v>5.0138453306818302</v>
      </c>
      <c r="L205">
        <f t="shared" ca="1" si="55"/>
        <v>117.23919066136366</v>
      </c>
      <c r="M205">
        <f t="shared" ca="1" si="56"/>
        <v>97.183809338636337</v>
      </c>
      <c r="N205">
        <f t="shared" ca="1" si="66"/>
        <v>-1.5499999999999972</v>
      </c>
      <c r="O205">
        <f t="shared" ca="1" si="67"/>
        <v>0</v>
      </c>
      <c r="P205">
        <f t="shared" ca="1" si="68"/>
        <v>1.5499999999999972</v>
      </c>
      <c r="Q205">
        <f t="shared" ca="1" si="51"/>
        <v>0.85317012352356769</v>
      </c>
      <c r="R205">
        <f t="shared" ca="1" si="52"/>
        <v>0.41010289759230195</v>
      </c>
      <c r="S205">
        <f t="shared" ca="1" si="49"/>
        <v>2.0803806277217158</v>
      </c>
      <c r="T205">
        <f t="shared" ca="1" si="50"/>
        <v>67.536479388275751</v>
      </c>
      <c r="U205">
        <f>70</f>
        <v>70</v>
      </c>
      <c r="V205">
        <f>30</f>
        <v>30</v>
      </c>
      <c r="W205">
        <f t="shared" ca="1" si="48"/>
        <v>110.86889332068617</v>
      </c>
      <c r="X205">
        <f t="shared" ca="1" si="58"/>
        <v>107.93120274897736</v>
      </c>
      <c r="Y205">
        <f t="shared" ca="1" si="57"/>
        <v>3.0544171590488673</v>
      </c>
      <c r="Z205">
        <f t="shared" ca="1" si="59"/>
        <v>2.1933877235526129</v>
      </c>
      <c r="AA205">
        <f t="shared" ca="1" si="60"/>
        <v>0.86102943549625444</v>
      </c>
      <c r="AB205">
        <f t="shared" ca="1" si="61"/>
        <v>102.64560000000004</v>
      </c>
    </row>
    <row r="206" spans="1:28" x14ac:dyDescent="0.25">
      <c r="A206" s="20">
        <f t="shared" ca="1" si="62"/>
        <v>45999</v>
      </c>
      <c r="B206" vm="603">
        <f ca="1"/>
        <v>46000</v>
      </c>
      <c r="C206" vm="604">
        <f ca="1"/>
        <v>115.06</v>
      </c>
      <c r="D206" vm="605">
        <f ca="1"/>
        <v>24326690</v>
      </c>
      <c r="E206">
        <f t="shared" ca="1" si="63"/>
        <v>2799028951.4000001</v>
      </c>
      <c r="F206">
        <f ca="1">SUM($E$2:E206)/SUM($D$2:D206)</f>
        <v>97.679019683675619</v>
      </c>
      <c r="G206">
        <f ca="1">_xlfn.STDEV.P($C$2:C206)</f>
        <v>6.2966038712721355</v>
      </c>
      <c r="H206">
        <f t="shared" ca="1" si="64"/>
        <v>103.97562355494776</v>
      </c>
      <c r="I206">
        <f t="shared" ca="1" si="65"/>
        <v>91.38241581240348</v>
      </c>
      <c r="J206">
        <f t="shared" ca="1" si="53"/>
        <v>107.84349999999999</v>
      </c>
      <c r="K206">
        <f t="shared" ca="1" si="54"/>
        <v>5.1722246816911133</v>
      </c>
      <c r="L206">
        <f t="shared" ca="1" si="55"/>
        <v>118.18794936338222</v>
      </c>
      <c r="M206">
        <f t="shared" ca="1" si="56"/>
        <v>97.499050636617767</v>
      </c>
      <c r="N206">
        <f t="shared" ca="1" si="66"/>
        <v>1.5</v>
      </c>
      <c r="O206">
        <f t="shared" ca="1" si="67"/>
        <v>1.5</v>
      </c>
      <c r="P206">
        <f t="shared" ca="1" si="68"/>
        <v>0</v>
      </c>
      <c r="Q206">
        <f t="shared" ca="1" si="51"/>
        <v>0.89937225755759864</v>
      </c>
      <c r="R206">
        <f t="shared" ca="1" si="52"/>
        <v>0.38080983347856606</v>
      </c>
      <c r="S206">
        <f t="shared" ca="1" si="49"/>
        <v>2.3617359072431094</v>
      </c>
      <c r="T206">
        <f t="shared" ca="1" si="50"/>
        <v>70.253463460784474</v>
      </c>
      <c r="U206">
        <f>70</f>
        <v>70</v>
      </c>
      <c r="V206">
        <f>30</f>
        <v>30</v>
      </c>
      <c r="W206">
        <f t="shared" ca="1" si="48"/>
        <v>111.51367896365753</v>
      </c>
      <c r="X206">
        <f t="shared" ca="1" si="58"/>
        <v>108.45926180460866</v>
      </c>
      <c r="Y206">
        <f t="shared" ca="1" si="57"/>
        <v>2.9610899307933636</v>
      </c>
      <c r="Z206">
        <f t="shared" ca="1" si="59"/>
        <v>2.3469281650007634</v>
      </c>
      <c r="AA206">
        <f t="shared" ca="1" si="60"/>
        <v>0.61416176579260018</v>
      </c>
      <c r="AB206">
        <f t="shared" ca="1" si="61"/>
        <v>102.84570000000005</v>
      </c>
    </row>
    <row r="207" spans="1:28" x14ac:dyDescent="0.25">
      <c r="A207" s="20">
        <f t="shared" ca="1" si="62"/>
        <v>45999</v>
      </c>
      <c r="B207" vm="606">
        <f ca="1"/>
        <v>46001</v>
      </c>
      <c r="C207" vm="607">
        <f ca="1"/>
        <v>113.18</v>
      </c>
      <c r="D207" vm="608">
        <f ca="1"/>
        <v>22859578</v>
      </c>
      <c r="E207">
        <f t="shared" ca="1" si="63"/>
        <v>2587247038.04</v>
      </c>
      <c r="F207">
        <f ca="1">SUM($E$2:E207)/SUM($D$2:D207)</f>
        <v>97.768532391043777</v>
      </c>
      <c r="G207">
        <f ca="1">_xlfn.STDEV.P($C$2:C207)</f>
        <v>6.3643136404380316</v>
      </c>
      <c r="H207">
        <f t="shared" ca="1" si="64"/>
        <v>104.1328460314818</v>
      </c>
      <c r="I207">
        <f t="shared" ca="1" si="65"/>
        <v>91.40421875060575</v>
      </c>
      <c r="J207">
        <f t="shared" ca="1" si="53"/>
        <v>108.33049999999999</v>
      </c>
      <c r="K207">
        <f t="shared" ca="1" si="54"/>
        <v>5.1942797231286324</v>
      </c>
      <c r="L207">
        <f t="shared" ca="1" si="55"/>
        <v>118.71905944625725</v>
      </c>
      <c r="M207">
        <f t="shared" ca="1" si="56"/>
        <v>97.941940553742725</v>
      </c>
      <c r="N207">
        <f t="shared" ca="1" si="66"/>
        <v>-1.8799999999999955</v>
      </c>
      <c r="O207">
        <f t="shared" ca="1" si="67"/>
        <v>0</v>
      </c>
      <c r="P207">
        <f t="shared" ca="1" si="68"/>
        <v>1.8799999999999955</v>
      </c>
      <c r="Q207">
        <f t="shared" ca="1" si="51"/>
        <v>0.83513138201777015</v>
      </c>
      <c r="R207">
        <f t="shared" ca="1" si="52"/>
        <v>0.48789484537295386</v>
      </c>
      <c r="S207">
        <f t="shared" ca="1" si="49"/>
        <v>1.7117036384743596</v>
      </c>
      <c r="T207">
        <f t="shared" ca="1" si="50"/>
        <v>63.122813798243335</v>
      </c>
      <c r="U207">
        <f>70</f>
        <v>70</v>
      </c>
      <c r="V207">
        <f>30</f>
        <v>30</v>
      </c>
      <c r="W207">
        <f t="shared" ref="W207:W251" ca="1" si="69">C207*(2/(12+1)) + W206*(1-(2/(12+1)))</f>
        <v>111.77003604617175</v>
      </c>
      <c r="X207">
        <f t="shared" ca="1" si="58"/>
        <v>108.80894611537839</v>
      </c>
      <c r="Y207">
        <f t="shared" ca="1" si="57"/>
        <v>3.0408923595869908</v>
      </c>
      <c r="Z207">
        <f t="shared" ca="1" si="59"/>
        <v>2.4857210039180089</v>
      </c>
      <c r="AA207">
        <f t="shared" ca="1" si="60"/>
        <v>0.5551713556689819</v>
      </c>
      <c r="AB207">
        <f t="shared" ca="1" si="61"/>
        <v>103.02080000000004</v>
      </c>
    </row>
    <row r="208" spans="1:28" x14ac:dyDescent="0.25">
      <c r="A208" s="20">
        <f t="shared" ca="1" si="62"/>
        <v>45999</v>
      </c>
      <c r="B208" vm="609">
        <f ca="1"/>
        <v>46002</v>
      </c>
      <c r="C208" vm="610">
        <f ca="1"/>
        <v>115.52</v>
      </c>
      <c r="D208" vm="611">
        <f ca="1"/>
        <v>21586640</v>
      </c>
      <c r="E208">
        <f t="shared" ca="1" si="63"/>
        <v>2493688652.7999997</v>
      </c>
      <c r="F208">
        <f ca="1">SUM($E$2:E208)/SUM($D$2:D208)</f>
        <v>97.864807677810049</v>
      </c>
      <c r="G208">
        <f ca="1">_xlfn.STDEV.P($C$2:C208)</f>
        <v>6.4575351778504118</v>
      </c>
      <c r="H208">
        <f t="shared" ca="1" si="64"/>
        <v>104.32234285566047</v>
      </c>
      <c r="I208">
        <f t="shared" ca="1" si="65"/>
        <v>91.407272499959632</v>
      </c>
      <c r="J208">
        <f t="shared" ca="1" si="53"/>
        <v>108.93449999999999</v>
      </c>
      <c r="K208">
        <f t="shared" ca="1" si="54"/>
        <v>5.2969996224277756</v>
      </c>
      <c r="L208">
        <f t="shared" ca="1" si="55"/>
        <v>119.52849924485554</v>
      </c>
      <c r="M208">
        <f t="shared" ca="1" si="56"/>
        <v>98.340500755144433</v>
      </c>
      <c r="N208">
        <f t="shared" ca="1" si="66"/>
        <v>2.3399999999999892</v>
      </c>
      <c r="O208">
        <f t="shared" ca="1" si="67"/>
        <v>2.3399999999999892</v>
      </c>
      <c r="P208">
        <f t="shared" ca="1" si="68"/>
        <v>0</v>
      </c>
      <c r="Q208">
        <f t="shared" ca="1" si="51"/>
        <v>0.94262199758792864</v>
      </c>
      <c r="R208">
        <f t="shared" ca="1" si="52"/>
        <v>0.45304521356059996</v>
      </c>
      <c r="S208">
        <f t="shared" ref="S208:S251" ca="1" si="70">IF(R208=0,NA(),Q208/R208)</f>
        <v>2.0806355952414055</v>
      </c>
      <c r="T208">
        <f t="shared" ref="T208:T251" ca="1" si="71">100-(100/(1+S208))</f>
        <v>67.539166218014259</v>
      </c>
      <c r="U208">
        <f>70</f>
        <v>70</v>
      </c>
      <c r="V208">
        <f>30</f>
        <v>30</v>
      </c>
      <c r="W208">
        <f t="shared" ca="1" si="69"/>
        <v>112.34695357752994</v>
      </c>
      <c r="X208">
        <f t="shared" ca="1" si="58"/>
        <v>109.30606121794295</v>
      </c>
      <c r="Y208">
        <f t="shared" ca="1" si="57"/>
        <v>3.1628926401564996</v>
      </c>
      <c r="Z208">
        <f t="shared" ca="1" si="59"/>
        <v>2.6211553311657072</v>
      </c>
      <c r="AA208">
        <f t="shared" ca="1" si="60"/>
        <v>0.54173730899079242</v>
      </c>
      <c r="AB208">
        <f t="shared" ca="1" si="61"/>
        <v>103.21750000000003</v>
      </c>
    </row>
    <row r="209" spans="1:28" x14ac:dyDescent="0.25">
      <c r="A209" s="20">
        <f t="shared" ca="1" si="62"/>
        <v>45999</v>
      </c>
      <c r="B209" vm="612">
        <f ca="1"/>
        <v>46003</v>
      </c>
      <c r="C209" vm="613">
        <f ca="1"/>
        <v>116.7</v>
      </c>
      <c r="D209" vm="614">
        <f ca="1"/>
        <v>19092414</v>
      </c>
      <c r="E209">
        <f t="shared" ca="1" si="63"/>
        <v>2228084713.8000002</v>
      </c>
      <c r="F209">
        <f ca="1">SUM($E$2:E209)/SUM($D$2:D209)</f>
        <v>97.954725989480451</v>
      </c>
      <c r="G209">
        <f ca="1">_xlfn.STDEV.P($C$2:C209)</f>
        <v>6.5626236188694991</v>
      </c>
      <c r="H209">
        <f t="shared" ca="1" si="64"/>
        <v>104.51734960834995</v>
      </c>
      <c r="I209">
        <f t="shared" ca="1" si="65"/>
        <v>91.392102370610957</v>
      </c>
      <c r="J209">
        <f t="shared" ca="1" si="53"/>
        <v>109.6425</v>
      </c>
      <c r="K209">
        <f t="shared" ca="1" si="54"/>
        <v>5.3434365789896132</v>
      </c>
      <c r="L209">
        <f t="shared" ca="1" si="55"/>
        <v>120.32937315797922</v>
      </c>
      <c r="M209">
        <f t="shared" ca="1" si="56"/>
        <v>98.955626842020777</v>
      </c>
      <c r="N209">
        <f t="shared" ca="1" si="66"/>
        <v>1.1800000000000068</v>
      </c>
      <c r="O209">
        <f t="shared" ca="1" si="67"/>
        <v>1.1800000000000068</v>
      </c>
      <c r="P209">
        <f t="shared" ca="1" si="68"/>
        <v>0</v>
      </c>
      <c r="Q209">
        <f t="shared" ref="Q209:Q251" ca="1" si="72">(Q208*13+O209)/14</f>
        <v>0.95957756918879134</v>
      </c>
      <c r="R209">
        <f t="shared" ref="R209:R251" ca="1" si="73">(R208*13+P209)/14</f>
        <v>0.4206848411634142</v>
      </c>
      <c r="S209">
        <f t="shared" ca="1" si="70"/>
        <v>2.2809891759709147</v>
      </c>
      <c r="T209">
        <f t="shared" ca="1" si="71"/>
        <v>69.521386802378629</v>
      </c>
      <c r="U209">
        <f>70</f>
        <v>70</v>
      </c>
      <c r="V209">
        <f>30</f>
        <v>30</v>
      </c>
      <c r="W209">
        <f t="shared" ca="1" si="69"/>
        <v>113.01665302714072</v>
      </c>
      <c r="X209">
        <f t="shared" ca="1" si="58"/>
        <v>109.85376038698422</v>
      </c>
      <c r="Y209">
        <f t="shared" ca="1" si="57"/>
        <v>3.2296120321678927</v>
      </c>
      <c r="Z209">
        <f t="shared" ca="1" si="59"/>
        <v>2.7428466713661441</v>
      </c>
      <c r="AA209">
        <f t="shared" ca="1" si="60"/>
        <v>0.48676536080174859</v>
      </c>
      <c r="AB209">
        <f t="shared" ca="1" si="61"/>
        <v>103.42770000000002</v>
      </c>
    </row>
    <row r="210" spans="1:28" x14ac:dyDescent="0.25">
      <c r="A210" s="20">
        <f t="shared" ca="1" si="62"/>
        <v>46006</v>
      </c>
      <c r="B210" vm="615">
        <f ca="1"/>
        <v>46006</v>
      </c>
      <c r="C210" vm="616">
        <f ca="1"/>
        <v>116.79</v>
      </c>
      <c r="D210" vm="617">
        <f ca="1"/>
        <v>18713743</v>
      </c>
      <c r="E210">
        <f t="shared" ca="1" si="63"/>
        <v>2185578044.9700003</v>
      </c>
      <c r="F210">
        <f ca="1">SUM($E$2:E210)/SUM($D$2:D210)</f>
        <v>98.042450793139281</v>
      </c>
      <c r="G210">
        <f ca="1">_xlfn.STDEV.P($C$2:C210)</f>
        <v>6.6651142182568597</v>
      </c>
      <c r="H210">
        <f t="shared" ca="1" si="64"/>
        <v>104.70756501139614</v>
      </c>
      <c r="I210">
        <f t="shared" ca="1" si="65"/>
        <v>91.37733657488242</v>
      </c>
      <c r="J210">
        <f t="shared" ca="1" si="53"/>
        <v>110.35799999999999</v>
      </c>
      <c r="K210">
        <f t="shared" ca="1" si="54"/>
        <v>5.2917041330349299</v>
      </c>
      <c r="L210">
        <f t="shared" ca="1" si="55"/>
        <v>120.94140826606986</v>
      </c>
      <c r="M210">
        <f t="shared" ca="1" si="56"/>
        <v>99.774591733930123</v>
      </c>
      <c r="N210">
        <f t="shared" ca="1" si="66"/>
        <v>9.0000000000003411E-2</v>
      </c>
      <c r="O210">
        <f t="shared" ca="1" si="67"/>
        <v>9.0000000000003411E-2</v>
      </c>
      <c r="P210">
        <f t="shared" ca="1" si="68"/>
        <v>0</v>
      </c>
      <c r="Q210">
        <f t="shared" ca="1" si="72"/>
        <v>0.89746488567530647</v>
      </c>
      <c r="R210">
        <f t="shared" ca="1" si="73"/>
        <v>0.39063592393745605</v>
      </c>
      <c r="S210">
        <f t="shared" ca="1" si="70"/>
        <v>2.2974458586123223</v>
      </c>
      <c r="T210">
        <f t="shared" ca="1" si="71"/>
        <v>69.673497522690667</v>
      </c>
      <c r="U210">
        <f>70</f>
        <v>70</v>
      </c>
      <c r="V210">
        <f>30</f>
        <v>30</v>
      </c>
      <c r="W210">
        <f t="shared" ca="1" si="69"/>
        <v>113.59716794604216</v>
      </c>
      <c r="X210">
        <f t="shared" ca="1" si="58"/>
        <v>110.36755591387427</v>
      </c>
      <c r="Y210">
        <f t="shared" ca="1" si="57"/>
        <v>3.1357926152859932</v>
      </c>
      <c r="Z210">
        <f t="shared" ca="1" si="59"/>
        <v>2.8214358601501139</v>
      </c>
      <c r="AA210">
        <f t="shared" ca="1" si="60"/>
        <v>0.31435675513587924</v>
      </c>
      <c r="AB210">
        <f t="shared" ca="1" si="61"/>
        <v>103.62960000000002</v>
      </c>
    </row>
    <row r="211" spans="1:28" x14ac:dyDescent="0.25">
      <c r="A211" s="20">
        <f t="shared" ca="1" si="62"/>
        <v>46006</v>
      </c>
      <c r="B211" vm="618">
        <f ca="1"/>
        <v>46007</v>
      </c>
      <c r="C211" vm="619">
        <f ca="1"/>
        <v>115.42</v>
      </c>
      <c r="D211" vm="620">
        <f ca="1"/>
        <v>19642346</v>
      </c>
      <c r="E211">
        <f t="shared" ca="1" si="63"/>
        <v>2267119575.3200002</v>
      </c>
      <c r="F211">
        <f ca="1">SUM($E$2:E211)/SUM($D$2:D211)</f>
        <v>98.126989144158259</v>
      </c>
      <c r="G211">
        <f ca="1">_xlfn.STDEV.P($C$2:C211)</f>
        <v>6.7473402719910149</v>
      </c>
      <c r="H211">
        <f t="shared" ca="1" si="64"/>
        <v>104.87432941614928</v>
      </c>
      <c r="I211">
        <f t="shared" ca="1" si="65"/>
        <v>91.379648872167238</v>
      </c>
      <c r="J211">
        <f t="shared" ca="1" si="53"/>
        <v>110.98150000000001</v>
      </c>
      <c r="K211">
        <f t="shared" ca="1" si="54"/>
        <v>5.1042338205392648</v>
      </c>
      <c r="L211">
        <f t="shared" ca="1" si="55"/>
        <v>121.18996764107854</v>
      </c>
      <c r="M211">
        <f t="shared" ca="1" si="56"/>
        <v>100.77303235892148</v>
      </c>
      <c r="N211">
        <f t="shared" ca="1" si="66"/>
        <v>-1.3700000000000045</v>
      </c>
      <c r="O211">
        <f t="shared" ca="1" si="67"/>
        <v>0</v>
      </c>
      <c r="P211">
        <f t="shared" ca="1" si="68"/>
        <v>1.3700000000000045</v>
      </c>
      <c r="Q211">
        <f t="shared" ca="1" si="72"/>
        <v>0.83336025098421307</v>
      </c>
      <c r="R211">
        <f t="shared" ca="1" si="73"/>
        <v>0.46059050079906666</v>
      </c>
      <c r="S211">
        <f t="shared" ca="1" si="70"/>
        <v>1.8093300872215943</v>
      </c>
      <c r="T211">
        <f t="shared" ca="1" si="71"/>
        <v>64.40432526784376</v>
      </c>
      <c r="U211">
        <f>70</f>
        <v>70</v>
      </c>
      <c r="V211">
        <f>30</f>
        <v>30</v>
      </c>
      <c r="W211">
        <f t="shared" ca="1" si="69"/>
        <v>113.87760364665107</v>
      </c>
      <c r="X211">
        <f t="shared" ca="1" si="58"/>
        <v>110.74181103136507</v>
      </c>
      <c r="Y211">
        <f t="shared" ca="1" si="57"/>
        <v>3.0456971449051764</v>
      </c>
      <c r="Z211">
        <f t="shared" ca="1" si="59"/>
        <v>2.8662881171011265</v>
      </c>
      <c r="AA211">
        <f t="shared" ca="1" si="60"/>
        <v>0.17940902780404988</v>
      </c>
      <c r="AB211">
        <f t="shared" ca="1" si="61"/>
        <v>103.80910000000003</v>
      </c>
    </row>
    <row r="212" spans="1:28" x14ac:dyDescent="0.25">
      <c r="A212" s="20">
        <f t="shared" ca="1" si="62"/>
        <v>46006</v>
      </c>
      <c r="B212" vm="621">
        <f ca="1"/>
        <v>46008</v>
      </c>
      <c r="C212" vm="622">
        <f ca="1"/>
        <v>115.66</v>
      </c>
      <c r="D212" vm="623">
        <f ca="1"/>
        <v>16177750</v>
      </c>
      <c r="E212">
        <f t="shared" ca="1" si="63"/>
        <v>1871118565</v>
      </c>
      <c r="F212">
        <f ca="1">SUM($E$2:E212)/SUM($D$2:D212)</f>
        <v>98.196958823946872</v>
      </c>
      <c r="G212">
        <f ca="1">_xlfn.STDEV.P($C$2:C212)</f>
        <v>6.8296704410513671</v>
      </c>
      <c r="H212">
        <f t="shared" ca="1" si="64"/>
        <v>105.02662926499823</v>
      </c>
      <c r="I212">
        <f t="shared" ca="1" si="65"/>
        <v>91.367288382895509</v>
      </c>
      <c r="J212">
        <f t="shared" ca="1" si="53"/>
        <v>111.69499999999998</v>
      </c>
      <c r="K212">
        <f t="shared" ca="1" si="54"/>
        <v>4.6719808714460616</v>
      </c>
      <c r="L212">
        <f t="shared" ca="1" si="55"/>
        <v>121.0389617428921</v>
      </c>
      <c r="M212">
        <f t="shared" ca="1" si="56"/>
        <v>102.35103825710786</v>
      </c>
      <c r="N212">
        <f t="shared" ca="1" si="66"/>
        <v>0.23999999999999488</v>
      </c>
      <c r="O212">
        <f t="shared" ca="1" si="67"/>
        <v>0.23999999999999488</v>
      </c>
      <c r="P212">
        <f t="shared" ca="1" si="68"/>
        <v>0</v>
      </c>
      <c r="Q212">
        <f t="shared" ca="1" si="72"/>
        <v>0.79097737591391171</v>
      </c>
      <c r="R212">
        <f t="shared" ca="1" si="73"/>
        <v>0.42769117931341905</v>
      </c>
      <c r="S212">
        <f t="shared" ca="1" si="70"/>
        <v>1.8494124129089664</v>
      </c>
      <c r="T212">
        <f t="shared" ca="1" si="71"/>
        <v>64.905045143005481</v>
      </c>
      <c r="U212">
        <f>70</f>
        <v>70</v>
      </c>
      <c r="V212">
        <f>30</f>
        <v>30</v>
      </c>
      <c r="W212">
        <f t="shared" ca="1" si="69"/>
        <v>114.1518184702432</v>
      </c>
      <c r="X212">
        <f t="shared" ca="1" si="58"/>
        <v>111.10612132533802</v>
      </c>
      <c r="Y212">
        <f t="shared" ca="1" si="57"/>
        <v>2.8741899000779938</v>
      </c>
      <c r="Z212">
        <f t="shared" ca="1" si="59"/>
        <v>2.8678684736965003</v>
      </c>
      <c r="AA212">
        <f t="shared" ca="1" si="60"/>
        <v>6.3214263814934668E-3</v>
      </c>
      <c r="AB212">
        <f t="shared" ca="1" si="61"/>
        <v>103.98960000000002</v>
      </c>
    </row>
    <row r="213" spans="1:28" x14ac:dyDescent="0.25">
      <c r="A213" s="20">
        <f t="shared" ca="1" si="62"/>
        <v>46006</v>
      </c>
      <c r="B213" vm="624">
        <f ca="1"/>
        <v>46009</v>
      </c>
      <c r="C213" vm="625">
        <f ca="1"/>
        <v>114.83</v>
      </c>
      <c r="D213" vm="626">
        <f ca="1"/>
        <v>21476675</v>
      </c>
      <c r="E213">
        <f t="shared" ca="1" si="63"/>
        <v>2466166590.25</v>
      </c>
      <c r="F213">
        <f ca="1">SUM($E$2:E213)/SUM($D$2:D213)</f>
        <v>98.284614330717872</v>
      </c>
      <c r="G213">
        <f ca="1">_xlfn.STDEV.P($C$2:C213)</f>
        <v>6.9001410191398032</v>
      </c>
      <c r="H213">
        <f t="shared" ca="1" si="64"/>
        <v>105.18475534985768</v>
      </c>
      <c r="I213">
        <f t="shared" ca="1" si="65"/>
        <v>91.384473311578063</v>
      </c>
      <c r="J213">
        <f t="shared" ca="1" si="53"/>
        <v>112.40599999999999</v>
      </c>
      <c r="K213">
        <f t="shared" ca="1" si="54"/>
        <v>3.9173116452888705</v>
      </c>
      <c r="L213">
        <f t="shared" ca="1" si="55"/>
        <v>120.24062329057773</v>
      </c>
      <c r="M213">
        <f t="shared" ca="1" si="56"/>
        <v>104.57137670942225</v>
      </c>
      <c r="N213">
        <f t="shared" ca="1" si="66"/>
        <v>-0.82999999999999829</v>
      </c>
      <c r="O213">
        <f t="shared" ca="1" si="67"/>
        <v>0</v>
      </c>
      <c r="P213">
        <f t="shared" ca="1" si="68"/>
        <v>0.82999999999999829</v>
      </c>
      <c r="Q213">
        <f t="shared" ca="1" si="72"/>
        <v>0.73447899192006083</v>
      </c>
      <c r="R213">
        <f t="shared" ca="1" si="73"/>
        <v>0.45642752364817468</v>
      </c>
      <c r="S213">
        <f t="shared" ca="1" si="70"/>
        <v>1.6091908438155778</v>
      </c>
      <c r="T213">
        <f t="shared" ca="1" si="71"/>
        <v>61.673941851733645</v>
      </c>
      <c r="U213">
        <f>70</f>
        <v>70</v>
      </c>
      <c r="V213">
        <f>30</f>
        <v>30</v>
      </c>
      <c r="W213">
        <f t="shared" ca="1" si="69"/>
        <v>114.25615409020578</v>
      </c>
      <c r="X213">
        <f t="shared" ca="1" si="58"/>
        <v>111.38196419012779</v>
      </c>
      <c r="Y213">
        <f t="shared" ca="1" si="57"/>
        <v>2.6695709487167818</v>
      </c>
      <c r="Z213">
        <f t="shared" ca="1" si="59"/>
        <v>2.8282089687005567</v>
      </c>
      <c r="AA213">
        <f t="shared" ca="1" si="60"/>
        <v>-0.15863801998377491</v>
      </c>
      <c r="AB213">
        <f t="shared" ca="1" si="61"/>
        <v>104.15460000000002</v>
      </c>
    </row>
    <row r="214" spans="1:28" x14ac:dyDescent="0.25">
      <c r="A214" s="20">
        <f t="shared" ca="1" si="62"/>
        <v>46006</v>
      </c>
      <c r="B214" vm="627">
        <f ca="1"/>
        <v>46010</v>
      </c>
      <c r="C214" vm="628">
        <f ca="1"/>
        <v>114.36</v>
      </c>
      <c r="D214" vm="629">
        <f ca="1"/>
        <v>50043755</v>
      </c>
      <c r="E214">
        <f t="shared" ca="1" si="63"/>
        <v>5723003821.8000002</v>
      </c>
      <c r="F214">
        <f ca="1">SUM($E$2:E214)/SUM($D$2:D214)</f>
        <v>98.479621791699699</v>
      </c>
      <c r="G214">
        <f ca="1">_xlfn.STDEV.P($C$2:C214)</f>
        <v>6.9635344558928418</v>
      </c>
      <c r="H214">
        <f t="shared" ca="1" si="64"/>
        <v>105.44315624759254</v>
      </c>
      <c r="I214">
        <f t="shared" ca="1" si="65"/>
        <v>91.516087335806859</v>
      </c>
      <c r="J214">
        <f t="shared" ref="J214:J251" ca="1" si="74">AVERAGE(C195:C214)</f>
        <v>112.76850000000002</v>
      </c>
      <c r="K214">
        <f t="shared" ref="K214:K251" ca="1" si="75">_xlfn.STDEV.S(C195:C214)</f>
        <v>3.7325288097735396</v>
      </c>
      <c r="L214">
        <f t="shared" ref="L214:L251" ca="1" si="76">J214 + 2*K214</f>
        <v>120.2335576195471</v>
      </c>
      <c r="M214">
        <f t="shared" ref="M214:M251" ca="1" si="77">J214-2*K214</f>
        <v>105.30344238045294</v>
      </c>
      <c r="N214">
        <f t="shared" ca="1" si="66"/>
        <v>-0.46999999999999886</v>
      </c>
      <c r="O214">
        <f t="shared" ca="1" si="67"/>
        <v>0</v>
      </c>
      <c r="P214">
        <f t="shared" ca="1" si="68"/>
        <v>0.46999999999999886</v>
      </c>
      <c r="Q214">
        <f t="shared" ca="1" si="72"/>
        <v>0.68201620678291364</v>
      </c>
      <c r="R214">
        <f t="shared" ca="1" si="73"/>
        <v>0.45739698624473357</v>
      </c>
      <c r="S214">
        <f t="shared" ca="1" si="70"/>
        <v>1.4910815490550606</v>
      </c>
      <c r="T214">
        <f t="shared" ca="1" si="71"/>
        <v>59.856793914300837</v>
      </c>
      <c r="U214">
        <f>70</f>
        <v>70</v>
      </c>
      <c r="V214">
        <f>30</f>
        <v>30</v>
      </c>
      <c r="W214">
        <f t="shared" ca="1" si="69"/>
        <v>114.27213038402029</v>
      </c>
      <c r="X214">
        <f t="shared" ca="1" si="58"/>
        <v>111.6025594353035</v>
      </c>
      <c r="Y214">
        <f t="shared" ca="1" si="57"/>
        <v>2.3384356341321535</v>
      </c>
      <c r="Z214">
        <f t="shared" ca="1" si="59"/>
        <v>2.7302543017868763</v>
      </c>
      <c r="AA214">
        <f t="shared" ca="1" si="60"/>
        <v>-0.39181866765472284</v>
      </c>
      <c r="AB214">
        <f t="shared" ca="1" si="61"/>
        <v>104.32230000000003</v>
      </c>
    </row>
    <row r="215" spans="1:28" x14ac:dyDescent="0.25">
      <c r="A215" s="20">
        <f t="shared" ca="1" si="62"/>
        <v>46013</v>
      </c>
      <c r="B215" vm="630">
        <f ca="1"/>
        <v>46013</v>
      </c>
      <c r="C215" vm="631">
        <f ca="1"/>
        <v>112.6</v>
      </c>
      <c r="D215" vm="632">
        <f ca="1"/>
        <v>21473912</v>
      </c>
      <c r="E215">
        <f t="shared" ca="1" si="63"/>
        <v>2417962491.1999998</v>
      </c>
      <c r="F215">
        <f ca="1">SUM($E$2:E215)/SUM($D$2:D215)</f>
        <v>98.552742878617863</v>
      </c>
      <c r="G215">
        <f ca="1">_xlfn.STDEV.P($C$2:C215)</f>
        <v>7.0082332905294438</v>
      </c>
      <c r="H215">
        <f t="shared" ca="1" si="64"/>
        <v>105.56097616914731</v>
      </c>
      <c r="I215">
        <f t="shared" ca="1" si="65"/>
        <v>91.544509588088417</v>
      </c>
      <c r="J215">
        <f t="shared" ca="1" si="74"/>
        <v>113.13250000000001</v>
      </c>
      <c r="K215">
        <f t="shared" ca="1" si="75"/>
        <v>3.2975427454234367</v>
      </c>
      <c r="L215">
        <f t="shared" ca="1" si="76"/>
        <v>119.72758549084688</v>
      </c>
      <c r="M215">
        <f t="shared" ca="1" si="77"/>
        <v>106.53741450915314</v>
      </c>
      <c r="N215">
        <f t="shared" ca="1" si="66"/>
        <v>-1.7600000000000051</v>
      </c>
      <c r="O215">
        <f t="shared" ca="1" si="67"/>
        <v>0</v>
      </c>
      <c r="P215">
        <f t="shared" ca="1" si="68"/>
        <v>1.7600000000000051</v>
      </c>
      <c r="Q215">
        <f t="shared" ca="1" si="72"/>
        <v>0.63330076344127695</v>
      </c>
      <c r="R215">
        <f t="shared" ca="1" si="73"/>
        <v>0.55044005865582435</v>
      </c>
      <c r="S215">
        <f t="shared" ca="1" si="70"/>
        <v>1.1505353825224831</v>
      </c>
      <c r="T215">
        <f t="shared" ca="1" si="71"/>
        <v>53.499951308541405</v>
      </c>
      <c r="U215">
        <f>70</f>
        <v>70</v>
      </c>
      <c r="V215">
        <f>30</f>
        <v>30</v>
      </c>
      <c r="W215">
        <f t="shared" ca="1" si="69"/>
        <v>114.01487955570947</v>
      </c>
      <c r="X215">
        <f t="shared" ca="1" si="58"/>
        <v>111.67644392157732</v>
      </c>
      <c r="Y215">
        <f t="shared" ca="1" si="57"/>
        <v>1.9167377593535235</v>
      </c>
      <c r="Z215">
        <f t="shared" ca="1" si="59"/>
        <v>2.5675509933002059</v>
      </c>
      <c r="AA215">
        <f t="shared" ca="1" si="60"/>
        <v>-0.65081323394668233</v>
      </c>
      <c r="AB215">
        <f t="shared" ca="1" si="61"/>
        <v>104.46850000000002</v>
      </c>
    </row>
    <row r="216" spans="1:28" x14ac:dyDescent="0.25">
      <c r="A216" s="20">
        <f t="shared" ca="1" si="62"/>
        <v>46013</v>
      </c>
      <c r="B216" vm="633">
        <f ca="1"/>
        <v>46014</v>
      </c>
      <c r="C216" vm="634">
        <f ca="1"/>
        <v>110.9</v>
      </c>
      <c r="D216" vm="635">
        <f ca="1"/>
        <v>20319917</v>
      </c>
      <c r="E216">
        <f t="shared" ca="1" si="63"/>
        <v>2253478795.3000002</v>
      </c>
      <c r="F216">
        <f ca="1">SUM($E$2:E216)/SUM($D$2:D216)</f>
        <v>98.612950942533686</v>
      </c>
      <c r="G216">
        <f ca="1">_xlfn.STDEV.P($C$2:C216)</f>
        <v>7.0375856266675108</v>
      </c>
      <c r="H216">
        <f t="shared" ca="1" si="64"/>
        <v>105.65053656920119</v>
      </c>
      <c r="I216">
        <f t="shared" ca="1" si="65"/>
        <v>91.575365315866179</v>
      </c>
      <c r="J216">
        <f t="shared" ca="1" si="74"/>
        <v>113.47450000000001</v>
      </c>
      <c r="K216">
        <f t="shared" ca="1" si="75"/>
        <v>2.5847375413946265</v>
      </c>
      <c r="L216">
        <f t="shared" ca="1" si="76"/>
        <v>118.64397508278925</v>
      </c>
      <c r="M216">
        <f t="shared" ca="1" si="77"/>
        <v>108.30502491721076</v>
      </c>
      <c r="N216">
        <f t="shared" ca="1" si="66"/>
        <v>-1.6999999999999886</v>
      </c>
      <c r="O216">
        <f t="shared" ca="1" si="67"/>
        <v>0</v>
      </c>
      <c r="P216">
        <f t="shared" ca="1" si="68"/>
        <v>1.6999999999999886</v>
      </c>
      <c r="Q216">
        <f t="shared" ca="1" si="72"/>
        <v>0.58806499462404282</v>
      </c>
      <c r="R216">
        <f t="shared" ca="1" si="73"/>
        <v>0.63255148303755049</v>
      </c>
      <c r="S216">
        <f t="shared" ca="1" si="70"/>
        <v>0.92967135544464963</v>
      </c>
      <c r="T216">
        <f t="shared" ca="1" si="71"/>
        <v>48.177704085285946</v>
      </c>
      <c r="U216">
        <f>70</f>
        <v>70</v>
      </c>
      <c r="V216">
        <f>30</f>
        <v>30</v>
      </c>
      <c r="W216">
        <f t="shared" ca="1" si="69"/>
        <v>113.53566731636955</v>
      </c>
      <c r="X216">
        <f t="shared" ca="1" si="58"/>
        <v>111.61892955701603</v>
      </c>
      <c r="Y216">
        <f t="shared" ca="1" si="57"/>
        <v>1.6211426978106687</v>
      </c>
      <c r="Z216">
        <f t="shared" ca="1" si="59"/>
        <v>2.3782693342022987</v>
      </c>
      <c r="AA216">
        <f t="shared" ca="1" si="60"/>
        <v>-0.75712663639163003</v>
      </c>
      <c r="AB216">
        <f t="shared" ca="1" si="61"/>
        <v>104.59260000000003</v>
      </c>
    </row>
    <row r="217" spans="1:28" x14ac:dyDescent="0.25">
      <c r="A217" s="20">
        <f t="shared" ca="1" si="62"/>
        <v>46013</v>
      </c>
      <c r="B217" vm="636">
        <f ca="1"/>
        <v>46015</v>
      </c>
      <c r="C217" vm="637">
        <f ca="1"/>
        <v>111.61</v>
      </c>
      <c r="D217" vm="638">
        <f ca="1"/>
        <v>9009629</v>
      </c>
      <c r="E217">
        <f t="shared" ca="1" si="63"/>
        <v>1005564692.6899999</v>
      </c>
      <c r="F217">
        <f ca="1">SUM($E$2:E217)/SUM($D$2:D217)</f>
        <v>98.640990809331626</v>
      </c>
      <c r="G217">
        <f ca="1">_xlfn.STDEV.P($C$2:C217)</f>
        <v>7.0717121540226637</v>
      </c>
      <c r="H217">
        <f t="shared" ca="1" si="64"/>
        <v>105.71270296335429</v>
      </c>
      <c r="I217">
        <f t="shared" ca="1" si="65"/>
        <v>91.569278655308963</v>
      </c>
      <c r="J217">
        <f t="shared" ca="1" si="74"/>
        <v>113.70500000000001</v>
      </c>
      <c r="K217">
        <f t="shared" ca="1" si="75"/>
        <v>2.1451426157962703</v>
      </c>
      <c r="L217">
        <f t="shared" ca="1" si="76"/>
        <v>117.99528523159255</v>
      </c>
      <c r="M217">
        <f t="shared" ca="1" si="77"/>
        <v>109.41471476840748</v>
      </c>
      <c r="N217">
        <f t="shared" ca="1" si="66"/>
        <v>0.70999999999999375</v>
      </c>
      <c r="O217">
        <f t="shared" ca="1" si="67"/>
        <v>0.70999999999999375</v>
      </c>
      <c r="P217">
        <f t="shared" ca="1" si="68"/>
        <v>0</v>
      </c>
      <c r="Q217">
        <f t="shared" ca="1" si="72"/>
        <v>0.59677463786518214</v>
      </c>
      <c r="R217">
        <f t="shared" ca="1" si="73"/>
        <v>0.58736923424915399</v>
      </c>
      <c r="S217">
        <f t="shared" ca="1" si="70"/>
        <v>1.01601276176484</v>
      </c>
      <c r="T217">
        <f t="shared" ca="1" si="71"/>
        <v>50.397139394862322</v>
      </c>
      <c r="U217">
        <f>70</f>
        <v>70</v>
      </c>
      <c r="V217">
        <f>30</f>
        <v>30</v>
      </c>
      <c r="W217">
        <f t="shared" ca="1" si="69"/>
        <v>113.23941080615884</v>
      </c>
      <c r="X217">
        <f t="shared" ca="1" si="58"/>
        <v>111.61826810834818</v>
      </c>
      <c r="Y217">
        <f t="shared" ca="1" si="57"/>
        <v>1.3814469350883769</v>
      </c>
      <c r="Z217">
        <f t="shared" ca="1" si="59"/>
        <v>2.1789048543795144</v>
      </c>
      <c r="AA217">
        <f t="shared" ca="1" si="60"/>
        <v>-0.79745791929113752</v>
      </c>
      <c r="AB217">
        <f t="shared" ca="1" si="61"/>
        <v>104.71280000000003</v>
      </c>
    </row>
    <row r="218" spans="1:28" x14ac:dyDescent="0.25">
      <c r="A218" s="20">
        <f t="shared" ca="1" si="62"/>
        <v>46013</v>
      </c>
      <c r="B218" vm="639">
        <f ca="1"/>
        <v>46017</v>
      </c>
      <c r="C218" vm="640">
        <f ca="1"/>
        <v>111.74</v>
      </c>
      <c r="D218" vm="641">
        <f ca="1"/>
        <v>9003791</v>
      </c>
      <c r="E218">
        <f t="shared" ca="1" si="63"/>
        <v>1006083606.3399999</v>
      </c>
      <c r="F218">
        <f ca="1">SUM($E$2:E218)/SUM($D$2:D218)</f>
        <v>98.669171575696723</v>
      </c>
      <c r="G218">
        <f ca="1">_xlfn.STDEV.P($C$2:C218)</f>
        <v>7.1059465505147248</v>
      </c>
      <c r="H218">
        <f t="shared" ca="1" si="64"/>
        <v>105.77511812621145</v>
      </c>
      <c r="I218">
        <f t="shared" ca="1" si="65"/>
        <v>91.563225025181993</v>
      </c>
      <c r="J218">
        <f t="shared" ca="1" si="74"/>
        <v>113.83699999999999</v>
      </c>
      <c r="K218">
        <f t="shared" ca="1" si="75"/>
        <v>1.9158318242860901</v>
      </c>
      <c r="L218">
        <f t="shared" ca="1" si="76"/>
        <v>117.66866364857216</v>
      </c>
      <c r="M218">
        <f t="shared" ca="1" si="77"/>
        <v>110.00533635142781</v>
      </c>
      <c r="N218">
        <f t="shared" ca="1" si="66"/>
        <v>0.12999999999999545</v>
      </c>
      <c r="O218">
        <f t="shared" ca="1" si="67"/>
        <v>0.12999999999999545</v>
      </c>
      <c r="P218">
        <f t="shared" ca="1" si="68"/>
        <v>0</v>
      </c>
      <c r="Q218">
        <f t="shared" ca="1" si="72"/>
        <v>0.56343359230338308</v>
      </c>
      <c r="R218">
        <f t="shared" ca="1" si="73"/>
        <v>0.54541428894564292</v>
      </c>
      <c r="S218">
        <f t="shared" ca="1" si="70"/>
        <v>1.0330378277998067</v>
      </c>
      <c r="T218">
        <f t="shared" ca="1" si="71"/>
        <v>50.8125236861815</v>
      </c>
      <c r="U218">
        <f>70</f>
        <v>70</v>
      </c>
      <c r="V218">
        <f>30</f>
        <v>30</v>
      </c>
      <c r="W218">
        <f t="shared" ca="1" si="69"/>
        <v>113.00873222059595</v>
      </c>
      <c r="X218">
        <f t="shared" ca="1" si="58"/>
        <v>111.62728528550757</v>
      </c>
      <c r="Y218">
        <f t="shared" ca="1" si="57"/>
        <v>1.2409280675984036</v>
      </c>
      <c r="Z218">
        <f t="shared" ca="1" si="59"/>
        <v>1.9913094970232923</v>
      </c>
      <c r="AA218">
        <f t="shared" ca="1" si="60"/>
        <v>-0.75038142942488872</v>
      </c>
      <c r="AB218">
        <f t="shared" ca="1" si="61"/>
        <v>104.83710000000002</v>
      </c>
    </row>
    <row r="219" spans="1:28" x14ac:dyDescent="0.25">
      <c r="A219" s="20">
        <f t="shared" ca="1" si="62"/>
        <v>46020</v>
      </c>
      <c r="B219" vm="642">
        <f ca="1"/>
        <v>46020</v>
      </c>
      <c r="C219" vm="643">
        <f ca="1"/>
        <v>112.53</v>
      </c>
      <c r="D219" vm="644">
        <f ca="1"/>
        <v>12979573</v>
      </c>
      <c r="E219">
        <f t="shared" ca="1" si="63"/>
        <v>1460591349.6900001</v>
      </c>
      <c r="F219">
        <f ca="1">SUM($E$2:E219)/SUM($D$2:D219)</f>
        <v>98.712025809003734</v>
      </c>
      <c r="G219">
        <f ca="1">_xlfn.STDEV.P($C$2:C219)</f>
        <v>7.1457265612773577</v>
      </c>
      <c r="H219">
        <f t="shared" ca="1" si="64"/>
        <v>105.85775237028109</v>
      </c>
      <c r="I219">
        <f t="shared" ca="1" si="65"/>
        <v>91.566299247726377</v>
      </c>
      <c r="J219">
        <f t="shared" ca="1" si="74"/>
        <v>113.93800000000002</v>
      </c>
      <c r="K219">
        <f t="shared" ca="1" si="75"/>
        <v>1.7796084726111738</v>
      </c>
      <c r="L219">
        <f t="shared" ca="1" si="76"/>
        <v>117.49721694522236</v>
      </c>
      <c r="M219">
        <f t="shared" ca="1" si="77"/>
        <v>110.37878305477767</v>
      </c>
      <c r="N219">
        <f t="shared" ca="1" si="66"/>
        <v>0.79000000000000625</v>
      </c>
      <c r="O219">
        <f t="shared" ca="1" si="67"/>
        <v>0.79000000000000625</v>
      </c>
      <c r="P219">
        <f t="shared" ca="1" si="68"/>
        <v>0</v>
      </c>
      <c r="Q219">
        <f t="shared" ca="1" si="72"/>
        <v>0.57961690713885616</v>
      </c>
      <c r="R219">
        <f t="shared" ca="1" si="73"/>
        <v>0.50645612544952556</v>
      </c>
      <c r="S219">
        <f t="shared" ca="1" si="70"/>
        <v>1.1444563072949188</v>
      </c>
      <c r="T219">
        <f t="shared" ca="1" si="71"/>
        <v>53.368133610452062</v>
      </c>
      <c r="U219">
        <f>70</f>
        <v>70</v>
      </c>
      <c r="V219">
        <f>30</f>
        <v>30</v>
      </c>
      <c r="W219">
        <f t="shared" ca="1" si="69"/>
        <v>112.93508110973504</v>
      </c>
      <c r="X219">
        <f t="shared" ca="1" si="58"/>
        <v>111.69415304213663</v>
      </c>
      <c r="Y219">
        <f t="shared" ca="1" si="57"/>
        <v>1.0680323387376092</v>
      </c>
      <c r="Z219">
        <f t="shared" ca="1" si="59"/>
        <v>1.8066540653661558</v>
      </c>
      <c r="AA219">
        <f t="shared" ca="1" si="60"/>
        <v>-0.73862172662854664</v>
      </c>
      <c r="AB219">
        <f t="shared" ca="1" si="61"/>
        <v>104.92880000000002</v>
      </c>
    </row>
    <row r="220" spans="1:28" x14ac:dyDescent="0.25">
      <c r="A220" s="20">
        <f t="shared" ca="1" si="62"/>
        <v>46020</v>
      </c>
      <c r="B220" vm="645">
        <f ca="1"/>
        <v>46021</v>
      </c>
      <c r="C220" vm="646">
        <f ca="1"/>
        <v>111.92</v>
      </c>
      <c r="D220" vm="647">
        <f ca="1"/>
        <v>11730590</v>
      </c>
      <c r="E220">
        <f t="shared" ca="1" si="63"/>
        <v>1312887632.8</v>
      </c>
      <c r="F220">
        <f ca="1">SUM($E$2:E220)/SUM($D$2:D220)</f>
        <v>98.748829245509214</v>
      </c>
      <c r="G220">
        <f ca="1">_xlfn.STDEV.P($C$2:C220)</f>
        <v>7.1794565376537856</v>
      </c>
      <c r="H220">
        <f t="shared" ca="1" si="64"/>
        <v>105.92828578316301</v>
      </c>
      <c r="I220">
        <f t="shared" ca="1" si="65"/>
        <v>91.569372707855422</v>
      </c>
      <c r="J220">
        <f t="shared" ca="1" si="74"/>
        <v>113.95750000000001</v>
      </c>
      <c r="K220">
        <f t="shared" ca="1" si="75"/>
        <v>1.7537835040127872</v>
      </c>
      <c r="L220">
        <f t="shared" ca="1" si="76"/>
        <v>117.46506700802558</v>
      </c>
      <c r="M220">
        <f t="shared" ca="1" si="77"/>
        <v>110.44993299197444</v>
      </c>
      <c r="N220">
        <f t="shared" ca="1" si="66"/>
        <v>-0.60999999999999943</v>
      </c>
      <c r="O220">
        <f t="shared" ca="1" si="67"/>
        <v>0</v>
      </c>
      <c r="P220">
        <f t="shared" ca="1" si="68"/>
        <v>0.60999999999999943</v>
      </c>
      <c r="Q220">
        <f t="shared" ca="1" si="72"/>
        <v>0.53821569948608072</v>
      </c>
      <c r="R220">
        <f t="shared" ca="1" si="73"/>
        <v>0.5138521164888451</v>
      </c>
      <c r="S220">
        <f t="shared" ca="1" si="70"/>
        <v>1.047413608342634</v>
      </c>
      <c r="T220">
        <f t="shared" ca="1" si="71"/>
        <v>51.157890329277791</v>
      </c>
      <c r="U220">
        <f>70</f>
        <v>70</v>
      </c>
      <c r="V220">
        <f>30</f>
        <v>30</v>
      </c>
      <c r="W220">
        <f t="shared" ca="1" si="69"/>
        <v>112.77891478516041</v>
      </c>
      <c r="X220">
        <f t="shared" ca="1" si="58"/>
        <v>111.7108824464228</v>
      </c>
      <c r="Y220">
        <f t="shared" ref="Y220:Y251" ca="1" si="78">W221-X221</f>
        <v>0.87971765272145319</v>
      </c>
      <c r="Z220">
        <f t="shared" ca="1" si="59"/>
        <v>1.6212667828372154</v>
      </c>
      <c r="AA220">
        <f t="shared" ca="1" si="60"/>
        <v>-0.74154913011576218</v>
      </c>
      <c r="AB220">
        <f t="shared" ca="1" si="61"/>
        <v>105.01680000000005</v>
      </c>
    </row>
    <row r="221" spans="1:28" x14ac:dyDescent="0.25">
      <c r="A221" s="20">
        <f t="shared" ca="1" si="62"/>
        <v>46020</v>
      </c>
      <c r="B221" vm="648">
        <f ca="1"/>
        <v>46022</v>
      </c>
      <c r="C221" vm="649">
        <f ca="1"/>
        <v>111.41</v>
      </c>
      <c r="D221" vm="650">
        <f ca="1"/>
        <v>11487434</v>
      </c>
      <c r="E221">
        <f t="shared" ca="1" si="63"/>
        <v>1279815021.9400001</v>
      </c>
      <c r="F221">
        <f ca="1">SUM($E$2:E221)/SUM($D$2:D221)</f>
        <v>98.783283729974826</v>
      </c>
      <c r="G221">
        <f ca="1">_xlfn.STDEV.P($C$2:C221)</f>
        <v>7.2083570122542975</v>
      </c>
      <c r="H221">
        <f t="shared" ca="1" si="64"/>
        <v>105.99164074222912</v>
      </c>
      <c r="I221">
        <f t="shared" ca="1" si="65"/>
        <v>91.57492671772053</v>
      </c>
      <c r="J221">
        <f t="shared" ca="1" si="74"/>
        <v>113.9075</v>
      </c>
      <c r="K221">
        <f t="shared" ca="1" si="75"/>
        <v>1.8134638997756407</v>
      </c>
      <c r="L221">
        <f t="shared" ca="1" si="76"/>
        <v>117.53442779955128</v>
      </c>
      <c r="M221">
        <f t="shared" ca="1" si="77"/>
        <v>110.28057220044872</v>
      </c>
      <c r="N221">
        <f t="shared" ca="1" si="66"/>
        <v>-0.51000000000000512</v>
      </c>
      <c r="O221">
        <f t="shared" ca="1" si="67"/>
        <v>0</v>
      </c>
      <c r="P221">
        <f t="shared" ca="1" si="68"/>
        <v>0.51000000000000512</v>
      </c>
      <c r="Q221">
        <f t="shared" ca="1" si="72"/>
        <v>0.49977172095136069</v>
      </c>
      <c r="R221">
        <f t="shared" ca="1" si="73"/>
        <v>0.51357696531107078</v>
      </c>
      <c r="S221">
        <f t="shared" ca="1" si="70"/>
        <v>0.9731194245611301</v>
      </c>
      <c r="T221">
        <f t="shared" ca="1" si="71"/>
        <v>49.31883049996204</v>
      </c>
      <c r="U221">
        <f>70</f>
        <v>70</v>
      </c>
      <c r="V221">
        <f>30</f>
        <v>30</v>
      </c>
      <c r="W221">
        <f t="shared" ca="1" si="69"/>
        <v>112.56831251052034</v>
      </c>
      <c r="X221">
        <f t="shared" ref="X221:X251" ca="1" si="79">C221*(2/(26+1)) + X220*(1-(2/(26+1)))</f>
        <v>111.68859485779889</v>
      </c>
      <c r="Y221">
        <f t="shared" ca="1" si="78"/>
        <v>0.8298446918515765</v>
      </c>
      <c r="Z221">
        <f t="shared" ca="1" si="59"/>
        <v>1.4629823646400877</v>
      </c>
      <c r="AA221">
        <f t="shared" ca="1" si="60"/>
        <v>-0.63313767278851119</v>
      </c>
      <c r="AB221">
        <f t="shared" ca="1" si="61"/>
        <v>105.09360000000004</v>
      </c>
    </row>
    <row r="222" spans="1:28" x14ac:dyDescent="0.25">
      <c r="A222" s="20">
        <f t="shared" ca="1" si="62"/>
        <v>46020</v>
      </c>
      <c r="B222" vm="651">
        <f ca="1"/>
        <v>46024</v>
      </c>
      <c r="C222" vm="652">
        <f ca="1"/>
        <v>112.76</v>
      </c>
      <c r="D222" vm="653">
        <f ca="1"/>
        <v>14306560</v>
      </c>
      <c r="E222">
        <f t="shared" ca="1" si="63"/>
        <v>1613207705.6000001</v>
      </c>
      <c r="F222">
        <f ca="1">SUM($E$2:E222)/SUM($D$2:D222)</f>
        <v>98.830492192061854</v>
      </c>
      <c r="G222">
        <f ca="1">_xlfn.STDEV.P($C$2:C222)</f>
        <v>7.2470636473239178</v>
      </c>
      <c r="H222">
        <f t="shared" ca="1" si="64"/>
        <v>106.07755583938577</v>
      </c>
      <c r="I222">
        <f t="shared" ca="1" si="65"/>
        <v>91.583428544737941</v>
      </c>
      <c r="J222">
        <f t="shared" ca="1" si="74"/>
        <v>113.825</v>
      </c>
      <c r="K222">
        <f t="shared" ca="1" si="75"/>
        <v>1.8268825906445114</v>
      </c>
      <c r="L222">
        <f t="shared" ca="1" si="76"/>
        <v>117.47876518128902</v>
      </c>
      <c r="M222">
        <f t="shared" ca="1" si="77"/>
        <v>110.17123481871099</v>
      </c>
      <c r="N222">
        <f t="shared" ca="1" si="66"/>
        <v>1.3500000000000085</v>
      </c>
      <c r="O222">
        <f t="shared" ca="1" si="67"/>
        <v>1.3500000000000085</v>
      </c>
      <c r="P222">
        <f t="shared" ca="1" si="68"/>
        <v>0</v>
      </c>
      <c r="Q222">
        <f t="shared" ca="1" si="72"/>
        <v>0.56050231231197833</v>
      </c>
      <c r="R222">
        <f t="shared" ca="1" si="73"/>
        <v>0.47689289636028004</v>
      </c>
      <c r="S222">
        <f t="shared" ca="1" si="70"/>
        <v>1.1753211603482003</v>
      </c>
      <c r="T222">
        <f t="shared" ca="1" si="71"/>
        <v>54.029776465745798</v>
      </c>
      <c r="U222">
        <f>70</f>
        <v>70</v>
      </c>
      <c r="V222">
        <f>30</f>
        <v>30</v>
      </c>
      <c r="W222">
        <f t="shared" ca="1" si="69"/>
        <v>112.59780289351721</v>
      </c>
      <c r="X222">
        <f t="shared" ca="1" si="79"/>
        <v>111.76795820166564</v>
      </c>
      <c r="Y222">
        <f t="shared" ca="1" si="78"/>
        <v>0.77732491120592329</v>
      </c>
      <c r="Z222">
        <f t="shared" ca="1" si="59"/>
        <v>1.3258508739532548</v>
      </c>
      <c r="AA222">
        <f t="shared" ca="1" si="60"/>
        <v>-0.54852596274733156</v>
      </c>
      <c r="AB222">
        <f t="shared" ca="1" si="61"/>
        <v>105.18190000000004</v>
      </c>
    </row>
    <row r="223" spans="1:28" x14ac:dyDescent="0.25">
      <c r="A223" s="20">
        <f t="shared" ca="1" si="62"/>
        <v>46027</v>
      </c>
      <c r="B223" vm="654">
        <f ca="1"/>
        <v>46027</v>
      </c>
      <c r="C223" vm="655">
        <f ca="1"/>
        <v>112.71</v>
      </c>
      <c r="D223" vm="656">
        <f ca="1"/>
        <v>19557620</v>
      </c>
      <c r="E223">
        <f t="shared" ca="1" si="63"/>
        <v>2204339350.1999998</v>
      </c>
      <c r="F223">
        <f ca="1">SUM($E$2:E223)/SUM($D$2:D223)</f>
        <v>98.894284580910579</v>
      </c>
      <c r="G223">
        <f ca="1">_xlfn.STDEV.P($C$2:C223)</f>
        <v>7.2843233761365385</v>
      </c>
      <c r="H223">
        <f t="shared" ca="1" si="64"/>
        <v>106.17860795704712</v>
      </c>
      <c r="I223">
        <f t="shared" ca="1" si="65"/>
        <v>91.609961204774038</v>
      </c>
      <c r="J223">
        <f t="shared" ca="1" si="74"/>
        <v>113.71849999999999</v>
      </c>
      <c r="K223">
        <f t="shared" ca="1" si="75"/>
        <v>1.8266831459750965</v>
      </c>
      <c r="L223">
        <f t="shared" ca="1" si="76"/>
        <v>117.37186629195018</v>
      </c>
      <c r="M223">
        <f t="shared" ca="1" si="77"/>
        <v>110.0651337080498</v>
      </c>
      <c r="N223">
        <f t="shared" ca="1" si="66"/>
        <v>-5.0000000000011369E-2</v>
      </c>
      <c r="O223">
        <f t="shared" ca="1" si="67"/>
        <v>0</v>
      </c>
      <c r="P223">
        <f t="shared" ca="1" si="68"/>
        <v>5.0000000000011369E-2</v>
      </c>
      <c r="Q223">
        <f t="shared" ca="1" si="72"/>
        <v>0.52046643286112271</v>
      </c>
      <c r="R223">
        <f t="shared" ca="1" si="73"/>
        <v>0.44640054662026085</v>
      </c>
      <c r="S223">
        <f t="shared" ca="1" si="70"/>
        <v>1.1659180007767047</v>
      </c>
      <c r="T223">
        <f t="shared" ca="1" si="71"/>
        <v>53.830200421188749</v>
      </c>
      <c r="U223">
        <f>70</f>
        <v>70</v>
      </c>
      <c r="V223">
        <f>30</f>
        <v>30</v>
      </c>
      <c r="W223">
        <f t="shared" ca="1" si="69"/>
        <v>112.61506398682226</v>
      </c>
      <c r="X223">
        <f t="shared" ca="1" si="79"/>
        <v>111.83773907561634</v>
      </c>
      <c r="Y223">
        <f t="shared" ca="1" si="78"/>
        <v>0.85734702139856722</v>
      </c>
      <c r="Z223">
        <f t="shared" ca="1" si="59"/>
        <v>1.2321501034423172</v>
      </c>
      <c r="AA223">
        <f t="shared" ca="1" si="60"/>
        <v>-0.37480308204375001</v>
      </c>
      <c r="AB223">
        <f t="shared" ca="1" si="61"/>
        <v>105.27280000000002</v>
      </c>
    </row>
    <row r="224" spans="1:28" x14ac:dyDescent="0.25">
      <c r="A224" s="20">
        <f t="shared" ca="1" si="62"/>
        <v>46027</v>
      </c>
      <c r="B224" vm="657">
        <f ca="1"/>
        <v>46028</v>
      </c>
      <c r="C224" vm="658">
        <f ca="1"/>
        <v>114.34</v>
      </c>
      <c r="D224" vm="659">
        <f ca="1"/>
        <v>20120817</v>
      </c>
      <c r="E224">
        <f t="shared" ca="1" si="63"/>
        <v>2300614215.7800002</v>
      </c>
      <c r="F224">
        <f ca="1">SUM($E$2:E224)/SUM($D$2:D224)</f>
        <v>98.966976094201783</v>
      </c>
      <c r="G224">
        <f ca="1">_xlfn.STDEV.P($C$2:C224)</f>
        <v>7.3344183612898366</v>
      </c>
      <c r="H224">
        <f t="shared" ca="1" si="64"/>
        <v>106.30139445549162</v>
      </c>
      <c r="I224">
        <f t="shared" ca="1" si="65"/>
        <v>91.632557732911948</v>
      </c>
      <c r="J224">
        <f t="shared" ca="1" si="74"/>
        <v>113.67999999999999</v>
      </c>
      <c r="K224">
        <f t="shared" ca="1" si="75"/>
        <v>1.8037825752976357</v>
      </c>
      <c r="L224">
        <f t="shared" ca="1" si="76"/>
        <v>117.28756515059527</v>
      </c>
      <c r="M224">
        <f t="shared" ca="1" si="77"/>
        <v>110.07243484940471</v>
      </c>
      <c r="N224">
        <f t="shared" ca="1" si="66"/>
        <v>1.6300000000000097</v>
      </c>
      <c r="O224">
        <f t="shared" ca="1" si="67"/>
        <v>1.6300000000000097</v>
      </c>
      <c r="P224">
        <f t="shared" ca="1" si="68"/>
        <v>0</v>
      </c>
      <c r="Q224">
        <f t="shared" ca="1" si="72"/>
        <v>0.59971883051390029</v>
      </c>
      <c r="R224">
        <f t="shared" ca="1" si="73"/>
        <v>0.41451479329024227</v>
      </c>
      <c r="S224">
        <f t="shared" ca="1" si="70"/>
        <v>1.4467971715884664</v>
      </c>
      <c r="T224">
        <f t="shared" ca="1" si="71"/>
        <v>59.130245383159497</v>
      </c>
      <c r="U224">
        <f>70</f>
        <v>70</v>
      </c>
      <c r="V224">
        <f>30</f>
        <v>30</v>
      </c>
      <c r="W224">
        <f t="shared" ca="1" si="69"/>
        <v>112.88043875808037</v>
      </c>
      <c r="X224">
        <f t="shared" ca="1" si="79"/>
        <v>112.02309173668181</v>
      </c>
      <c r="Y224">
        <f t="shared" ca="1" si="78"/>
        <v>0.78104130122017068</v>
      </c>
      <c r="Z224">
        <f t="shared" ca="1" si="59"/>
        <v>1.1419283429978879</v>
      </c>
      <c r="AA224">
        <f t="shared" ca="1" si="60"/>
        <v>-0.36088704177771724</v>
      </c>
      <c r="AB224">
        <f t="shared" ca="1" si="61"/>
        <v>105.40630000000003</v>
      </c>
    </row>
    <row r="225" spans="1:28" x14ac:dyDescent="0.25">
      <c r="A225" s="20">
        <f t="shared" ca="1" si="62"/>
        <v>46027</v>
      </c>
      <c r="B225" vm="660">
        <f ca="1"/>
        <v>46029</v>
      </c>
      <c r="C225" vm="661">
        <f ca="1"/>
        <v>112.72</v>
      </c>
      <c r="D225" vm="662">
        <f ca="1"/>
        <v>23306003</v>
      </c>
      <c r="E225">
        <f t="shared" ca="1" si="63"/>
        <v>2627052658.1599998</v>
      </c>
      <c r="F225">
        <f ca="1">SUM($E$2:E225)/SUM($D$2:D225)</f>
        <v>99.041541096917939</v>
      </c>
      <c r="G225">
        <f ca="1">_xlfn.STDEV.P($C$2:C225)</f>
        <v>7.3696120408507975</v>
      </c>
      <c r="H225">
        <f t="shared" ca="1" si="64"/>
        <v>106.41115313776874</v>
      </c>
      <c r="I225">
        <f t="shared" ca="1" si="65"/>
        <v>91.671929056067142</v>
      </c>
      <c r="J225">
        <f t="shared" ca="1" si="74"/>
        <v>113.63799999999999</v>
      </c>
      <c r="K225">
        <f t="shared" ca="1" si="75"/>
        <v>1.8164586714987931</v>
      </c>
      <c r="L225">
        <f t="shared" ca="1" si="76"/>
        <v>117.27091734299758</v>
      </c>
      <c r="M225">
        <f t="shared" ca="1" si="77"/>
        <v>110.0050826570024</v>
      </c>
      <c r="N225">
        <f t="shared" ca="1" si="66"/>
        <v>-1.6200000000000045</v>
      </c>
      <c r="O225">
        <f t="shared" ca="1" si="67"/>
        <v>0</v>
      </c>
      <c r="P225">
        <f t="shared" ca="1" si="68"/>
        <v>1.6200000000000045</v>
      </c>
      <c r="Q225">
        <f t="shared" ca="1" si="72"/>
        <v>0.55688177119147886</v>
      </c>
      <c r="R225">
        <f t="shared" ca="1" si="73"/>
        <v>0.50062087948379674</v>
      </c>
      <c r="S225">
        <f t="shared" ca="1" si="70"/>
        <v>1.1123822317712642</v>
      </c>
      <c r="T225">
        <f t="shared" ca="1" si="71"/>
        <v>52.660082774816516</v>
      </c>
      <c r="U225">
        <f>70</f>
        <v>70</v>
      </c>
      <c r="V225">
        <f>30</f>
        <v>30</v>
      </c>
      <c r="W225">
        <f t="shared" ca="1" si="69"/>
        <v>112.85575587222185</v>
      </c>
      <c r="X225">
        <f t="shared" ca="1" si="79"/>
        <v>112.07471457100168</v>
      </c>
      <c r="Y225">
        <f t="shared" ca="1" si="78"/>
        <v>0.74027708967048511</v>
      </c>
      <c r="Z225">
        <f t="shared" ca="1" si="59"/>
        <v>1.0615980923324073</v>
      </c>
      <c r="AA225">
        <f t="shared" ca="1" si="60"/>
        <v>-0.32132100266192221</v>
      </c>
      <c r="AB225">
        <f t="shared" ca="1" si="61"/>
        <v>105.52500000000002</v>
      </c>
    </row>
    <row r="226" spans="1:28" x14ac:dyDescent="0.25">
      <c r="A226" s="20">
        <f t="shared" ca="1" si="62"/>
        <v>46027</v>
      </c>
      <c r="B226" vm="663">
        <f ca="1"/>
        <v>46030</v>
      </c>
      <c r="C226" vm="664">
        <f ca="1"/>
        <v>113.07</v>
      </c>
      <c r="D226" vm="665">
        <f ca="1"/>
        <v>24058262</v>
      </c>
      <c r="E226">
        <f t="shared" ca="1" si="63"/>
        <v>2720267684.3399997</v>
      </c>
      <c r="F226">
        <f ca="1">SUM($E$2:E226)/SUM($D$2:D226)</f>
        <v>99.119617430321185</v>
      </c>
      <c r="G226">
        <f ca="1">_xlfn.STDEV.P($C$2:C226)</f>
        <v>7.4066299495706236</v>
      </c>
      <c r="H226">
        <f t="shared" ca="1" si="64"/>
        <v>106.52624737989181</v>
      </c>
      <c r="I226">
        <f t="shared" ca="1" si="65"/>
        <v>91.712987480750556</v>
      </c>
      <c r="J226">
        <f t="shared" ca="1" si="74"/>
        <v>113.5385</v>
      </c>
      <c r="K226">
        <f t="shared" ca="1" si="75"/>
        <v>1.7887580960867215</v>
      </c>
      <c r="L226">
        <f t="shared" ca="1" si="76"/>
        <v>117.11601619217345</v>
      </c>
      <c r="M226">
        <f t="shared" ca="1" si="77"/>
        <v>109.96098380782655</v>
      </c>
      <c r="N226">
        <f t="shared" ca="1" si="66"/>
        <v>0.34999999999999432</v>
      </c>
      <c r="O226">
        <f t="shared" ca="1" si="67"/>
        <v>0.34999999999999432</v>
      </c>
      <c r="P226">
        <f t="shared" ca="1" si="68"/>
        <v>0</v>
      </c>
      <c r="Q226">
        <f t="shared" ca="1" si="72"/>
        <v>0.54210450182065861</v>
      </c>
      <c r="R226">
        <f t="shared" ca="1" si="73"/>
        <v>0.46486224523495412</v>
      </c>
      <c r="S226">
        <f t="shared" ca="1" si="70"/>
        <v>1.1661616045989369</v>
      </c>
      <c r="T226">
        <f t="shared" ca="1" si="71"/>
        <v>53.835392619049344</v>
      </c>
      <c r="U226">
        <f>70</f>
        <v>70</v>
      </c>
      <c r="V226">
        <f>30</f>
        <v>30</v>
      </c>
      <c r="W226">
        <f t="shared" ca="1" si="69"/>
        <v>112.88871650726463</v>
      </c>
      <c r="X226">
        <f t="shared" ca="1" si="79"/>
        <v>112.14843941759415</v>
      </c>
      <c r="Y226">
        <f t="shared" ca="1" si="78"/>
        <v>0.81637034740596448</v>
      </c>
      <c r="Z226">
        <f t="shared" ca="1" si="59"/>
        <v>1.0125525433471187</v>
      </c>
      <c r="AA226">
        <f t="shared" ca="1" si="60"/>
        <v>-0.19618219594115427</v>
      </c>
      <c r="AB226">
        <f t="shared" ca="1" si="61"/>
        <v>105.65570000000001</v>
      </c>
    </row>
    <row r="227" spans="1:28" x14ac:dyDescent="0.25">
      <c r="A227" s="20">
        <f t="shared" ca="1" si="62"/>
        <v>46027</v>
      </c>
      <c r="B227" vm="666">
        <f ca="1"/>
        <v>46031</v>
      </c>
      <c r="C227" vm="667">
        <f ca="1"/>
        <v>114.53</v>
      </c>
      <c r="D227" vm="668">
        <f ca="1"/>
        <v>21902859</v>
      </c>
      <c r="E227">
        <f t="shared" ca="1" si="63"/>
        <v>2508534441.27</v>
      </c>
      <c r="F227">
        <f ca="1">SUM($E$2:E227)/SUM($D$2:D227)</f>
        <v>99.197307307404941</v>
      </c>
      <c r="G227">
        <f ca="1">_xlfn.STDEV.P($C$2:C227)</f>
        <v>7.4547765838387337</v>
      </c>
      <c r="H227">
        <f t="shared" ca="1" si="64"/>
        <v>106.65208389124368</v>
      </c>
      <c r="I227">
        <f t="shared" ca="1" si="65"/>
        <v>91.742530723566205</v>
      </c>
      <c r="J227">
        <f t="shared" ca="1" si="74"/>
        <v>113.60600000000002</v>
      </c>
      <c r="K227">
        <f t="shared" ca="1" si="75"/>
        <v>1.7999543853869429</v>
      </c>
      <c r="L227">
        <f t="shared" ca="1" si="76"/>
        <v>117.2059087707739</v>
      </c>
      <c r="M227">
        <f t="shared" ca="1" si="77"/>
        <v>110.00609122922614</v>
      </c>
      <c r="N227">
        <f t="shared" ca="1" si="66"/>
        <v>1.460000000000008</v>
      </c>
      <c r="O227">
        <f t="shared" ca="1" si="67"/>
        <v>1.460000000000008</v>
      </c>
      <c r="P227">
        <f t="shared" ca="1" si="68"/>
        <v>0</v>
      </c>
      <c r="Q227">
        <f t="shared" ca="1" si="72"/>
        <v>0.6076684659763264</v>
      </c>
      <c r="R227">
        <f t="shared" ca="1" si="73"/>
        <v>0.43165779914674307</v>
      </c>
      <c r="S227">
        <f t="shared" ca="1" si="70"/>
        <v>1.4077550948401794</v>
      </c>
      <c r="T227">
        <f t="shared" ca="1" si="71"/>
        <v>58.467536746448978</v>
      </c>
      <c r="U227">
        <f>70</f>
        <v>70</v>
      </c>
      <c r="V227">
        <f>30</f>
        <v>30</v>
      </c>
      <c r="W227">
        <f t="shared" ca="1" si="69"/>
        <v>113.14122165999315</v>
      </c>
      <c r="X227">
        <f t="shared" ca="1" si="79"/>
        <v>112.32485131258719</v>
      </c>
      <c r="Y227">
        <f t="shared" ca="1" si="78"/>
        <v>1.1411001607610558</v>
      </c>
      <c r="Z227">
        <f t="shared" ca="1" si="59"/>
        <v>1.0382620668299063</v>
      </c>
      <c r="AA227">
        <f t="shared" ca="1" si="60"/>
        <v>0.10283809393114951</v>
      </c>
      <c r="AB227">
        <f t="shared" ca="1" si="61"/>
        <v>105.79400000000004</v>
      </c>
    </row>
    <row r="228" spans="1:28" x14ac:dyDescent="0.25">
      <c r="A228" s="20">
        <f t="shared" ca="1" si="62"/>
        <v>46034</v>
      </c>
      <c r="B228" vm="669">
        <f ca="1"/>
        <v>46034</v>
      </c>
      <c r="C228" vm="670">
        <f ca="1"/>
        <v>117.97</v>
      </c>
      <c r="D228" vm="671">
        <f ca="1"/>
        <v>49182081</v>
      </c>
      <c r="E228">
        <f t="shared" ca="1" si="63"/>
        <v>5802010095.5699997</v>
      </c>
      <c r="F228">
        <f ca="1">SUM($E$2:E228)/SUM($D$2:D228)</f>
        <v>99.40744064693348</v>
      </c>
      <c r="G228">
        <f ca="1">_xlfn.STDEV.P($C$2:C228)</f>
        <v>7.5345529296409133</v>
      </c>
      <c r="H228">
        <f t="shared" ca="1" si="64"/>
        <v>106.94199357657439</v>
      </c>
      <c r="I228">
        <f t="shared" ca="1" si="65"/>
        <v>91.872887717292571</v>
      </c>
      <c r="J228">
        <f t="shared" ca="1" si="74"/>
        <v>113.72850000000001</v>
      </c>
      <c r="K228">
        <f t="shared" ca="1" si="75"/>
        <v>2.0083752925659777</v>
      </c>
      <c r="L228">
        <f t="shared" ca="1" si="76"/>
        <v>117.74525058513197</v>
      </c>
      <c r="M228">
        <f t="shared" ca="1" si="77"/>
        <v>109.71174941486805</v>
      </c>
      <c r="N228">
        <f t="shared" ca="1" si="66"/>
        <v>3.4399999999999977</v>
      </c>
      <c r="O228">
        <f t="shared" ca="1" si="67"/>
        <v>3.4399999999999977</v>
      </c>
      <c r="P228">
        <f t="shared" ca="1" si="68"/>
        <v>0</v>
      </c>
      <c r="Q228">
        <f t="shared" ca="1" si="72"/>
        <v>0.8099778612637315</v>
      </c>
      <c r="R228">
        <f t="shared" ca="1" si="73"/>
        <v>0.40082509920768999</v>
      </c>
      <c r="S228">
        <f t="shared" ca="1" si="70"/>
        <v>2.0207763008474591</v>
      </c>
      <c r="T228">
        <f t="shared" ca="1" si="71"/>
        <v>66.895926728521516</v>
      </c>
      <c r="U228">
        <f>70</f>
        <v>70</v>
      </c>
      <c r="V228">
        <f>30</f>
        <v>30</v>
      </c>
      <c r="W228">
        <f t="shared" ca="1" si="69"/>
        <v>113.88411063537882</v>
      </c>
      <c r="X228">
        <f t="shared" ca="1" si="79"/>
        <v>112.74301047461776</v>
      </c>
      <c r="Y228">
        <f t="shared" ca="1" si="78"/>
        <v>1.5731693859166285</v>
      </c>
      <c r="Z228">
        <f t="shared" ca="1" si="59"/>
        <v>1.1452435306472508</v>
      </c>
      <c r="AA228">
        <f t="shared" ca="1" si="60"/>
        <v>0.42792585526937765</v>
      </c>
      <c r="AB228">
        <f t="shared" ca="1" si="61"/>
        <v>105.96080000000003</v>
      </c>
    </row>
    <row r="229" spans="1:28" x14ac:dyDescent="0.25">
      <c r="A229" s="20">
        <f t="shared" ca="1" si="62"/>
        <v>46034</v>
      </c>
      <c r="B229" vm="672">
        <f ca="1"/>
        <v>46035</v>
      </c>
      <c r="C229" vm="673">
        <f ca="1"/>
        <v>120.36</v>
      </c>
      <c r="D229" vm="674">
        <f ca="1"/>
        <v>31222058</v>
      </c>
      <c r="E229">
        <f t="shared" ca="1" si="63"/>
        <v>3757886900.8800001</v>
      </c>
      <c r="F229">
        <f ca="1">SUM($E$2:E229)/SUM($D$2:D229)</f>
        <v>99.555278255515375</v>
      </c>
      <c r="G229">
        <f ca="1">_xlfn.STDEV.P($C$2:C229)</f>
        <v>7.6383101091209564</v>
      </c>
      <c r="H229">
        <f t="shared" ca="1" si="64"/>
        <v>107.19358836463633</v>
      </c>
      <c r="I229">
        <f t="shared" ca="1" si="65"/>
        <v>91.916968146394424</v>
      </c>
      <c r="J229">
        <f t="shared" ca="1" si="74"/>
        <v>113.9115</v>
      </c>
      <c r="K229">
        <f t="shared" ca="1" si="75"/>
        <v>2.4182970846183656</v>
      </c>
      <c r="L229">
        <f t="shared" ca="1" si="76"/>
        <v>118.74809416923674</v>
      </c>
      <c r="M229">
        <f t="shared" ca="1" si="77"/>
        <v>109.07490583076327</v>
      </c>
      <c r="N229">
        <f t="shared" ca="1" si="66"/>
        <v>2.3900000000000006</v>
      </c>
      <c r="O229">
        <f t="shared" ca="1" si="67"/>
        <v>2.3900000000000006</v>
      </c>
      <c r="P229">
        <f t="shared" ca="1" si="68"/>
        <v>0</v>
      </c>
      <c r="Q229">
        <f t="shared" ca="1" si="72"/>
        <v>0.92283658545917924</v>
      </c>
      <c r="R229">
        <f t="shared" ca="1" si="73"/>
        <v>0.37219473497856931</v>
      </c>
      <c r="S229">
        <f t="shared" ca="1" si="70"/>
        <v>2.4794455663439612</v>
      </c>
      <c r="T229">
        <f t="shared" ca="1" si="71"/>
        <v>71.259788925200709</v>
      </c>
      <c r="U229">
        <f>70</f>
        <v>70</v>
      </c>
      <c r="V229">
        <f>30</f>
        <v>30</v>
      </c>
      <c r="W229">
        <f t="shared" ca="1" si="69"/>
        <v>114.880401306859</v>
      </c>
      <c r="X229">
        <f t="shared" ca="1" si="79"/>
        <v>113.30723192094237</v>
      </c>
      <c r="Y229">
        <f t="shared" ca="1" si="78"/>
        <v>1.868230238834343</v>
      </c>
      <c r="Z229">
        <f t="shared" ca="1" si="59"/>
        <v>1.2898408722846693</v>
      </c>
      <c r="AA229">
        <f t="shared" ca="1" si="60"/>
        <v>0.57838936654967377</v>
      </c>
      <c r="AB229">
        <f t="shared" ca="1" si="61"/>
        <v>106.13870000000003</v>
      </c>
    </row>
    <row r="230" spans="1:28" x14ac:dyDescent="0.25">
      <c r="A230" s="20">
        <f t="shared" ca="1" si="62"/>
        <v>46034</v>
      </c>
      <c r="B230" vm="675">
        <f ca="1"/>
        <v>46036</v>
      </c>
      <c r="C230" vm="676">
        <f ca="1"/>
        <v>120.04</v>
      </c>
      <c r="D230" vm="677">
        <f ca="1"/>
        <v>32764044</v>
      </c>
      <c r="E230">
        <f t="shared" ca="1" si="63"/>
        <v>3932995841.7600002</v>
      </c>
      <c r="F230">
        <f ca="1">SUM($E$2:E230)/SUM($D$2:D230)</f>
        <v>99.705838424558763</v>
      </c>
      <c r="G230">
        <f ca="1">_xlfn.STDEV.P($C$2:C230)</f>
        <v>7.7351346215997596</v>
      </c>
      <c r="H230">
        <f t="shared" ca="1" si="64"/>
        <v>107.44097304615852</v>
      </c>
      <c r="I230">
        <f t="shared" ca="1" si="65"/>
        <v>91.970703802959008</v>
      </c>
      <c r="J230">
        <f t="shared" ca="1" si="74"/>
        <v>114.074</v>
      </c>
      <c r="K230">
        <f t="shared" ca="1" si="75"/>
        <v>2.7131228850668911</v>
      </c>
      <c r="L230">
        <f t="shared" ca="1" si="76"/>
        <v>119.50024577013377</v>
      </c>
      <c r="M230">
        <f t="shared" ca="1" si="77"/>
        <v>108.64775422986622</v>
      </c>
      <c r="N230">
        <f t="shared" ca="1" si="66"/>
        <v>-0.31999999999999318</v>
      </c>
      <c r="O230">
        <f t="shared" ca="1" si="67"/>
        <v>0</v>
      </c>
      <c r="P230">
        <f t="shared" ca="1" si="68"/>
        <v>0.31999999999999318</v>
      </c>
      <c r="Q230">
        <f t="shared" ca="1" si="72"/>
        <v>0.85691968649780925</v>
      </c>
      <c r="R230">
        <f t="shared" ca="1" si="73"/>
        <v>0.36846653962295672</v>
      </c>
      <c r="S230">
        <f t="shared" ca="1" si="70"/>
        <v>2.3256377292078549</v>
      </c>
      <c r="T230">
        <f t="shared" ca="1" si="71"/>
        <v>69.930579292585989</v>
      </c>
      <c r="U230">
        <f>70</f>
        <v>70</v>
      </c>
      <c r="V230">
        <f>30</f>
        <v>30</v>
      </c>
      <c r="W230">
        <f t="shared" ca="1" si="69"/>
        <v>115.67418572118839</v>
      </c>
      <c r="X230">
        <f t="shared" ca="1" si="79"/>
        <v>113.80595548235405</v>
      </c>
      <c r="Y230">
        <f t="shared" ca="1" si="78"/>
        <v>2.0111043516463951</v>
      </c>
      <c r="Z230">
        <f t="shared" ref="Z230:Z251" ca="1" si="80">Y230*(2/(9+1)) + Z229*(1-(2/(9+1)))</f>
        <v>1.4340935681570146</v>
      </c>
      <c r="AA230">
        <f t="shared" ref="AA230:AA251" ca="1" si="81">Y230-Z230</f>
        <v>0.57701078348938051</v>
      </c>
      <c r="AB230">
        <f t="shared" ref="AB230:AB251" ca="1" si="82">AVERAGE(C131:C230)</f>
        <v>106.35950000000004</v>
      </c>
    </row>
    <row r="231" spans="1:28" x14ac:dyDescent="0.25">
      <c r="A231" s="20">
        <f t="shared" ca="1" si="62"/>
        <v>46034</v>
      </c>
      <c r="B231" vm="678">
        <f ca="1"/>
        <v>46037</v>
      </c>
      <c r="C231" vm="679">
        <f ca="1"/>
        <v>119.2</v>
      </c>
      <c r="D231" vm="680">
        <f ca="1"/>
        <v>34559430</v>
      </c>
      <c r="E231">
        <f t="shared" ca="1" si="63"/>
        <v>4119484056</v>
      </c>
      <c r="F231">
        <f ca="1">SUM($E$2:E231)/SUM($D$2:D231)</f>
        <v>99.855806809995343</v>
      </c>
      <c r="G231">
        <f ca="1">_xlfn.STDEV.P($C$2:C231)</f>
        <v>7.8199015224244306</v>
      </c>
      <c r="H231">
        <f t="shared" ca="1" si="64"/>
        <v>107.67570833241977</v>
      </c>
      <c r="I231">
        <f t="shared" ca="1" si="65"/>
        <v>92.035905287570912</v>
      </c>
      <c r="J231">
        <f t="shared" ca="1" si="74"/>
        <v>114.26299999999999</v>
      </c>
      <c r="K231">
        <f t="shared" ca="1" si="75"/>
        <v>2.934454311326582</v>
      </c>
      <c r="L231">
        <f t="shared" ca="1" si="76"/>
        <v>120.13190862265316</v>
      </c>
      <c r="M231">
        <f t="shared" ca="1" si="77"/>
        <v>108.39409137734683</v>
      </c>
      <c r="N231">
        <f t="shared" ca="1" si="66"/>
        <v>-0.84000000000000341</v>
      </c>
      <c r="O231">
        <f t="shared" ca="1" si="67"/>
        <v>0</v>
      </c>
      <c r="P231">
        <f t="shared" ca="1" si="68"/>
        <v>0.84000000000000341</v>
      </c>
      <c r="Q231">
        <f t="shared" ca="1" si="72"/>
        <v>0.79571113746225142</v>
      </c>
      <c r="R231">
        <f t="shared" ca="1" si="73"/>
        <v>0.40214750107846003</v>
      </c>
      <c r="S231">
        <f t="shared" ca="1" si="70"/>
        <v>1.9786549346405264</v>
      </c>
      <c r="T231">
        <f t="shared" ca="1" si="71"/>
        <v>66.427799730327507</v>
      </c>
      <c r="U231">
        <f>70</f>
        <v>70</v>
      </c>
      <c r="V231">
        <f>30</f>
        <v>30</v>
      </c>
      <c r="W231">
        <f t="shared" ca="1" si="69"/>
        <v>116.21661868715941</v>
      </c>
      <c r="X231">
        <f t="shared" ca="1" si="79"/>
        <v>114.20551433551302</v>
      </c>
      <c r="Y231">
        <f t="shared" ca="1" si="78"/>
        <v>2.1400102308963369</v>
      </c>
      <c r="Z231">
        <f t="shared" ca="1" si="80"/>
        <v>1.5752769007048792</v>
      </c>
      <c r="AA231">
        <f t="shared" ca="1" si="81"/>
        <v>0.56473333019145766</v>
      </c>
      <c r="AB231">
        <f t="shared" ca="1" si="82"/>
        <v>106.58320000000003</v>
      </c>
    </row>
    <row r="232" spans="1:28" x14ac:dyDescent="0.25">
      <c r="A232" s="20">
        <f t="shared" ca="1" si="62"/>
        <v>46034</v>
      </c>
      <c r="B232" vm="681">
        <f ca="1"/>
        <v>46038</v>
      </c>
      <c r="C232" vm="682">
        <f ca="1"/>
        <v>119.7</v>
      </c>
      <c r="D232" vm="683">
        <f ca="1"/>
        <v>415144621</v>
      </c>
      <c r="E232">
        <f t="shared" ca="1" si="63"/>
        <v>49692811133.700005</v>
      </c>
      <c r="F232">
        <f ca="1">SUM($E$2:E232)/SUM($D$2:D232)</f>
        <v>101.53451424672873</v>
      </c>
      <c r="G232">
        <f ca="1">_xlfn.STDEV.P($C$2:C232)</f>
        <v>7.9074280547112172</v>
      </c>
      <c r="H232">
        <f t="shared" ca="1" si="64"/>
        <v>109.44194230143995</v>
      </c>
      <c r="I232">
        <f t="shared" ca="1" si="65"/>
        <v>93.627086192017515</v>
      </c>
      <c r="J232">
        <f t="shared" ca="1" si="74"/>
        <v>114.46499999999996</v>
      </c>
      <c r="K232">
        <f t="shared" ca="1" si="75"/>
        <v>3.1656270685035079</v>
      </c>
      <c r="L232">
        <f t="shared" ca="1" si="76"/>
        <v>120.79625413700698</v>
      </c>
      <c r="M232">
        <f t="shared" ca="1" si="77"/>
        <v>108.13374586299294</v>
      </c>
      <c r="N232">
        <f t="shared" ca="1" si="66"/>
        <v>0.5</v>
      </c>
      <c r="O232">
        <f t="shared" ca="1" si="67"/>
        <v>0.5</v>
      </c>
      <c r="P232">
        <f t="shared" ca="1" si="68"/>
        <v>0</v>
      </c>
      <c r="Q232">
        <f t="shared" ca="1" si="72"/>
        <v>0.77458891335780489</v>
      </c>
      <c r="R232">
        <f t="shared" ca="1" si="73"/>
        <v>0.37342267957285574</v>
      </c>
      <c r="S232">
        <f t="shared" ca="1" si="70"/>
        <v>2.0742953112645117</v>
      </c>
      <c r="T232">
        <f t="shared" ca="1" si="71"/>
        <v>67.472220500876915</v>
      </c>
      <c r="U232">
        <f>70</f>
        <v>70</v>
      </c>
      <c r="V232">
        <f>30</f>
        <v>30</v>
      </c>
      <c r="W232">
        <f t="shared" ca="1" si="69"/>
        <v>116.7525235045195</v>
      </c>
      <c r="X232">
        <f t="shared" ca="1" si="79"/>
        <v>114.61251327362316</v>
      </c>
      <c r="Y232">
        <f t="shared" ca="1" si="78"/>
        <v>2.1376429256830818</v>
      </c>
      <c r="Z232">
        <f t="shared" ca="1" si="80"/>
        <v>1.68775010570052</v>
      </c>
      <c r="AA232">
        <f t="shared" ca="1" si="81"/>
        <v>0.44989281998256181</v>
      </c>
      <c r="AB232">
        <f t="shared" ca="1" si="82"/>
        <v>106.81950000000002</v>
      </c>
    </row>
    <row r="233" spans="1:28" x14ac:dyDescent="0.25">
      <c r="A233" s="20">
        <f t="shared" ca="1" si="62"/>
        <v>46041</v>
      </c>
      <c r="B233" vm="684">
        <f ca="1"/>
        <v>46042</v>
      </c>
      <c r="C233" vm="685">
        <f ca="1"/>
        <v>118.71</v>
      </c>
      <c r="D233" vm="686">
        <f ca="1"/>
        <v>45333984</v>
      </c>
      <c r="E233">
        <f t="shared" ca="1" si="63"/>
        <v>5381597240.6399994</v>
      </c>
      <c r="F233">
        <f ca="1">SUM($E$2:E233)/SUM($D$2:D233)</f>
        <v>101.69172475910825</v>
      </c>
      <c r="G233">
        <f ca="1">_xlfn.STDEV.P($C$2:C233)</f>
        <v>7.9823007293082693</v>
      </c>
      <c r="H233">
        <f t="shared" ca="1" si="64"/>
        <v>109.67402548841652</v>
      </c>
      <c r="I233">
        <f t="shared" ca="1" si="65"/>
        <v>93.70942402979999</v>
      </c>
      <c r="J233">
        <f t="shared" ca="1" si="74"/>
        <v>114.65899999999996</v>
      </c>
      <c r="K233">
        <f t="shared" ca="1" si="75"/>
        <v>3.3049944661152817</v>
      </c>
      <c r="L233">
        <f t="shared" ca="1" si="76"/>
        <v>121.26898893223053</v>
      </c>
      <c r="M233">
        <f t="shared" ca="1" si="77"/>
        <v>108.0490110677694</v>
      </c>
      <c r="N233">
        <f t="shared" ca="1" si="66"/>
        <v>-0.99000000000000909</v>
      </c>
      <c r="O233">
        <f t="shared" ca="1" si="67"/>
        <v>0</v>
      </c>
      <c r="P233">
        <f t="shared" ca="1" si="68"/>
        <v>0.99000000000000909</v>
      </c>
      <c r="Q233">
        <f t="shared" ca="1" si="72"/>
        <v>0.71926113383224732</v>
      </c>
      <c r="R233">
        <f t="shared" ca="1" si="73"/>
        <v>0.41746391674622385</v>
      </c>
      <c r="S233">
        <f t="shared" ca="1" si="70"/>
        <v>1.7229300664792206</v>
      </c>
      <c r="T233">
        <f t="shared" ca="1" si="71"/>
        <v>63.274855556866676</v>
      </c>
      <c r="U233">
        <f>70</f>
        <v>70</v>
      </c>
      <c r="V233">
        <f>30</f>
        <v>30</v>
      </c>
      <c r="W233">
        <f t="shared" ca="1" si="69"/>
        <v>117.05367373459342</v>
      </c>
      <c r="X233">
        <f t="shared" ca="1" si="79"/>
        <v>114.91603080891034</v>
      </c>
      <c r="Y233">
        <f t="shared" ca="1" si="78"/>
        <v>2.163279448086584</v>
      </c>
      <c r="Z233">
        <f t="shared" ca="1" si="80"/>
        <v>1.7828559741777328</v>
      </c>
      <c r="AA233">
        <f t="shared" ca="1" si="81"/>
        <v>0.38042347390885123</v>
      </c>
      <c r="AB233">
        <f t="shared" ca="1" si="82"/>
        <v>107.04610000000002</v>
      </c>
    </row>
    <row r="234" spans="1:28" x14ac:dyDescent="0.25">
      <c r="A234" s="20">
        <f t="shared" ca="1" si="62"/>
        <v>46041</v>
      </c>
      <c r="B234" vm="687">
        <f ca="1"/>
        <v>46043</v>
      </c>
      <c r="C234" vm="688">
        <f ca="1"/>
        <v>119.36</v>
      </c>
      <c r="D234" vm="689">
        <f ca="1"/>
        <v>34811697</v>
      </c>
      <c r="E234">
        <f t="shared" ca="1" si="63"/>
        <v>4155124153.9200001</v>
      </c>
      <c r="F234">
        <f ca="1">SUM($E$2:E234)/SUM($D$2:D234)</f>
        <v>101.815042675618</v>
      </c>
      <c r="G234">
        <f ca="1">_xlfn.STDEV.P($C$2:C234)</f>
        <v>8.0615103927885414</v>
      </c>
      <c r="H234">
        <f t="shared" ca="1" si="64"/>
        <v>109.87655306840654</v>
      </c>
      <c r="I234">
        <f t="shared" ca="1" si="65"/>
        <v>93.753532282829468</v>
      </c>
      <c r="J234">
        <f t="shared" ca="1" si="74"/>
        <v>114.90899999999999</v>
      </c>
      <c r="K234">
        <f t="shared" ca="1" si="75"/>
        <v>3.4663554347469918</v>
      </c>
      <c r="L234">
        <f t="shared" ca="1" si="76"/>
        <v>121.84171086949398</v>
      </c>
      <c r="M234">
        <f t="shared" ca="1" si="77"/>
        <v>107.976289130506</v>
      </c>
      <c r="N234">
        <f t="shared" ca="1" si="66"/>
        <v>0.65000000000000568</v>
      </c>
      <c r="O234">
        <f t="shared" ca="1" si="67"/>
        <v>0.65000000000000568</v>
      </c>
      <c r="P234">
        <f t="shared" ca="1" si="68"/>
        <v>0</v>
      </c>
      <c r="Q234">
        <f t="shared" ca="1" si="72"/>
        <v>0.71431390998708721</v>
      </c>
      <c r="R234">
        <f t="shared" ca="1" si="73"/>
        <v>0.387645065550065</v>
      </c>
      <c r="S234">
        <f t="shared" ca="1" si="70"/>
        <v>1.8427008969493315</v>
      </c>
      <c r="T234">
        <f t="shared" ca="1" si="71"/>
        <v>64.822187199745201</v>
      </c>
      <c r="U234">
        <f>70</f>
        <v>70</v>
      </c>
      <c r="V234">
        <f>30</f>
        <v>30</v>
      </c>
      <c r="W234">
        <f t="shared" ca="1" si="69"/>
        <v>117.40849316004059</v>
      </c>
      <c r="X234">
        <f t="shared" ca="1" si="79"/>
        <v>115.24521371195401</v>
      </c>
      <c r="Y234">
        <f t="shared" ca="1" si="78"/>
        <v>2.0366610032677954</v>
      </c>
      <c r="Z234">
        <f t="shared" ca="1" si="80"/>
        <v>1.8336169799957454</v>
      </c>
      <c r="AA234">
        <f t="shared" ca="1" si="81"/>
        <v>0.20304402327205007</v>
      </c>
      <c r="AB234">
        <f t="shared" ca="1" si="82"/>
        <v>107.27890000000004</v>
      </c>
    </row>
    <row r="235" spans="1:28" x14ac:dyDescent="0.25">
      <c r="A235" s="20">
        <f t="shared" ca="1" si="62"/>
        <v>46041</v>
      </c>
      <c r="B235" vm="690">
        <f ca="1"/>
        <v>46044</v>
      </c>
      <c r="C235" vm="691">
        <f ca="1"/>
        <v>117.83</v>
      </c>
      <c r="D235" vm="692">
        <f ca="1"/>
        <v>24547334</v>
      </c>
      <c r="E235">
        <f t="shared" ca="1" si="63"/>
        <v>2892412365.2199998</v>
      </c>
      <c r="F235">
        <f ca="1">SUM($E$2:E235)/SUM($D$2:D235)</f>
        <v>101.89347674360228</v>
      </c>
      <c r="G235">
        <f ca="1">_xlfn.STDEV.P($C$2:C235)</f>
        <v>8.123931754879349</v>
      </c>
      <c r="H235">
        <f t="shared" ca="1" si="64"/>
        <v>110.01740849848163</v>
      </c>
      <c r="I235">
        <f t="shared" ca="1" si="65"/>
        <v>93.769544988722927</v>
      </c>
      <c r="J235">
        <f t="shared" ca="1" si="74"/>
        <v>115.17049999999999</v>
      </c>
      <c r="K235">
        <f t="shared" ca="1" si="75"/>
        <v>3.4802442064950139</v>
      </c>
      <c r="L235">
        <f t="shared" ca="1" si="76"/>
        <v>122.13098841299002</v>
      </c>
      <c r="M235">
        <f t="shared" ca="1" si="77"/>
        <v>108.21001158700996</v>
      </c>
      <c r="N235">
        <f t="shared" ca="1" si="66"/>
        <v>-1.5300000000000011</v>
      </c>
      <c r="O235">
        <f t="shared" ca="1" si="67"/>
        <v>0</v>
      </c>
      <c r="P235">
        <f t="shared" ca="1" si="68"/>
        <v>1.5300000000000011</v>
      </c>
      <c r="Q235">
        <f t="shared" ca="1" si="72"/>
        <v>0.66329148784515246</v>
      </c>
      <c r="R235">
        <f t="shared" ca="1" si="73"/>
        <v>0.4692418465822033</v>
      </c>
      <c r="S235">
        <f t="shared" ca="1" si="70"/>
        <v>1.4135386532048244</v>
      </c>
      <c r="T235">
        <f t="shared" ca="1" si="71"/>
        <v>58.567060913975958</v>
      </c>
      <c r="U235">
        <f>70</f>
        <v>70</v>
      </c>
      <c r="V235">
        <f>30</f>
        <v>30</v>
      </c>
      <c r="W235">
        <f t="shared" ca="1" si="69"/>
        <v>117.47334036618818</v>
      </c>
      <c r="X235">
        <f t="shared" ca="1" si="79"/>
        <v>115.43667936292039</v>
      </c>
      <c r="Y235">
        <f t="shared" ca="1" si="78"/>
        <v>1.9062714980306765</v>
      </c>
      <c r="Z235">
        <f t="shared" ca="1" si="80"/>
        <v>1.8481478836027319</v>
      </c>
      <c r="AA235">
        <f t="shared" ca="1" si="81"/>
        <v>5.812361442794467E-2</v>
      </c>
      <c r="AB235">
        <f t="shared" ca="1" si="82"/>
        <v>107.49610000000004</v>
      </c>
    </row>
    <row r="236" spans="1:28" x14ac:dyDescent="0.25">
      <c r="A236" s="20">
        <f t="shared" ca="1" si="62"/>
        <v>46041</v>
      </c>
      <c r="B236" vm="693">
        <f ca="1"/>
        <v>46045</v>
      </c>
      <c r="C236" vm="694">
        <f ca="1"/>
        <v>117.73</v>
      </c>
      <c r="D236" vm="695">
        <f ca="1"/>
        <v>20806906</v>
      </c>
      <c r="E236">
        <f t="shared" ca="1" si="63"/>
        <v>2449597043.3800001</v>
      </c>
      <c r="F236">
        <f ca="1">SUM($E$2:E236)/SUM($D$2:D236)</f>
        <v>101.95894681645296</v>
      </c>
      <c r="G236">
        <f ca="1">_xlfn.STDEV.P($C$2:C236)</f>
        <v>8.1837908135334239</v>
      </c>
      <c r="H236">
        <f t="shared" ca="1" si="64"/>
        <v>110.14273762998639</v>
      </c>
      <c r="I236">
        <f t="shared" ca="1" si="65"/>
        <v>93.775156002919545</v>
      </c>
      <c r="J236">
        <f t="shared" ca="1" si="74"/>
        <v>115.51200000000001</v>
      </c>
      <c r="K236">
        <f t="shared" ca="1" si="75"/>
        <v>3.3725776492172885</v>
      </c>
      <c r="L236">
        <f t="shared" ca="1" si="76"/>
        <v>122.2571552984346</v>
      </c>
      <c r="M236">
        <f t="shared" ca="1" si="77"/>
        <v>108.76684470156543</v>
      </c>
      <c r="N236">
        <f t="shared" ca="1" si="66"/>
        <v>-9.9999999999994316E-2</v>
      </c>
      <c r="O236">
        <f t="shared" ca="1" si="67"/>
        <v>0</v>
      </c>
      <c r="P236">
        <f t="shared" ca="1" si="68"/>
        <v>9.9999999999994316E-2</v>
      </c>
      <c r="Q236">
        <f t="shared" ca="1" si="72"/>
        <v>0.61591352442764158</v>
      </c>
      <c r="R236">
        <f t="shared" ca="1" si="73"/>
        <v>0.44286742896918835</v>
      </c>
      <c r="S236">
        <f t="shared" ca="1" si="70"/>
        <v>1.3907401722028481</v>
      </c>
      <c r="T236">
        <f t="shared" ca="1" si="71"/>
        <v>58.171949774090606</v>
      </c>
      <c r="U236">
        <f>70</f>
        <v>70</v>
      </c>
      <c r="V236">
        <f>30</f>
        <v>30</v>
      </c>
      <c r="W236">
        <f t="shared" ca="1" si="69"/>
        <v>117.51282646369769</v>
      </c>
      <c r="X236">
        <f t="shared" ca="1" si="79"/>
        <v>115.60655496566702</v>
      </c>
      <c r="Y236">
        <f t="shared" ca="1" si="78"/>
        <v>1.7752110993630623</v>
      </c>
      <c r="Z236">
        <f t="shared" ca="1" si="80"/>
        <v>1.8335605267547981</v>
      </c>
      <c r="AA236">
        <f t="shared" ca="1" si="81"/>
        <v>-5.8349427391735764E-2</v>
      </c>
      <c r="AB236">
        <f t="shared" ca="1" si="82"/>
        <v>107.70360000000002</v>
      </c>
    </row>
    <row r="237" spans="1:28" x14ac:dyDescent="0.25">
      <c r="A237" s="20">
        <f t="shared" ca="1" si="62"/>
        <v>46048</v>
      </c>
      <c r="B237" vm="696">
        <f ca="1"/>
        <v>46048</v>
      </c>
      <c r="C237" vm="697">
        <f ca="1"/>
        <v>117.64</v>
      </c>
      <c r="D237" vm="698">
        <f ca="1"/>
        <v>19552228</v>
      </c>
      <c r="E237">
        <f t="shared" ca="1" si="63"/>
        <v>2300124101.9200001</v>
      </c>
      <c r="F237">
        <f ca="1">SUM($E$2:E237)/SUM($D$2:D237)</f>
        <v>102.01962926082206</v>
      </c>
      <c r="G237">
        <f ca="1">_xlfn.STDEV.P($C$2:C237)</f>
        <v>8.2412817963206386</v>
      </c>
      <c r="H237">
        <f t="shared" ca="1" si="64"/>
        <v>110.26091105714269</v>
      </c>
      <c r="I237">
        <f t="shared" ca="1" si="65"/>
        <v>93.778347464501422</v>
      </c>
      <c r="J237">
        <f t="shared" ca="1" si="74"/>
        <v>115.8135</v>
      </c>
      <c r="K237">
        <f t="shared" ca="1" si="75"/>
        <v>3.2734663343473187</v>
      </c>
      <c r="L237">
        <f t="shared" ca="1" si="76"/>
        <v>122.36043266869464</v>
      </c>
      <c r="M237">
        <f t="shared" ca="1" si="77"/>
        <v>109.26656733130537</v>
      </c>
      <c r="N237">
        <f t="shared" ca="1" si="66"/>
        <v>-9.0000000000003411E-2</v>
      </c>
      <c r="O237">
        <f t="shared" ca="1" si="67"/>
        <v>0</v>
      </c>
      <c r="P237">
        <f t="shared" ca="1" si="68"/>
        <v>9.0000000000003411E-2</v>
      </c>
      <c r="Q237">
        <f t="shared" ca="1" si="72"/>
        <v>0.57191970125423863</v>
      </c>
      <c r="R237">
        <f t="shared" ca="1" si="73"/>
        <v>0.41766261261424653</v>
      </c>
      <c r="S237">
        <f t="shared" ca="1" si="70"/>
        <v>1.3693342041665195</v>
      </c>
      <c r="T237">
        <f t="shared" ca="1" si="71"/>
        <v>57.794050402789068</v>
      </c>
      <c r="U237">
        <f>70</f>
        <v>70</v>
      </c>
      <c r="V237">
        <f>30</f>
        <v>30</v>
      </c>
      <c r="W237">
        <f t="shared" ca="1" si="69"/>
        <v>117.53239162312882</v>
      </c>
      <c r="X237">
        <f t="shared" ca="1" si="79"/>
        <v>115.75718052376575</v>
      </c>
      <c r="Y237">
        <f t="shared" ca="1" si="78"/>
        <v>1.5964576690751784</v>
      </c>
      <c r="Z237">
        <f t="shared" ca="1" si="80"/>
        <v>1.7861399552188744</v>
      </c>
      <c r="AA237">
        <f t="shared" ca="1" si="81"/>
        <v>-0.18968228614369598</v>
      </c>
      <c r="AB237">
        <f t="shared" ca="1" si="82"/>
        <v>107.9015</v>
      </c>
    </row>
    <row r="238" spans="1:28" x14ac:dyDescent="0.25">
      <c r="A238" s="20">
        <f t="shared" ca="1" si="62"/>
        <v>46048</v>
      </c>
      <c r="B238" vm="699">
        <f ca="1"/>
        <v>46049</v>
      </c>
      <c r="C238" vm="700">
        <f ca="1"/>
        <v>116.94</v>
      </c>
      <c r="D238" vm="701">
        <f ca="1"/>
        <v>22968630</v>
      </c>
      <c r="E238">
        <f t="shared" ca="1" si="63"/>
        <v>2685951592.1999998</v>
      </c>
      <c r="F238">
        <f ca="1">SUM($E$2:E238)/SUM($D$2:D238)</f>
        <v>102.08714988927413</v>
      </c>
      <c r="G238">
        <f ca="1">_xlfn.STDEV.P($C$2:C238)</f>
        <v>8.2913726549422737</v>
      </c>
      <c r="H238">
        <f t="shared" ca="1" si="64"/>
        <v>110.37852254421641</v>
      </c>
      <c r="I238">
        <f t="shared" ca="1" si="65"/>
        <v>93.795777234331851</v>
      </c>
      <c r="J238">
        <f t="shared" ca="1" si="74"/>
        <v>116.0735</v>
      </c>
      <c r="K238">
        <f t="shared" ca="1" si="75"/>
        <v>3.1365389490563276</v>
      </c>
      <c r="L238">
        <f t="shared" ca="1" si="76"/>
        <v>122.34657789811266</v>
      </c>
      <c r="M238">
        <f t="shared" ca="1" si="77"/>
        <v>109.80042210188734</v>
      </c>
      <c r="N238">
        <f t="shared" ca="1" si="66"/>
        <v>-0.70000000000000284</v>
      </c>
      <c r="O238">
        <f t="shared" ca="1" si="67"/>
        <v>0</v>
      </c>
      <c r="P238">
        <f t="shared" ca="1" si="68"/>
        <v>0.70000000000000284</v>
      </c>
      <c r="Q238">
        <f t="shared" ca="1" si="72"/>
        <v>0.53106829402179301</v>
      </c>
      <c r="R238">
        <f t="shared" ca="1" si="73"/>
        <v>0.43782956885608632</v>
      </c>
      <c r="S238">
        <f t="shared" ca="1" si="70"/>
        <v>1.2129566657850697</v>
      </c>
      <c r="T238">
        <f t="shared" ca="1" si="71"/>
        <v>54.811586893625893</v>
      </c>
      <c r="U238">
        <f>70</f>
        <v>70</v>
      </c>
      <c r="V238">
        <f>30</f>
        <v>30</v>
      </c>
      <c r="W238">
        <f t="shared" ca="1" si="69"/>
        <v>117.44125445033977</v>
      </c>
      <c r="X238">
        <f t="shared" ca="1" si="79"/>
        <v>115.84479678126459</v>
      </c>
      <c r="Y238">
        <f t="shared" ca="1" si="78"/>
        <v>1.4086997659256895</v>
      </c>
      <c r="Z238">
        <f t="shared" ca="1" si="80"/>
        <v>1.7106519173602375</v>
      </c>
      <c r="AA238">
        <f t="shared" ca="1" si="81"/>
        <v>-0.30195215143454801</v>
      </c>
      <c r="AB238">
        <f t="shared" ca="1" si="82"/>
        <v>108.07650000000001</v>
      </c>
    </row>
    <row r="239" spans="1:28" x14ac:dyDescent="0.25">
      <c r="A239" s="20">
        <f t="shared" ca="1" si="62"/>
        <v>46048</v>
      </c>
      <c r="B239" vm="702">
        <f ca="1"/>
        <v>46050</v>
      </c>
      <c r="C239" vm="703">
        <f ca="1"/>
        <v>116.57</v>
      </c>
      <c r="D239" vm="704">
        <f ca="1"/>
        <v>16341996</v>
      </c>
      <c r="E239">
        <f t="shared" ca="1" si="63"/>
        <v>1904986473.7199998</v>
      </c>
      <c r="F239">
        <f ca="1">SUM($E$2:E239)/SUM($D$2:D239)</f>
        <v>102.13363189040044</v>
      </c>
      <c r="G239">
        <f ca="1">_xlfn.STDEV.P($C$2:C239)</f>
        <v>8.3372095213732411</v>
      </c>
      <c r="H239">
        <f t="shared" ca="1" si="64"/>
        <v>110.47084141177368</v>
      </c>
      <c r="I239">
        <f t="shared" ca="1" si="65"/>
        <v>93.796422369027198</v>
      </c>
      <c r="J239">
        <f t="shared" ca="1" si="74"/>
        <v>116.27550000000001</v>
      </c>
      <c r="K239">
        <f t="shared" ca="1" si="75"/>
        <v>3.024406814393092</v>
      </c>
      <c r="L239">
        <f t="shared" ca="1" si="76"/>
        <v>122.32431362878619</v>
      </c>
      <c r="M239">
        <f t="shared" ca="1" si="77"/>
        <v>110.22668637121383</v>
      </c>
      <c r="N239">
        <f t="shared" ca="1" si="66"/>
        <v>-0.37000000000000455</v>
      </c>
      <c r="O239">
        <f t="shared" ca="1" si="67"/>
        <v>0</v>
      </c>
      <c r="P239">
        <f t="shared" ca="1" si="68"/>
        <v>0.37000000000000455</v>
      </c>
      <c r="Q239">
        <f t="shared" ca="1" si="72"/>
        <v>0.49313484444880779</v>
      </c>
      <c r="R239">
        <f t="shared" ca="1" si="73"/>
        <v>0.43298459965208053</v>
      </c>
      <c r="S239">
        <f t="shared" ca="1" si="70"/>
        <v>1.1389200559212966</v>
      </c>
      <c r="T239">
        <f t="shared" ca="1" si="71"/>
        <v>53.247434506416361</v>
      </c>
      <c r="U239">
        <f>70</f>
        <v>70</v>
      </c>
      <c r="V239">
        <f>30</f>
        <v>30</v>
      </c>
      <c r="W239">
        <f t="shared" ca="1" si="69"/>
        <v>117.30721530413365</v>
      </c>
      <c r="X239">
        <f t="shared" ca="1" si="79"/>
        <v>115.89851553820796</v>
      </c>
      <c r="Y239">
        <f t="shared" ca="1" si="78"/>
        <v>1.3125509840743774</v>
      </c>
      <c r="Z239">
        <f t="shared" ca="1" si="80"/>
        <v>1.6310317307030655</v>
      </c>
      <c r="AA239">
        <f t="shared" ca="1" si="81"/>
        <v>-0.31848074662868808</v>
      </c>
      <c r="AB239">
        <f t="shared" ca="1" si="82"/>
        <v>108.23290000000001</v>
      </c>
    </row>
    <row r="240" spans="1:28" x14ac:dyDescent="0.25">
      <c r="A240" s="20">
        <f t="shared" ca="1" si="62"/>
        <v>46048</v>
      </c>
      <c r="B240" vm="705">
        <f ca="1"/>
        <v>46051</v>
      </c>
      <c r="C240" vm="706">
        <f ca="1"/>
        <v>117.41</v>
      </c>
      <c r="D240" vm="707">
        <f ca="1"/>
        <v>16381111</v>
      </c>
      <c r="E240">
        <f t="shared" ca="1" si="63"/>
        <v>1923306242.51</v>
      </c>
      <c r="F240">
        <f ca="1">SUM($E$2:E240)/SUM($D$2:D240)</f>
        <v>102.18262039792577</v>
      </c>
      <c r="G240">
        <f ca="1">_xlfn.STDEV.P($C$2:C240)</f>
        <v>8.3886557992261253</v>
      </c>
      <c r="H240">
        <f t="shared" ca="1" si="64"/>
        <v>110.5712761971519</v>
      </c>
      <c r="I240">
        <f t="shared" ca="1" si="65"/>
        <v>93.793964598699645</v>
      </c>
      <c r="J240">
        <f t="shared" ca="1" si="74"/>
        <v>116.55</v>
      </c>
      <c r="K240">
        <f t="shared" ca="1" si="75"/>
        <v>2.8525464155087095</v>
      </c>
      <c r="L240">
        <f t="shared" ca="1" si="76"/>
        <v>122.25509283101742</v>
      </c>
      <c r="M240">
        <f t="shared" ca="1" si="77"/>
        <v>110.84490716898257</v>
      </c>
      <c r="N240">
        <f t="shared" ca="1" si="66"/>
        <v>0.84000000000000341</v>
      </c>
      <c r="O240">
        <f t="shared" ca="1" si="67"/>
        <v>0.84000000000000341</v>
      </c>
      <c r="P240">
        <f t="shared" ca="1" si="68"/>
        <v>0</v>
      </c>
      <c r="Q240">
        <f t="shared" ca="1" si="72"/>
        <v>0.51791092698817887</v>
      </c>
      <c r="R240">
        <f t="shared" ca="1" si="73"/>
        <v>0.40205712824836048</v>
      </c>
      <c r="S240">
        <f t="shared" ca="1" si="70"/>
        <v>1.2881525798200812</v>
      </c>
      <c r="T240">
        <f t="shared" ca="1" si="71"/>
        <v>56.296620740272893</v>
      </c>
      <c r="U240">
        <f>70</f>
        <v>70</v>
      </c>
      <c r="V240">
        <f>30</f>
        <v>30</v>
      </c>
      <c r="W240">
        <f t="shared" ca="1" si="69"/>
        <v>117.32302833426694</v>
      </c>
      <c r="X240">
        <f t="shared" ca="1" si="79"/>
        <v>116.01047735019256</v>
      </c>
      <c r="Y240">
        <f t="shared" ca="1" si="78"/>
        <v>1.3602685939165156</v>
      </c>
      <c r="Z240">
        <f t="shared" ca="1" si="80"/>
        <v>1.5768791033457557</v>
      </c>
      <c r="AA240">
        <f t="shared" ca="1" si="81"/>
        <v>-0.21661050942924009</v>
      </c>
      <c r="AB240">
        <f t="shared" ca="1" si="82"/>
        <v>108.40190000000001</v>
      </c>
    </row>
    <row r="241" spans="1:28" x14ac:dyDescent="0.25">
      <c r="A241" s="20">
        <f t="shared" ca="1" si="62"/>
        <v>46048</v>
      </c>
      <c r="B241" vm="708">
        <f ca="1"/>
        <v>46052</v>
      </c>
      <c r="C241" vm="709">
        <f ca="1"/>
        <v>119.14</v>
      </c>
      <c r="D241" vm="710">
        <f ca="1"/>
        <v>22215386</v>
      </c>
      <c r="E241">
        <f t="shared" ca="1" si="63"/>
        <v>2646741088.04</v>
      </c>
      <c r="F241">
        <f ca="1">SUM($E$2:E241)/SUM($D$2:D241)</f>
        <v>102.25604789348806</v>
      </c>
      <c r="G241">
        <f ca="1">_xlfn.STDEV.P($C$2:C241)</f>
        <v>8.4536011737930679</v>
      </c>
      <c r="H241">
        <f t="shared" ca="1" si="64"/>
        <v>110.70964906728113</v>
      </c>
      <c r="I241">
        <f t="shared" ca="1" si="65"/>
        <v>93.802446719694984</v>
      </c>
      <c r="J241">
        <f t="shared" ca="1" si="74"/>
        <v>116.9365</v>
      </c>
      <c r="K241">
        <f t="shared" ca="1" si="75"/>
        <v>2.6348300154898645</v>
      </c>
      <c r="L241">
        <f t="shared" ca="1" si="76"/>
        <v>122.20616003097973</v>
      </c>
      <c r="M241">
        <f t="shared" ca="1" si="77"/>
        <v>111.66683996902026</v>
      </c>
      <c r="N241">
        <f t="shared" ca="1" si="66"/>
        <v>1.730000000000004</v>
      </c>
      <c r="O241">
        <f t="shared" ca="1" si="67"/>
        <v>1.730000000000004</v>
      </c>
      <c r="P241">
        <f t="shared" ca="1" si="68"/>
        <v>0</v>
      </c>
      <c r="Q241">
        <f t="shared" ca="1" si="72"/>
        <v>0.60448871791759495</v>
      </c>
      <c r="R241">
        <f t="shared" ca="1" si="73"/>
        <v>0.37333876194490617</v>
      </c>
      <c r="S241">
        <f t="shared" ca="1" si="70"/>
        <v>1.6191426648776419</v>
      </c>
      <c r="T241">
        <f t="shared" ca="1" si="71"/>
        <v>61.819567394710177</v>
      </c>
      <c r="U241">
        <f>70</f>
        <v>70</v>
      </c>
      <c r="V241">
        <f>30</f>
        <v>30</v>
      </c>
      <c r="W241">
        <f t="shared" ca="1" si="69"/>
        <v>117.60256243668741</v>
      </c>
      <c r="X241">
        <f t="shared" ca="1" si="79"/>
        <v>116.24229384277089</v>
      </c>
      <c r="Y241">
        <f t="shared" ca="1" si="78"/>
        <v>1.7746311817539038</v>
      </c>
      <c r="Z241">
        <f t="shared" ca="1" si="80"/>
        <v>1.6164295190273854</v>
      </c>
      <c r="AA241">
        <f t="shared" ca="1" si="81"/>
        <v>0.15820166272651837</v>
      </c>
      <c r="AB241">
        <f t="shared" ca="1" si="82"/>
        <v>108.5705</v>
      </c>
    </row>
    <row r="242" spans="1:28" x14ac:dyDescent="0.25">
      <c r="A242" s="20">
        <f t="shared" ca="1" si="62"/>
        <v>46055</v>
      </c>
      <c r="B242" vm="711">
        <f ca="1"/>
        <v>46055</v>
      </c>
      <c r="C242" vm="712">
        <f ca="1"/>
        <v>124.06</v>
      </c>
      <c r="D242" vm="713">
        <f ca="1"/>
        <v>31210059</v>
      </c>
      <c r="E242">
        <f t="shared" ca="1" si="63"/>
        <v>3871919919.54</v>
      </c>
      <c r="F242">
        <f ca="1">SUM($E$2:E242)/SUM($D$2:D242)</f>
        <v>102.38788630747105</v>
      </c>
      <c r="G242">
        <f ca="1">_xlfn.STDEV.P($C$2:C242)</f>
        <v>8.5660373363334035</v>
      </c>
      <c r="H242">
        <f t="shared" ca="1" si="64"/>
        <v>110.95392364380446</v>
      </c>
      <c r="I242">
        <f t="shared" ca="1" si="65"/>
        <v>93.821848971137641</v>
      </c>
      <c r="J242">
        <f t="shared" ca="1" si="74"/>
        <v>117.50149999999999</v>
      </c>
      <c r="K242">
        <f t="shared" ca="1" si="75"/>
        <v>2.8911922053749834</v>
      </c>
      <c r="L242">
        <f t="shared" ca="1" si="76"/>
        <v>123.28388441074996</v>
      </c>
      <c r="M242">
        <f t="shared" ca="1" si="77"/>
        <v>111.71911558925002</v>
      </c>
      <c r="N242">
        <f t="shared" ca="1" si="66"/>
        <v>4.9200000000000017</v>
      </c>
      <c r="O242">
        <f t="shared" ca="1" si="67"/>
        <v>4.9200000000000017</v>
      </c>
      <c r="P242">
        <f t="shared" ca="1" si="68"/>
        <v>0</v>
      </c>
      <c r="Q242">
        <f t="shared" ca="1" si="72"/>
        <v>0.91273952378062406</v>
      </c>
      <c r="R242">
        <f t="shared" ca="1" si="73"/>
        <v>0.34667170752027004</v>
      </c>
      <c r="S242">
        <f t="shared" ca="1" si="70"/>
        <v>2.6328641881664248</v>
      </c>
      <c r="T242">
        <f t="shared" ca="1" si="71"/>
        <v>72.473509930336292</v>
      </c>
      <c r="U242">
        <f>70</f>
        <v>70</v>
      </c>
      <c r="V242">
        <f>30</f>
        <v>30</v>
      </c>
      <c r="W242">
        <f t="shared" ca="1" si="69"/>
        <v>118.59601436950473</v>
      </c>
      <c r="X242">
        <f t="shared" ca="1" si="79"/>
        <v>116.82138318775083</v>
      </c>
      <c r="Y242">
        <f t="shared" ca="1" si="78"/>
        <v>2.3702186088999611</v>
      </c>
      <c r="Z242">
        <f t="shared" ca="1" si="80"/>
        <v>1.7671873370019007</v>
      </c>
      <c r="AA242">
        <f t="shared" ca="1" si="81"/>
        <v>0.60303127189806038</v>
      </c>
      <c r="AB242">
        <f t="shared" ca="1" si="82"/>
        <v>108.78819999999997</v>
      </c>
    </row>
    <row r="243" spans="1:28" x14ac:dyDescent="0.25">
      <c r="A243" s="20">
        <f t="shared" ca="1" si="62"/>
        <v>46055</v>
      </c>
      <c r="B243" vm="714">
        <f ca="1"/>
        <v>46056</v>
      </c>
      <c r="C243" vm="715">
        <f ca="1"/>
        <v>127.71</v>
      </c>
      <c r="D243" vm="716">
        <f ca="1"/>
        <v>32018678</v>
      </c>
      <c r="E243">
        <f t="shared" ca="1" si="63"/>
        <v>4089105367.3799996</v>
      </c>
      <c r="F243">
        <f ca="1">SUM($E$2:E243)/SUM($D$2:D243)</f>
        <v>102.54399598225427</v>
      </c>
      <c r="G243">
        <f ca="1">_xlfn.STDEV.P($C$2:C243)</f>
        <v>8.7179876936878742</v>
      </c>
      <c r="H243">
        <f t="shared" ca="1" si="64"/>
        <v>111.26198367594215</v>
      </c>
      <c r="I243">
        <f t="shared" ca="1" si="65"/>
        <v>93.826008288566399</v>
      </c>
      <c r="J243">
        <f t="shared" ca="1" si="74"/>
        <v>118.25150000000001</v>
      </c>
      <c r="K243">
        <f t="shared" ca="1" si="75"/>
        <v>3.4703697285205188</v>
      </c>
      <c r="L243">
        <f t="shared" ca="1" si="76"/>
        <v>125.19223945704104</v>
      </c>
      <c r="M243">
        <f t="shared" ca="1" si="77"/>
        <v>111.31076054295897</v>
      </c>
      <c r="N243">
        <f t="shared" ca="1" si="66"/>
        <v>3.6499999999999915</v>
      </c>
      <c r="O243">
        <f t="shared" ca="1" si="67"/>
        <v>3.6499999999999915</v>
      </c>
      <c r="P243">
        <f t="shared" ca="1" si="68"/>
        <v>0</v>
      </c>
      <c r="Q243">
        <f t="shared" ca="1" si="72"/>
        <v>1.1082581292248646</v>
      </c>
      <c r="R243">
        <f t="shared" ca="1" si="73"/>
        <v>0.32190944269739363</v>
      </c>
      <c r="S243">
        <f t="shared" ca="1" si="70"/>
        <v>3.442763654083508</v>
      </c>
      <c r="T243">
        <f t="shared" ca="1" si="71"/>
        <v>77.491487779664737</v>
      </c>
      <c r="U243">
        <f>70</f>
        <v>70</v>
      </c>
      <c r="V243">
        <f>30</f>
        <v>30</v>
      </c>
      <c r="W243">
        <f t="shared" ca="1" si="69"/>
        <v>119.99816600496554</v>
      </c>
      <c r="X243">
        <f t="shared" ca="1" si="79"/>
        <v>117.62794739606558</v>
      </c>
      <c r="Y243">
        <f t="shared" ca="1" si="78"/>
        <v>2.8329697998673851</v>
      </c>
      <c r="Z243">
        <f t="shared" ca="1" si="80"/>
        <v>1.9803438295749978</v>
      </c>
      <c r="AA243">
        <f t="shared" ca="1" si="81"/>
        <v>0.85262597029238729</v>
      </c>
      <c r="AB243">
        <f t="shared" ca="1" si="82"/>
        <v>109.06119999999997</v>
      </c>
    </row>
    <row r="244" spans="1:28" x14ac:dyDescent="0.25">
      <c r="A244" s="20">
        <f t="shared" ca="1" si="62"/>
        <v>46055</v>
      </c>
      <c r="B244" vm="717">
        <f ca="1"/>
        <v>46057</v>
      </c>
      <c r="C244" vm="718">
        <f ca="1"/>
        <v>128</v>
      </c>
      <c r="D244" vm="719">
        <f ca="1"/>
        <v>27531790</v>
      </c>
      <c r="E244">
        <f t="shared" ca="1" si="63"/>
        <v>3524069120</v>
      </c>
      <c r="F244">
        <f ca="1">SUM($E$2:E244)/SUM($D$2:D244)</f>
        <v>102.67822765929895</v>
      </c>
      <c r="G244">
        <f ca="1">_xlfn.STDEV.P($C$2:C244)</f>
        <v>8.8683425406964584</v>
      </c>
      <c r="H244">
        <f t="shared" ca="1" si="64"/>
        <v>111.54657019999541</v>
      </c>
      <c r="I244">
        <f t="shared" ca="1" si="65"/>
        <v>93.809885118602494</v>
      </c>
      <c r="J244">
        <f t="shared" ca="1" si="74"/>
        <v>118.9345</v>
      </c>
      <c r="K244">
        <f t="shared" ca="1" si="75"/>
        <v>3.9684909965216861</v>
      </c>
      <c r="L244">
        <f t="shared" ca="1" si="76"/>
        <v>126.87148199304337</v>
      </c>
      <c r="M244">
        <f t="shared" ca="1" si="77"/>
        <v>110.99751800695662</v>
      </c>
      <c r="N244">
        <f t="shared" ca="1" si="66"/>
        <v>0.29000000000000625</v>
      </c>
      <c r="O244">
        <f t="shared" ca="1" si="67"/>
        <v>0.29000000000000625</v>
      </c>
      <c r="P244">
        <f t="shared" ca="1" si="68"/>
        <v>0</v>
      </c>
      <c r="Q244">
        <f t="shared" ca="1" si="72"/>
        <v>1.0498111199945175</v>
      </c>
      <c r="R244">
        <f t="shared" ca="1" si="73"/>
        <v>0.29891591107615118</v>
      </c>
      <c r="S244">
        <f t="shared" ca="1" si="70"/>
        <v>3.5120616905771533</v>
      </c>
      <c r="T244">
        <f t="shared" ca="1" si="71"/>
        <v>77.837182455010122</v>
      </c>
      <c r="U244">
        <f>70</f>
        <v>70</v>
      </c>
      <c r="V244">
        <f>30</f>
        <v>30</v>
      </c>
      <c r="W244">
        <f t="shared" ca="1" si="69"/>
        <v>121.22921738881699</v>
      </c>
      <c r="X244">
        <f t="shared" ca="1" si="79"/>
        <v>118.39624758894961</v>
      </c>
      <c r="Y244">
        <f t="shared" ca="1" si="78"/>
        <v>3.0786811910826941</v>
      </c>
      <c r="Z244">
        <f t="shared" ca="1" si="80"/>
        <v>2.200011301876537</v>
      </c>
      <c r="AA244">
        <f t="shared" ca="1" si="81"/>
        <v>0.87866988920615707</v>
      </c>
      <c r="AB244">
        <f t="shared" ca="1" si="82"/>
        <v>109.31469999999997</v>
      </c>
    </row>
    <row r="245" spans="1:28" x14ac:dyDescent="0.25">
      <c r="A245" s="20">
        <f t="shared" ca="1" si="62"/>
        <v>46055</v>
      </c>
      <c r="B245" vm="720">
        <f ca="1"/>
        <v>46058</v>
      </c>
      <c r="C245" vm="721">
        <f ca="1"/>
        <v>126.94</v>
      </c>
      <c r="D245" vm="722">
        <f ca="1"/>
        <v>30517793</v>
      </c>
      <c r="E245">
        <f t="shared" ca="1" si="63"/>
        <v>3873928643.4200001</v>
      </c>
      <c r="F245">
        <f ca="1">SUM($E$2:E245)/SUM($D$2:D245)</f>
        <v>102.81921331479812</v>
      </c>
      <c r="G245">
        <f ca="1">_xlfn.STDEV.P($C$2:C245)</f>
        <v>9.001055196865213</v>
      </c>
      <c r="H245">
        <f t="shared" ca="1" si="64"/>
        <v>111.82026851166333</v>
      </c>
      <c r="I245">
        <f t="shared" ca="1" si="65"/>
        <v>93.81815811793291</v>
      </c>
      <c r="J245">
        <f t="shared" ca="1" si="74"/>
        <v>119.64550000000001</v>
      </c>
      <c r="K245">
        <f t="shared" ca="1" si="75"/>
        <v>4.0690558519533484</v>
      </c>
      <c r="L245">
        <f t="shared" ca="1" si="76"/>
        <v>127.78361170390671</v>
      </c>
      <c r="M245">
        <f t="shared" ca="1" si="77"/>
        <v>111.50738829609331</v>
      </c>
      <c r="N245">
        <f t="shared" ca="1" si="66"/>
        <v>-1.0600000000000023</v>
      </c>
      <c r="O245">
        <f t="shared" ca="1" si="67"/>
        <v>0</v>
      </c>
      <c r="P245">
        <f t="shared" ca="1" si="68"/>
        <v>1.0600000000000023</v>
      </c>
      <c r="Q245">
        <f t="shared" ca="1" si="72"/>
        <v>0.97482461142348054</v>
      </c>
      <c r="R245">
        <f t="shared" ca="1" si="73"/>
        <v>0.35327906028499767</v>
      </c>
      <c r="S245">
        <f t="shared" ca="1" si="70"/>
        <v>2.7593614256023806</v>
      </c>
      <c r="T245">
        <f t="shared" ca="1" si="71"/>
        <v>73.399737700405723</v>
      </c>
      <c r="U245">
        <f>70</f>
        <v>70</v>
      </c>
      <c r="V245">
        <f>30</f>
        <v>30</v>
      </c>
      <c r="W245">
        <f t="shared" ca="1" si="69"/>
        <v>122.10779932899899</v>
      </c>
      <c r="X245">
        <f t="shared" ca="1" si="79"/>
        <v>119.0291181379163</v>
      </c>
      <c r="Y245">
        <f t="shared" ca="1" si="78"/>
        <v>3.5743390481193984</v>
      </c>
      <c r="Z245">
        <f t="shared" ca="1" si="80"/>
        <v>2.4748768511251096</v>
      </c>
      <c r="AA245">
        <f t="shared" ca="1" si="81"/>
        <v>1.0994621969942888</v>
      </c>
      <c r="AB245">
        <f t="shared" ca="1" si="82"/>
        <v>109.54919999999997</v>
      </c>
    </row>
    <row r="246" spans="1:28" x14ac:dyDescent="0.25">
      <c r="A246" s="20">
        <f t="shared" ca="1" si="62"/>
        <v>46055</v>
      </c>
      <c r="B246" vm="723">
        <f ca="1"/>
        <v>46059</v>
      </c>
      <c r="C246" vm="724">
        <f ca="1"/>
        <v>131.18</v>
      </c>
      <c r="D246" vm="725">
        <f ca="1"/>
        <v>26593427</v>
      </c>
      <c r="E246">
        <f t="shared" ca="1" si="63"/>
        <v>3488525753.8600001</v>
      </c>
      <c r="F246">
        <f ca="1">SUM($E$2:E246)/SUM($D$2:D246)</f>
        <v>102.96210213351726</v>
      </c>
      <c r="G246">
        <f ca="1">_xlfn.STDEV.P($C$2:C246)</f>
        <v>9.1817347274220502</v>
      </c>
      <c r="H246">
        <f t="shared" ca="1" si="64"/>
        <v>112.14383686093932</v>
      </c>
      <c r="I246">
        <f t="shared" ca="1" si="65"/>
        <v>93.780367406095209</v>
      </c>
      <c r="J246">
        <f t="shared" ca="1" si="74"/>
        <v>120.55100000000002</v>
      </c>
      <c r="K246">
        <f t="shared" ca="1" si="75"/>
        <v>4.5189424706043324</v>
      </c>
      <c r="L246">
        <f t="shared" ca="1" si="76"/>
        <v>129.58888494120868</v>
      </c>
      <c r="M246">
        <f t="shared" ca="1" si="77"/>
        <v>111.51311505879136</v>
      </c>
      <c r="N246">
        <f t="shared" ca="1" si="66"/>
        <v>4.2400000000000091</v>
      </c>
      <c r="O246">
        <f t="shared" ca="1" si="67"/>
        <v>4.2400000000000091</v>
      </c>
      <c r="P246">
        <f t="shared" ca="1" si="68"/>
        <v>0</v>
      </c>
      <c r="Q246">
        <f t="shared" ca="1" si="72"/>
        <v>1.2080514248932326</v>
      </c>
      <c r="R246">
        <f t="shared" ca="1" si="73"/>
        <v>0.32804484169321213</v>
      </c>
      <c r="S246">
        <f t="shared" ca="1" si="70"/>
        <v>3.6825801578157522</v>
      </c>
      <c r="T246">
        <f t="shared" ca="1" si="71"/>
        <v>78.644252392969975</v>
      </c>
      <c r="U246">
        <f>70</f>
        <v>70</v>
      </c>
      <c r="V246">
        <f>30</f>
        <v>30</v>
      </c>
      <c r="W246">
        <f t="shared" ca="1" si="69"/>
        <v>123.503522509153</v>
      </c>
      <c r="X246">
        <f t="shared" ca="1" si="79"/>
        <v>119.9291834610336</v>
      </c>
      <c r="Y246">
        <f t="shared" ca="1" si="78"/>
        <v>3.7496340751638826</v>
      </c>
      <c r="Z246">
        <f t="shared" ca="1" si="80"/>
        <v>2.7298282959328644</v>
      </c>
      <c r="AA246">
        <f t="shared" ca="1" si="81"/>
        <v>1.0198057792310182</v>
      </c>
      <c r="AB246">
        <f t="shared" ca="1" si="82"/>
        <v>109.82409999999996</v>
      </c>
    </row>
    <row r="247" spans="1:28" x14ac:dyDescent="0.25">
      <c r="A247" s="20">
        <f t="shared" ca="1" si="62"/>
        <v>46062</v>
      </c>
      <c r="B247" vm="726">
        <f ca="1"/>
        <v>46062</v>
      </c>
      <c r="C247" vm="727">
        <f ca="1"/>
        <v>129.02000000000001</v>
      </c>
      <c r="D247" vm="728">
        <f ca="1"/>
        <v>27197291</v>
      </c>
      <c r="E247">
        <f t="shared" ca="1" si="63"/>
        <v>3508994484.8200002</v>
      </c>
      <c r="F247">
        <f ca="1">SUM($E$2:E247)/SUM($D$2:D247)</f>
        <v>103.09568128050311</v>
      </c>
      <c r="G247">
        <f ca="1">_xlfn.STDEV.P($C$2:C247)</f>
        <v>9.3291431219794294</v>
      </c>
      <c r="H247">
        <f t="shared" ca="1" si="64"/>
        <v>112.42482440248254</v>
      </c>
      <c r="I247">
        <f t="shared" ca="1" si="65"/>
        <v>93.766538158523687</v>
      </c>
      <c r="J247">
        <f t="shared" ca="1" si="74"/>
        <v>121.27550000000001</v>
      </c>
      <c r="K247">
        <f t="shared" ca="1" si="75"/>
        <v>4.6621064529831777</v>
      </c>
      <c r="L247">
        <f t="shared" ca="1" si="76"/>
        <v>130.59971290596636</v>
      </c>
      <c r="M247">
        <f t="shared" ca="1" si="77"/>
        <v>111.95128709403366</v>
      </c>
      <c r="N247">
        <f t="shared" ca="1" si="66"/>
        <v>-2.1599999999999966</v>
      </c>
      <c r="O247">
        <f t="shared" ca="1" si="67"/>
        <v>0</v>
      </c>
      <c r="P247">
        <f t="shared" ca="1" si="68"/>
        <v>2.1599999999999966</v>
      </c>
      <c r="Q247">
        <f t="shared" ca="1" si="72"/>
        <v>1.1217620374008588</v>
      </c>
      <c r="R247">
        <f t="shared" ca="1" si="73"/>
        <v>0.45889878157226816</v>
      </c>
      <c r="S247">
        <f t="shared" ca="1" si="70"/>
        <v>2.444465059500712</v>
      </c>
      <c r="T247">
        <f t="shared" ca="1" si="71"/>
        <v>70.967915692982714</v>
      </c>
      <c r="U247">
        <f>70</f>
        <v>70</v>
      </c>
      <c r="V247">
        <f>30</f>
        <v>30</v>
      </c>
      <c r="W247">
        <f t="shared" ca="1" si="69"/>
        <v>124.3522113538987</v>
      </c>
      <c r="X247">
        <f t="shared" ca="1" si="79"/>
        <v>120.60257727873481</v>
      </c>
      <c r="Y247">
        <f t="shared" ca="1" si="78"/>
        <v>3.6591713860943003</v>
      </c>
      <c r="Z247">
        <f t="shared" ca="1" si="80"/>
        <v>2.9156969139651516</v>
      </c>
      <c r="AA247">
        <f t="shared" ca="1" si="81"/>
        <v>0.74347447212914863</v>
      </c>
      <c r="AB247">
        <f t="shared" ca="1" si="82"/>
        <v>110.08009999999999</v>
      </c>
    </row>
    <row r="248" spans="1:28" x14ac:dyDescent="0.25">
      <c r="A248" s="20">
        <f t="shared" ca="1" si="62"/>
        <v>46062</v>
      </c>
      <c r="B248" vm="729">
        <f ca="1"/>
        <v>46063</v>
      </c>
      <c r="C248" vm="730">
        <f ca="1"/>
        <v>126.7</v>
      </c>
      <c r="D248" vm="731">
        <f ca="1"/>
        <v>24661953</v>
      </c>
      <c r="E248">
        <f t="shared" ca="1" si="63"/>
        <v>3124669445.0999999</v>
      </c>
      <c r="F248">
        <f ca="1">SUM($E$2:E248)/SUM($D$2:D248)</f>
        <v>103.20489532491364</v>
      </c>
      <c r="G248">
        <f ca="1">_xlfn.STDEV.P($C$2:C248)</f>
        <v>9.4458025263126029</v>
      </c>
      <c r="H248">
        <f t="shared" ca="1" si="64"/>
        <v>112.65069785122624</v>
      </c>
      <c r="I248">
        <f t="shared" ca="1" si="65"/>
        <v>93.759092798601031</v>
      </c>
      <c r="J248">
        <f t="shared" ca="1" si="74"/>
        <v>121.71200000000002</v>
      </c>
      <c r="K248">
        <f t="shared" ca="1" si="75"/>
        <v>4.7442914173384834</v>
      </c>
      <c r="L248">
        <f t="shared" ca="1" si="76"/>
        <v>131.20058283467699</v>
      </c>
      <c r="M248">
        <f t="shared" ca="1" si="77"/>
        <v>112.22341716532306</v>
      </c>
      <c r="N248">
        <f t="shared" ca="1" si="66"/>
        <v>-2.3200000000000074</v>
      </c>
      <c r="O248">
        <f t="shared" ca="1" si="67"/>
        <v>0</v>
      </c>
      <c r="P248">
        <f t="shared" ca="1" si="68"/>
        <v>2.3200000000000074</v>
      </c>
      <c r="Q248">
        <f t="shared" ca="1" si="72"/>
        <v>1.0416361775865117</v>
      </c>
      <c r="R248">
        <f t="shared" ca="1" si="73"/>
        <v>0.5918345828885353</v>
      </c>
      <c r="S248">
        <f t="shared" ca="1" si="70"/>
        <v>1.7600123543011865</v>
      </c>
      <c r="T248">
        <f t="shared" ca="1" si="71"/>
        <v>63.768278122320496</v>
      </c>
      <c r="U248">
        <f>70</f>
        <v>70</v>
      </c>
      <c r="V248">
        <f>30</f>
        <v>30</v>
      </c>
      <c r="W248">
        <f t="shared" ca="1" si="69"/>
        <v>124.71340960714505</v>
      </c>
      <c r="X248">
        <f t="shared" ca="1" si="79"/>
        <v>121.05423822105075</v>
      </c>
      <c r="Y248">
        <f t="shared" ca="1" si="78"/>
        <v>3.7117243062125027</v>
      </c>
      <c r="Z248">
        <f t="shared" ca="1" si="80"/>
        <v>3.0749023924146219</v>
      </c>
      <c r="AA248">
        <f t="shared" ca="1" si="81"/>
        <v>0.63682191379788078</v>
      </c>
      <c r="AB248">
        <f t="shared" ca="1" si="82"/>
        <v>110.3044</v>
      </c>
    </row>
    <row r="249" spans="1:28" x14ac:dyDescent="0.25">
      <c r="A249" s="20">
        <f t="shared" ca="1" si="62"/>
        <v>46062</v>
      </c>
      <c r="B249" vm="732">
        <f ca="1"/>
        <v>46064</v>
      </c>
      <c r="C249" vm="733">
        <f ca="1"/>
        <v>128.77000000000001</v>
      </c>
      <c r="D249" vm="734">
        <f ca="1"/>
        <v>19232142</v>
      </c>
      <c r="E249">
        <f t="shared" ca="1" si="63"/>
        <v>2476522925.3400002</v>
      </c>
      <c r="F249">
        <f ca="1">SUM($E$2:E249)/SUM($D$2:D249)</f>
        <v>103.29680698232168</v>
      </c>
      <c r="G249">
        <f ca="1">_xlfn.STDEV.P($C$2:C249)</f>
        <v>9.5816699839496451</v>
      </c>
      <c r="H249">
        <f t="shared" ca="1" si="64"/>
        <v>112.87847696627134</v>
      </c>
      <c r="I249">
        <f t="shared" ca="1" si="65"/>
        <v>93.715136998372031</v>
      </c>
      <c r="J249">
        <f t="shared" ca="1" si="74"/>
        <v>122.13250000000001</v>
      </c>
      <c r="K249">
        <f t="shared" ca="1" si="75"/>
        <v>4.9847597999460227</v>
      </c>
      <c r="L249">
        <f t="shared" ca="1" si="76"/>
        <v>132.10201959989206</v>
      </c>
      <c r="M249">
        <f t="shared" ca="1" si="77"/>
        <v>112.16298040010795</v>
      </c>
      <c r="N249">
        <f t="shared" ca="1" si="66"/>
        <v>2.0700000000000074</v>
      </c>
      <c r="O249">
        <f t="shared" ca="1" si="67"/>
        <v>2.0700000000000074</v>
      </c>
      <c r="P249">
        <f t="shared" ca="1" si="68"/>
        <v>0</v>
      </c>
      <c r="Q249">
        <f t="shared" ca="1" si="72"/>
        <v>1.1150907363303328</v>
      </c>
      <c r="R249">
        <f t="shared" ca="1" si="73"/>
        <v>0.54956068411078285</v>
      </c>
      <c r="S249">
        <f t="shared" ca="1" si="70"/>
        <v>2.029058425339517</v>
      </c>
      <c r="T249">
        <f t="shared" ca="1" si="71"/>
        <v>66.986440682869514</v>
      </c>
      <c r="U249">
        <f>70</f>
        <v>70</v>
      </c>
      <c r="V249">
        <f>30</f>
        <v>30</v>
      </c>
      <c r="W249">
        <f t="shared" ca="1" si="69"/>
        <v>125.33750043681505</v>
      </c>
      <c r="X249">
        <f t="shared" ca="1" si="79"/>
        <v>121.62577613060255</v>
      </c>
      <c r="Y249">
        <f t="shared" ca="1" si="78"/>
        <v>4.0990894224736252</v>
      </c>
      <c r="Z249">
        <f t="shared" ca="1" si="80"/>
        <v>3.2797397984264229</v>
      </c>
      <c r="AA249">
        <f t="shared" ca="1" si="81"/>
        <v>0.81934962404720224</v>
      </c>
      <c r="AB249">
        <f t="shared" ca="1" si="82"/>
        <v>110.55610000000003</v>
      </c>
    </row>
    <row r="250" spans="1:28" x14ac:dyDescent="0.25">
      <c r="A250" s="20">
        <f t="shared" ca="1" si="62"/>
        <v>46062</v>
      </c>
      <c r="B250" vm="735">
        <f ca="1"/>
        <v>46065</v>
      </c>
      <c r="C250" vm="736">
        <f ca="1"/>
        <v>133.63999999999999</v>
      </c>
      <c r="D250" vm="737">
        <f ca="1"/>
        <v>33382692</v>
      </c>
      <c r="E250">
        <f t="shared" ca="1" si="63"/>
        <v>4461262958.8799992</v>
      </c>
      <c r="F250">
        <f ca="1">SUM($E$2:E250)/SUM($D$2:D250)</f>
        <v>103.48498817816125</v>
      </c>
      <c r="G250">
        <f ca="1">_xlfn.STDEV.P($C$2:C250)</f>
        <v>9.7721498165399918</v>
      </c>
      <c r="H250">
        <f t="shared" ca="1" si="64"/>
        <v>113.25713799470124</v>
      </c>
      <c r="I250">
        <f t="shared" ca="1" si="65"/>
        <v>93.712838361621252</v>
      </c>
      <c r="J250">
        <f t="shared" ca="1" si="74"/>
        <v>122.8125</v>
      </c>
      <c r="K250">
        <f t="shared" ca="1" si="75"/>
        <v>5.5767599299045933</v>
      </c>
      <c r="L250">
        <f t="shared" ca="1" si="76"/>
        <v>133.96601985980919</v>
      </c>
      <c r="M250">
        <f t="shared" ca="1" si="77"/>
        <v>111.65898014019081</v>
      </c>
      <c r="N250">
        <f t="shared" ca="1" si="66"/>
        <v>4.8699999999999761</v>
      </c>
      <c r="O250">
        <f t="shared" ca="1" si="67"/>
        <v>4.8699999999999761</v>
      </c>
      <c r="P250">
        <f t="shared" ca="1" si="68"/>
        <v>0</v>
      </c>
      <c r="Q250">
        <f t="shared" ca="1" si="72"/>
        <v>1.3832985408781646</v>
      </c>
      <c r="R250">
        <f t="shared" ca="1" si="73"/>
        <v>0.51030634953144127</v>
      </c>
      <c r="S250">
        <f t="shared" ca="1" si="70"/>
        <v>2.7107217892708899</v>
      </c>
      <c r="T250">
        <f t="shared" ca="1" si="71"/>
        <v>73.051065081424838</v>
      </c>
      <c r="U250">
        <f>70</f>
        <v>70</v>
      </c>
      <c r="V250">
        <f>30</f>
        <v>30</v>
      </c>
      <c r="W250">
        <f t="shared" ca="1" si="69"/>
        <v>126.61480806192043</v>
      </c>
      <c r="X250">
        <f t="shared" ca="1" si="79"/>
        <v>122.5157186394468</v>
      </c>
      <c r="Y250">
        <f t="shared" ca="1" si="78"/>
        <v>4.3758103605987344</v>
      </c>
      <c r="Z250">
        <f t="shared" ca="1" si="80"/>
        <v>3.4989539108608856</v>
      </c>
      <c r="AA250">
        <f t="shared" ca="1" si="81"/>
        <v>0.87685644973784882</v>
      </c>
      <c r="AB250">
        <f t="shared" ca="1" si="82"/>
        <v>110.86920000000001</v>
      </c>
    </row>
    <row r="251" spans="1:28" x14ac:dyDescent="0.25">
      <c r="A251" s="20">
        <f t="shared" ca="1" si="62"/>
        <v>46062</v>
      </c>
      <c r="B251" vm="738">
        <f ca="1"/>
        <v>46066</v>
      </c>
      <c r="C251" vm="739">
        <f ca="1"/>
        <v>133.88999999999999</v>
      </c>
      <c r="D251" vm="740">
        <f ca="1"/>
        <v>24131179</v>
      </c>
      <c r="E251">
        <f t="shared" ca="1" si="63"/>
        <v>3230923556.3099995</v>
      </c>
      <c r="F251">
        <f ca="1">SUM($E$2:E251)/SUM($D$2:D251)</f>
        <v>103.62068656983621</v>
      </c>
      <c r="G251">
        <f ca="1">_xlfn.STDEV.P($C$2:C251)</f>
        <v>9.9590682784284574</v>
      </c>
      <c r="H251">
        <f t="shared" ca="1" si="64"/>
        <v>113.57975484826467</v>
      </c>
      <c r="I251">
        <f t="shared" ca="1" si="65"/>
        <v>93.661618291407748</v>
      </c>
      <c r="J251">
        <f t="shared" ca="1" si="74"/>
        <v>123.54699999999998</v>
      </c>
      <c r="K251">
        <f t="shared" ca="1" si="75"/>
        <v>6.0252792903164067</v>
      </c>
      <c r="L251">
        <f t="shared" ca="1" si="76"/>
        <v>135.59755858063281</v>
      </c>
      <c r="M251">
        <f t="shared" ca="1" si="77"/>
        <v>111.49644141936717</v>
      </c>
      <c r="N251">
        <f t="shared" ca="1" si="66"/>
        <v>0.25</v>
      </c>
      <c r="O251">
        <f t="shared" ca="1" si="67"/>
        <v>0.25</v>
      </c>
      <c r="P251">
        <f t="shared" ca="1" si="68"/>
        <v>0</v>
      </c>
      <c r="Q251">
        <f t="shared" ca="1" si="72"/>
        <v>1.302348645101153</v>
      </c>
      <c r="R251">
        <f t="shared" ca="1" si="73"/>
        <v>0.47385589599348116</v>
      </c>
      <c r="S251">
        <f t="shared" ca="1" si="70"/>
        <v>2.7484065432396125</v>
      </c>
      <c r="T251">
        <f t="shared" ca="1" si="71"/>
        <v>73.321997268318285</v>
      </c>
      <c r="U251">
        <f>70</f>
        <v>70</v>
      </c>
      <c r="V251">
        <f>30</f>
        <v>30</v>
      </c>
      <c r="W251">
        <f t="shared" ca="1" si="69"/>
        <v>127.73406836008651</v>
      </c>
      <c r="X251">
        <f t="shared" ca="1" si="79"/>
        <v>123.35825799948778</v>
      </c>
      <c r="Y251">
        <f t="shared" si="78"/>
        <v>0</v>
      </c>
      <c r="Z251">
        <f t="shared" ca="1" si="80"/>
        <v>2.7991631286887086</v>
      </c>
      <c r="AA251">
        <f t="shared" ca="1" si="81"/>
        <v>-2.7991631286887086</v>
      </c>
      <c r="AB251">
        <f t="shared" ca="1" si="82"/>
        <v>111.1799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CF677-C6D0-4C8E-B1FC-74C96B8B315F}">
  <dimension ref="A1:E60"/>
  <sheetViews>
    <sheetView workbookViewId="0">
      <selection activeCell="P6" sqref="P6"/>
    </sheetView>
  </sheetViews>
  <sheetFormatPr defaultRowHeight="15" x14ac:dyDescent="0.25"/>
  <cols>
    <col min="1" max="2" width="10.42578125" bestFit="1" customWidth="1"/>
    <col min="4" max="4" width="15.5703125" bestFit="1" customWidth="1"/>
  </cols>
  <sheetData>
    <row r="1" spans="1:5" x14ac:dyDescent="0.25">
      <c r="A1" t="s">
        <v>45</v>
      </c>
      <c r="B1" t="s">
        <v>46</v>
      </c>
      <c r="C1" t="s">
        <v>47</v>
      </c>
      <c r="D1" t="s">
        <v>48</v>
      </c>
      <c r="E1" t="s">
        <v>49</v>
      </c>
    </row>
    <row r="2" spans="1:5" x14ac:dyDescent="0.25">
      <c r="A2" s="26">
        <v>45705</v>
      </c>
      <c r="B2">
        <v>99.942499999999995</v>
      </c>
    </row>
    <row r="3" spans="1:5" x14ac:dyDescent="0.25">
      <c r="A3" s="26">
        <v>45712</v>
      </c>
      <c r="B3">
        <v>96.591999999999999</v>
      </c>
    </row>
    <row r="4" spans="1:5" x14ac:dyDescent="0.25">
      <c r="A4" s="26">
        <v>45719</v>
      </c>
      <c r="B4">
        <v>94.98</v>
      </c>
    </row>
    <row r="5" spans="1:5" x14ac:dyDescent="0.25">
      <c r="A5" s="26">
        <v>45726</v>
      </c>
      <c r="B5">
        <v>86.061999999999998</v>
      </c>
    </row>
    <row r="6" spans="1:5" x14ac:dyDescent="0.25">
      <c r="A6" s="26">
        <v>45733</v>
      </c>
      <c r="B6">
        <v>86.233999999999995</v>
      </c>
    </row>
    <row r="7" spans="1:5" x14ac:dyDescent="0.25">
      <c r="A7" s="26">
        <v>45740</v>
      </c>
      <c r="B7">
        <v>85.647999999999996</v>
      </c>
    </row>
    <row r="8" spans="1:5" x14ac:dyDescent="0.25">
      <c r="A8" s="26">
        <v>45747</v>
      </c>
      <c r="B8">
        <v>87.366</v>
      </c>
    </row>
    <row r="9" spans="1:5" x14ac:dyDescent="0.25">
      <c r="A9" s="26">
        <v>45754</v>
      </c>
      <c r="B9">
        <v>87.725999999999999</v>
      </c>
    </row>
    <row r="10" spans="1:5" x14ac:dyDescent="0.25">
      <c r="A10" s="26">
        <v>45761</v>
      </c>
      <c r="B10">
        <v>93.277500000000003</v>
      </c>
    </row>
    <row r="11" spans="1:5" x14ac:dyDescent="0.25">
      <c r="A11" s="26">
        <v>45768</v>
      </c>
      <c r="B11">
        <v>94.63</v>
      </c>
    </row>
    <row r="12" spans="1:5" x14ac:dyDescent="0.25">
      <c r="A12" s="26">
        <v>45775</v>
      </c>
      <c r="B12">
        <v>96.933999999999997</v>
      </c>
    </row>
    <row r="13" spans="1:5" x14ac:dyDescent="0.25">
      <c r="A13" s="26">
        <v>45782</v>
      </c>
      <c r="B13">
        <v>98.171999999999997</v>
      </c>
    </row>
    <row r="14" spans="1:5" x14ac:dyDescent="0.25">
      <c r="A14" s="26">
        <v>45789</v>
      </c>
      <c r="B14">
        <v>96.81</v>
      </c>
    </row>
    <row r="15" spans="1:5" x14ac:dyDescent="0.25">
      <c r="A15" s="26">
        <v>45796</v>
      </c>
      <c r="B15">
        <v>96.924000000000007</v>
      </c>
    </row>
    <row r="16" spans="1:5" x14ac:dyDescent="0.25">
      <c r="A16" s="26">
        <v>45803</v>
      </c>
      <c r="B16">
        <v>97.66</v>
      </c>
    </row>
    <row r="17" spans="1:2" x14ac:dyDescent="0.25">
      <c r="A17" s="26">
        <v>45810</v>
      </c>
      <c r="B17">
        <v>98.905999999999992</v>
      </c>
    </row>
    <row r="18" spans="1:2" x14ac:dyDescent="0.25">
      <c r="A18" s="26">
        <v>45817</v>
      </c>
      <c r="B18">
        <v>95.968000000000004</v>
      </c>
    </row>
    <row r="19" spans="1:2" x14ac:dyDescent="0.25">
      <c r="A19" s="26">
        <v>45824</v>
      </c>
      <c r="B19">
        <v>94.9375</v>
      </c>
    </row>
    <row r="20" spans="1:2" x14ac:dyDescent="0.25">
      <c r="A20" s="26">
        <v>45831</v>
      </c>
      <c r="B20">
        <v>97.284000000000006</v>
      </c>
    </row>
    <row r="21" spans="1:2" x14ac:dyDescent="0.25">
      <c r="A21" s="26">
        <v>45838</v>
      </c>
      <c r="B21">
        <v>97.997500000000002</v>
      </c>
    </row>
    <row r="22" spans="1:2" x14ac:dyDescent="0.25">
      <c r="A22" s="26">
        <v>45845</v>
      </c>
      <c r="B22">
        <v>96.501999999999995</v>
      </c>
    </row>
    <row r="23" spans="1:2" x14ac:dyDescent="0.25">
      <c r="A23" s="26">
        <v>45852</v>
      </c>
      <c r="B23">
        <v>95.292000000000002</v>
      </c>
    </row>
    <row r="24" spans="1:2" x14ac:dyDescent="0.25">
      <c r="A24" s="26">
        <v>45859</v>
      </c>
      <c r="B24">
        <v>96.254000000000005</v>
      </c>
    </row>
    <row r="25" spans="1:2" x14ac:dyDescent="0.25">
      <c r="A25" s="26">
        <v>45866</v>
      </c>
      <c r="B25">
        <v>98</v>
      </c>
    </row>
    <row r="26" spans="1:2" x14ac:dyDescent="0.25">
      <c r="A26" s="26">
        <v>45873</v>
      </c>
      <c r="B26">
        <v>101.822</v>
      </c>
    </row>
    <row r="27" spans="1:2" x14ac:dyDescent="0.25">
      <c r="A27" s="26">
        <v>45880</v>
      </c>
      <c r="B27">
        <v>101.878</v>
      </c>
    </row>
    <row r="28" spans="1:2" x14ac:dyDescent="0.25">
      <c r="A28" s="26">
        <v>45887</v>
      </c>
      <c r="B28">
        <v>99.87</v>
      </c>
    </row>
    <row r="29" spans="1:2" x14ac:dyDescent="0.25">
      <c r="A29" s="26">
        <v>45894</v>
      </c>
      <c r="B29">
        <v>96.257999999999996</v>
      </c>
    </row>
    <row r="30" spans="1:2" x14ac:dyDescent="0.25">
      <c r="A30" s="26">
        <v>45901</v>
      </c>
      <c r="B30">
        <v>99.682500000000005</v>
      </c>
    </row>
    <row r="31" spans="1:2" x14ac:dyDescent="0.25">
      <c r="A31" s="26">
        <v>45908</v>
      </c>
      <c r="B31">
        <v>102.224</v>
      </c>
    </row>
    <row r="32" spans="1:2" x14ac:dyDescent="0.25">
      <c r="A32" s="26">
        <v>45915</v>
      </c>
      <c r="B32">
        <v>103.462</v>
      </c>
    </row>
    <row r="33" spans="1:2" x14ac:dyDescent="0.25">
      <c r="A33" s="26">
        <v>45922</v>
      </c>
      <c r="B33">
        <v>102.85599999999999</v>
      </c>
    </row>
    <row r="34" spans="1:2" x14ac:dyDescent="0.25">
      <c r="A34" s="26">
        <v>45929</v>
      </c>
      <c r="B34">
        <v>102.374</v>
      </c>
    </row>
    <row r="35" spans="1:2" x14ac:dyDescent="0.25">
      <c r="A35" s="26">
        <v>45936</v>
      </c>
      <c r="B35">
        <v>102.49</v>
      </c>
    </row>
    <row r="36" spans="1:2" x14ac:dyDescent="0.25">
      <c r="A36" s="26">
        <v>45943</v>
      </c>
      <c r="B36">
        <v>106.512</v>
      </c>
    </row>
    <row r="37" spans="1:2" x14ac:dyDescent="0.25">
      <c r="A37" s="26">
        <v>45950</v>
      </c>
      <c r="B37">
        <v>106.688</v>
      </c>
    </row>
    <row r="38" spans="1:2" x14ac:dyDescent="0.25">
      <c r="A38" s="26">
        <v>45957</v>
      </c>
      <c r="B38">
        <v>102.702</v>
      </c>
    </row>
    <row r="39" spans="1:2" x14ac:dyDescent="0.25">
      <c r="A39" s="26">
        <v>45964</v>
      </c>
      <c r="B39">
        <v>101.92</v>
      </c>
    </row>
    <row r="40" spans="1:2" x14ac:dyDescent="0.25">
      <c r="A40" s="26">
        <v>45971</v>
      </c>
      <c r="B40">
        <v>102.864</v>
      </c>
    </row>
    <row r="41" spans="1:2" x14ac:dyDescent="0.25">
      <c r="A41" s="26">
        <v>45978</v>
      </c>
      <c r="B41">
        <v>103.476</v>
      </c>
    </row>
    <row r="42" spans="1:2" x14ac:dyDescent="0.25">
      <c r="A42" s="26">
        <v>45985</v>
      </c>
      <c r="B42">
        <v>107.6675</v>
      </c>
    </row>
    <row r="43" spans="1:2" x14ac:dyDescent="0.25">
      <c r="A43" s="26">
        <v>45992</v>
      </c>
      <c r="B43">
        <v>113.66</v>
      </c>
    </row>
    <row r="44" spans="1:2" x14ac:dyDescent="0.25">
      <c r="A44" s="26">
        <v>45999</v>
      </c>
      <c r="B44">
        <v>114.804</v>
      </c>
    </row>
    <row r="45" spans="1:2" x14ac:dyDescent="0.25">
      <c r="A45" s="26">
        <v>46006</v>
      </c>
      <c r="B45">
        <v>115.41200000000001</v>
      </c>
    </row>
    <row r="46" spans="1:2" x14ac:dyDescent="0.25">
      <c r="A46" s="26">
        <v>46013</v>
      </c>
      <c r="B46">
        <v>111.71250000000001</v>
      </c>
    </row>
    <row r="47" spans="1:2" x14ac:dyDescent="0.25">
      <c r="A47" s="26">
        <v>46020</v>
      </c>
      <c r="B47">
        <v>112.155</v>
      </c>
    </row>
    <row r="48" spans="1:2" x14ac:dyDescent="0.25">
      <c r="A48" s="26">
        <v>46027</v>
      </c>
      <c r="B48">
        <v>113.474</v>
      </c>
    </row>
    <row r="49" spans="1:5" x14ac:dyDescent="0.25">
      <c r="A49" s="26">
        <v>46034</v>
      </c>
      <c r="B49">
        <v>119.45400000000001</v>
      </c>
    </row>
    <row r="50" spans="1:5" x14ac:dyDescent="0.25">
      <c r="A50" s="26">
        <v>46041</v>
      </c>
      <c r="B50">
        <v>118.4075</v>
      </c>
    </row>
    <row r="51" spans="1:5" x14ac:dyDescent="0.25">
      <c r="A51" s="26">
        <v>46048</v>
      </c>
      <c r="B51">
        <v>117.53999999999999</v>
      </c>
    </row>
    <row r="52" spans="1:5" x14ac:dyDescent="0.25">
      <c r="A52" s="26">
        <v>46055</v>
      </c>
      <c r="B52">
        <v>127.578</v>
      </c>
    </row>
    <row r="53" spans="1:5" ht="15.75" thickBot="1" x14ac:dyDescent="0.3">
      <c r="A53" s="26">
        <v>46062</v>
      </c>
      <c r="B53">
        <v>130.404</v>
      </c>
    </row>
    <row r="54" spans="1:5" ht="15.75" thickBot="1" x14ac:dyDescent="0.3">
      <c r="A54" s="26">
        <v>46069</v>
      </c>
      <c r="C54">
        <f>_xlfn.FORECAST.ETS(Weekly[[#This Row],[Week]],B2:B53,A2:A53,1,1,1)</f>
        <v>130.97866814650388</v>
      </c>
      <c r="D54">
        <v>122.318143279697</v>
      </c>
      <c r="E54" s="27">
        <v>130.51114899999999</v>
      </c>
    </row>
    <row r="55" spans="1:5" ht="15.75" thickBot="1" x14ac:dyDescent="0.3">
      <c r="A55" s="26">
        <v>46076</v>
      </c>
      <c r="C55">
        <f>_xlfn.FORECAST.ETS(Weekly[[#This Row],[Week]],B3:B54,A3:A54,1,1,1)</f>
        <v>131.61212126696833</v>
      </c>
      <c r="D55">
        <v>121.10762564344</v>
      </c>
      <c r="E55" s="28">
        <v>127.01610599999999</v>
      </c>
    </row>
    <row r="56" spans="1:5" ht="15.75" thickBot="1" x14ac:dyDescent="0.3">
      <c r="A56" s="26">
        <v>46083</v>
      </c>
      <c r="C56">
        <f>_xlfn.FORECAST.ETS(Weekly[[#This Row],[Week]],B4:B55,A4:A55,1,1,1)</f>
        <v>135.36069407008142</v>
      </c>
      <c r="D56">
        <v>122.271838332518</v>
      </c>
      <c r="E56" s="27">
        <v>122.34231200000001</v>
      </c>
    </row>
    <row r="57" spans="1:5" ht="15.75" thickBot="1" x14ac:dyDescent="0.3">
      <c r="A57" s="26">
        <v>46090</v>
      </c>
      <c r="C57">
        <f>_xlfn.FORECAST.ETS(Weekly[[#This Row],[Week]],B5:B56,A5:A56,1,1,1)</f>
        <v>137.18860916104606</v>
      </c>
      <c r="D57">
        <v>123.489587518403</v>
      </c>
      <c r="E57" s="28">
        <v>121.80033899999999</v>
      </c>
    </row>
    <row r="58" spans="1:5" ht="15.75" thickBot="1" x14ac:dyDescent="0.3">
      <c r="A58" s="26">
        <v>46097</v>
      </c>
      <c r="C58">
        <f>_xlfn.FORECAST.ETS(Weekly[[#This Row],[Week]],B6:B57,A6:A57,1,1,1)</f>
        <v>138.99952070941515</v>
      </c>
      <c r="D58">
        <v>128.373599851894</v>
      </c>
      <c r="E58" s="27">
        <v>123.55071700000001</v>
      </c>
    </row>
    <row r="59" spans="1:5" ht="15.75" thickBot="1" x14ac:dyDescent="0.3">
      <c r="A59" s="26">
        <v>46104</v>
      </c>
      <c r="C59">
        <f>_xlfn.FORECAST.ETS(Weekly[[#This Row],[Week]],B7:B58,A7:A58,1,1,1)</f>
        <v>140.81462073625923</v>
      </c>
      <c r="D59">
        <v>132.128787982994</v>
      </c>
      <c r="E59" s="28">
        <v>127.374189</v>
      </c>
    </row>
    <row r="60" spans="1:5" ht="15.75" thickBot="1" x14ac:dyDescent="0.3">
      <c r="A60" s="26">
        <v>46111</v>
      </c>
      <c r="C60">
        <f>_xlfn.FORECAST.ETS(Weekly[[#This Row],[Week]],B8:B59,A8:A59,1,1,1)</f>
        <v>142.61835069206882</v>
      </c>
      <c r="D60">
        <v>132.39079946896399</v>
      </c>
      <c r="E60" s="27">
        <v>127.978392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E50A-E299-439D-A2AA-837DC999D981}">
  <dimension ref="A1:B1000"/>
  <sheetViews>
    <sheetView topLeftCell="A88" workbookViewId="0">
      <selection activeCell="Q97" sqref="Q97"/>
    </sheetView>
  </sheetViews>
  <sheetFormatPr defaultRowHeight="15" x14ac:dyDescent="0.25"/>
  <cols>
    <col min="1" max="1" width="10.42578125" style="20" bestFit="1" customWidth="1"/>
    <col min="2" max="2" width="14.42578125" customWidth="1"/>
  </cols>
  <sheetData>
    <row r="1" spans="1:2" ht="15.75" thickBot="1" x14ac:dyDescent="0.3">
      <c r="A1" s="24" t="s">
        <v>50</v>
      </c>
      <c r="B1" s="22" t="s">
        <v>51</v>
      </c>
    </row>
    <row r="2" spans="1:2" ht="15.75" thickBot="1" x14ac:dyDescent="0.3">
      <c r="A2" s="25">
        <v>36600</v>
      </c>
      <c r="B2" s="23">
        <v>0.02</v>
      </c>
    </row>
    <row r="3" spans="1:2" ht="15.75" thickBot="1" x14ac:dyDescent="0.3">
      <c r="A3" s="25">
        <v>36691</v>
      </c>
      <c r="B3" s="23">
        <v>0.02</v>
      </c>
    </row>
    <row r="4" spans="1:2" ht="15.75" thickBot="1" x14ac:dyDescent="0.3">
      <c r="A4" s="25">
        <v>36782</v>
      </c>
      <c r="B4" s="23">
        <v>0.02</v>
      </c>
    </row>
    <row r="5" spans="1:2" ht="15.75" thickBot="1" x14ac:dyDescent="0.3">
      <c r="A5" s="25">
        <v>36880</v>
      </c>
      <c r="B5" s="23">
        <v>0.02</v>
      </c>
    </row>
    <row r="6" spans="1:2" ht="15.75" thickBot="1" x14ac:dyDescent="0.3">
      <c r="A6" s="25">
        <v>36971</v>
      </c>
      <c r="B6" s="23">
        <v>0.02</v>
      </c>
    </row>
    <row r="7" spans="1:2" ht="15.75" thickBot="1" x14ac:dyDescent="0.3">
      <c r="A7" s="25">
        <v>37062</v>
      </c>
      <c r="B7" s="23">
        <v>0.02</v>
      </c>
    </row>
    <row r="8" spans="1:2" ht="15.75" thickBot="1" x14ac:dyDescent="0.3">
      <c r="A8" s="25">
        <v>37153</v>
      </c>
      <c r="B8" s="23">
        <v>0.02</v>
      </c>
    </row>
    <row r="9" spans="1:2" ht="15.75" thickBot="1" x14ac:dyDescent="0.3">
      <c r="A9" s="25">
        <v>37244</v>
      </c>
      <c r="B9" s="23">
        <v>0.02</v>
      </c>
    </row>
    <row r="10" spans="1:2" ht="15.75" thickBot="1" x14ac:dyDescent="0.3">
      <c r="A10" s="25">
        <v>37335</v>
      </c>
      <c r="B10" s="23">
        <v>0.03</v>
      </c>
    </row>
    <row r="11" spans="1:2" ht="15.75" thickBot="1" x14ac:dyDescent="0.3">
      <c r="A11" s="25">
        <v>37426</v>
      </c>
      <c r="B11" s="23">
        <v>0.03</v>
      </c>
    </row>
    <row r="12" spans="1:2" ht="15.75" thickBot="1" x14ac:dyDescent="0.3">
      <c r="A12" s="25">
        <v>37517</v>
      </c>
      <c r="B12" s="23">
        <v>0.03</v>
      </c>
    </row>
    <row r="13" spans="1:2" ht="15.75" thickBot="1" x14ac:dyDescent="0.3">
      <c r="A13" s="25">
        <v>37608</v>
      </c>
      <c r="B13" s="23">
        <v>0.03</v>
      </c>
    </row>
    <row r="14" spans="1:2" ht="15.75" thickBot="1" x14ac:dyDescent="0.3">
      <c r="A14" s="25">
        <v>37699</v>
      </c>
      <c r="B14" s="23">
        <v>0.03</v>
      </c>
    </row>
    <row r="15" spans="1:2" ht="15.75" thickBot="1" x14ac:dyDescent="0.3">
      <c r="A15" s="25">
        <v>37790</v>
      </c>
      <c r="B15" s="23">
        <v>0.03</v>
      </c>
    </row>
    <row r="16" spans="1:2" ht="15.75" thickBot="1" x14ac:dyDescent="0.3">
      <c r="A16" s="25">
        <v>37896</v>
      </c>
      <c r="B16" s="23">
        <v>0.03</v>
      </c>
    </row>
    <row r="17" spans="1:2" ht="15.75" thickBot="1" x14ac:dyDescent="0.3">
      <c r="A17" s="25">
        <v>37972</v>
      </c>
      <c r="B17" s="23">
        <v>0.03</v>
      </c>
    </row>
    <row r="18" spans="1:2" ht="15.75" thickBot="1" x14ac:dyDescent="0.3">
      <c r="A18" s="25">
        <v>38063</v>
      </c>
      <c r="B18" s="23">
        <v>0.04</v>
      </c>
    </row>
    <row r="19" spans="1:2" ht="15.75" thickBot="1" x14ac:dyDescent="0.3">
      <c r="A19" s="25">
        <v>38126</v>
      </c>
      <c r="B19" s="23">
        <v>0.04</v>
      </c>
    </row>
    <row r="20" spans="1:2" ht="15.75" thickBot="1" x14ac:dyDescent="0.3">
      <c r="A20" s="25">
        <v>38217</v>
      </c>
      <c r="B20" s="23">
        <v>0.04</v>
      </c>
    </row>
    <row r="21" spans="1:2" ht="15.75" thickBot="1" x14ac:dyDescent="0.3">
      <c r="A21" s="25">
        <v>38336</v>
      </c>
      <c r="B21" s="23">
        <v>0.04</v>
      </c>
    </row>
    <row r="22" spans="1:2" ht="15.75" thickBot="1" x14ac:dyDescent="0.3">
      <c r="A22" s="25">
        <v>38427</v>
      </c>
      <c r="B22" s="23">
        <v>0.05</v>
      </c>
    </row>
    <row r="23" spans="1:2" ht="15.75" thickBot="1" x14ac:dyDescent="0.3">
      <c r="A23" s="25">
        <v>38490</v>
      </c>
      <c r="B23" s="23">
        <v>0.05</v>
      </c>
    </row>
    <row r="24" spans="1:2" ht="15.75" thickBot="1" x14ac:dyDescent="0.3">
      <c r="A24" s="25">
        <v>38581</v>
      </c>
      <c r="B24" s="23">
        <v>0.05</v>
      </c>
    </row>
    <row r="25" spans="1:2" ht="15.75" thickBot="1" x14ac:dyDescent="0.3">
      <c r="A25" s="25">
        <v>38700</v>
      </c>
      <c r="B25" s="23">
        <v>0.05</v>
      </c>
    </row>
    <row r="26" spans="1:2" ht="15.75" thickBot="1" x14ac:dyDescent="0.3">
      <c r="A26" s="25">
        <v>38791</v>
      </c>
      <c r="B26" s="23">
        <v>0.06</v>
      </c>
    </row>
    <row r="27" spans="1:2" ht="15.75" thickBot="1" x14ac:dyDescent="0.3">
      <c r="A27" s="25">
        <v>38854</v>
      </c>
      <c r="B27" s="23">
        <v>0.06</v>
      </c>
    </row>
    <row r="28" spans="1:2" ht="15.75" thickBot="1" x14ac:dyDescent="0.3">
      <c r="A28" s="25">
        <v>38945</v>
      </c>
      <c r="B28" s="23">
        <v>0.06</v>
      </c>
    </row>
    <row r="29" spans="1:2" ht="15.75" thickBot="1" x14ac:dyDescent="0.3">
      <c r="A29" s="25">
        <v>39064</v>
      </c>
      <c r="B29" s="23">
        <v>0.06</v>
      </c>
    </row>
    <row r="30" spans="1:2" ht="15.75" thickBot="1" x14ac:dyDescent="0.3">
      <c r="A30" s="25">
        <v>39155</v>
      </c>
      <c r="B30" s="23">
        <v>7.0000000000000007E-2</v>
      </c>
    </row>
    <row r="31" spans="1:2" ht="15.75" thickBot="1" x14ac:dyDescent="0.3">
      <c r="A31" s="25">
        <v>39218</v>
      </c>
      <c r="B31" s="23">
        <v>7.0000000000000007E-2</v>
      </c>
    </row>
    <row r="32" spans="1:2" ht="15.75" thickBot="1" x14ac:dyDescent="0.3">
      <c r="A32" s="25">
        <v>39309</v>
      </c>
      <c r="B32" s="23">
        <v>7.0000000000000007E-2</v>
      </c>
    </row>
    <row r="33" spans="1:2" ht="15.75" thickBot="1" x14ac:dyDescent="0.3">
      <c r="A33" s="25">
        <v>39428</v>
      </c>
      <c r="B33" s="23">
        <v>7.0000000000000007E-2</v>
      </c>
    </row>
    <row r="34" spans="1:2" ht="15.75" thickBot="1" x14ac:dyDescent="0.3">
      <c r="A34" s="25">
        <v>39519</v>
      </c>
      <c r="B34" s="23">
        <v>0.08</v>
      </c>
    </row>
    <row r="35" spans="1:2" ht="15.75" thickBot="1" x14ac:dyDescent="0.3">
      <c r="A35" s="25">
        <v>39582</v>
      </c>
      <c r="B35" s="23">
        <v>0.08</v>
      </c>
    </row>
    <row r="36" spans="1:2" ht="15.75" thickBot="1" x14ac:dyDescent="0.3">
      <c r="A36" s="25">
        <v>39673</v>
      </c>
      <c r="B36" s="23">
        <v>0.08</v>
      </c>
    </row>
    <row r="37" spans="1:2" ht="15.75" thickBot="1" x14ac:dyDescent="0.3">
      <c r="A37" s="25">
        <v>39793</v>
      </c>
      <c r="B37" s="23">
        <v>0.08</v>
      </c>
    </row>
    <row r="38" spans="1:2" ht="15.75" thickBot="1" x14ac:dyDescent="0.3">
      <c r="A38" s="25">
        <v>39883</v>
      </c>
      <c r="B38" s="23">
        <v>0.09</v>
      </c>
    </row>
    <row r="39" spans="1:2" ht="15.75" thickBot="1" x14ac:dyDescent="0.3">
      <c r="A39" s="25">
        <v>39946</v>
      </c>
      <c r="B39" s="23">
        <v>0.09</v>
      </c>
    </row>
    <row r="40" spans="1:2" ht="15.75" thickBot="1" x14ac:dyDescent="0.3">
      <c r="A40" s="25">
        <v>40037</v>
      </c>
      <c r="B40" s="23">
        <v>0.09</v>
      </c>
    </row>
    <row r="41" spans="1:2" ht="15.75" thickBot="1" x14ac:dyDescent="0.3">
      <c r="A41" s="25">
        <v>40156</v>
      </c>
      <c r="B41" s="23">
        <v>0.09</v>
      </c>
    </row>
    <row r="42" spans="1:2" ht="15.75" thickBot="1" x14ac:dyDescent="0.3">
      <c r="A42" s="25">
        <v>40247</v>
      </c>
      <c r="B42" s="23">
        <v>0.1</v>
      </c>
    </row>
    <row r="43" spans="1:2" ht="15.75" thickBot="1" x14ac:dyDescent="0.3">
      <c r="A43" s="25">
        <v>40310</v>
      </c>
      <c r="B43" s="23">
        <v>0.1</v>
      </c>
    </row>
    <row r="44" spans="1:2" ht="15.75" thickBot="1" x14ac:dyDescent="0.3">
      <c r="A44" s="25">
        <v>40401</v>
      </c>
      <c r="B44" s="23">
        <v>0.1</v>
      </c>
    </row>
    <row r="45" spans="1:2" ht="15.75" thickBot="1" x14ac:dyDescent="0.3">
      <c r="A45" s="25">
        <v>40520</v>
      </c>
      <c r="B45" s="23">
        <v>0.1</v>
      </c>
    </row>
    <row r="46" spans="1:2" ht="15.75" thickBot="1" x14ac:dyDescent="0.3">
      <c r="A46" s="25">
        <v>40611</v>
      </c>
      <c r="B46" s="23">
        <v>0.12</v>
      </c>
    </row>
    <row r="47" spans="1:2" ht="15.75" thickBot="1" x14ac:dyDescent="0.3">
      <c r="A47" s="25">
        <v>40674</v>
      </c>
      <c r="B47" s="23">
        <v>0.12</v>
      </c>
    </row>
    <row r="48" spans="1:2" ht="15.75" thickBot="1" x14ac:dyDescent="0.3">
      <c r="A48" s="25">
        <v>40765</v>
      </c>
      <c r="B48" s="23">
        <v>0.12</v>
      </c>
    </row>
    <row r="49" spans="1:2" ht="15.75" thickBot="1" x14ac:dyDescent="0.3">
      <c r="A49" s="25">
        <v>40884</v>
      </c>
      <c r="B49" s="23">
        <v>0.12</v>
      </c>
    </row>
    <row r="50" spans="1:2" ht="15.75" thickBot="1" x14ac:dyDescent="0.3">
      <c r="A50" s="25">
        <v>40976</v>
      </c>
      <c r="B50" s="23">
        <v>0.13</v>
      </c>
    </row>
    <row r="51" spans="1:2" ht="15.75" thickBot="1" x14ac:dyDescent="0.3">
      <c r="A51" s="25">
        <v>41038</v>
      </c>
      <c r="B51" s="23">
        <v>0.13</v>
      </c>
    </row>
    <row r="52" spans="1:2" ht="15.75" thickBot="1" x14ac:dyDescent="0.3">
      <c r="A52" s="25">
        <v>41129</v>
      </c>
      <c r="B52" s="23">
        <v>0.13</v>
      </c>
    </row>
    <row r="53" spans="1:2" ht="15.75" thickBot="1" x14ac:dyDescent="0.3">
      <c r="A53" s="25">
        <v>41248</v>
      </c>
      <c r="B53" s="23">
        <v>0.13</v>
      </c>
    </row>
    <row r="54" spans="1:2" ht="15.75" thickBot="1" x14ac:dyDescent="0.3">
      <c r="A54" s="25">
        <v>41341</v>
      </c>
      <c r="B54" s="23">
        <v>0.16</v>
      </c>
    </row>
    <row r="55" spans="1:2" ht="15.75" thickBot="1" x14ac:dyDescent="0.3">
      <c r="A55" s="25">
        <v>41402</v>
      </c>
      <c r="B55" s="23">
        <v>0.16</v>
      </c>
    </row>
    <row r="56" spans="1:2" ht="15.75" thickBot="1" x14ac:dyDescent="0.3">
      <c r="A56" s="25">
        <v>41493</v>
      </c>
      <c r="B56" s="23">
        <v>0.16</v>
      </c>
    </row>
    <row r="57" spans="1:2" ht="15.75" thickBot="1" x14ac:dyDescent="0.3">
      <c r="A57" s="25">
        <v>41612</v>
      </c>
      <c r="B57" s="23">
        <v>0.16</v>
      </c>
    </row>
    <row r="58" spans="1:2" ht="15.75" thickBot="1" x14ac:dyDescent="0.3">
      <c r="A58" s="25">
        <v>41705</v>
      </c>
      <c r="B58" s="23">
        <v>0.16</v>
      </c>
    </row>
    <row r="59" spans="1:2" ht="15.75" thickBot="1" x14ac:dyDescent="0.3">
      <c r="A59" s="25">
        <v>41766</v>
      </c>
      <c r="B59" s="23">
        <v>0.16</v>
      </c>
    </row>
    <row r="60" spans="1:2" ht="15.75" thickBot="1" x14ac:dyDescent="0.3">
      <c r="A60" s="25">
        <v>41857</v>
      </c>
      <c r="B60" s="23">
        <v>0.16</v>
      </c>
    </row>
    <row r="61" spans="1:2" ht="15.75" thickBot="1" x14ac:dyDescent="0.3">
      <c r="A61" s="25">
        <v>41976</v>
      </c>
      <c r="B61" s="23">
        <v>0.16</v>
      </c>
    </row>
    <row r="62" spans="1:2" ht="15.75" thickBot="1" x14ac:dyDescent="0.3">
      <c r="A62" s="25">
        <v>42074</v>
      </c>
      <c r="B62" s="23">
        <v>0.16</v>
      </c>
    </row>
    <row r="63" spans="1:2" ht="15.75" thickBot="1" x14ac:dyDescent="0.3">
      <c r="A63" s="25">
        <v>42130</v>
      </c>
      <c r="B63" s="23">
        <v>0.16</v>
      </c>
    </row>
    <row r="64" spans="1:2" ht="15.75" thickBot="1" x14ac:dyDescent="0.3">
      <c r="A64" s="25">
        <v>42221</v>
      </c>
      <c r="B64" s="23">
        <v>0.16</v>
      </c>
    </row>
    <row r="65" spans="1:2" ht="15.75" thickBot="1" x14ac:dyDescent="0.3">
      <c r="A65" s="25">
        <v>42340</v>
      </c>
      <c r="B65" s="23">
        <v>0.16</v>
      </c>
    </row>
    <row r="66" spans="1:2" ht="15.75" thickBot="1" x14ac:dyDescent="0.3">
      <c r="A66" s="25">
        <v>42438</v>
      </c>
      <c r="B66" s="23">
        <v>0.17</v>
      </c>
    </row>
    <row r="67" spans="1:2" ht="15.75" thickBot="1" x14ac:dyDescent="0.3">
      <c r="A67" s="25">
        <v>42501</v>
      </c>
      <c r="B67" s="23">
        <v>0.17</v>
      </c>
    </row>
    <row r="68" spans="1:2" ht="15.75" thickBot="1" x14ac:dyDescent="0.3">
      <c r="A68" s="25">
        <v>42592</v>
      </c>
      <c r="B68" s="23">
        <v>0.17</v>
      </c>
    </row>
    <row r="69" spans="1:2" ht="15.75" thickBot="1" x14ac:dyDescent="0.3">
      <c r="A69" s="25">
        <v>42711</v>
      </c>
      <c r="B69" s="23">
        <v>0.17</v>
      </c>
    </row>
    <row r="70" spans="1:2" ht="15.75" thickBot="1" x14ac:dyDescent="0.3">
      <c r="A70" s="25">
        <v>42802</v>
      </c>
      <c r="B70" s="23">
        <v>0.17</v>
      </c>
    </row>
    <row r="71" spans="1:2" ht="15.75" thickBot="1" x14ac:dyDescent="0.3">
      <c r="A71" s="25">
        <v>42865</v>
      </c>
      <c r="B71" s="23">
        <v>0.17</v>
      </c>
    </row>
    <row r="72" spans="1:2" ht="15.75" thickBot="1" x14ac:dyDescent="0.3">
      <c r="A72" s="25">
        <v>42956</v>
      </c>
      <c r="B72" s="23">
        <v>0.17</v>
      </c>
    </row>
    <row r="73" spans="1:2" ht="15.75" thickBot="1" x14ac:dyDescent="0.3">
      <c r="A73" s="25">
        <v>43076</v>
      </c>
      <c r="B73" s="23">
        <v>0.17</v>
      </c>
    </row>
    <row r="74" spans="1:2" ht="15.75" thickBot="1" x14ac:dyDescent="0.3">
      <c r="A74" s="25">
        <v>43167</v>
      </c>
      <c r="B74" s="23">
        <v>0.17</v>
      </c>
    </row>
    <row r="75" spans="1:2" ht="15.75" thickBot="1" x14ac:dyDescent="0.3">
      <c r="A75" s="25">
        <v>43230</v>
      </c>
      <c r="B75" s="23">
        <v>0.17</v>
      </c>
    </row>
    <row r="76" spans="1:2" ht="15.75" thickBot="1" x14ac:dyDescent="0.3">
      <c r="A76" s="25">
        <v>43321</v>
      </c>
      <c r="B76" s="23">
        <v>0.17</v>
      </c>
    </row>
    <row r="77" spans="1:2" ht="15.75" thickBot="1" x14ac:dyDescent="0.3">
      <c r="A77" s="25">
        <v>43440</v>
      </c>
      <c r="B77" s="23">
        <v>0.17</v>
      </c>
    </row>
    <row r="78" spans="1:2" ht="15.75" thickBot="1" x14ac:dyDescent="0.3">
      <c r="A78" s="25">
        <v>43538</v>
      </c>
      <c r="B78" s="23">
        <v>0.18</v>
      </c>
    </row>
    <row r="79" spans="1:2" ht="15.75" thickBot="1" x14ac:dyDescent="0.3">
      <c r="A79" s="25">
        <v>43594</v>
      </c>
      <c r="B79" s="23">
        <v>0.18</v>
      </c>
    </row>
    <row r="80" spans="1:2" ht="15.75" thickBot="1" x14ac:dyDescent="0.3">
      <c r="A80" s="25">
        <v>43685</v>
      </c>
      <c r="B80" s="23">
        <v>0.18</v>
      </c>
    </row>
    <row r="81" spans="1:2" ht="15.75" thickBot="1" x14ac:dyDescent="0.3">
      <c r="A81" s="25">
        <v>43804</v>
      </c>
      <c r="B81" s="23">
        <v>0.18</v>
      </c>
    </row>
    <row r="82" spans="1:2" ht="15.75" thickBot="1" x14ac:dyDescent="0.3">
      <c r="A82" s="25">
        <v>43909</v>
      </c>
      <c r="B82" s="23">
        <v>0.18</v>
      </c>
    </row>
    <row r="83" spans="1:2" ht="15.75" thickBot="1" x14ac:dyDescent="0.3">
      <c r="A83" s="25">
        <v>43958</v>
      </c>
      <c r="B83" s="23">
        <v>0.18</v>
      </c>
    </row>
    <row r="84" spans="1:2" ht="15.75" thickBot="1" x14ac:dyDescent="0.3">
      <c r="A84" s="25">
        <v>44056</v>
      </c>
      <c r="B84" s="23">
        <v>0.18</v>
      </c>
    </row>
    <row r="85" spans="1:2" ht="15.75" thickBot="1" x14ac:dyDescent="0.3">
      <c r="A85" s="25">
        <v>44175</v>
      </c>
      <c r="B85" s="23">
        <v>0.18</v>
      </c>
    </row>
    <row r="86" spans="1:2" ht="15.75" thickBot="1" x14ac:dyDescent="0.3">
      <c r="A86" s="25">
        <v>44273</v>
      </c>
      <c r="B86" s="23">
        <v>0.18</v>
      </c>
    </row>
    <row r="87" spans="1:2" ht="15.75" thickBot="1" x14ac:dyDescent="0.3">
      <c r="A87" s="25">
        <v>44322</v>
      </c>
      <c r="B87" s="23">
        <v>0.18</v>
      </c>
    </row>
    <row r="88" spans="1:2" ht="15.75" thickBot="1" x14ac:dyDescent="0.3">
      <c r="A88" s="25">
        <v>44420</v>
      </c>
      <c r="B88" s="23">
        <v>0.18</v>
      </c>
    </row>
    <row r="89" spans="1:2" ht="15.75" thickBot="1" x14ac:dyDescent="0.3">
      <c r="A89" s="25">
        <v>44539</v>
      </c>
      <c r="B89" s="23">
        <v>0.18</v>
      </c>
    </row>
    <row r="90" spans="1:2" ht="15.75" thickBot="1" x14ac:dyDescent="0.3">
      <c r="A90" s="25">
        <v>44637</v>
      </c>
      <c r="B90" s="23">
        <v>0.19</v>
      </c>
    </row>
    <row r="91" spans="1:2" ht="15.75" thickBot="1" x14ac:dyDescent="0.3">
      <c r="A91" s="25">
        <v>44686</v>
      </c>
      <c r="B91" s="23">
        <v>0.19</v>
      </c>
    </row>
    <row r="92" spans="1:2" ht="15.75" thickBot="1" x14ac:dyDescent="0.3">
      <c r="A92" s="25">
        <v>44784</v>
      </c>
      <c r="B92" s="23">
        <v>0.19</v>
      </c>
    </row>
    <row r="93" spans="1:2" ht="15.75" thickBot="1" x14ac:dyDescent="0.3">
      <c r="A93" s="25">
        <v>44903</v>
      </c>
      <c r="B93" s="23">
        <v>0.19</v>
      </c>
    </row>
    <row r="94" spans="1:2" ht="15.75" thickBot="1" x14ac:dyDescent="0.3">
      <c r="A94" s="25">
        <v>45001</v>
      </c>
      <c r="B94" s="23">
        <v>0.19</v>
      </c>
    </row>
    <row r="95" spans="1:2" ht="15.75" thickBot="1" x14ac:dyDescent="0.3">
      <c r="A95" s="25">
        <v>45050</v>
      </c>
      <c r="B95" s="23">
        <v>0.19</v>
      </c>
    </row>
    <row r="96" spans="1:2" ht="15.75" thickBot="1" x14ac:dyDescent="0.3">
      <c r="A96" s="25">
        <v>45148</v>
      </c>
      <c r="B96" s="23">
        <v>0.19</v>
      </c>
    </row>
    <row r="97" spans="1:2" ht="15.75" thickBot="1" x14ac:dyDescent="0.3">
      <c r="A97" s="25">
        <v>45267</v>
      </c>
      <c r="B97" s="23">
        <v>0.19</v>
      </c>
    </row>
    <row r="98" spans="1:2" ht="15.75" thickBot="1" x14ac:dyDescent="0.3">
      <c r="A98" s="25">
        <v>45365</v>
      </c>
      <c r="B98" s="23">
        <v>0.21</v>
      </c>
    </row>
    <row r="99" spans="1:2" ht="15.75" thickBot="1" x14ac:dyDescent="0.3">
      <c r="A99" s="25">
        <v>45421</v>
      </c>
      <c r="B99" s="23">
        <v>0.21</v>
      </c>
    </row>
    <row r="100" spans="1:2" ht="15.75" thickBot="1" x14ac:dyDescent="0.3">
      <c r="A100" s="25">
        <v>45520</v>
      </c>
      <c r="B100" s="23">
        <v>0.21</v>
      </c>
    </row>
    <row r="101" spans="1:2" ht="15.75" thickBot="1" x14ac:dyDescent="0.3">
      <c r="A101" s="25">
        <v>45639</v>
      </c>
      <c r="B101" s="23">
        <v>0.21</v>
      </c>
    </row>
    <row r="102" spans="1:2" ht="15.75" thickBot="1" x14ac:dyDescent="0.3">
      <c r="A102" s="25">
        <v>45737</v>
      </c>
      <c r="B102" s="23">
        <v>0.24</v>
      </c>
    </row>
    <row r="103" spans="1:2" ht="15.75" thickBot="1" x14ac:dyDescent="0.3">
      <c r="A103" s="25">
        <v>45786</v>
      </c>
      <c r="B103" s="23">
        <v>0.24</v>
      </c>
    </row>
    <row r="104" spans="1:2" ht="15.75" thickBot="1" x14ac:dyDescent="0.3">
      <c r="A104" s="25">
        <v>45884</v>
      </c>
      <c r="B104" s="23">
        <v>0.24</v>
      </c>
    </row>
    <row r="105" spans="1:2" ht="15.75" thickBot="1" x14ac:dyDescent="0.3">
      <c r="A105" s="25">
        <v>46003</v>
      </c>
      <c r="B105" s="23">
        <v>0.24</v>
      </c>
    </row>
    <row r="106" spans="1:2" ht="15.75" thickBot="1" x14ac:dyDescent="0.3">
      <c r="A106" s="30"/>
      <c r="B106" s="29"/>
    </row>
    <row r="107" spans="1:2" ht="15.75" thickBot="1" x14ac:dyDescent="0.3">
      <c r="A107" s="30"/>
      <c r="B107" s="29"/>
    </row>
    <row r="108" spans="1:2" ht="15.75" thickBot="1" x14ac:dyDescent="0.3">
      <c r="A108" s="30"/>
      <c r="B108" s="29"/>
    </row>
    <row r="109" spans="1:2" ht="15.75" thickBot="1" x14ac:dyDescent="0.3">
      <c r="A109" s="30"/>
      <c r="B109" s="29"/>
    </row>
    <row r="110" spans="1:2" ht="15.75" thickBot="1" x14ac:dyDescent="0.3">
      <c r="A110" s="30"/>
      <c r="B110" s="29"/>
    </row>
    <row r="111" spans="1:2" ht="15.75" thickBot="1" x14ac:dyDescent="0.3">
      <c r="A111" s="30"/>
      <c r="B111" s="29"/>
    </row>
    <row r="112" spans="1:2" ht="15.75" thickBot="1" x14ac:dyDescent="0.3">
      <c r="A112" s="30"/>
      <c r="B112" s="29"/>
    </row>
    <row r="113" spans="1:2" ht="15.75" thickBot="1" x14ac:dyDescent="0.3">
      <c r="A113" s="30"/>
      <c r="B113" s="29"/>
    </row>
    <row r="114" spans="1:2" ht="15.75" thickBot="1" x14ac:dyDescent="0.3">
      <c r="A114" s="30"/>
      <c r="B114" s="29"/>
    </row>
    <row r="115" spans="1:2" ht="15.75" thickBot="1" x14ac:dyDescent="0.3">
      <c r="A115" s="30"/>
      <c r="B115" s="29"/>
    </row>
    <row r="116" spans="1:2" ht="15.75" thickBot="1" x14ac:dyDescent="0.3">
      <c r="A116" s="30"/>
      <c r="B116" s="29"/>
    </row>
    <row r="117" spans="1:2" ht="15.75" thickBot="1" x14ac:dyDescent="0.3">
      <c r="A117" s="30"/>
      <c r="B117" s="29"/>
    </row>
    <row r="118" spans="1:2" ht="15.75" thickBot="1" x14ac:dyDescent="0.3">
      <c r="A118" s="30"/>
      <c r="B118" s="29"/>
    </row>
    <row r="119" spans="1:2" ht="15.75" thickBot="1" x14ac:dyDescent="0.3">
      <c r="A119" s="30"/>
      <c r="B119" s="29"/>
    </row>
    <row r="120" spans="1:2" ht="15.75" thickBot="1" x14ac:dyDescent="0.3">
      <c r="A120" s="30"/>
      <c r="B120" s="29"/>
    </row>
    <row r="121" spans="1:2" ht="15.75" thickBot="1" x14ac:dyDescent="0.3">
      <c r="A121" s="30"/>
      <c r="B121" s="29"/>
    </row>
    <row r="122" spans="1:2" ht="15.75" thickBot="1" x14ac:dyDescent="0.3">
      <c r="A122" s="30"/>
      <c r="B122" s="29"/>
    </row>
    <row r="123" spans="1:2" ht="15.75" thickBot="1" x14ac:dyDescent="0.3">
      <c r="A123" s="30"/>
      <c r="B123" s="29"/>
    </row>
    <row r="124" spans="1:2" ht="15.75" thickBot="1" x14ac:dyDescent="0.3">
      <c r="A124" s="30"/>
      <c r="B124" s="29"/>
    </row>
    <row r="125" spans="1:2" ht="15.75" thickBot="1" x14ac:dyDescent="0.3">
      <c r="A125" s="30"/>
      <c r="B125" s="29"/>
    </row>
    <row r="126" spans="1:2" ht="15.75" thickBot="1" x14ac:dyDescent="0.3">
      <c r="A126" s="30"/>
      <c r="B126" s="29"/>
    </row>
    <row r="127" spans="1:2" ht="15.75" thickBot="1" x14ac:dyDescent="0.3">
      <c r="A127" s="30"/>
      <c r="B127" s="29"/>
    </row>
    <row r="128" spans="1:2" ht="15.75" thickBot="1" x14ac:dyDescent="0.3">
      <c r="A128" s="30"/>
      <c r="B128" s="29"/>
    </row>
    <row r="129" spans="1:2" ht="15.75" thickBot="1" x14ac:dyDescent="0.3">
      <c r="A129" s="30"/>
      <c r="B129" s="29"/>
    </row>
    <row r="130" spans="1:2" ht="15.75" thickBot="1" x14ac:dyDescent="0.3">
      <c r="A130" s="30"/>
      <c r="B130" s="29"/>
    </row>
    <row r="131" spans="1:2" ht="15.75" thickBot="1" x14ac:dyDescent="0.3">
      <c r="A131" s="30"/>
      <c r="B131" s="29"/>
    </row>
    <row r="132" spans="1:2" ht="15.75" thickBot="1" x14ac:dyDescent="0.3">
      <c r="A132" s="30"/>
      <c r="B132" s="29"/>
    </row>
    <row r="133" spans="1:2" ht="15.75" thickBot="1" x14ac:dyDescent="0.3">
      <c r="A133" s="30"/>
      <c r="B133" s="29"/>
    </row>
    <row r="134" spans="1:2" ht="15.75" thickBot="1" x14ac:dyDescent="0.3">
      <c r="A134" s="30"/>
      <c r="B134" s="29"/>
    </row>
    <row r="135" spans="1:2" ht="15.75" thickBot="1" x14ac:dyDescent="0.3">
      <c r="A135" s="30"/>
      <c r="B135" s="29"/>
    </row>
    <row r="136" spans="1:2" ht="15.75" thickBot="1" x14ac:dyDescent="0.3">
      <c r="A136" s="30"/>
      <c r="B136" s="29"/>
    </row>
    <row r="137" spans="1:2" ht="15.75" thickBot="1" x14ac:dyDescent="0.3">
      <c r="A137" s="30"/>
      <c r="B137" s="29"/>
    </row>
    <row r="138" spans="1:2" ht="15.75" thickBot="1" x14ac:dyDescent="0.3">
      <c r="A138" s="30"/>
      <c r="B138" s="29"/>
    </row>
    <row r="139" spans="1:2" ht="15.75" thickBot="1" x14ac:dyDescent="0.3">
      <c r="A139" s="30"/>
      <c r="B139" s="29"/>
    </row>
    <row r="140" spans="1:2" ht="15.75" thickBot="1" x14ac:dyDescent="0.3">
      <c r="A140" s="30"/>
      <c r="B140" s="29"/>
    </row>
    <row r="141" spans="1:2" ht="15.75" thickBot="1" x14ac:dyDescent="0.3">
      <c r="A141" s="30"/>
      <c r="B141" s="29"/>
    </row>
    <row r="142" spans="1:2" ht="15.75" thickBot="1" x14ac:dyDescent="0.3">
      <c r="A142" s="30"/>
      <c r="B142" s="29"/>
    </row>
    <row r="143" spans="1:2" ht="15.75" thickBot="1" x14ac:dyDescent="0.3">
      <c r="A143" s="30"/>
      <c r="B143" s="29"/>
    </row>
    <row r="144" spans="1:2" ht="15.75" thickBot="1" x14ac:dyDescent="0.3">
      <c r="A144" s="30"/>
      <c r="B144" s="29"/>
    </row>
    <row r="145" spans="1:2" ht="15.75" thickBot="1" x14ac:dyDescent="0.3">
      <c r="A145" s="30"/>
      <c r="B145" s="29"/>
    </row>
    <row r="146" spans="1:2" ht="15.75" thickBot="1" x14ac:dyDescent="0.3">
      <c r="A146" s="30"/>
      <c r="B146" s="29"/>
    </row>
    <row r="147" spans="1:2" ht="15.75" thickBot="1" x14ac:dyDescent="0.3">
      <c r="A147" s="30"/>
      <c r="B147" s="29"/>
    </row>
    <row r="148" spans="1:2" ht="15.75" thickBot="1" x14ac:dyDescent="0.3">
      <c r="A148" s="30"/>
      <c r="B148" s="29"/>
    </row>
    <row r="149" spans="1:2" ht="15.75" thickBot="1" x14ac:dyDescent="0.3">
      <c r="A149" s="30"/>
      <c r="B149" s="29"/>
    </row>
    <row r="150" spans="1:2" ht="15.75" thickBot="1" x14ac:dyDescent="0.3">
      <c r="A150" s="30"/>
      <c r="B150" s="29"/>
    </row>
    <row r="151" spans="1:2" ht="15.75" thickBot="1" x14ac:dyDescent="0.3">
      <c r="A151" s="30"/>
      <c r="B151" s="29"/>
    </row>
    <row r="152" spans="1:2" ht="15.75" thickBot="1" x14ac:dyDescent="0.3">
      <c r="A152" s="30"/>
      <c r="B152" s="29"/>
    </row>
    <row r="153" spans="1:2" ht="15.75" thickBot="1" x14ac:dyDescent="0.3">
      <c r="A153" s="30"/>
      <c r="B153" s="29"/>
    </row>
    <row r="154" spans="1:2" ht="15.75" thickBot="1" x14ac:dyDescent="0.3">
      <c r="A154" s="30"/>
      <c r="B154" s="29"/>
    </row>
    <row r="155" spans="1:2" ht="15.75" thickBot="1" x14ac:dyDescent="0.3">
      <c r="A155" s="30"/>
      <c r="B155" s="29"/>
    </row>
    <row r="156" spans="1:2" ht="15.75" thickBot="1" x14ac:dyDescent="0.3">
      <c r="A156" s="30"/>
      <c r="B156" s="29"/>
    </row>
    <row r="157" spans="1:2" ht="15.75" thickBot="1" x14ac:dyDescent="0.3">
      <c r="A157" s="30"/>
      <c r="B157" s="29"/>
    </row>
    <row r="158" spans="1:2" ht="15.75" thickBot="1" x14ac:dyDescent="0.3">
      <c r="A158" s="30"/>
      <c r="B158" s="29"/>
    </row>
    <row r="159" spans="1:2" ht="15.75" thickBot="1" x14ac:dyDescent="0.3">
      <c r="A159" s="30"/>
      <c r="B159" s="29"/>
    </row>
    <row r="160" spans="1:2" ht="15.75" thickBot="1" x14ac:dyDescent="0.3">
      <c r="A160" s="30"/>
      <c r="B160" s="29"/>
    </row>
    <row r="161" spans="1:2" ht="15.75" thickBot="1" x14ac:dyDescent="0.3">
      <c r="A161" s="30"/>
      <c r="B161" s="29"/>
    </row>
    <row r="162" spans="1:2" ht="15.75" thickBot="1" x14ac:dyDescent="0.3">
      <c r="A162" s="30"/>
      <c r="B162" s="29"/>
    </row>
    <row r="163" spans="1:2" ht="15.75" thickBot="1" x14ac:dyDescent="0.3">
      <c r="A163" s="30"/>
      <c r="B163" s="29"/>
    </row>
    <row r="164" spans="1:2" ht="15.75" thickBot="1" x14ac:dyDescent="0.3">
      <c r="A164" s="30"/>
      <c r="B164" s="29"/>
    </row>
    <row r="165" spans="1:2" ht="15.75" thickBot="1" x14ac:dyDescent="0.3">
      <c r="A165" s="30"/>
      <c r="B165" s="29"/>
    </row>
    <row r="166" spans="1:2" ht="15.75" thickBot="1" x14ac:dyDescent="0.3">
      <c r="A166" s="30"/>
      <c r="B166" s="29"/>
    </row>
    <row r="167" spans="1:2" ht="15.75" thickBot="1" x14ac:dyDescent="0.3">
      <c r="A167" s="30"/>
      <c r="B167" s="29"/>
    </row>
    <row r="168" spans="1:2" ht="15.75" thickBot="1" x14ac:dyDescent="0.3">
      <c r="A168" s="30"/>
      <c r="B168" s="29"/>
    </row>
    <row r="169" spans="1:2" ht="15.75" thickBot="1" x14ac:dyDescent="0.3">
      <c r="A169" s="30"/>
      <c r="B169" s="29"/>
    </row>
    <row r="170" spans="1:2" ht="15.75" thickBot="1" x14ac:dyDescent="0.3">
      <c r="A170" s="30"/>
      <c r="B170" s="29"/>
    </row>
    <row r="171" spans="1:2" ht="15.75" thickBot="1" x14ac:dyDescent="0.3">
      <c r="A171" s="30"/>
      <c r="B171" s="29"/>
    </row>
    <row r="172" spans="1:2" ht="15.75" thickBot="1" x14ac:dyDescent="0.3">
      <c r="A172" s="30"/>
      <c r="B172" s="29"/>
    </row>
    <row r="173" spans="1:2" ht="15.75" thickBot="1" x14ac:dyDescent="0.3">
      <c r="A173" s="30"/>
      <c r="B173" s="29"/>
    </row>
    <row r="174" spans="1:2" ht="15.75" thickBot="1" x14ac:dyDescent="0.3">
      <c r="A174" s="30"/>
      <c r="B174" s="29"/>
    </row>
    <row r="175" spans="1:2" ht="15.75" thickBot="1" x14ac:dyDescent="0.3">
      <c r="A175" s="30"/>
      <c r="B175" s="29"/>
    </row>
    <row r="176" spans="1:2" ht="15.75" thickBot="1" x14ac:dyDescent="0.3">
      <c r="A176" s="30"/>
      <c r="B176" s="29"/>
    </row>
    <row r="177" spans="1:2" ht="15.75" thickBot="1" x14ac:dyDescent="0.3">
      <c r="A177" s="30"/>
      <c r="B177" s="29"/>
    </row>
    <row r="178" spans="1:2" ht="15.75" thickBot="1" x14ac:dyDescent="0.3">
      <c r="A178" s="30"/>
      <c r="B178" s="29"/>
    </row>
    <row r="179" spans="1:2" ht="15.75" thickBot="1" x14ac:dyDescent="0.3">
      <c r="A179" s="30"/>
      <c r="B179" s="29"/>
    </row>
    <row r="180" spans="1:2" ht="15.75" thickBot="1" x14ac:dyDescent="0.3">
      <c r="A180" s="30"/>
      <c r="B180" s="29"/>
    </row>
    <row r="181" spans="1:2" ht="15.75" thickBot="1" x14ac:dyDescent="0.3">
      <c r="A181" s="30"/>
      <c r="B181" s="29"/>
    </row>
    <row r="182" spans="1:2" ht="15.75" thickBot="1" x14ac:dyDescent="0.3">
      <c r="A182" s="30"/>
      <c r="B182" s="29"/>
    </row>
    <row r="183" spans="1:2" ht="15.75" thickBot="1" x14ac:dyDescent="0.3">
      <c r="A183" s="30"/>
      <c r="B183" s="29"/>
    </row>
    <row r="184" spans="1:2" ht="15.75" thickBot="1" x14ac:dyDescent="0.3">
      <c r="A184" s="30"/>
      <c r="B184" s="29"/>
    </row>
    <row r="185" spans="1:2" ht="15.75" thickBot="1" x14ac:dyDescent="0.3">
      <c r="A185" s="30"/>
      <c r="B185" s="29"/>
    </row>
    <row r="186" spans="1:2" ht="15.75" thickBot="1" x14ac:dyDescent="0.3">
      <c r="A186" s="30"/>
      <c r="B186" s="29"/>
    </row>
    <row r="187" spans="1:2" ht="15.75" thickBot="1" x14ac:dyDescent="0.3">
      <c r="A187" s="30"/>
      <c r="B187" s="29"/>
    </row>
    <row r="188" spans="1:2" ht="15.75" thickBot="1" x14ac:dyDescent="0.3">
      <c r="A188" s="30"/>
      <c r="B188" s="29"/>
    </row>
    <row r="189" spans="1:2" ht="15.75" thickBot="1" x14ac:dyDescent="0.3">
      <c r="A189" s="30"/>
      <c r="B189" s="29"/>
    </row>
    <row r="190" spans="1:2" ht="15.75" thickBot="1" x14ac:dyDescent="0.3">
      <c r="A190" s="30"/>
      <c r="B190" s="29"/>
    </row>
    <row r="191" spans="1:2" ht="15.75" thickBot="1" x14ac:dyDescent="0.3">
      <c r="A191" s="30"/>
      <c r="B191" s="29"/>
    </row>
    <row r="192" spans="1:2" ht="15.75" thickBot="1" x14ac:dyDescent="0.3">
      <c r="A192" s="30"/>
      <c r="B192" s="29"/>
    </row>
    <row r="193" spans="1:2" ht="15.75" thickBot="1" x14ac:dyDescent="0.3">
      <c r="A193" s="30"/>
      <c r="B193" s="29"/>
    </row>
    <row r="194" spans="1:2" ht="15.75" thickBot="1" x14ac:dyDescent="0.3">
      <c r="A194" s="30"/>
      <c r="B194" s="29"/>
    </row>
    <row r="195" spans="1:2" ht="15.75" thickBot="1" x14ac:dyDescent="0.3">
      <c r="A195" s="30"/>
      <c r="B195" s="29"/>
    </row>
    <row r="196" spans="1:2" ht="15.75" thickBot="1" x14ac:dyDescent="0.3">
      <c r="A196" s="30"/>
      <c r="B196" s="29"/>
    </row>
    <row r="197" spans="1:2" ht="15.75" thickBot="1" x14ac:dyDescent="0.3">
      <c r="A197" s="30"/>
      <c r="B197" s="29"/>
    </row>
    <row r="198" spans="1:2" ht="15.75" thickBot="1" x14ac:dyDescent="0.3">
      <c r="A198" s="30"/>
      <c r="B198" s="29"/>
    </row>
    <row r="199" spans="1:2" ht="15.75" thickBot="1" x14ac:dyDescent="0.3">
      <c r="A199" s="30"/>
      <c r="B199" s="29"/>
    </row>
    <row r="200" spans="1:2" ht="15.75" thickBot="1" x14ac:dyDescent="0.3">
      <c r="A200" s="30"/>
      <c r="B200" s="29"/>
    </row>
    <row r="201" spans="1:2" ht="15.75" thickBot="1" x14ac:dyDescent="0.3">
      <c r="A201" s="30"/>
      <c r="B201" s="29"/>
    </row>
    <row r="202" spans="1:2" ht="15.75" thickBot="1" x14ac:dyDescent="0.3">
      <c r="A202" s="30"/>
      <c r="B202" s="29"/>
    </row>
    <row r="203" spans="1:2" ht="15.75" thickBot="1" x14ac:dyDescent="0.3">
      <c r="A203" s="30"/>
      <c r="B203" s="29"/>
    </row>
    <row r="204" spans="1:2" ht="15.75" thickBot="1" x14ac:dyDescent="0.3">
      <c r="A204" s="30"/>
      <c r="B204" s="29"/>
    </row>
    <row r="205" spans="1:2" ht="15.75" thickBot="1" x14ac:dyDescent="0.3">
      <c r="A205" s="30"/>
      <c r="B205" s="29"/>
    </row>
    <row r="206" spans="1:2" ht="15.75" thickBot="1" x14ac:dyDescent="0.3">
      <c r="A206" s="30"/>
      <c r="B206" s="29"/>
    </row>
    <row r="207" spans="1:2" ht="15.75" thickBot="1" x14ac:dyDescent="0.3">
      <c r="A207" s="30"/>
      <c r="B207" s="29"/>
    </row>
    <row r="208" spans="1:2" ht="15.75" thickBot="1" x14ac:dyDescent="0.3">
      <c r="A208" s="30"/>
      <c r="B208" s="29"/>
    </row>
    <row r="209" spans="1:2" ht="15.75" thickBot="1" x14ac:dyDescent="0.3">
      <c r="A209" s="30"/>
      <c r="B209" s="29"/>
    </row>
    <row r="210" spans="1:2" ht="15.75" thickBot="1" x14ac:dyDescent="0.3">
      <c r="A210" s="30"/>
      <c r="B210" s="29"/>
    </row>
    <row r="211" spans="1:2" ht="15.75" thickBot="1" x14ac:dyDescent="0.3">
      <c r="A211" s="30"/>
      <c r="B211" s="29"/>
    </row>
    <row r="212" spans="1:2" ht="15.75" thickBot="1" x14ac:dyDescent="0.3">
      <c r="A212" s="30"/>
      <c r="B212" s="29"/>
    </row>
    <row r="213" spans="1:2" ht="15.75" thickBot="1" x14ac:dyDescent="0.3">
      <c r="A213" s="30"/>
      <c r="B213" s="29"/>
    </row>
    <row r="214" spans="1:2" ht="15.75" thickBot="1" x14ac:dyDescent="0.3">
      <c r="A214" s="30"/>
      <c r="B214" s="29"/>
    </row>
    <row r="215" spans="1:2" ht="15.75" thickBot="1" x14ac:dyDescent="0.3">
      <c r="A215" s="30"/>
      <c r="B215" s="29"/>
    </row>
    <row r="216" spans="1:2" ht="15.75" thickBot="1" x14ac:dyDescent="0.3">
      <c r="A216" s="30"/>
      <c r="B216" s="29"/>
    </row>
    <row r="217" spans="1:2" ht="15.75" thickBot="1" x14ac:dyDescent="0.3">
      <c r="A217" s="30"/>
      <c r="B217" s="29"/>
    </row>
    <row r="218" spans="1:2" ht="15.75" thickBot="1" x14ac:dyDescent="0.3">
      <c r="A218" s="30"/>
      <c r="B218" s="29"/>
    </row>
    <row r="219" spans="1:2" ht="15.75" thickBot="1" x14ac:dyDescent="0.3">
      <c r="A219" s="30"/>
      <c r="B219" s="29"/>
    </row>
    <row r="220" spans="1:2" ht="15.75" thickBot="1" x14ac:dyDescent="0.3">
      <c r="A220" s="30"/>
      <c r="B220" s="29"/>
    </row>
    <row r="221" spans="1:2" ht="15.75" thickBot="1" x14ac:dyDescent="0.3">
      <c r="A221" s="30"/>
      <c r="B221" s="29"/>
    </row>
    <row r="222" spans="1:2" ht="15.75" thickBot="1" x14ac:dyDescent="0.3">
      <c r="A222" s="30"/>
      <c r="B222" s="29"/>
    </row>
    <row r="223" spans="1:2" ht="15.75" thickBot="1" x14ac:dyDescent="0.3">
      <c r="A223" s="30"/>
      <c r="B223" s="29"/>
    </row>
    <row r="224" spans="1:2" ht="15.75" thickBot="1" x14ac:dyDescent="0.3">
      <c r="A224" s="30"/>
      <c r="B224" s="29"/>
    </row>
    <row r="225" spans="1:2" ht="15.75" thickBot="1" x14ac:dyDescent="0.3">
      <c r="A225" s="30"/>
      <c r="B225" s="29"/>
    </row>
    <row r="226" spans="1:2" ht="15.75" thickBot="1" x14ac:dyDescent="0.3">
      <c r="A226" s="30"/>
      <c r="B226" s="29"/>
    </row>
    <row r="227" spans="1:2" ht="15.75" thickBot="1" x14ac:dyDescent="0.3">
      <c r="A227" s="30"/>
      <c r="B227" s="29"/>
    </row>
    <row r="228" spans="1:2" ht="15.75" thickBot="1" x14ac:dyDescent="0.3">
      <c r="A228" s="30"/>
      <c r="B228" s="29"/>
    </row>
    <row r="229" spans="1:2" ht="15.75" thickBot="1" x14ac:dyDescent="0.3">
      <c r="A229" s="30"/>
      <c r="B229" s="29"/>
    </row>
    <row r="230" spans="1:2" ht="15.75" thickBot="1" x14ac:dyDescent="0.3">
      <c r="A230" s="30"/>
      <c r="B230" s="29"/>
    </row>
    <row r="231" spans="1:2" ht="15.75" thickBot="1" x14ac:dyDescent="0.3">
      <c r="A231" s="30"/>
      <c r="B231" s="29"/>
    </row>
    <row r="232" spans="1:2" ht="15.75" thickBot="1" x14ac:dyDescent="0.3">
      <c r="A232" s="30"/>
      <c r="B232" s="29"/>
    </row>
    <row r="233" spans="1:2" ht="15.75" thickBot="1" x14ac:dyDescent="0.3">
      <c r="A233" s="30"/>
      <c r="B233" s="29"/>
    </row>
    <row r="234" spans="1:2" ht="15.75" thickBot="1" x14ac:dyDescent="0.3">
      <c r="A234" s="30"/>
      <c r="B234" s="29"/>
    </row>
    <row r="235" spans="1:2" ht="15.75" thickBot="1" x14ac:dyDescent="0.3">
      <c r="A235" s="30"/>
      <c r="B235" s="29"/>
    </row>
    <row r="236" spans="1:2" ht="15.75" thickBot="1" x14ac:dyDescent="0.3">
      <c r="A236" s="30"/>
      <c r="B236" s="29"/>
    </row>
    <row r="237" spans="1:2" ht="15.75" thickBot="1" x14ac:dyDescent="0.3">
      <c r="A237" s="30"/>
      <c r="B237" s="29"/>
    </row>
    <row r="238" spans="1:2" ht="15.75" thickBot="1" x14ac:dyDescent="0.3">
      <c r="A238" s="30"/>
      <c r="B238" s="29"/>
    </row>
    <row r="239" spans="1:2" ht="15.75" thickBot="1" x14ac:dyDescent="0.3">
      <c r="A239" s="30"/>
      <c r="B239" s="29"/>
    </row>
    <row r="240" spans="1:2" ht="15.75" thickBot="1" x14ac:dyDescent="0.3">
      <c r="A240" s="30"/>
      <c r="B240" s="29"/>
    </row>
    <row r="241" spans="1:2" ht="15.75" thickBot="1" x14ac:dyDescent="0.3">
      <c r="A241" s="30"/>
      <c r="B241" s="29"/>
    </row>
    <row r="242" spans="1:2" ht="15.75" thickBot="1" x14ac:dyDescent="0.3">
      <c r="A242" s="30"/>
      <c r="B242" s="29"/>
    </row>
    <row r="243" spans="1:2" ht="15.75" thickBot="1" x14ac:dyDescent="0.3">
      <c r="A243" s="30"/>
      <c r="B243" s="29"/>
    </row>
    <row r="244" spans="1:2" ht="15.75" thickBot="1" x14ac:dyDescent="0.3">
      <c r="A244" s="30"/>
      <c r="B244" s="29"/>
    </row>
    <row r="245" spans="1:2" ht="15.75" thickBot="1" x14ac:dyDescent="0.3">
      <c r="A245" s="30"/>
      <c r="B245" s="29"/>
    </row>
    <row r="246" spans="1:2" ht="15.75" thickBot="1" x14ac:dyDescent="0.3">
      <c r="A246" s="30"/>
      <c r="B246" s="29"/>
    </row>
    <row r="247" spans="1:2" ht="15.75" thickBot="1" x14ac:dyDescent="0.3">
      <c r="A247" s="30"/>
      <c r="B247" s="29"/>
    </row>
    <row r="248" spans="1:2" ht="15.75" thickBot="1" x14ac:dyDescent="0.3">
      <c r="A248" s="30"/>
      <c r="B248" s="29"/>
    </row>
    <row r="249" spans="1:2" ht="15.75" thickBot="1" x14ac:dyDescent="0.3">
      <c r="A249" s="30"/>
      <c r="B249" s="29"/>
    </row>
    <row r="250" spans="1:2" ht="15.75" thickBot="1" x14ac:dyDescent="0.3">
      <c r="A250" s="30"/>
      <c r="B250" s="29"/>
    </row>
    <row r="251" spans="1:2" ht="15.75" thickBot="1" x14ac:dyDescent="0.3">
      <c r="A251" s="30"/>
      <c r="B251" s="29"/>
    </row>
    <row r="252" spans="1:2" ht="15.75" thickBot="1" x14ac:dyDescent="0.3">
      <c r="A252" s="30"/>
      <c r="B252" s="29"/>
    </row>
    <row r="253" spans="1:2" ht="15.75" thickBot="1" x14ac:dyDescent="0.3">
      <c r="A253" s="30"/>
      <c r="B253" s="29"/>
    </row>
    <row r="254" spans="1:2" ht="15.75" thickBot="1" x14ac:dyDescent="0.3">
      <c r="A254" s="30"/>
      <c r="B254" s="29"/>
    </row>
    <row r="255" spans="1:2" ht="15.75" thickBot="1" x14ac:dyDescent="0.3">
      <c r="A255" s="30"/>
      <c r="B255" s="29"/>
    </row>
    <row r="256" spans="1:2" ht="15.75" thickBot="1" x14ac:dyDescent="0.3">
      <c r="A256" s="30"/>
      <c r="B256" s="29"/>
    </row>
    <row r="257" spans="1:2" ht="15.75" thickBot="1" x14ac:dyDescent="0.3">
      <c r="A257" s="30"/>
      <c r="B257" s="29"/>
    </row>
    <row r="258" spans="1:2" ht="15.75" thickBot="1" x14ac:dyDescent="0.3">
      <c r="A258" s="30"/>
      <c r="B258" s="29"/>
    </row>
    <row r="259" spans="1:2" ht="15.75" thickBot="1" x14ac:dyDescent="0.3">
      <c r="A259" s="30"/>
      <c r="B259" s="29"/>
    </row>
    <row r="260" spans="1:2" ht="15.75" thickBot="1" x14ac:dyDescent="0.3">
      <c r="A260" s="30"/>
      <c r="B260" s="29"/>
    </row>
    <row r="261" spans="1:2" ht="15.75" thickBot="1" x14ac:dyDescent="0.3">
      <c r="A261" s="30"/>
      <c r="B261" s="29"/>
    </row>
    <row r="262" spans="1:2" ht="15.75" thickBot="1" x14ac:dyDescent="0.3">
      <c r="A262" s="30"/>
      <c r="B262" s="29"/>
    </row>
    <row r="263" spans="1:2" ht="15.75" thickBot="1" x14ac:dyDescent="0.3">
      <c r="A263" s="30"/>
      <c r="B263" s="29"/>
    </row>
    <row r="264" spans="1:2" ht="15.75" thickBot="1" x14ac:dyDescent="0.3">
      <c r="A264" s="30"/>
      <c r="B264" s="29"/>
    </row>
    <row r="265" spans="1:2" ht="15.75" thickBot="1" x14ac:dyDescent="0.3">
      <c r="A265" s="30"/>
      <c r="B265" s="29"/>
    </row>
    <row r="266" spans="1:2" ht="15.75" thickBot="1" x14ac:dyDescent="0.3">
      <c r="A266" s="30"/>
      <c r="B266" s="29"/>
    </row>
    <row r="267" spans="1:2" ht="15.75" thickBot="1" x14ac:dyDescent="0.3">
      <c r="A267" s="30"/>
      <c r="B267" s="29"/>
    </row>
    <row r="268" spans="1:2" ht="15.75" thickBot="1" x14ac:dyDescent="0.3">
      <c r="A268" s="30"/>
      <c r="B268" s="29"/>
    </row>
    <row r="269" spans="1:2" ht="15.75" thickBot="1" x14ac:dyDescent="0.3">
      <c r="A269" s="30"/>
      <c r="B269" s="29"/>
    </row>
    <row r="270" spans="1:2" ht="15.75" thickBot="1" x14ac:dyDescent="0.3">
      <c r="A270" s="30"/>
      <c r="B270" s="29"/>
    </row>
    <row r="271" spans="1:2" ht="15.75" thickBot="1" x14ac:dyDescent="0.3">
      <c r="A271" s="30"/>
      <c r="B271" s="29"/>
    </row>
    <row r="272" spans="1:2" ht="15.75" thickBot="1" x14ac:dyDescent="0.3">
      <c r="A272" s="30"/>
      <c r="B272" s="29"/>
    </row>
    <row r="273" spans="1:2" ht="15.75" thickBot="1" x14ac:dyDescent="0.3">
      <c r="A273" s="30"/>
      <c r="B273" s="29"/>
    </row>
    <row r="274" spans="1:2" ht="15.75" thickBot="1" x14ac:dyDescent="0.3">
      <c r="A274" s="30"/>
      <c r="B274" s="29"/>
    </row>
    <row r="275" spans="1:2" ht="15.75" thickBot="1" x14ac:dyDescent="0.3">
      <c r="A275" s="30"/>
      <c r="B275" s="29"/>
    </row>
    <row r="276" spans="1:2" ht="15.75" thickBot="1" x14ac:dyDescent="0.3">
      <c r="A276" s="30"/>
      <c r="B276" s="29"/>
    </row>
    <row r="277" spans="1:2" ht="15.75" thickBot="1" x14ac:dyDescent="0.3">
      <c r="A277" s="30"/>
      <c r="B277" s="29"/>
    </row>
    <row r="278" spans="1:2" ht="15.75" thickBot="1" x14ac:dyDescent="0.3">
      <c r="A278" s="30"/>
      <c r="B278" s="29"/>
    </row>
    <row r="279" spans="1:2" ht="15.75" thickBot="1" x14ac:dyDescent="0.3">
      <c r="A279" s="30"/>
      <c r="B279" s="29"/>
    </row>
    <row r="280" spans="1:2" ht="15.75" thickBot="1" x14ac:dyDescent="0.3">
      <c r="A280" s="30"/>
      <c r="B280" s="29"/>
    </row>
    <row r="281" spans="1:2" ht="15.75" thickBot="1" x14ac:dyDescent="0.3">
      <c r="A281" s="30"/>
      <c r="B281" s="29"/>
    </row>
    <row r="282" spans="1:2" ht="15.75" thickBot="1" x14ac:dyDescent="0.3">
      <c r="A282" s="30"/>
      <c r="B282" s="29"/>
    </row>
    <row r="283" spans="1:2" ht="15.75" thickBot="1" x14ac:dyDescent="0.3">
      <c r="A283" s="30"/>
      <c r="B283" s="29"/>
    </row>
    <row r="284" spans="1:2" ht="15.75" thickBot="1" x14ac:dyDescent="0.3">
      <c r="A284" s="30"/>
      <c r="B284" s="29"/>
    </row>
    <row r="285" spans="1:2" ht="15.75" thickBot="1" x14ac:dyDescent="0.3">
      <c r="A285" s="30"/>
      <c r="B285" s="29"/>
    </row>
    <row r="286" spans="1:2" ht="15.75" thickBot="1" x14ac:dyDescent="0.3">
      <c r="A286" s="30"/>
      <c r="B286" s="29"/>
    </row>
    <row r="287" spans="1:2" ht="15.75" thickBot="1" x14ac:dyDescent="0.3">
      <c r="A287" s="30"/>
      <c r="B287" s="29"/>
    </row>
    <row r="288" spans="1:2" ht="15.75" thickBot="1" x14ac:dyDescent="0.3">
      <c r="A288" s="30"/>
      <c r="B288" s="29"/>
    </row>
    <row r="289" spans="1:2" ht="15.75" thickBot="1" x14ac:dyDescent="0.3">
      <c r="A289" s="30"/>
      <c r="B289" s="29"/>
    </row>
    <row r="290" spans="1:2" ht="15.75" thickBot="1" x14ac:dyDescent="0.3">
      <c r="A290" s="30"/>
      <c r="B290" s="29"/>
    </row>
    <row r="291" spans="1:2" ht="15.75" thickBot="1" x14ac:dyDescent="0.3">
      <c r="A291" s="30"/>
      <c r="B291" s="29"/>
    </row>
    <row r="292" spans="1:2" ht="15.75" thickBot="1" x14ac:dyDescent="0.3">
      <c r="A292" s="30"/>
      <c r="B292" s="29"/>
    </row>
    <row r="293" spans="1:2" ht="15.75" thickBot="1" x14ac:dyDescent="0.3">
      <c r="A293" s="30"/>
      <c r="B293" s="29"/>
    </row>
    <row r="294" spans="1:2" ht="15.75" thickBot="1" x14ac:dyDescent="0.3">
      <c r="A294" s="30"/>
      <c r="B294" s="29"/>
    </row>
    <row r="295" spans="1:2" ht="15.75" thickBot="1" x14ac:dyDescent="0.3">
      <c r="A295" s="30"/>
      <c r="B295" s="29"/>
    </row>
    <row r="296" spans="1:2" ht="15.75" thickBot="1" x14ac:dyDescent="0.3">
      <c r="A296" s="30"/>
      <c r="B296" s="29"/>
    </row>
    <row r="297" spans="1:2" ht="15.75" thickBot="1" x14ac:dyDescent="0.3">
      <c r="A297" s="30"/>
      <c r="B297" s="29"/>
    </row>
    <row r="298" spans="1:2" ht="15.75" thickBot="1" x14ac:dyDescent="0.3">
      <c r="A298" s="30"/>
      <c r="B298" s="29"/>
    </row>
    <row r="299" spans="1:2" ht="15.75" thickBot="1" x14ac:dyDescent="0.3">
      <c r="A299" s="30"/>
      <c r="B299" s="29"/>
    </row>
    <row r="300" spans="1:2" ht="15.75" thickBot="1" x14ac:dyDescent="0.3">
      <c r="A300" s="30"/>
      <c r="B300" s="29"/>
    </row>
    <row r="301" spans="1:2" ht="15.75" thickBot="1" x14ac:dyDescent="0.3">
      <c r="A301" s="30"/>
      <c r="B301" s="29"/>
    </row>
    <row r="302" spans="1:2" ht="15.75" thickBot="1" x14ac:dyDescent="0.3">
      <c r="A302" s="30"/>
      <c r="B302" s="29"/>
    </row>
    <row r="303" spans="1:2" ht="15.75" thickBot="1" x14ac:dyDescent="0.3">
      <c r="A303" s="30"/>
      <c r="B303" s="29"/>
    </row>
    <row r="304" spans="1:2" ht="15.75" thickBot="1" x14ac:dyDescent="0.3">
      <c r="A304" s="30"/>
      <c r="B304" s="29"/>
    </row>
    <row r="305" spans="1:2" ht="15.75" thickBot="1" x14ac:dyDescent="0.3">
      <c r="A305" s="30"/>
      <c r="B305" s="29"/>
    </row>
    <row r="306" spans="1:2" ht="15.75" thickBot="1" x14ac:dyDescent="0.3">
      <c r="A306" s="30"/>
      <c r="B306" s="29"/>
    </row>
    <row r="307" spans="1:2" ht="15.75" thickBot="1" x14ac:dyDescent="0.3">
      <c r="A307" s="30"/>
      <c r="B307" s="29"/>
    </row>
    <row r="308" spans="1:2" ht="15.75" thickBot="1" x14ac:dyDescent="0.3">
      <c r="A308" s="30"/>
      <c r="B308" s="29"/>
    </row>
    <row r="309" spans="1:2" ht="15.75" thickBot="1" x14ac:dyDescent="0.3">
      <c r="A309" s="30"/>
      <c r="B309" s="29"/>
    </row>
    <row r="310" spans="1:2" ht="15.75" thickBot="1" x14ac:dyDescent="0.3">
      <c r="A310" s="30"/>
      <c r="B310" s="29"/>
    </row>
    <row r="311" spans="1:2" ht="15.75" thickBot="1" x14ac:dyDescent="0.3">
      <c r="A311" s="30"/>
      <c r="B311" s="29"/>
    </row>
    <row r="312" spans="1:2" ht="15.75" thickBot="1" x14ac:dyDescent="0.3">
      <c r="A312" s="30"/>
      <c r="B312" s="29"/>
    </row>
    <row r="313" spans="1:2" ht="15.75" thickBot="1" x14ac:dyDescent="0.3">
      <c r="A313" s="30"/>
      <c r="B313" s="29"/>
    </row>
    <row r="314" spans="1:2" ht="15.75" thickBot="1" x14ac:dyDescent="0.3">
      <c r="A314" s="30"/>
      <c r="B314" s="29"/>
    </row>
    <row r="315" spans="1:2" ht="15.75" thickBot="1" x14ac:dyDescent="0.3">
      <c r="A315" s="30"/>
      <c r="B315" s="29"/>
    </row>
    <row r="316" spans="1:2" ht="15.75" thickBot="1" x14ac:dyDescent="0.3">
      <c r="A316" s="30"/>
      <c r="B316" s="29"/>
    </row>
    <row r="317" spans="1:2" ht="15.75" thickBot="1" x14ac:dyDescent="0.3">
      <c r="A317" s="30"/>
      <c r="B317" s="29"/>
    </row>
    <row r="318" spans="1:2" ht="15.75" thickBot="1" x14ac:dyDescent="0.3">
      <c r="A318" s="30"/>
      <c r="B318" s="29"/>
    </row>
    <row r="319" spans="1:2" ht="15.75" thickBot="1" x14ac:dyDescent="0.3">
      <c r="A319" s="30"/>
      <c r="B319" s="29"/>
    </row>
    <row r="320" spans="1:2" ht="15.75" thickBot="1" x14ac:dyDescent="0.3">
      <c r="A320" s="30"/>
      <c r="B320" s="29"/>
    </row>
    <row r="321" spans="1:2" ht="15.75" thickBot="1" x14ac:dyDescent="0.3">
      <c r="A321" s="30"/>
      <c r="B321" s="29"/>
    </row>
    <row r="322" spans="1:2" ht="15.75" thickBot="1" x14ac:dyDescent="0.3">
      <c r="A322" s="30"/>
      <c r="B322" s="29"/>
    </row>
    <row r="323" spans="1:2" ht="15.75" thickBot="1" x14ac:dyDescent="0.3">
      <c r="A323" s="30"/>
      <c r="B323" s="29"/>
    </row>
    <row r="324" spans="1:2" ht="15.75" thickBot="1" x14ac:dyDescent="0.3">
      <c r="A324" s="30"/>
      <c r="B324" s="29"/>
    </row>
    <row r="325" spans="1:2" ht="15.75" thickBot="1" x14ac:dyDescent="0.3">
      <c r="A325" s="30"/>
      <c r="B325" s="29"/>
    </row>
    <row r="326" spans="1:2" ht="15.75" thickBot="1" x14ac:dyDescent="0.3">
      <c r="A326" s="30"/>
      <c r="B326" s="29"/>
    </row>
    <row r="327" spans="1:2" ht="15.75" thickBot="1" x14ac:dyDescent="0.3">
      <c r="A327" s="30"/>
      <c r="B327" s="29"/>
    </row>
    <row r="328" spans="1:2" ht="15.75" thickBot="1" x14ac:dyDescent="0.3">
      <c r="A328" s="30"/>
      <c r="B328" s="29"/>
    </row>
    <row r="329" spans="1:2" ht="15.75" thickBot="1" x14ac:dyDescent="0.3">
      <c r="A329" s="30"/>
      <c r="B329" s="29"/>
    </row>
    <row r="330" spans="1:2" ht="15.75" thickBot="1" x14ac:dyDescent="0.3">
      <c r="A330" s="30"/>
      <c r="B330" s="29"/>
    </row>
    <row r="331" spans="1:2" ht="15.75" thickBot="1" x14ac:dyDescent="0.3">
      <c r="A331" s="30"/>
      <c r="B331" s="29"/>
    </row>
    <row r="332" spans="1:2" ht="15.75" thickBot="1" x14ac:dyDescent="0.3">
      <c r="A332" s="30"/>
      <c r="B332" s="29"/>
    </row>
    <row r="333" spans="1:2" ht="15.75" thickBot="1" x14ac:dyDescent="0.3">
      <c r="A333" s="30"/>
      <c r="B333" s="29"/>
    </row>
    <row r="334" spans="1:2" ht="15.75" thickBot="1" x14ac:dyDescent="0.3">
      <c r="A334" s="30"/>
      <c r="B334" s="29"/>
    </row>
    <row r="335" spans="1:2" ht="15.75" thickBot="1" x14ac:dyDescent="0.3">
      <c r="A335" s="30"/>
      <c r="B335" s="29"/>
    </row>
    <row r="336" spans="1:2" ht="15.75" thickBot="1" x14ac:dyDescent="0.3">
      <c r="A336" s="30"/>
      <c r="B336" s="29"/>
    </row>
    <row r="337" spans="1:2" ht="15.75" thickBot="1" x14ac:dyDescent="0.3">
      <c r="A337" s="30"/>
      <c r="B337" s="29"/>
    </row>
    <row r="338" spans="1:2" ht="15.75" thickBot="1" x14ac:dyDescent="0.3">
      <c r="A338" s="30"/>
      <c r="B338" s="29"/>
    </row>
    <row r="339" spans="1:2" ht="15.75" thickBot="1" x14ac:dyDescent="0.3">
      <c r="A339" s="30"/>
      <c r="B339" s="29"/>
    </row>
    <row r="340" spans="1:2" ht="15.75" thickBot="1" x14ac:dyDescent="0.3">
      <c r="A340" s="30"/>
      <c r="B340" s="29"/>
    </row>
    <row r="341" spans="1:2" ht="15.75" thickBot="1" x14ac:dyDescent="0.3">
      <c r="A341" s="30"/>
      <c r="B341" s="29"/>
    </row>
    <row r="342" spans="1:2" ht="15.75" thickBot="1" x14ac:dyDescent="0.3">
      <c r="A342" s="30"/>
      <c r="B342" s="29"/>
    </row>
    <row r="343" spans="1:2" ht="15.75" thickBot="1" x14ac:dyDescent="0.3">
      <c r="A343" s="30"/>
      <c r="B343" s="29"/>
    </row>
    <row r="344" spans="1:2" ht="15.75" thickBot="1" x14ac:dyDescent="0.3">
      <c r="A344" s="30"/>
      <c r="B344" s="29"/>
    </row>
    <row r="345" spans="1:2" ht="15.75" thickBot="1" x14ac:dyDescent="0.3">
      <c r="A345" s="30"/>
      <c r="B345" s="29"/>
    </row>
    <row r="346" spans="1:2" ht="15.75" thickBot="1" x14ac:dyDescent="0.3">
      <c r="A346" s="30"/>
      <c r="B346" s="29"/>
    </row>
    <row r="347" spans="1:2" ht="15.75" thickBot="1" x14ac:dyDescent="0.3">
      <c r="A347" s="30"/>
      <c r="B347" s="29"/>
    </row>
    <row r="348" spans="1:2" ht="15.75" thickBot="1" x14ac:dyDescent="0.3">
      <c r="A348" s="30"/>
      <c r="B348" s="29"/>
    </row>
    <row r="349" spans="1:2" ht="15.75" thickBot="1" x14ac:dyDescent="0.3">
      <c r="A349" s="30"/>
      <c r="B349" s="29"/>
    </row>
    <row r="350" spans="1:2" ht="15.75" thickBot="1" x14ac:dyDescent="0.3">
      <c r="A350" s="30"/>
      <c r="B350" s="29"/>
    </row>
    <row r="351" spans="1:2" ht="15.75" thickBot="1" x14ac:dyDescent="0.3">
      <c r="A351" s="30"/>
      <c r="B351" s="29"/>
    </row>
    <row r="352" spans="1:2" ht="15.75" thickBot="1" x14ac:dyDescent="0.3">
      <c r="A352" s="30"/>
      <c r="B352" s="29"/>
    </row>
    <row r="353" spans="1:2" ht="15.75" thickBot="1" x14ac:dyDescent="0.3">
      <c r="A353" s="30"/>
      <c r="B353" s="29"/>
    </row>
    <row r="354" spans="1:2" ht="15.75" thickBot="1" x14ac:dyDescent="0.3">
      <c r="A354" s="30"/>
      <c r="B354" s="29"/>
    </row>
    <row r="355" spans="1:2" ht="15.75" thickBot="1" x14ac:dyDescent="0.3">
      <c r="A355" s="30"/>
      <c r="B355" s="29"/>
    </row>
    <row r="356" spans="1:2" ht="15.75" thickBot="1" x14ac:dyDescent="0.3">
      <c r="A356" s="30"/>
      <c r="B356" s="29"/>
    </row>
    <row r="357" spans="1:2" ht="15.75" thickBot="1" x14ac:dyDescent="0.3">
      <c r="A357" s="30"/>
      <c r="B357" s="29"/>
    </row>
    <row r="358" spans="1:2" ht="15.75" thickBot="1" x14ac:dyDescent="0.3">
      <c r="A358" s="30"/>
      <c r="B358" s="29"/>
    </row>
    <row r="359" spans="1:2" ht="15.75" thickBot="1" x14ac:dyDescent="0.3">
      <c r="A359" s="30"/>
      <c r="B359" s="29"/>
    </row>
    <row r="360" spans="1:2" ht="15.75" thickBot="1" x14ac:dyDescent="0.3">
      <c r="A360" s="30"/>
      <c r="B360" s="29"/>
    </row>
    <row r="361" spans="1:2" ht="15.75" thickBot="1" x14ac:dyDescent="0.3">
      <c r="A361" s="30"/>
      <c r="B361" s="29"/>
    </row>
    <row r="362" spans="1:2" ht="15.75" thickBot="1" x14ac:dyDescent="0.3">
      <c r="A362" s="30"/>
      <c r="B362" s="29"/>
    </row>
    <row r="363" spans="1:2" ht="15.75" thickBot="1" x14ac:dyDescent="0.3">
      <c r="A363" s="30"/>
      <c r="B363" s="29"/>
    </row>
    <row r="364" spans="1:2" ht="15.75" thickBot="1" x14ac:dyDescent="0.3">
      <c r="A364" s="30"/>
      <c r="B364" s="29"/>
    </row>
    <row r="365" spans="1:2" ht="15.75" thickBot="1" x14ac:dyDescent="0.3">
      <c r="A365" s="30"/>
      <c r="B365" s="29"/>
    </row>
    <row r="366" spans="1:2" ht="15.75" thickBot="1" x14ac:dyDescent="0.3">
      <c r="A366" s="30"/>
      <c r="B366" s="29"/>
    </row>
    <row r="367" spans="1:2" ht="15.75" thickBot="1" x14ac:dyDescent="0.3">
      <c r="A367" s="30"/>
      <c r="B367" s="29"/>
    </row>
    <row r="368" spans="1:2" ht="15.75" thickBot="1" x14ac:dyDescent="0.3">
      <c r="A368" s="30"/>
      <c r="B368" s="29"/>
    </row>
    <row r="369" spans="1:2" ht="15.75" thickBot="1" x14ac:dyDescent="0.3">
      <c r="A369" s="30"/>
      <c r="B369" s="29"/>
    </row>
    <row r="370" spans="1:2" ht="15.75" thickBot="1" x14ac:dyDescent="0.3">
      <c r="A370" s="30"/>
      <c r="B370" s="29"/>
    </row>
    <row r="371" spans="1:2" ht="15.75" thickBot="1" x14ac:dyDescent="0.3">
      <c r="A371" s="30"/>
      <c r="B371" s="29"/>
    </row>
    <row r="372" spans="1:2" ht="15.75" thickBot="1" x14ac:dyDescent="0.3">
      <c r="A372" s="30"/>
      <c r="B372" s="29"/>
    </row>
    <row r="373" spans="1:2" ht="15.75" thickBot="1" x14ac:dyDescent="0.3">
      <c r="A373" s="30"/>
      <c r="B373" s="29"/>
    </row>
    <row r="374" spans="1:2" ht="15.75" thickBot="1" x14ac:dyDescent="0.3">
      <c r="A374" s="30"/>
      <c r="B374" s="29"/>
    </row>
    <row r="375" spans="1:2" ht="15.75" thickBot="1" x14ac:dyDescent="0.3">
      <c r="A375" s="30"/>
      <c r="B375" s="29"/>
    </row>
    <row r="376" spans="1:2" ht="15.75" thickBot="1" x14ac:dyDescent="0.3">
      <c r="A376" s="30"/>
      <c r="B376" s="29"/>
    </row>
    <row r="377" spans="1:2" ht="15.75" thickBot="1" x14ac:dyDescent="0.3">
      <c r="A377" s="30"/>
      <c r="B377" s="29"/>
    </row>
    <row r="378" spans="1:2" ht="15.75" thickBot="1" x14ac:dyDescent="0.3">
      <c r="A378" s="30"/>
      <c r="B378" s="29"/>
    </row>
    <row r="379" spans="1:2" ht="15.75" thickBot="1" x14ac:dyDescent="0.3">
      <c r="A379" s="30"/>
      <c r="B379" s="29"/>
    </row>
    <row r="380" spans="1:2" ht="15.75" thickBot="1" x14ac:dyDescent="0.3">
      <c r="A380" s="30"/>
      <c r="B380" s="29"/>
    </row>
    <row r="381" spans="1:2" ht="15.75" thickBot="1" x14ac:dyDescent="0.3">
      <c r="A381" s="30"/>
      <c r="B381" s="29"/>
    </row>
    <row r="382" spans="1:2" ht="15.75" thickBot="1" x14ac:dyDescent="0.3">
      <c r="A382" s="30"/>
      <c r="B382" s="29"/>
    </row>
    <row r="383" spans="1:2" ht="15.75" thickBot="1" x14ac:dyDescent="0.3">
      <c r="A383" s="30"/>
      <c r="B383" s="29"/>
    </row>
    <row r="384" spans="1:2" ht="15.75" thickBot="1" x14ac:dyDescent="0.3">
      <c r="A384" s="30"/>
      <c r="B384" s="29"/>
    </row>
    <row r="385" spans="1:2" ht="15.75" thickBot="1" x14ac:dyDescent="0.3">
      <c r="A385" s="30"/>
      <c r="B385" s="29"/>
    </row>
    <row r="386" spans="1:2" ht="15.75" thickBot="1" x14ac:dyDescent="0.3">
      <c r="A386" s="30"/>
      <c r="B386" s="29"/>
    </row>
    <row r="387" spans="1:2" ht="15.75" thickBot="1" x14ac:dyDescent="0.3">
      <c r="A387" s="30"/>
      <c r="B387" s="29"/>
    </row>
    <row r="388" spans="1:2" ht="15.75" thickBot="1" x14ac:dyDescent="0.3">
      <c r="A388" s="30"/>
      <c r="B388" s="29"/>
    </row>
    <row r="389" spans="1:2" ht="15.75" thickBot="1" x14ac:dyDescent="0.3">
      <c r="A389" s="30"/>
      <c r="B389" s="29"/>
    </row>
    <row r="390" spans="1:2" ht="15.75" thickBot="1" x14ac:dyDescent="0.3">
      <c r="A390" s="30"/>
      <c r="B390" s="29"/>
    </row>
    <row r="391" spans="1:2" ht="15.75" thickBot="1" x14ac:dyDescent="0.3">
      <c r="A391" s="30"/>
      <c r="B391" s="29"/>
    </row>
    <row r="392" spans="1:2" ht="15.75" thickBot="1" x14ac:dyDescent="0.3">
      <c r="A392" s="30"/>
      <c r="B392" s="29"/>
    </row>
    <row r="393" spans="1:2" ht="15.75" thickBot="1" x14ac:dyDescent="0.3">
      <c r="A393" s="30"/>
      <c r="B393" s="29"/>
    </row>
    <row r="394" spans="1:2" ht="15.75" thickBot="1" x14ac:dyDescent="0.3">
      <c r="A394" s="30"/>
      <c r="B394" s="29"/>
    </row>
    <row r="395" spans="1:2" ht="15.75" thickBot="1" x14ac:dyDescent="0.3">
      <c r="A395" s="30"/>
      <c r="B395" s="29"/>
    </row>
    <row r="396" spans="1:2" ht="15.75" thickBot="1" x14ac:dyDescent="0.3">
      <c r="A396" s="30"/>
      <c r="B396" s="29"/>
    </row>
    <row r="397" spans="1:2" ht="15.75" thickBot="1" x14ac:dyDescent="0.3">
      <c r="A397" s="30"/>
      <c r="B397" s="29"/>
    </row>
    <row r="398" spans="1:2" ht="15.75" thickBot="1" x14ac:dyDescent="0.3">
      <c r="A398" s="30"/>
      <c r="B398" s="29"/>
    </row>
    <row r="399" spans="1:2" ht="15.75" thickBot="1" x14ac:dyDescent="0.3">
      <c r="A399" s="30"/>
      <c r="B399" s="29"/>
    </row>
    <row r="400" spans="1:2" ht="15.75" thickBot="1" x14ac:dyDescent="0.3">
      <c r="A400" s="30"/>
      <c r="B400" s="29"/>
    </row>
    <row r="401" spans="1:2" ht="15.75" thickBot="1" x14ac:dyDescent="0.3">
      <c r="A401" s="30"/>
      <c r="B401" s="29"/>
    </row>
    <row r="402" spans="1:2" ht="15.75" thickBot="1" x14ac:dyDescent="0.3">
      <c r="A402" s="30"/>
      <c r="B402" s="29"/>
    </row>
    <row r="403" spans="1:2" ht="15.75" thickBot="1" x14ac:dyDescent="0.3">
      <c r="A403" s="30"/>
      <c r="B403" s="29"/>
    </row>
    <row r="404" spans="1:2" ht="15.75" thickBot="1" x14ac:dyDescent="0.3">
      <c r="A404" s="30"/>
      <c r="B404" s="29"/>
    </row>
    <row r="405" spans="1:2" ht="15.75" thickBot="1" x14ac:dyDescent="0.3">
      <c r="A405" s="30"/>
      <c r="B405" s="29"/>
    </row>
    <row r="406" spans="1:2" ht="15.75" thickBot="1" x14ac:dyDescent="0.3">
      <c r="A406" s="30"/>
      <c r="B406" s="29"/>
    </row>
    <row r="407" spans="1:2" ht="15.75" thickBot="1" x14ac:dyDescent="0.3">
      <c r="A407" s="30"/>
      <c r="B407" s="29"/>
    </row>
    <row r="408" spans="1:2" ht="15.75" thickBot="1" x14ac:dyDescent="0.3">
      <c r="A408" s="30"/>
      <c r="B408" s="29"/>
    </row>
    <row r="409" spans="1:2" ht="15.75" thickBot="1" x14ac:dyDescent="0.3">
      <c r="A409" s="30"/>
      <c r="B409" s="29"/>
    </row>
    <row r="410" spans="1:2" ht="15.75" thickBot="1" x14ac:dyDescent="0.3">
      <c r="A410" s="30"/>
      <c r="B410" s="29"/>
    </row>
    <row r="411" spans="1:2" ht="15.75" thickBot="1" x14ac:dyDescent="0.3">
      <c r="A411" s="30"/>
      <c r="B411" s="29"/>
    </row>
    <row r="412" spans="1:2" ht="15.75" thickBot="1" x14ac:dyDescent="0.3">
      <c r="A412" s="30"/>
      <c r="B412" s="29"/>
    </row>
    <row r="413" spans="1:2" ht="15.75" thickBot="1" x14ac:dyDescent="0.3">
      <c r="A413" s="30"/>
      <c r="B413" s="29"/>
    </row>
    <row r="414" spans="1:2" ht="15.75" thickBot="1" x14ac:dyDescent="0.3">
      <c r="A414" s="30"/>
      <c r="B414" s="29"/>
    </row>
    <row r="415" spans="1:2" ht="15.75" thickBot="1" x14ac:dyDescent="0.3">
      <c r="A415" s="30"/>
      <c r="B415" s="29"/>
    </row>
    <row r="416" spans="1:2" ht="15.75" thickBot="1" x14ac:dyDescent="0.3">
      <c r="A416" s="30"/>
      <c r="B416" s="29"/>
    </row>
    <row r="417" spans="1:2" ht="15.75" thickBot="1" x14ac:dyDescent="0.3">
      <c r="A417" s="30"/>
      <c r="B417" s="29"/>
    </row>
    <row r="418" spans="1:2" ht="15.75" thickBot="1" x14ac:dyDescent="0.3">
      <c r="A418" s="30"/>
      <c r="B418" s="29"/>
    </row>
    <row r="419" spans="1:2" ht="15.75" thickBot="1" x14ac:dyDescent="0.3">
      <c r="A419" s="30"/>
      <c r="B419" s="29"/>
    </row>
    <row r="420" spans="1:2" ht="15.75" thickBot="1" x14ac:dyDescent="0.3">
      <c r="A420" s="30"/>
      <c r="B420" s="29"/>
    </row>
    <row r="421" spans="1:2" ht="15.75" thickBot="1" x14ac:dyDescent="0.3">
      <c r="A421" s="30"/>
      <c r="B421" s="29"/>
    </row>
    <row r="422" spans="1:2" ht="15.75" thickBot="1" x14ac:dyDescent="0.3">
      <c r="A422" s="30"/>
      <c r="B422" s="29"/>
    </row>
    <row r="423" spans="1:2" ht="15.75" thickBot="1" x14ac:dyDescent="0.3">
      <c r="A423" s="30"/>
      <c r="B423" s="29"/>
    </row>
    <row r="424" spans="1:2" ht="15.75" thickBot="1" x14ac:dyDescent="0.3">
      <c r="A424" s="30"/>
      <c r="B424" s="29"/>
    </row>
    <row r="425" spans="1:2" ht="15.75" thickBot="1" x14ac:dyDescent="0.3">
      <c r="A425" s="30"/>
      <c r="B425" s="29"/>
    </row>
    <row r="426" spans="1:2" ht="15.75" thickBot="1" x14ac:dyDescent="0.3">
      <c r="A426" s="30"/>
      <c r="B426" s="29"/>
    </row>
    <row r="427" spans="1:2" ht="15.75" thickBot="1" x14ac:dyDescent="0.3">
      <c r="A427" s="30"/>
      <c r="B427" s="29"/>
    </row>
    <row r="428" spans="1:2" ht="15.75" thickBot="1" x14ac:dyDescent="0.3">
      <c r="A428" s="30"/>
      <c r="B428" s="29"/>
    </row>
    <row r="429" spans="1:2" ht="15.75" thickBot="1" x14ac:dyDescent="0.3">
      <c r="A429" s="30"/>
      <c r="B429" s="29"/>
    </row>
    <row r="430" spans="1:2" ht="15.75" thickBot="1" x14ac:dyDescent="0.3">
      <c r="A430" s="30"/>
      <c r="B430" s="29"/>
    </row>
    <row r="431" spans="1:2" ht="15.75" thickBot="1" x14ac:dyDescent="0.3">
      <c r="A431" s="30"/>
      <c r="B431" s="29"/>
    </row>
    <row r="432" spans="1:2" ht="15.75" thickBot="1" x14ac:dyDescent="0.3">
      <c r="A432" s="30"/>
      <c r="B432" s="29"/>
    </row>
    <row r="433" spans="1:2" ht="15.75" thickBot="1" x14ac:dyDescent="0.3">
      <c r="A433" s="30"/>
      <c r="B433" s="29"/>
    </row>
    <row r="434" spans="1:2" ht="15.75" thickBot="1" x14ac:dyDescent="0.3">
      <c r="A434" s="30"/>
      <c r="B434" s="29"/>
    </row>
    <row r="435" spans="1:2" ht="15.75" thickBot="1" x14ac:dyDescent="0.3">
      <c r="A435" s="30"/>
      <c r="B435" s="29"/>
    </row>
    <row r="436" spans="1:2" ht="15.75" thickBot="1" x14ac:dyDescent="0.3">
      <c r="A436" s="30"/>
      <c r="B436" s="29"/>
    </row>
    <row r="437" spans="1:2" ht="15.75" thickBot="1" x14ac:dyDescent="0.3">
      <c r="A437" s="30"/>
      <c r="B437" s="29"/>
    </row>
    <row r="438" spans="1:2" ht="15.75" thickBot="1" x14ac:dyDescent="0.3">
      <c r="A438" s="30"/>
      <c r="B438" s="29"/>
    </row>
    <row r="439" spans="1:2" ht="15.75" thickBot="1" x14ac:dyDescent="0.3">
      <c r="A439" s="30"/>
      <c r="B439" s="29"/>
    </row>
    <row r="440" spans="1:2" ht="15.75" thickBot="1" x14ac:dyDescent="0.3">
      <c r="A440" s="30"/>
      <c r="B440" s="29"/>
    </row>
    <row r="441" spans="1:2" ht="15.75" thickBot="1" x14ac:dyDescent="0.3">
      <c r="A441" s="30"/>
      <c r="B441" s="29"/>
    </row>
    <row r="442" spans="1:2" ht="15.75" thickBot="1" x14ac:dyDescent="0.3">
      <c r="A442" s="30"/>
      <c r="B442" s="29"/>
    </row>
    <row r="443" spans="1:2" ht="15.75" thickBot="1" x14ac:dyDescent="0.3">
      <c r="A443" s="30"/>
      <c r="B443" s="29"/>
    </row>
    <row r="444" spans="1:2" ht="15.75" thickBot="1" x14ac:dyDescent="0.3">
      <c r="A444" s="30"/>
      <c r="B444" s="29"/>
    </row>
    <row r="445" spans="1:2" ht="15.75" thickBot="1" x14ac:dyDescent="0.3">
      <c r="A445" s="30"/>
      <c r="B445" s="29"/>
    </row>
    <row r="446" spans="1:2" ht="15.75" thickBot="1" x14ac:dyDescent="0.3">
      <c r="A446" s="30"/>
      <c r="B446" s="29"/>
    </row>
    <row r="447" spans="1:2" ht="15.75" thickBot="1" x14ac:dyDescent="0.3">
      <c r="A447" s="30"/>
      <c r="B447" s="29"/>
    </row>
    <row r="448" spans="1:2" ht="15.75" thickBot="1" x14ac:dyDescent="0.3">
      <c r="A448" s="30"/>
      <c r="B448" s="29"/>
    </row>
    <row r="449" spans="1:2" ht="15.75" thickBot="1" x14ac:dyDescent="0.3">
      <c r="A449" s="30"/>
      <c r="B449" s="29"/>
    </row>
    <row r="450" spans="1:2" ht="15.75" thickBot="1" x14ac:dyDescent="0.3">
      <c r="A450" s="30"/>
      <c r="B450" s="29"/>
    </row>
    <row r="451" spans="1:2" ht="15.75" thickBot="1" x14ac:dyDescent="0.3">
      <c r="A451" s="30"/>
      <c r="B451" s="29"/>
    </row>
    <row r="452" spans="1:2" ht="15.75" thickBot="1" x14ac:dyDescent="0.3">
      <c r="A452" s="30"/>
      <c r="B452" s="29"/>
    </row>
    <row r="453" spans="1:2" ht="15.75" thickBot="1" x14ac:dyDescent="0.3">
      <c r="A453" s="30"/>
      <c r="B453" s="29"/>
    </row>
    <row r="454" spans="1:2" ht="15.75" thickBot="1" x14ac:dyDescent="0.3">
      <c r="A454" s="30"/>
      <c r="B454" s="29"/>
    </row>
    <row r="455" spans="1:2" ht="15.75" thickBot="1" x14ac:dyDescent="0.3">
      <c r="A455" s="30"/>
      <c r="B455" s="29"/>
    </row>
    <row r="456" spans="1:2" ht="15.75" thickBot="1" x14ac:dyDescent="0.3">
      <c r="A456" s="30"/>
      <c r="B456" s="29"/>
    </row>
    <row r="457" spans="1:2" ht="15.75" thickBot="1" x14ac:dyDescent="0.3">
      <c r="A457" s="30"/>
      <c r="B457" s="29"/>
    </row>
    <row r="458" spans="1:2" ht="15.75" thickBot="1" x14ac:dyDescent="0.3">
      <c r="A458" s="30"/>
      <c r="B458" s="29"/>
    </row>
    <row r="459" spans="1:2" ht="15.75" thickBot="1" x14ac:dyDescent="0.3">
      <c r="A459" s="30"/>
      <c r="B459" s="29"/>
    </row>
    <row r="460" spans="1:2" ht="15.75" thickBot="1" x14ac:dyDescent="0.3">
      <c r="A460" s="30"/>
      <c r="B460" s="29"/>
    </row>
    <row r="461" spans="1:2" ht="15.75" thickBot="1" x14ac:dyDescent="0.3">
      <c r="A461" s="30"/>
      <c r="B461" s="29"/>
    </row>
    <row r="462" spans="1:2" ht="15.75" thickBot="1" x14ac:dyDescent="0.3">
      <c r="A462" s="30"/>
      <c r="B462" s="29"/>
    </row>
    <row r="463" spans="1:2" ht="15.75" thickBot="1" x14ac:dyDescent="0.3">
      <c r="A463" s="30"/>
      <c r="B463" s="29"/>
    </row>
    <row r="464" spans="1:2" ht="15.75" thickBot="1" x14ac:dyDescent="0.3">
      <c r="A464" s="30"/>
      <c r="B464" s="29"/>
    </row>
    <row r="465" spans="1:2" ht="15.75" thickBot="1" x14ac:dyDescent="0.3">
      <c r="A465" s="30"/>
      <c r="B465" s="29"/>
    </row>
    <row r="466" spans="1:2" ht="15.75" thickBot="1" x14ac:dyDescent="0.3">
      <c r="A466" s="30"/>
      <c r="B466" s="29"/>
    </row>
    <row r="467" spans="1:2" ht="15.75" thickBot="1" x14ac:dyDescent="0.3">
      <c r="A467" s="30"/>
      <c r="B467" s="29"/>
    </row>
    <row r="468" spans="1:2" ht="15.75" thickBot="1" x14ac:dyDescent="0.3">
      <c r="A468" s="30"/>
      <c r="B468" s="29"/>
    </row>
    <row r="469" spans="1:2" ht="15.75" thickBot="1" x14ac:dyDescent="0.3">
      <c r="A469" s="30"/>
      <c r="B469" s="29"/>
    </row>
    <row r="470" spans="1:2" ht="15.75" thickBot="1" x14ac:dyDescent="0.3">
      <c r="A470" s="30"/>
      <c r="B470" s="29"/>
    </row>
    <row r="471" spans="1:2" ht="15.75" thickBot="1" x14ac:dyDescent="0.3">
      <c r="A471" s="30"/>
      <c r="B471" s="29"/>
    </row>
    <row r="472" spans="1:2" ht="15.75" thickBot="1" x14ac:dyDescent="0.3">
      <c r="A472" s="30"/>
      <c r="B472" s="29"/>
    </row>
    <row r="473" spans="1:2" ht="15.75" thickBot="1" x14ac:dyDescent="0.3">
      <c r="A473" s="30"/>
      <c r="B473" s="29"/>
    </row>
    <row r="474" spans="1:2" ht="15.75" thickBot="1" x14ac:dyDescent="0.3">
      <c r="A474" s="30"/>
      <c r="B474" s="29"/>
    </row>
    <row r="475" spans="1:2" ht="15.75" thickBot="1" x14ac:dyDescent="0.3">
      <c r="A475" s="30"/>
      <c r="B475" s="29"/>
    </row>
    <row r="476" spans="1:2" ht="15.75" thickBot="1" x14ac:dyDescent="0.3">
      <c r="A476" s="30"/>
      <c r="B476" s="29"/>
    </row>
    <row r="477" spans="1:2" ht="15.75" thickBot="1" x14ac:dyDescent="0.3">
      <c r="A477" s="30"/>
      <c r="B477" s="29"/>
    </row>
    <row r="478" spans="1:2" ht="15.75" thickBot="1" x14ac:dyDescent="0.3">
      <c r="A478" s="30"/>
      <c r="B478" s="29"/>
    </row>
    <row r="479" spans="1:2" ht="15.75" thickBot="1" x14ac:dyDescent="0.3">
      <c r="A479" s="30"/>
      <c r="B479" s="29"/>
    </row>
    <row r="480" spans="1:2" ht="15.75" thickBot="1" x14ac:dyDescent="0.3">
      <c r="A480" s="30"/>
      <c r="B480" s="29"/>
    </row>
    <row r="481" spans="1:2" ht="15.75" thickBot="1" x14ac:dyDescent="0.3">
      <c r="A481" s="30"/>
      <c r="B481" s="29"/>
    </row>
    <row r="482" spans="1:2" ht="15.75" thickBot="1" x14ac:dyDescent="0.3">
      <c r="A482" s="30"/>
      <c r="B482" s="29"/>
    </row>
    <row r="483" spans="1:2" ht="15.75" thickBot="1" x14ac:dyDescent="0.3">
      <c r="A483" s="30"/>
      <c r="B483" s="29"/>
    </row>
    <row r="484" spans="1:2" ht="15.75" thickBot="1" x14ac:dyDescent="0.3">
      <c r="A484" s="30"/>
      <c r="B484" s="29"/>
    </row>
    <row r="485" spans="1:2" ht="15.75" thickBot="1" x14ac:dyDescent="0.3">
      <c r="A485" s="30"/>
      <c r="B485" s="29"/>
    </row>
    <row r="486" spans="1:2" ht="15.75" thickBot="1" x14ac:dyDescent="0.3">
      <c r="A486" s="30"/>
      <c r="B486" s="29"/>
    </row>
    <row r="487" spans="1:2" ht="15.75" thickBot="1" x14ac:dyDescent="0.3">
      <c r="A487" s="30"/>
      <c r="B487" s="29"/>
    </row>
    <row r="488" spans="1:2" ht="15.75" thickBot="1" x14ac:dyDescent="0.3">
      <c r="A488" s="30"/>
      <c r="B488" s="29"/>
    </row>
    <row r="489" spans="1:2" ht="15.75" thickBot="1" x14ac:dyDescent="0.3">
      <c r="A489" s="30"/>
      <c r="B489" s="29"/>
    </row>
    <row r="490" spans="1:2" ht="15.75" thickBot="1" x14ac:dyDescent="0.3">
      <c r="A490" s="30"/>
      <c r="B490" s="29"/>
    </row>
    <row r="491" spans="1:2" ht="15.75" thickBot="1" x14ac:dyDescent="0.3">
      <c r="A491" s="30"/>
      <c r="B491" s="29"/>
    </row>
    <row r="492" spans="1:2" ht="15.75" thickBot="1" x14ac:dyDescent="0.3">
      <c r="A492" s="30"/>
      <c r="B492" s="29"/>
    </row>
    <row r="493" spans="1:2" ht="15.75" thickBot="1" x14ac:dyDescent="0.3">
      <c r="A493" s="30"/>
      <c r="B493" s="29"/>
    </row>
    <row r="494" spans="1:2" ht="15.75" thickBot="1" x14ac:dyDescent="0.3">
      <c r="A494" s="30"/>
      <c r="B494" s="29"/>
    </row>
    <row r="495" spans="1:2" ht="15.75" thickBot="1" x14ac:dyDescent="0.3">
      <c r="A495" s="30"/>
      <c r="B495" s="29"/>
    </row>
    <row r="496" spans="1:2" ht="15.75" thickBot="1" x14ac:dyDescent="0.3">
      <c r="A496" s="30"/>
      <c r="B496" s="29"/>
    </row>
    <row r="497" spans="1:2" ht="15.75" thickBot="1" x14ac:dyDescent="0.3">
      <c r="A497" s="30"/>
      <c r="B497" s="29"/>
    </row>
    <row r="498" spans="1:2" ht="15.75" thickBot="1" x14ac:dyDescent="0.3">
      <c r="A498" s="30"/>
      <c r="B498" s="29"/>
    </row>
    <row r="499" spans="1:2" ht="15.75" thickBot="1" x14ac:dyDescent="0.3">
      <c r="A499" s="30"/>
      <c r="B499" s="29"/>
    </row>
    <row r="500" spans="1:2" ht="15.75" thickBot="1" x14ac:dyDescent="0.3">
      <c r="A500" s="30"/>
      <c r="B500" s="29"/>
    </row>
    <row r="501" spans="1:2" ht="15.75" thickBot="1" x14ac:dyDescent="0.3">
      <c r="A501" s="30"/>
      <c r="B501" s="29"/>
    </row>
    <row r="502" spans="1:2" ht="15.75" thickBot="1" x14ac:dyDescent="0.3">
      <c r="A502" s="30"/>
      <c r="B502" s="29"/>
    </row>
    <row r="503" spans="1:2" ht="15.75" thickBot="1" x14ac:dyDescent="0.3">
      <c r="A503" s="30"/>
      <c r="B503" s="29"/>
    </row>
    <row r="504" spans="1:2" ht="15.75" thickBot="1" x14ac:dyDescent="0.3">
      <c r="A504" s="30"/>
      <c r="B504" s="29"/>
    </row>
    <row r="505" spans="1:2" ht="15.75" thickBot="1" x14ac:dyDescent="0.3">
      <c r="A505" s="30"/>
      <c r="B505" s="29"/>
    </row>
    <row r="506" spans="1:2" ht="15.75" thickBot="1" x14ac:dyDescent="0.3">
      <c r="A506" s="30"/>
      <c r="B506" s="29"/>
    </row>
    <row r="507" spans="1:2" ht="15.75" thickBot="1" x14ac:dyDescent="0.3">
      <c r="A507" s="30"/>
      <c r="B507" s="29"/>
    </row>
    <row r="508" spans="1:2" ht="15.75" thickBot="1" x14ac:dyDescent="0.3">
      <c r="A508" s="30"/>
      <c r="B508" s="29"/>
    </row>
    <row r="509" spans="1:2" ht="15.75" thickBot="1" x14ac:dyDescent="0.3">
      <c r="A509" s="30"/>
      <c r="B509" s="29"/>
    </row>
    <row r="510" spans="1:2" ht="15.75" thickBot="1" x14ac:dyDescent="0.3">
      <c r="A510" s="30"/>
      <c r="B510" s="29"/>
    </row>
    <row r="511" spans="1:2" ht="15.75" thickBot="1" x14ac:dyDescent="0.3">
      <c r="A511" s="30"/>
      <c r="B511" s="29"/>
    </row>
    <row r="512" spans="1:2" ht="15.75" thickBot="1" x14ac:dyDescent="0.3">
      <c r="A512" s="30"/>
      <c r="B512" s="29"/>
    </row>
    <row r="513" spans="1:2" ht="15.75" thickBot="1" x14ac:dyDescent="0.3">
      <c r="A513" s="30"/>
      <c r="B513" s="29"/>
    </row>
    <row r="514" spans="1:2" ht="15.75" thickBot="1" x14ac:dyDescent="0.3">
      <c r="A514" s="30"/>
      <c r="B514" s="29"/>
    </row>
    <row r="515" spans="1:2" ht="15.75" thickBot="1" x14ac:dyDescent="0.3">
      <c r="A515" s="30"/>
      <c r="B515" s="29"/>
    </row>
    <row r="516" spans="1:2" ht="15.75" thickBot="1" x14ac:dyDescent="0.3">
      <c r="A516" s="30"/>
      <c r="B516" s="29"/>
    </row>
    <row r="517" spans="1:2" ht="15.75" thickBot="1" x14ac:dyDescent="0.3">
      <c r="A517" s="30"/>
      <c r="B517" s="29"/>
    </row>
    <row r="518" spans="1:2" ht="15.75" thickBot="1" x14ac:dyDescent="0.3">
      <c r="A518" s="30"/>
      <c r="B518" s="29"/>
    </row>
    <row r="519" spans="1:2" ht="15.75" thickBot="1" x14ac:dyDescent="0.3">
      <c r="A519" s="30"/>
      <c r="B519" s="29"/>
    </row>
    <row r="520" spans="1:2" ht="15.75" thickBot="1" x14ac:dyDescent="0.3">
      <c r="A520" s="30"/>
      <c r="B520" s="29"/>
    </row>
    <row r="521" spans="1:2" ht="15.75" thickBot="1" x14ac:dyDescent="0.3">
      <c r="A521" s="30"/>
      <c r="B521" s="29"/>
    </row>
    <row r="522" spans="1:2" ht="15.75" thickBot="1" x14ac:dyDescent="0.3">
      <c r="A522" s="30"/>
      <c r="B522" s="29"/>
    </row>
    <row r="523" spans="1:2" ht="15.75" thickBot="1" x14ac:dyDescent="0.3">
      <c r="A523" s="30"/>
      <c r="B523" s="29"/>
    </row>
    <row r="524" spans="1:2" ht="15.75" thickBot="1" x14ac:dyDescent="0.3">
      <c r="A524" s="30"/>
      <c r="B524" s="29"/>
    </row>
    <row r="525" spans="1:2" ht="15.75" thickBot="1" x14ac:dyDescent="0.3">
      <c r="A525" s="30"/>
      <c r="B525" s="29"/>
    </row>
    <row r="526" spans="1:2" ht="15.75" thickBot="1" x14ac:dyDescent="0.3">
      <c r="A526" s="30"/>
      <c r="B526" s="29"/>
    </row>
    <row r="527" spans="1:2" ht="15.75" thickBot="1" x14ac:dyDescent="0.3">
      <c r="A527" s="30"/>
      <c r="B527" s="29"/>
    </row>
    <row r="528" spans="1:2" ht="15.75" thickBot="1" x14ac:dyDescent="0.3">
      <c r="A528" s="30"/>
      <c r="B528" s="29"/>
    </row>
    <row r="529" spans="1:2" ht="15.75" thickBot="1" x14ac:dyDescent="0.3">
      <c r="A529" s="30"/>
      <c r="B529" s="29"/>
    </row>
    <row r="530" spans="1:2" ht="15.75" thickBot="1" x14ac:dyDescent="0.3">
      <c r="A530" s="30"/>
      <c r="B530" s="29"/>
    </row>
    <row r="531" spans="1:2" ht="15.75" thickBot="1" x14ac:dyDescent="0.3">
      <c r="A531" s="30"/>
      <c r="B531" s="29"/>
    </row>
    <row r="532" spans="1:2" ht="15.75" thickBot="1" x14ac:dyDescent="0.3">
      <c r="A532" s="30"/>
      <c r="B532" s="29"/>
    </row>
    <row r="533" spans="1:2" ht="15.75" thickBot="1" x14ac:dyDescent="0.3">
      <c r="A533" s="30"/>
      <c r="B533" s="29"/>
    </row>
    <row r="534" spans="1:2" ht="15.75" thickBot="1" x14ac:dyDescent="0.3">
      <c r="A534" s="30"/>
      <c r="B534" s="29"/>
    </row>
    <row r="535" spans="1:2" ht="15.75" thickBot="1" x14ac:dyDescent="0.3">
      <c r="A535" s="30"/>
      <c r="B535" s="29"/>
    </row>
    <row r="536" spans="1:2" ht="15.75" thickBot="1" x14ac:dyDescent="0.3">
      <c r="A536" s="30"/>
      <c r="B536" s="29"/>
    </row>
    <row r="537" spans="1:2" ht="15.75" thickBot="1" x14ac:dyDescent="0.3">
      <c r="A537" s="30"/>
      <c r="B537" s="29"/>
    </row>
    <row r="538" spans="1:2" ht="15.75" thickBot="1" x14ac:dyDescent="0.3">
      <c r="A538" s="30"/>
      <c r="B538" s="29"/>
    </row>
    <row r="539" spans="1:2" ht="15.75" thickBot="1" x14ac:dyDescent="0.3">
      <c r="A539" s="30"/>
      <c r="B539" s="29"/>
    </row>
    <row r="540" spans="1:2" ht="15.75" thickBot="1" x14ac:dyDescent="0.3">
      <c r="A540" s="30"/>
      <c r="B540" s="29"/>
    </row>
    <row r="541" spans="1:2" ht="15.75" thickBot="1" x14ac:dyDescent="0.3">
      <c r="A541" s="30"/>
      <c r="B541" s="29"/>
    </row>
    <row r="542" spans="1:2" ht="15.75" thickBot="1" x14ac:dyDescent="0.3">
      <c r="A542" s="30"/>
      <c r="B542" s="29"/>
    </row>
    <row r="543" spans="1:2" ht="15.75" thickBot="1" x14ac:dyDescent="0.3">
      <c r="A543" s="30"/>
      <c r="B543" s="29"/>
    </row>
    <row r="544" spans="1:2" ht="15.75" thickBot="1" x14ac:dyDescent="0.3">
      <c r="A544" s="30"/>
      <c r="B544" s="29"/>
    </row>
    <row r="545" spans="1:2" ht="15.75" thickBot="1" x14ac:dyDescent="0.3">
      <c r="A545" s="30"/>
      <c r="B545" s="29"/>
    </row>
    <row r="546" spans="1:2" ht="15.75" thickBot="1" x14ac:dyDescent="0.3">
      <c r="A546" s="30"/>
      <c r="B546" s="29"/>
    </row>
    <row r="547" spans="1:2" ht="15.75" thickBot="1" x14ac:dyDescent="0.3">
      <c r="A547" s="30"/>
      <c r="B547" s="29"/>
    </row>
    <row r="548" spans="1:2" ht="15.75" thickBot="1" x14ac:dyDescent="0.3">
      <c r="A548" s="30"/>
      <c r="B548" s="29"/>
    </row>
    <row r="549" spans="1:2" ht="15.75" thickBot="1" x14ac:dyDescent="0.3">
      <c r="A549" s="30"/>
      <c r="B549" s="29"/>
    </row>
    <row r="550" spans="1:2" ht="15.75" thickBot="1" x14ac:dyDescent="0.3">
      <c r="A550" s="30"/>
      <c r="B550" s="29"/>
    </row>
    <row r="551" spans="1:2" ht="15.75" thickBot="1" x14ac:dyDescent="0.3">
      <c r="A551" s="30"/>
      <c r="B551" s="29"/>
    </row>
    <row r="552" spans="1:2" ht="15.75" thickBot="1" x14ac:dyDescent="0.3">
      <c r="A552" s="30"/>
      <c r="B552" s="29"/>
    </row>
    <row r="553" spans="1:2" ht="15.75" thickBot="1" x14ac:dyDescent="0.3">
      <c r="A553" s="30"/>
      <c r="B553" s="29"/>
    </row>
    <row r="554" spans="1:2" ht="15.75" thickBot="1" x14ac:dyDescent="0.3">
      <c r="A554" s="30"/>
      <c r="B554" s="29"/>
    </row>
    <row r="555" spans="1:2" ht="15.75" thickBot="1" x14ac:dyDescent="0.3">
      <c r="A555" s="30"/>
      <c r="B555" s="29"/>
    </row>
    <row r="556" spans="1:2" ht="15.75" thickBot="1" x14ac:dyDescent="0.3">
      <c r="A556" s="30"/>
      <c r="B556" s="29"/>
    </row>
    <row r="557" spans="1:2" ht="15.75" thickBot="1" x14ac:dyDescent="0.3">
      <c r="A557" s="30"/>
      <c r="B557" s="29"/>
    </row>
    <row r="558" spans="1:2" ht="15.75" thickBot="1" x14ac:dyDescent="0.3">
      <c r="A558" s="30"/>
      <c r="B558" s="29"/>
    </row>
    <row r="559" spans="1:2" ht="15.75" thickBot="1" x14ac:dyDescent="0.3">
      <c r="A559" s="30"/>
      <c r="B559" s="29"/>
    </row>
    <row r="560" spans="1:2" ht="15.75" thickBot="1" x14ac:dyDescent="0.3">
      <c r="A560" s="30"/>
      <c r="B560" s="29"/>
    </row>
    <row r="561" spans="1:2" ht="15.75" thickBot="1" x14ac:dyDescent="0.3">
      <c r="A561" s="30"/>
      <c r="B561" s="29"/>
    </row>
    <row r="562" spans="1:2" ht="15.75" thickBot="1" x14ac:dyDescent="0.3">
      <c r="A562" s="30"/>
      <c r="B562" s="29"/>
    </row>
    <row r="563" spans="1:2" ht="15.75" thickBot="1" x14ac:dyDescent="0.3">
      <c r="A563" s="30"/>
      <c r="B563" s="29"/>
    </row>
    <row r="564" spans="1:2" ht="15.75" thickBot="1" x14ac:dyDescent="0.3">
      <c r="A564" s="30"/>
      <c r="B564" s="29"/>
    </row>
    <row r="565" spans="1:2" ht="15.75" thickBot="1" x14ac:dyDescent="0.3">
      <c r="A565" s="30"/>
      <c r="B565" s="29"/>
    </row>
    <row r="566" spans="1:2" ht="15.75" thickBot="1" x14ac:dyDescent="0.3">
      <c r="A566" s="30"/>
      <c r="B566" s="29"/>
    </row>
    <row r="567" spans="1:2" ht="15.75" thickBot="1" x14ac:dyDescent="0.3">
      <c r="A567" s="30"/>
      <c r="B567" s="29"/>
    </row>
    <row r="568" spans="1:2" ht="15.75" thickBot="1" x14ac:dyDescent="0.3">
      <c r="A568" s="30"/>
      <c r="B568" s="29"/>
    </row>
    <row r="569" spans="1:2" ht="15.75" thickBot="1" x14ac:dyDescent="0.3">
      <c r="A569" s="30"/>
      <c r="B569" s="29"/>
    </row>
    <row r="570" spans="1:2" ht="15.75" thickBot="1" x14ac:dyDescent="0.3">
      <c r="A570" s="30"/>
      <c r="B570" s="29"/>
    </row>
    <row r="571" spans="1:2" ht="15.75" thickBot="1" x14ac:dyDescent="0.3">
      <c r="A571" s="30"/>
      <c r="B571" s="29"/>
    </row>
    <row r="572" spans="1:2" ht="15.75" thickBot="1" x14ac:dyDescent="0.3">
      <c r="A572" s="30"/>
      <c r="B572" s="29"/>
    </row>
    <row r="573" spans="1:2" ht="15.75" thickBot="1" x14ac:dyDescent="0.3">
      <c r="A573" s="30"/>
      <c r="B573" s="29"/>
    </row>
    <row r="574" spans="1:2" ht="15.75" thickBot="1" x14ac:dyDescent="0.3">
      <c r="A574" s="30"/>
      <c r="B574" s="29"/>
    </row>
    <row r="575" spans="1:2" ht="15.75" thickBot="1" x14ac:dyDescent="0.3">
      <c r="A575" s="30"/>
      <c r="B575" s="29"/>
    </row>
    <row r="576" spans="1:2" ht="15.75" thickBot="1" x14ac:dyDescent="0.3">
      <c r="A576" s="30"/>
      <c r="B576" s="29"/>
    </row>
    <row r="577" spans="1:2" ht="15.75" thickBot="1" x14ac:dyDescent="0.3">
      <c r="A577" s="30"/>
      <c r="B577" s="29"/>
    </row>
    <row r="578" spans="1:2" ht="15.75" thickBot="1" x14ac:dyDescent="0.3">
      <c r="A578" s="30"/>
      <c r="B578" s="29"/>
    </row>
    <row r="579" spans="1:2" ht="15.75" thickBot="1" x14ac:dyDescent="0.3">
      <c r="A579" s="30"/>
      <c r="B579" s="29"/>
    </row>
    <row r="580" spans="1:2" ht="15.75" thickBot="1" x14ac:dyDescent="0.3">
      <c r="A580" s="30"/>
      <c r="B580" s="29"/>
    </row>
    <row r="581" spans="1:2" ht="15.75" thickBot="1" x14ac:dyDescent="0.3">
      <c r="A581" s="30"/>
      <c r="B581" s="29"/>
    </row>
    <row r="582" spans="1:2" ht="15.75" thickBot="1" x14ac:dyDescent="0.3">
      <c r="A582" s="30"/>
      <c r="B582" s="29"/>
    </row>
    <row r="583" spans="1:2" ht="15.75" thickBot="1" x14ac:dyDescent="0.3">
      <c r="A583" s="30"/>
      <c r="B583" s="29"/>
    </row>
    <row r="584" spans="1:2" ht="15.75" thickBot="1" x14ac:dyDescent="0.3">
      <c r="A584" s="30"/>
      <c r="B584" s="29"/>
    </row>
    <row r="585" spans="1:2" ht="15.75" thickBot="1" x14ac:dyDescent="0.3">
      <c r="A585" s="30"/>
      <c r="B585" s="29"/>
    </row>
    <row r="586" spans="1:2" ht="15.75" thickBot="1" x14ac:dyDescent="0.3">
      <c r="A586" s="30"/>
      <c r="B586" s="29"/>
    </row>
    <row r="587" spans="1:2" ht="15.75" thickBot="1" x14ac:dyDescent="0.3">
      <c r="A587" s="30"/>
      <c r="B587" s="29"/>
    </row>
    <row r="588" spans="1:2" ht="15.75" thickBot="1" x14ac:dyDescent="0.3">
      <c r="A588" s="30"/>
      <c r="B588" s="29"/>
    </row>
    <row r="589" spans="1:2" ht="15.75" thickBot="1" x14ac:dyDescent="0.3">
      <c r="A589" s="30"/>
      <c r="B589" s="29"/>
    </row>
    <row r="590" spans="1:2" ht="15.75" thickBot="1" x14ac:dyDescent="0.3">
      <c r="A590" s="30"/>
      <c r="B590" s="29"/>
    </row>
    <row r="591" spans="1:2" ht="15.75" thickBot="1" x14ac:dyDescent="0.3">
      <c r="A591" s="30"/>
      <c r="B591" s="29"/>
    </row>
    <row r="592" spans="1:2" ht="15.75" thickBot="1" x14ac:dyDescent="0.3">
      <c r="A592" s="30"/>
      <c r="B592" s="29"/>
    </row>
    <row r="593" spans="1:2" ht="15.75" thickBot="1" x14ac:dyDescent="0.3">
      <c r="A593" s="30"/>
      <c r="B593" s="29"/>
    </row>
    <row r="594" spans="1:2" ht="15.75" thickBot="1" x14ac:dyDescent="0.3">
      <c r="A594" s="30"/>
      <c r="B594" s="29"/>
    </row>
    <row r="595" spans="1:2" ht="15.75" thickBot="1" x14ac:dyDescent="0.3">
      <c r="A595" s="30"/>
      <c r="B595" s="29"/>
    </row>
    <row r="596" spans="1:2" ht="15.75" thickBot="1" x14ac:dyDescent="0.3">
      <c r="A596" s="30"/>
      <c r="B596" s="29"/>
    </row>
    <row r="597" spans="1:2" ht="15.75" thickBot="1" x14ac:dyDescent="0.3">
      <c r="A597" s="30"/>
      <c r="B597" s="29"/>
    </row>
    <row r="598" spans="1:2" ht="15.75" thickBot="1" x14ac:dyDescent="0.3">
      <c r="A598" s="30"/>
      <c r="B598" s="29"/>
    </row>
    <row r="599" spans="1:2" ht="15.75" thickBot="1" x14ac:dyDescent="0.3">
      <c r="A599" s="30"/>
      <c r="B599" s="29"/>
    </row>
    <row r="600" spans="1:2" ht="15.75" thickBot="1" x14ac:dyDescent="0.3">
      <c r="A600" s="30"/>
      <c r="B600" s="29"/>
    </row>
    <row r="601" spans="1:2" ht="15.75" thickBot="1" x14ac:dyDescent="0.3">
      <c r="A601" s="30"/>
      <c r="B601" s="29"/>
    </row>
    <row r="602" spans="1:2" ht="15.75" thickBot="1" x14ac:dyDescent="0.3">
      <c r="A602" s="30"/>
      <c r="B602" s="29"/>
    </row>
    <row r="603" spans="1:2" ht="15.75" thickBot="1" x14ac:dyDescent="0.3">
      <c r="A603" s="30"/>
      <c r="B603" s="29"/>
    </row>
    <row r="604" spans="1:2" ht="15.75" thickBot="1" x14ac:dyDescent="0.3">
      <c r="A604" s="30"/>
      <c r="B604" s="29"/>
    </row>
    <row r="605" spans="1:2" ht="15.75" thickBot="1" x14ac:dyDescent="0.3">
      <c r="A605" s="30"/>
      <c r="B605" s="29"/>
    </row>
    <row r="606" spans="1:2" ht="15.75" thickBot="1" x14ac:dyDescent="0.3">
      <c r="A606" s="30"/>
      <c r="B606" s="29"/>
    </row>
    <row r="607" spans="1:2" ht="15.75" thickBot="1" x14ac:dyDescent="0.3">
      <c r="A607" s="30"/>
      <c r="B607" s="29"/>
    </row>
    <row r="608" spans="1:2" ht="15.75" thickBot="1" x14ac:dyDescent="0.3">
      <c r="A608" s="30"/>
      <c r="B608" s="29"/>
    </row>
    <row r="609" spans="1:2" ht="15.75" thickBot="1" x14ac:dyDescent="0.3">
      <c r="A609" s="30"/>
      <c r="B609" s="29"/>
    </row>
    <row r="610" spans="1:2" ht="15.75" thickBot="1" x14ac:dyDescent="0.3">
      <c r="A610" s="30"/>
      <c r="B610" s="29"/>
    </row>
    <row r="611" spans="1:2" ht="15.75" thickBot="1" x14ac:dyDescent="0.3">
      <c r="A611" s="30"/>
      <c r="B611" s="29"/>
    </row>
    <row r="612" spans="1:2" ht="15.75" thickBot="1" x14ac:dyDescent="0.3">
      <c r="A612" s="30"/>
      <c r="B612" s="29"/>
    </row>
    <row r="613" spans="1:2" ht="15.75" thickBot="1" x14ac:dyDescent="0.3">
      <c r="A613" s="30"/>
      <c r="B613" s="29"/>
    </row>
    <row r="614" spans="1:2" ht="15.75" thickBot="1" x14ac:dyDescent="0.3">
      <c r="A614" s="30"/>
      <c r="B614" s="29"/>
    </row>
    <row r="615" spans="1:2" ht="15.75" thickBot="1" x14ac:dyDescent="0.3">
      <c r="A615" s="30"/>
      <c r="B615" s="29"/>
    </row>
    <row r="616" spans="1:2" ht="15.75" thickBot="1" x14ac:dyDescent="0.3">
      <c r="A616" s="30"/>
      <c r="B616" s="29"/>
    </row>
    <row r="617" spans="1:2" ht="15.75" thickBot="1" x14ac:dyDescent="0.3">
      <c r="A617" s="30"/>
      <c r="B617" s="29"/>
    </row>
    <row r="618" spans="1:2" ht="15.75" thickBot="1" x14ac:dyDescent="0.3">
      <c r="A618" s="30"/>
      <c r="B618" s="29"/>
    </row>
    <row r="619" spans="1:2" ht="15.75" thickBot="1" x14ac:dyDescent="0.3">
      <c r="A619" s="30"/>
      <c r="B619" s="29"/>
    </row>
    <row r="620" spans="1:2" ht="15.75" thickBot="1" x14ac:dyDescent="0.3">
      <c r="A620" s="30"/>
      <c r="B620" s="29"/>
    </row>
    <row r="621" spans="1:2" ht="15.75" thickBot="1" x14ac:dyDescent="0.3">
      <c r="A621" s="30"/>
      <c r="B621" s="29"/>
    </row>
    <row r="622" spans="1:2" ht="15.75" thickBot="1" x14ac:dyDescent="0.3">
      <c r="A622" s="30"/>
      <c r="B622" s="29"/>
    </row>
    <row r="623" spans="1:2" ht="15.75" thickBot="1" x14ac:dyDescent="0.3">
      <c r="A623" s="30"/>
      <c r="B623" s="29"/>
    </row>
    <row r="624" spans="1:2" ht="15.75" thickBot="1" x14ac:dyDescent="0.3">
      <c r="A624" s="30"/>
      <c r="B624" s="29"/>
    </row>
    <row r="625" spans="1:2" ht="15.75" thickBot="1" x14ac:dyDescent="0.3">
      <c r="A625" s="30"/>
      <c r="B625" s="29"/>
    </row>
    <row r="626" spans="1:2" ht="15.75" thickBot="1" x14ac:dyDescent="0.3">
      <c r="A626" s="30"/>
      <c r="B626" s="29"/>
    </row>
    <row r="627" spans="1:2" ht="15.75" thickBot="1" x14ac:dyDescent="0.3">
      <c r="A627" s="30"/>
      <c r="B627" s="29"/>
    </row>
    <row r="628" spans="1:2" ht="15.75" thickBot="1" x14ac:dyDescent="0.3">
      <c r="A628" s="30"/>
      <c r="B628" s="29"/>
    </row>
    <row r="629" spans="1:2" ht="15.75" thickBot="1" x14ac:dyDescent="0.3">
      <c r="A629" s="30"/>
      <c r="B629" s="29"/>
    </row>
    <row r="630" spans="1:2" ht="15.75" thickBot="1" x14ac:dyDescent="0.3">
      <c r="A630" s="30"/>
      <c r="B630" s="29"/>
    </row>
    <row r="631" spans="1:2" ht="15.75" thickBot="1" x14ac:dyDescent="0.3">
      <c r="A631" s="30"/>
      <c r="B631" s="29"/>
    </row>
    <row r="632" spans="1:2" ht="15.75" thickBot="1" x14ac:dyDescent="0.3">
      <c r="A632" s="30"/>
      <c r="B632" s="29"/>
    </row>
    <row r="633" spans="1:2" ht="15.75" thickBot="1" x14ac:dyDescent="0.3">
      <c r="A633" s="30"/>
      <c r="B633" s="29"/>
    </row>
    <row r="634" spans="1:2" ht="15.75" thickBot="1" x14ac:dyDescent="0.3">
      <c r="A634" s="30"/>
      <c r="B634" s="29"/>
    </row>
    <row r="635" spans="1:2" ht="15.75" thickBot="1" x14ac:dyDescent="0.3">
      <c r="A635" s="30"/>
      <c r="B635" s="29"/>
    </row>
    <row r="636" spans="1:2" ht="15.75" thickBot="1" x14ac:dyDescent="0.3">
      <c r="A636" s="30"/>
      <c r="B636" s="29"/>
    </row>
    <row r="637" spans="1:2" ht="15.75" thickBot="1" x14ac:dyDescent="0.3">
      <c r="A637" s="30"/>
      <c r="B637" s="29"/>
    </row>
    <row r="638" spans="1:2" ht="15.75" thickBot="1" x14ac:dyDescent="0.3">
      <c r="A638" s="30"/>
      <c r="B638" s="29"/>
    </row>
    <row r="639" spans="1:2" ht="15.75" thickBot="1" x14ac:dyDescent="0.3">
      <c r="A639" s="30"/>
      <c r="B639" s="29"/>
    </row>
    <row r="640" spans="1:2" ht="15.75" thickBot="1" x14ac:dyDescent="0.3">
      <c r="A640" s="30"/>
      <c r="B640" s="29"/>
    </row>
    <row r="641" spans="1:2" ht="15.75" thickBot="1" x14ac:dyDescent="0.3">
      <c r="A641" s="30"/>
      <c r="B641" s="29"/>
    </row>
    <row r="642" spans="1:2" ht="15.75" thickBot="1" x14ac:dyDescent="0.3">
      <c r="A642" s="30"/>
      <c r="B642" s="29"/>
    </row>
    <row r="643" spans="1:2" ht="15.75" thickBot="1" x14ac:dyDescent="0.3">
      <c r="A643" s="30"/>
      <c r="B643" s="29"/>
    </row>
    <row r="644" spans="1:2" ht="15.75" thickBot="1" x14ac:dyDescent="0.3">
      <c r="A644" s="30"/>
      <c r="B644" s="29"/>
    </row>
    <row r="645" spans="1:2" ht="15.75" thickBot="1" x14ac:dyDescent="0.3">
      <c r="A645" s="30"/>
      <c r="B645" s="29"/>
    </row>
    <row r="646" spans="1:2" ht="15.75" thickBot="1" x14ac:dyDescent="0.3">
      <c r="A646" s="30"/>
      <c r="B646" s="29"/>
    </row>
    <row r="647" spans="1:2" ht="15.75" thickBot="1" x14ac:dyDescent="0.3">
      <c r="A647" s="30"/>
      <c r="B647" s="29"/>
    </row>
    <row r="648" spans="1:2" ht="15.75" thickBot="1" x14ac:dyDescent="0.3">
      <c r="A648" s="30"/>
      <c r="B648" s="29"/>
    </row>
    <row r="649" spans="1:2" ht="15.75" thickBot="1" x14ac:dyDescent="0.3">
      <c r="A649" s="30"/>
      <c r="B649" s="29"/>
    </row>
    <row r="650" spans="1:2" ht="15.75" thickBot="1" x14ac:dyDescent="0.3">
      <c r="A650" s="30"/>
      <c r="B650" s="29"/>
    </row>
    <row r="651" spans="1:2" ht="15.75" thickBot="1" x14ac:dyDescent="0.3">
      <c r="A651" s="30"/>
      <c r="B651" s="29"/>
    </row>
    <row r="652" spans="1:2" ht="15.75" thickBot="1" x14ac:dyDescent="0.3">
      <c r="A652" s="30"/>
      <c r="B652" s="29"/>
    </row>
    <row r="653" spans="1:2" ht="15.75" thickBot="1" x14ac:dyDescent="0.3">
      <c r="A653" s="30"/>
      <c r="B653" s="29"/>
    </row>
    <row r="654" spans="1:2" ht="15.75" thickBot="1" x14ac:dyDescent="0.3">
      <c r="A654" s="30"/>
      <c r="B654" s="29"/>
    </row>
    <row r="655" spans="1:2" ht="15.75" thickBot="1" x14ac:dyDescent="0.3">
      <c r="A655" s="30"/>
      <c r="B655" s="29"/>
    </row>
    <row r="656" spans="1:2" ht="15.75" thickBot="1" x14ac:dyDescent="0.3">
      <c r="A656" s="30"/>
      <c r="B656" s="29"/>
    </row>
    <row r="657" spans="1:2" ht="15.75" thickBot="1" x14ac:dyDescent="0.3">
      <c r="A657" s="30"/>
      <c r="B657" s="29"/>
    </row>
    <row r="658" spans="1:2" ht="15.75" thickBot="1" x14ac:dyDescent="0.3">
      <c r="A658" s="30"/>
      <c r="B658" s="29"/>
    </row>
    <row r="659" spans="1:2" ht="15.75" thickBot="1" x14ac:dyDescent="0.3">
      <c r="A659" s="30"/>
      <c r="B659" s="29"/>
    </row>
    <row r="660" spans="1:2" ht="15.75" thickBot="1" x14ac:dyDescent="0.3">
      <c r="A660" s="30"/>
      <c r="B660" s="29"/>
    </row>
    <row r="661" spans="1:2" ht="15.75" thickBot="1" x14ac:dyDescent="0.3">
      <c r="A661" s="30"/>
      <c r="B661" s="29"/>
    </row>
    <row r="662" spans="1:2" ht="15.75" thickBot="1" x14ac:dyDescent="0.3">
      <c r="A662" s="30"/>
      <c r="B662" s="29"/>
    </row>
    <row r="663" spans="1:2" ht="15.75" thickBot="1" x14ac:dyDescent="0.3">
      <c r="A663" s="30"/>
      <c r="B663" s="29"/>
    </row>
    <row r="664" spans="1:2" ht="15.75" thickBot="1" x14ac:dyDescent="0.3">
      <c r="A664" s="30"/>
      <c r="B664" s="29"/>
    </row>
    <row r="665" spans="1:2" ht="15.75" thickBot="1" x14ac:dyDescent="0.3">
      <c r="A665" s="30"/>
      <c r="B665" s="29"/>
    </row>
    <row r="666" spans="1:2" ht="15.75" thickBot="1" x14ac:dyDescent="0.3">
      <c r="A666" s="30"/>
      <c r="B666" s="29"/>
    </row>
    <row r="667" spans="1:2" ht="15.75" thickBot="1" x14ac:dyDescent="0.3">
      <c r="A667" s="30"/>
      <c r="B667" s="29"/>
    </row>
    <row r="668" spans="1:2" ht="15.75" thickBot="1" x14ac:dyDescent="0.3">
      <c r="A668" s="30"/>
      <c r="B668" s="29"/>
    </row>
    <row r="669" spans="1:2" ht="15.75" thickBot="1" x14ac:dyDescent="0.3">
      <c r="A669" s="30"/>
      <c r="B669" s="29"/>
    </row>
    <row r="670" spans="1:2" ht="15.75" thickBot="1" x14ac:dyDescent="0.3">
      <c r="A670" s="30"/>
      <c r="B670" s="29"/>
    </row>
    <row r="671" spans="1:2" ht="15.75" thickBot="1" x14ac:dyDescent="0.3">
      <c r="A671" s="30"/>
      <c r="B671" s="29"/>
    </row>
    <row r="672" spans="1:2" ht="15.75" thickBot="1" x14ac:dyDescent="0.3">
      <c r="A672" s="30"/>
      <c r="B672" s="29"/>
    </row>
    <row r="673" spans="1:2" ht="15.75" thickBot="1" x14ac:dyDescent="0.3">
      <c r="A673" s="30"/>
      <c r="B673" s="29"/>
    </row>
    <row r="674" spans="1:2" ht="15.75" thickBot="1" x14ac:dyDescent="0.3">
      <c r="A674" s="30"/>
      <c r="B674" s="29"/>
    </row>
    <row r="675" spans="1:2" ht="15.75" thickBot="1" x14ac:dyDescent="0.3">
      <c r="A675" s="30"/>
      <c r="B675" s="29"/>
    </row>
    <row r="676" spans="1:2" ht="15.75" thickBot="1" x14ac:dyDescent="0.3">
      <c r="A676" s="30"/>
      <c r="B676" s="29"/>
    </row>
    <row r="677" spans="1:2" ht="15.75" thickBot="1" x14ac:dyDescent="0.3">
      <c r="A677" s="30"/>
      <c r="B677" s="29"/>
    </row>
    <row r="678" spans="1:2" ht="15.75" thickBot="1" x14ac:dyDescent="0.3">
      <c r="A678" s="30"/>
      <c r="B678" s="29"/>
    </row>
    <row r="679" spans="1:2" ht="15.75" thickBot="1" x14ac:dyDescent="0.3">
      <c r="A679" s="30"/>
      <c r="B679" s="29"/>
    </row>
    <row r="680" spans="1:2" ht="15.75" thickBot="1" x14ac:dyDescent="0.3">
      <c r="A680" s="30"/>
      <c r="B680" s="29"/>
    </row>
    <row r="681" spans="1:2" ht="15.75" thickBot="1" x14ac:dyDescent="0.3">
      <c r="A681" s="30"/>
      <c r="B681" s="29"/>
    </row>
    <row r="682" spans="1:2" ht="15.75" thickBot="1" x14ac:dyDescent="0.3">
      <c r="A682" s="30"/>
      <c r="B682" s="29"/>
    </row>
    <row r="683" spans="1:2" ht="15.75" thickBot="1" x14ac:dyDescent="0.3">
      <c r="A683" s="30"/>
      <c r="B683" s="29"/>
    </row>
    <row r="684" spans="1:2" ht="15.75" thickBot="1" x14ac:dyDescent="0.3">
      <c r="A684" s="30"/>
      <c r="B684" s="29"/>
    </row>
    <row r="685" spans="1:2" ht="15.75" thickBot="1" x14ac:dyDescent="0.3">
      <c r="A685" s="30"/>
      <c r="B685" s="29"/>
    </row>
    <row r="686" spans="1:2" ht="15.75" thickBot="1" x14ac:dyDescent="0.3">
      <c r="A686" s="30"/>
      <c r="B686" s="29"/>
    </row>
    <row r="687" spans="1:2" ht="15.75" thickBot="1" x14ac:dyDescent="0.3">
      <c r="A687" s="30"/>
      <c r="B687" s="29"/>
    </row>
    <row r="688" spans="1:2" ht="15.75" thickBot="1" x14ac:dyDescent="0.3">
      <c r="A688" s="30"/>
      <c r="B688" s="29"/>
    </row>
    <row r="689" spans="1:2" ht="15.75" thickBot="1" x14ac:dyDescent="0.3">
      <c r="A689" s="30"/>
      <c r="B689" s="29"/>
    </row>
    <row r="690" spans="1:2" ht="15.75" thickBot="1" x14ac:dyDescent="0.3">
      <c r="A690" s="30"/>
      <c r="B690" s="29"/>
    </row>
    <row r="691" spans="1:2" ht="15.75" thickBot="1" x14ac:dyDescent="0.3">
      <c r="A691" s="30"/>
      <c r="B691" s="29"/>
    </row>
    <row r="692" spans="1:2" ht="15.75" thickBot="1" x14ac:dyDescent="0.3">
      <c r="A692" s="30"/>
      <c r="B692" s="29"/>
    </row>
    <row r="693" spans="1:2" ht="15.75" thickBot="1" x14ac:dyDescent="0.3">
      <c r="A693" s="30"/>
      <c r="B693" s="29"/>
    </row>
    <row r="694" spans="1:2" ht="15.75" thickBot="1" x14ac:dyDescent="0.3">
      <c r="A694" s="30"/>
      <c r="B694" s="29"/>
    </row>
    <row r="695" spans="1:2" ht="15.75" thickBot="1" x14ac:dyDescent="0.3">
      <c r="A695" s="30"/>
      <c r="B695" s="29"/>
    </row>
    <row r="696" spans="1:2" ht="15.75" thickBot="1" x14ac:dyDescent="0.3">
      <c r="A696" s="30"/>
      <c r="B696" s="29"/>
    </row>
    <row r="697" spans="1:2" ht="15.75" thickBot="1" x14ac:dyDescent="0.3">
      <c r="A697" s="30"/>
      <c r="B697" s="29"/>
    </row>
    <row r="698" spans="1:2" ht="15.75" thickBot="1" x14ac:dyDescent="0.3">
      <c r="A698" s="30"/>
      <c r="B698" s="29"/>
    </row>
    <row r="699" spans="1:2" ht="15.75" thickBot="1" x14ac:dyDescent="0.3">
      <c r="A699" s="30"/>
      <c r="B699" s="29"/>
    </row>
    <row r="700" spans="1:2" ht="15.75" thickBot="1" x14ac:dyDescent="0.3">
      <c r="A700" s="30"/>
      <c r="B700" s="29"/>
    </row>
    <row r="701" spans="1:2" ht="15.75" thickBot="1" x14ac:dyDescent="0.3">
      <c r="A701" s="30"/>
      <c r="B701" s="29"/>
    </row>
    <row r="702" spans="1:2" ht="15.75" thickBot="1" x14ac:dyDescent="0.3">
      <c r="A702" s="30"/>
      <c r="B702" s="29"/>
    </row>
    <row r="703" spans="1:2" ht="15.75" thickBot="1" x14ac:dyDescent="0.3">
      <c r="A703" s="30"/>
      <c r="B703" s="29"/>
    </row>
    <row r="704" spans="1:2" ht="15.75" thickBot="1" x14ac:dyDescent="0.3">
      <c r="A704" s="30"/>
      <c r="B704" s="29"/>
    </row>
    <row r="705" spans="1:2" ht="15.75" thickBot="1" x14ac:dyDescent="0.3">
      <c r="A705" s="30"/>
      <c r="B705" s="29"/>
    </row>
    <row r="706" spans="1:2" ht="15.75" thickBot="1" x14ac:dyDescent="0.3">
      <c r="A706" s="30"/>
      <c r="B706" s="29"/>
    </row>
    <row r="707" spans="1:2" ht="15.75" thickBot="1" x14ac:dyDescent="0.3">
      <c r="A707" s="30"/>
      <c r="B707" s="29"/>
    </row>
    <row r="708" spans="1:2" ht="15.75" thickBot="1" x14ac:dyDescent="0.3">
      <c r="A708" s="30"/>
      <c r="B708" s="29"/>
    </row>
    <row r="709" spans="1:2" ht="15.75" thickBot="1" x14ac:dyDescent="0.3">
      <c r="A709" s="30"/>
      <c r="B709" s="29"/>
    </row>
    <row r="710" spans="1:2" ht="15.75" thickBot="1" x14ac:dyDescent="0.3">
      <c r="A710" s="30"/>
      <c r="B710" s="29"/>
    </row>
    <row r="711" spans="1:2" ht="15.75" thickBot="1" x14ac:dyDescent="0.3">
      <c r="A711" s="30"/>
      <c r="B711" s="29"/>
    </row>
    <row r="712" spans="1:2" ht="15.75" thickBot="1" x14ac:dyDescent="0.3">
      <c r="A712" s="30"/>
      <c r="B712" s="29"/>
    </row>
    <row r="713" spans="1:2" ht="15.75" thickBot="1" x14ac:dyDescent="0.3">
      <c r="A713" s="30"/>
      <c r="B713" s="29"/>
    </row>
    <row r="714" spans="1:2" ht="15.75" thickBot="1" x14ac:dyDescent="0.3">
      <c r="A714" s="30"/>
      <c r="B714" s="29"/>
    </row>
    <row r="715" spans="1:2" ht="15.75" thickBot="1" x14ac:dyDescent="0.3">
      <c r="A715" s="30"/>
      <c r="B715" s="29"/>
    </row>
    <row r="716" spans="1:2" ht="15.75" thickBot="1" x14ac:dyDescent="0.3">
      <c r="A716" s="30"/>
      <c r="B716" s="29"/>
    </row>
    <row r="717" spans="1:2" ht="15.75" thickBot="1" x14ac:dyDescent="0.3">
      <c r="A717" s="30"/>
      <c r="B717" s="29"/>
    </row>
    <row r="718" spans="1:2" ht="15.75" thickBot="1" x14ac:dyDescent="0.3">
      <c r="A718" s="30"/>
      <c r="B718" s="29"/>
    </row>
    <row r="719" spans="1:2" ht="15.75" thickBot="1" x14ac:dyDescent="0.3">
      <c r="A719" s="30"/>
      <c r="B719" s="29"/>
    </row>
    <row r="720" spans="1:2" ht="15.75" thickBot="1" x14ac:dyDescent="0.3">
      <c r="A720" s="30"/>
      <c r="B720" s="29"/>
    </row>
    <row r="721" spans="1:2" ht="15.75" thickBot="1" x14ac:dyDescent="0.3">
      <c r="A721" s="30"/>
      <c r="B721" s="29"/>
    </row>
    <row r="722" spans="1:2" ht="15.75" thickBot="1" x14ac:dyDescent="0.3">
      <c r="A722" s="30"/>
      <c r="B722" s="29"/>
    </row>
    <row r="723" spans="1:2" ht="15.75" thickBot="1" x14ac:dyDescent="0.3">
      <c r="A723" s="30"/>
      <c r="B723" s="29"/>
    </row>
    <row r="724" spans="1:2" ht="15.75" thickBot="1" x14ac:dyDescent="0.3">
      <c r="A724" s="30"/>
      <c r="B724" s="29"/>
    </row>
    <row r="725" spans="1:2" ht="15.75" thickBot="1" x14ac:dyDescent="0.3">
      <c r="A725" s="30"/>
      <c r="B725" s="29"/>
    </row>
    <row r="726" spans="1:2" ht="15.75" thickBot="1" x14ac:dyDescent="0.3">
      <c r="A726" s="30"/>
      <c r="B726" s="29"/>
    </row>
    <row r="727" spans="1:2" ht="15.75" thickBot="1" x14ac:dyDescent="0.3">
      <c r="A727" s="30"/>
      <c r="B727" s="29"/>
    </row>
    <row r="728" spans="1:2" ht="15.75" thickBot="1" x14ac:dyDescent="0.3">
      <c r="A728" s="30"/>
      <c r="B728" s="29"/>
    </row>
    <row r="729" spans="1:2" ht="15.75" thickBot="1" x14ac:dyDescent="0.3">
      <c r="A729" s="30"/>
      <c r="B729" s="29"/>
    </row>
    <row r="730" spans="1:2" ht="15.75" thickBot="1" x14ac:dyDescent="0.3">
      <c r="A730" s="30"/>
      <c r="B730" s="29"/>
    </row>
    <row r="731" spans="1:2" ht="15.75" thickBot="1" x14ac:dyDescent="0.3">
      <c r="A731" s="30"/>
      <c r="B731" s="29"/>
    </row>
    <row r="732" spans="1:2" ht="15.75" thickBot="1" x14ac:dyDescent="0.3">
      <c r="A732" s="30"/>
      <c r="B732" s="29"/>
    </row>
    <row r="733" spans="1:2" ht="15.75" thickBot="1" x14ac:dyDescent="0.3">
      <c r="A733" s="30"/>
      <c r="B733" s="29"/>
    </row>
    <row r="734" spans="1:2" ht="15.75" thickBot="1" x14ac:dyDescent="0.3">
      <c r="A734" s="30"/>
      <c r="B734" s="29"/>
    </row>
    <row r="735" spans="1:2" ht="15.75" thickBot="1" x14ac:dyDescent="0.3">
      <c r="A735" s="30"/>
      <c r="B735" s="29"/>
    </row>
    <row r="736" spans="1:2" ht="15.75" thickBot="1" x14ac:dyDescent="0.3">
      <c r="A736" s="30"/>
      <c r="B736" s="29"/>
    </row>
    <row r="737" spans="1:2" ht="15.75" thickBot="1" x14ac:dyDescent="0.3">
      <c r="A737" s="30"/>
      <c r="B737" s="29"/>
    </row>
    <row r="738" spans="1:2" ht="15.75" thickBot="1" x14ac:dyDescent="0.3">
      <c r="A738" s="30"/>
      <c r="B738" s="29"/>
    </row>
    <row r="739" spans="1:2" ht="15.75" thickBot="1" x14ac:dyDescent="0.3">
      <c r="A739" s="30"/>
      <c r="B739" s="29"/>
    </row>
    <row r="740" spans="1:2" ht="15.75" thickBot="1" x14ac:dyDescent="0.3">
      <c r="A740" s="30"/>
      <c r="B740" s="29"/>
    </row>
    <row r="741" spans="1:2" ht="15.75" thickBot="1" x14ac:dyDescent="0.3">
      <c r="A741" s="30"/>
      <c r="B741" s="29"/>
    </row>
    <row r="742" spans="1:2" ht="15.75" thickBot="1" x14ac:dyDescent="0.3">
      <c r="A742" s="30"/>
      <c r="B742" s="29"/>
    </row>
    <row r="743" spans="1:2" ht="15.75" thickBot="1" x14ac:dyDescent="0.3">
      <c r="A743" s="30"/>
      <c r="B743" s="29"/>
    </row>
    <row r="744" spans="1:2" ht="15.75" thickBot="1" x14ac:dyDescent="0.3">
      <c r="A744" s="30"/>
      <c r="B744" s="29"/>
    </row>
    <row r="745" spans="1:2" ht="15.75" thickBot="1" x14ac:dyDescent="0.3">
      <c r="A745" s="30"/>
      <c r="B745" s="29"/>
    </row>
    <row r="746" spans="1:2" ht="15.75" thickBot="1" x14ac:dyDescent="0.3">
      <c r="A746" s="30"/>
      <c r="B746" s="29"/>
    </row>
    <row r="747" spans="1:2" ht="15.75" thickBot="1" x14ac:dyDescent="0.3">
      <c r="A747" s="30"/>
      <c r="B747" s="29"/>
    </row>
    <row r="748" spans="1:2" ht="15.75" thickBot="1" x14ac:dyDescent="0.3">
      <c r="A748" s="30"/>
      <c r="B748" s="29"/>
    </row>
    <row r="749" spans="1:2" ht="15.75" thickBot="1" x14ac:dyDescent="0.3">
      <c r="A749" s="30"/>
      <c r="B749" s="29"/>
    </row>
    <row r="750" spans="1:2" ht="15.75" thickBot="1" x14ac:dyDescent="0.3">
      <c r="A750" s="30"/>
      <c r="B750" s="29"/>
    </row>
    <row r="751" spans="1:2" ht="15.75" thickBot="1" x14ac:dyDescent="0.3">
      <c r="A751" s="30"/>
      <c r="B751" s="29"/>
    </row>
    <row r="752" spans="1:2" ht="15.75" thickBot="1" x14ac:dyDescent="0.3">
      <c r="A752" s="30"/>
      <c r="B752" s="29"/>
    </row>
    <row r="753" spans="1:2" ht="15.75" thickBot="1" x14ac:dyDescent="0.3">
      <c r="A753" s="30"/>
      <c r="B753" s="29"/>
    </row>
    <row r="754" spans="1:2" ht="15.75" thickBot="1" x14ac:dyDescent="0.3">
      <c r="A754" s="30"/>
      <c r="B754" s="29"/>
    </row>
    <row r="755" spans="1:2" ht="15.75" thickBot="1" x14ac:dyDescent="0.3">
      <c r="A755" s="30"/>
      <c r="B755" s="29"/>
    </row>
    <row r="756" spans="1:2" ht="15.75" thickBot="1" x14ac:dyDescent="0.3">
      <c r="A756" s="30"/>
      <c r="B756" s="29"/>
    </row>
    <row r="757" spans="1:2" ht="15.75" thickBot="1" x14ac:dyDescent="0.3">
      <c r="A757" s="30"/>
      <c r="B757" s="29"/>
    </row>
    <row r="758" spans="1:2" ht="15.75" thickBot="1" x14ac:dyDescent="0.3">
      <c r="A758" s="30"/>
      <c r="B758" s="29"/>
    </row>
    <row r="759" spans="1:2" ht="15.75" thickBot="1" x14ac:dyDescent="0.3">
      <c r="A759" s="30"/>
      <c r="B759" s="29"/>
    </row>
    <row r="760" spans="1:2" ht="15.75" thickBot="1" x14ac:dyDescent="0.3">
      <c r="A760" s="30"/>
      <c r="B760" s="29"/>
    </row>
    <row r="761" spans="1:2" ht="15.75" thickBot="1" x14ac:dyDescent="0.3">
      <c r="A761" s="30"/>
      <c r="B761" s="29"/>
    </row>
    <row r="762" spans="1:2" ht="15.75" thickBot="1" x14ac:dyDescent="0.3">
      <c r="A762" s="30"/>
      <c r="B762" s="29"/>
    </row>
    <row r="763" spans="1:2" ht="15.75" thickBot="1" x14ac:dyDescent="0.3">
      <c r="A763" s="30"/>
      <c r="B763" s="29"/>
    </row>
    <row r="764" spans="1:2" ht="15.75" thickBot="1" x14ac:dyDescent="0.3">
      <c r="A764" s="30"/>
      <c r="B764" s="29"/>
    </row>
    <row r="765" spans="1:2" ht="15.75" thickBot="1" x14ac:dyDescent="0.3">
      <c r="A765" s="30"/>
      <c r="B765" s="29"/>
    </row>
    <row r="766" spans="1:2" ht="15.75" thickBot="1" x14ac:dyDescent="0.3">
      <c r="A766" s="30"/>
      <c r="B766" s="29"/>
    </row>
    <row r="767" spans="1:2" ht="15.75" thickBot="1" x14ac:dyDescent="0.3">
      <c r="A767" s="30"/>
      <c r="B767" s="29"/>
    </row>
    <row r="768" spans="1:2" ht="15.75" thickBot="1" x14ac:dyDescent="0.3">
      <c r="A768" s="30"/>
      <c r="B768" s="29"/>
    </row>
    <row r="769" spans="1:2" ht="15.75" thickBot="1" x14ac:dyDescent="0.3">
      <c r="A769" s="30"/>
      <c r="B769" s="29"/>
    </row>
    <row r="770" spans="1:2" ht="15.75" thickBot="1" x14ac:dyDescent="0.3">
      <c r="A770" s="30"/>
      <c r="B770" s="29"/>
    </row>
    <row r="771" spans="1:2" ht="15.75" thickBot="1" x14ac:dyDescent="0.3">
      <c r="A771" s="30"/>
      <c r="B771" s="29"/>
    </row>
    <row r="772" spans="1:2" ht="15.75" thickBot="1" x14ac:dyDescent="0.3">
      <c r="A772" s="30"/>
      <c r="B772" s="29"/>
    </row>
    <row r="773" spans="1:2" ht="15.75" thickBot="1" x14ac:dyDescent="0.3">
      <c r="A773" s="30"/>
      <c r="B773" s="29"/>
    </row>
    <row r="774" spans="1:2" ht="15.75" thickBot="1" x14ac:dyDescent="0.3">
      <c r="A774" s="30"/>
      <c r="B774" s="29"/>
    </row>
    <row r="775" spans="1:2" ht="15.75" thickBot="1" x14ac:dyDescent="0.3">
      <c r="A775" s="30"/>
      <c r="B775" s="29"/>
    </row>
    <row r="776" spans="1:2" ht="15.75" thickBot="1" x14ac:dyDescent="0.3">
      <c r="A776" s="30"/>
      <c r="B776" s="29"/>
    </row>
    <row r="777" spans="1:2" ht="15.75" thickBot="1" x14ac:dyDescent="0.3">
      <c r="A777" s="30"/>
      <c r="B777" s="29"/>
    </row>
    <row r="778" spans="1:2" ht="15.75" thickBot="1" x14ac:dyDescent="0.3">
      <c r="A778" s="30"/>
      <c r="B778" s="29"/>
    </row>
    <row r="779" spans="1:2" ht="15.75" thickBot="1" x14ac:dyDescent="0.3">
      <c r="A779" s="30"/>
      <c r="B779" s="29"/>
    </row>
    <row r="780" spans="1:2" ht="15.75" thickBot="1" x14ac:dyDescent="0.3">
      <c r="A780" s="30"/>
      <c r="B780" s="29"/>
    </row>
    <row r="781" spans="1:2" ht="15.75" thickBot="1" x14ac:dyDescent="0.3">
      <c r="A781" s="30"/>
      <c r="B781" s="29"/>
    </row>
    <row r="782" spans="1:2" ht="15.75" thickBot="1" x14ac:dyDescent="0.3">
      <c r="A782" s="30"/>
      <c r="B782" s="29"/>
    </row>
    <row r="783" spans="1:2" ht="15.75" thickBot="1" x14ac:dyDescent="0.3">
      <c r="A783" s="30"/>
      <c r="B783" s="29"/>
    </row>
    <row r="784" spans="1:2" ht="15.75" thickBot="1" x14ac:dyDescent="0.3">
      <c r="A784" s="30"/>
      <c r="B784" s="29"/>
    </row>
    <row r="785" spans="1:2" ht="15.75" thickBot="1" x14ac:dyDescent="0.3">
      <c r="A785" s="30"/>
      <c r="B785" s="29"/>
    </row>
    <row r="786" spans="1:2" ht="15.75" thickBot="1" x14ac:dyDescent="0.3">
      <c r="A786" s="30"/>
      <c r="B786" s="29"/>
    </row>
    <row r="787" spans="1:2" ht="15.75" thickBot="1" x14ac:dyDescent="0.3">
      <c r="A787" s="30"/>
      <c r="B787" s="29"/>
    </row>
    <row r="788" spans="1:2" ht="15.75" thickBot="1" x14ac:dyDescent="0.3">
      <c r="A788" s="30"/>
      <c r="B788" s="29"/>
    </row>
    <row r="789" spans="1:2" ht="15.75" thickBot="1" x14ac:dyDescent="0.3">
      <c r="A789" s="30"/>
      <c r="B789" s="29"/>
    </row>
    <row r="790" spans="1:2" ht="15.75" thickBot="1" x14ac:dyDescent="0.3">
      <c r="A790" s="30"/>
      <c r="B790" s="29"/>
    </row>
    <row r="791" spans="1:2" ht="15.75" thickBot="1" x14ac:dyDescent="0.3">
      <c r="A791" s="30"/>
      <c r="B791" s="29"/>
    </row>
    <row r="792" spans="1:2" ht="15.75" thickBot="1" x14ac:dyDescent="0.3">
      <c r="A792" s="30"/>
      <c r="B792" s="29"/>
    </row>
    <row r="793" spans="1:2" ht="15.75" thickBot="1" x14ac:dyDescent="0.3">
      <c r="A793" s="30"/>
      <c r="B793" s="29"/>
    </row>
    <row r="794" spans="1:2" ht="15.75" thickBot="1" x14ac:dyDescent="0.3">
      <c r="A794" s="30"/>
      <c r="B794" s="29"/>
    </row>
    <row r="795" spans="1:2" ht="15.75" thickBot="1" x14ac:dyDescent="0.3">
      <c r="A795" s="30"/>
      <c r="B795" s="29"/>
    </row>
    <row r="796" spans="1:2" ht="15.75" thickBot="1" x14ac:dyDescent="0.3">
      <c r="A796" s="30"/>
      <c r="B796" s="29"/>
    </row>
    <row r="797" spans="1:2" ht="15.75" thickBot="1" x14ac:dyDescent="0.3">
      <c r="A797" s="30"/>
      <c r="B797" s="29"/>
    </row>
    <row r="798" spans="1:2" ht="15.75" thickBot="1" x14ac:dyDescent="0.3">
      <c r="A798" s="30"/>
      <c r="B798" s="29"/>
    </row>
    <row r="799" spans="1:2" ht="15.75" thickBot="1" x14ac:dyDescent="0.3">
      <c r="A799" s="30"/>
      <c r="B799" s="29"/>
    </row>
    <row r="800" spans="1:2" ht="15.75" thickBot="1" x14ac:dyDescent="0.3">
      <c r="A800" s="30"/>
      <c r="B800" s="29"/>
    </row>
    <row r="801" spans="1:2" ht="15.75" thickBot="1" x14ac:dyDescent="0.3">
      <c r="A801" s="30"/>
      <c r="B801" s="29"/>
    </row>
    <row r="802" spans="1:2" ht="15.75" thickBot="1" x14ac:dyDescent="0.3">
      <c r="A802" s="30"/>
      <c r="B802" s="29"/>
    </row>
    <row r="803" spans="1:2" ht="15.75" thickBot="1" x14ac:dyDescent="0.3">
      <c r="A803" s="30"/>
      <c r="B803" s="29"/>
    </row>
    <row r="804" spans="1:2" ht="15.75" thickBot="1" x14ac:dyDescent="0.3">
      <c r="A804" s="30"/>
      <c r="B804" s="29"/>
    </row>
    <row r="805" spans="1:2" ht="15.75" thickBot="1" x14ac:dyDescent="0.3">
      <c r="A805" s="30"/>
      <c r="B805" s="29"/>
    </row>
    <row r="806" spans="1:2" ht="15.75" thickBot="1" x14ac:dyDescent="0.3">
      <c r="A806" s="30"/>
      <c r="B806" s="29"/>
    </row>
    <row r="807" spans="1:2" ht="15.75" thickBot="1" x14ac:dyDescent="0.3">
      <c r="A807" s="30"/>
      <c r="B807" s="29"/>
    </row>
    <row r="808" spans="1:2" ht="15.75" thickBot="1" x14ac:dyDescent="0.3">
      <c r="A808" s="30"/>
      <c r="B808" s="29"/>
    </row>
    <row r="809" spans="1:2" ht="15.75" thickBot="1" x14ac:dyDescent="0.3">
      <c r="A809" s="30"/>
      <c r="B809" s="29"/>
    </row>
    <row r="810" spans="1:2" ht="15.75" thickBot="1" x14ac:dyDescent="0.3">
      <c r="A810" s="30"/>
      <c r="B810" s="29"/>
    </row>
    <row r="811" spans="1:2" ht="15.75" thickBot="1" x14ac:dyDescent="0.3">
      <c r="A811" s="30"/>
      <c r="B811" s="29"/>
    </row>
    <row r="812" spans="1:2" ht="15.75" thickBot="1" x14ac:dyDescent="0.3">
      <c r="A812" s="30"/>
      <c r="B812" s="29"/>
    </row>
    <row r="813" spans="1:2" ht="15.75" thickBot="1" x14ac:dyDescent="0.3">
      <c r="A813" s="30"/>
      <c r="B813" s="29"/>
    </row>
    <row r="814" spans="1:2" ht="15.75" thickBot="1" x14ac:dyDescent="0.3">
      <c r="A814" s="30"/>
      <c r="B814" s="29"/>
    </row>
    <row r="815" spans="1:2" ht="15.75" thickBot="1" x14ac:dyDescent="0.3">
      <c r="A815" s="30"/>
      <c r="B815" s="29"/>
    </row>
    <row r="816" spans="1:2" ht="15.75" thickBot="1" x14ac:dyDescent="0.3">
      <c r="A816" s="30"/>
      <c r="B816" s="29"/>
    </row>
    <row r="817" spans="1:2" ht="15.75" thickBot="1" x14ac:dyDescent="0.3">
      <c r="A817" s="30"/>
      <c r="B817" s="29"/>
    </row>
    <row r="818" spans="1:2" ht="15.75" thickBot="1" x14ac:dyDescent="0.3">
      <c r="A818" s="30"/>
      <c r="B818" s="29"/>
    </row>
    <row r="819" spans="1:2" ht="15.75" thickBot="1" x14ac:dyDescent="0.3">
      <c r="A819" s="30"/>
      <c r="B819" s="29"/>
    </row>
    <row r="820" spans="1:2" ht="15.75" thickBot="1" x14ac:dyDescent="0.3">
      <c r="A820" s="30"/>
      <c r="B820" s="29"/>
    </row>
    <row r="821" spans="1:2" ht="15.75" thickBot="1" x14ac:dyDescent="0.3">
      <c r="A821" s="30"/>
      <c r="B821" s="29"/>
    </row>
    <row r="822" spans="1:2" ht="15.75" thickBot="1" x14ac:dyDescent="0.3">
      <c r="A822" s="30"/>
      <c r="B822" s="29"/>
    </row>
    <row r="823" spans="1:2" ht="15.75" thickBot="1" x14ac:dyDescent="0.3">
      <c r="A823" s="30"/>
      <c r="B823" s="29"/>
    </row>
    <row r="824" spans="1:2" ht="15.75" thickBot="1" x14ac:dyDescent="0.3">
      <c r="A824" s="30"/>
      <c r="B824" s="29"/>
    </row>
    <row r="825" spans="1:2" ht="15.75" thickBot="1" x14ac:dyDescent="0.3">
      <c r="A825" s="30"/>
      <c r="B825" s="29"/>
    </row>
    <row r="826" spans="1:2" ht="15.75" thickBot="1" x14ac:dyDescent="0.3">
      <c r="A826" s="30"/>
      <c r="B826" s="29"/>
    </row>
    <row r="827" spans="1:2" ht="15.75" thickBot="1" x14ac:dyDescent="0.3">
      <c r="A827" s="30"/>
      <c r="B827" s="29"/>
    </row>
    <row r="828" spans="1:2" ht="15.75" thickBot="1" x14ac:dyDescent="0.3">
      <c r="A828" s="30"/>
      <c r="B828" s="29"/>
    </row>
    <row r="829" spans="1:2" ht="15.75" thickBot="1" x14ac:dyDescent="0.3">
      <c r="A829" s="30"/>
      <c r="B829" s="29"/>
    </row>
    <row r="830" spans="1:2" ht="15.75" thickBot="1" x14ac:dyDescent="0.3">
      <c r="A830" s="30"/>
      <c r="B830" s="29"/>
    </row>
    <row r="831" spans="1:2" ht="15.75" thickBot="1" x14ac:dyDescent="0.3">
      <c r="A831" s="30"/>
      <c r="B831" s="29"/>
    </row>
    <row r="832" spans="1:2" ht="15.75" thickBot="1" x14ac:dyDescent="0.3">
      <c r="A832" s="30"/>
      <c r="B832" s="29"/>
    </row>
    <row r="833" spans="1:2" ht="15.75" thickBot="1" x14ac:dyDescent="0.3">
      <c r="A833" s="30"/>
      <c r="B833" s="29"/>
    </row>
    <row r="834" spans="1:2" ht="15.75" thickBot="1" x14ac:dyDescent="0.3">
      <c r="A834" s="30"/>
      <c r="B834" s="29"/>
    </row>
    <row r="835" spans="1:2" ht="15.75" thickBot="1" x14ac:dyDescent="0.3">
      <c r="A835" s="30"/>
      <c r="B835" s="29"/>
    </row>
    <row r="836" spans="1:2" ht="15.75" thickBot="1" x14ac:dyDescent="0.3">
      <c r="A836" s="30"/>
      <c r="B836" s="29"/>
    </row>
    <row r="837" spans="1:2" ht="15.75" thickBot="1" x14ac:dyDescent="0.3">
      <c r="A837" s="30"/>
      <c r="B837" s="29"/>
    </row>
    <row r="838" spans="1:2" ht="15.75" thickBot="1" x14ac:dyDescent="0.3">
      <c r="A838" s="30"/>
      <c r="B838" s="29"/>
    </row>
    <row r="839" spans="1:2" ht="15.75" thickBot="1" x14ac:dyDescent="0.3">
      <c r="A839" s="30"/>
      <c r="B839" s="29"/>
    </row>
    <row r="840" spans="1:2" ht="15.75" thickBot="1" x14ac:dyDescent="0.3">
      <c r="A840" s="30"/>
      <c r="B840" s="29"/>
    </row>
    <row r="841" spans="1:2" ht="15.75" thickBot="1" x14ac:dyDescent="0.3">
      <c r="A841" s="30"/>
      <c r="B841" s="29"/>
    </row>
    <row r="842" spans="1:2" ht="15.75" thickBot="1" x14ac:dyDescent="0.3">
      <c r="A842" s="30"/>
      <c r="B842" s="29"/>
    </row>
    <row r="843" spans="1:2" ht="15.75" thickBot="1" x14ac:dyDescent="0.3">
      <c r="A843" s="30"/>
      <c r="B843" s="29"/>
    </row>
    <row r="844" spans="1:2" ht="15.75" thickBot="1" x14ac:dyDescent="0.3">
      <c r="A844" s="30"/>
      <c r="B844" s="29"/>
    </row>
    <row r="845" spans="1:2" ht="15.75" thickBot="1" x14ac:dyDescent="0.3">
      <c r="A845" s="30"/>
      <c r="B845" s="29"/>
    </row>
    <row r="846" spans="1:2" ht="15.75" thickBot="1" x14ac:dyDescent="0.3">
      <c r="A846" s="30"/>
      <c r="B846" s="29"/>
    </row>
    <row r="847" spans="1:2" ht="15.75" thickBot="1" x14ac:dyDescent="0.3">
      <c r="A847" s="30"/>
      <c r="B847" s="29"/>
    </row>
    <row r="848" spans="1:2" ht="15.75" thickBot="1" x14ac:dyDescent="0.3">
      <c r="A848" s="30"/>
      <c r="B848" s="29"/>
    </row>
    <row r="849" spans="1:2" ht="15.75" thickBot="1" x14ac:dyDescent="0.3">
      <c r="A849" s="30"/>
      <c r="B849" s="29"/>
    </row>
    <row r="850" spans="1:2" ht="15.75" thickBot="1" x14ac:dyDescent="0.3">
      <c r="A850" s="30"/>
      <c r="B850" s="29"/>
    </row>
    <row r="851" spans="1:2" ht="15.75" thickBot="1" x14ac:dyDescent="0.3">
      <c r="A851" s="30"/>
      <c r="B851" s="29"/>
    </row>
    <row r="852" spans="1:2" ht="15.75" thickBot="1" x14ac:dyDescent="0.3">
      <c r="A852" s="30"/>
      <c r="B852" s="29"/>
    </row>
    <row r="853" spans="1:2" ht="15.75" thickBot="1" x14ac:dyDescent="0.3">
      <c r="A853" s="30"/>
      <c r="B853" s="29"/>
    </row>
    <row r="854" spans="1:2" ht="15.75" thickBot="1" x14ac:dyDescent="0.3">
      <c r="A854" s="30"/>
      <c r="B854" s="29"/>
    </row>
    <row r="855" spans="1:2" ht="15.75" thickBot="1" x14ac:dyDescent="0.3">
      <c r="A855" s="30"/>
      <c r="B855" s="29"/>
    </row>
    <row r="856" spans="1:2" ht="15.75" thickBot="1" x14ac:dyDescent="0.3">
      <c r="A856" s="30"/>
      <c r="B856" s="29"/>
    </row>
    <row r="857" spans="1:2" ht="15.75" thickBot="1" x14ac:dyDescent="0.3">
      <c r="A857" s="30"/>
      <c r="B857" s="29"/>
    </row>
    <row r="858" spans="1:2" ht="15.75" thickBot="1" x14ac:dyDescent="0.3">
      <c r="A858" s="30"/>
      <c r="B858" s="29"/>
    </row>
    <row r="859" spans="1:2" ht="15.75" thickBot="1" x14ac:dyDescent="0.3">
      <c r="A859" s="30"/>
      <c r="B859" s="29"/>
    </row>
    <row r="860" spans="1:2" ht="15.75" thickBot="1" x14ac:dyDescent="0.3">
      <c r="A860" s="30"/>
      <c r="B860" s="29"/>
    </row>
    <row r="861" spans="1:2" ht="15.75" thickBot="1" x14ac:dyDescent="0.3">
      <c r="A861" s="30"/>
      <c r="B861" s="29"/>
    </row>
    <row r="862" spans="1:2" ht="15.75" thickBot="1" x14ac:dyDescent="0.3">
      <c r="A862" s="30"/>
      <c r="B862" s="29"/>
    </row>
    <row r="863" spans="1:2" ht="15.75" thickBot="1" x14ac:dyDescent="0.3">
      <c r="A863" s="30"/>
      <c r="B863" s="29"/>
    </row>
    <row r="864" spans="1:2" ht="15.75" thickBot="1" x14ac:dyDescent="0.3">
      <c r="A864" s="30"/>
      <c r="B864" s="29"/>
    </row>
    <row r="865" spans="1:2" ht="15.75" thickBot="1" x14ac:dyDescent="0.3">
      <c r="A865" s="30"/>
      <c r="B865" s="29"/>
    </row>
    <row r="866" spans="1:2" ht="15.75" thickBot="1" x14ac:dyDescent="0.3">
      <c r="A866" s="30"/>
      <c r="B866" s="29"/>
    </row>
    <row r="867" spans="1:2" ht="15.75" thickBot="1" x14ac:dyDescent="0.3">
      <c r="A867" s="30"/>
      <c r="B867" s="29"/>
    </row>
    <row r="868" spans="1:2" ht="15.75" thickBot="1" x14ac:dyDescent="0.3">
      <c r="A868" s="30"/>
      <c r="B868" s="29"/>
    </row>
    <row r="869" spans="1:2" ht="15.75" thickBot="1" x14ac:dyDescent="0.3">
      <c r="A869" s="30"/>
      <c r="B869" s="29"/>
    </row>
    <row r="870" spans="1:2" ht="15.75" thickBot="1" x14ac:dyDescent="0.3">
      <c r="A870" s="30"/>
      <c r="B870" s="29"/>
    </row>
    <row r="871" spans="1:2" ht="15.75" thickBot="1" x14ac:dyDescent="0.3">
      <c r="A871" s="30"/>
      <c r="B871" s="29"/>
    </row>
    <row r="872" spans="1:2" ht="15.75" thickBot="1" x14ac:dyDescent="0.3">
      <c r="A872" s="30"/>
      <c r="B872" s="29"/>
    </row>
    <row r="873" spans="1:2" ht="15.75" thickBot="1" x14ac:dyDescent="0.3">
      <c r="A873" s="30"/>
      <c r="B873" s="29"/>
    </row>
    <row r="874" spans="1:2" ht="15.75" thickBot="1" x14ac:dyDescent="0.3">
      <c r="A874" s="30"/>
      <c r="B874" s="29"/>
    </row>
    <row r="875" spans="1:2" ht="15.75" thickBot="1" x14ac:dyDescent="0.3">
      <c r="A875" s="30"/>
      <c r="B875" s="29"/>
    </row>
    <row r="876" spans="1:2" ht="15.75" thickBot="1" x14ac:dyDescent="0.3">
      <c r="A876" s="30"/>
      <c r="B876" s="29"/>
    </row>
    <row r="877" spans="1:2" ht="15.75" thickBot="1" x14ac:dyDescent="0.3">
      <c r="A877" s="30"/>
      <c r="B877" s="29"/>
    </row>
    <row r="878" spans="1:2" ht="15.75" thickBot="1" x14ac:dyDescent="0.3">
      <c r="A878" s="30"/>
      <c r="B878" s="29"/>
    </row>
    <row r="879" spans="1:2" ht="15.75" thickBot="1" x14ac:dyDescent="0.3">
      <c r="A879" s="30"/>
      <c r="B879" s="29"/>
    </row>
    <row r="880" spans="1:2" ht="15.75" thickBot="1" x14ac:dyDescent="0.3">
      <c r="A880" s="30"/>
      <c r="B880" s="29"/>
    </row>
    <row r="881" spans="1:2" ht="15.75" thickBot="1" x14ac:dyDescent="0.3">
      <c r="A881" s="30"/>
      <c r="B881" s="29"/>
    </row>
    <row r="882" spans="1:2" ht="15.75" thickBot="1" x14ac:dyDescent="0.3">
      <c r="A882" s="30"/>
      <c r="B882" s="29"/>
    </row>
    <row r="883" spans="1:2" ht="15.75" thickBot="1" x14ac:dyDescent="0.3">
      <c r="A883" s="30"/>
      <c r="B883" s="29"/>
    </row>
    <row r="884" spans="1:2" ht="15.75" thickBot="1" x14ac:dyDescent="0.3">
      <c r="A884" s="30"/>
      <c r="B884" s="29"/>
    </row>
    <row r="885" spans="1:2" ht="15.75" thickBot="1" x14ac:dyDescent="0.3">
      <c r="A885" s="30"/>
      <c r="B885" s="29"/>
    </row>
    <row r="886" spans="1:2" ht="15.75" thickBot="1" x14ac:dyDescent="0.3">
      <c r="A886" s="30"/>
      <c r="B886" s="29"/>
    </row>
    <row r="887" spans="1:2" ht="15.75" thickBot="1" x14ac:dyDescent="0.3">
      <c r="A887" s="30"/>
      <c r="B887" s="29"/>
    </row>
    <row r="888" spans="1:2" ht="15.75" thickBot="1" x14ac:dyDescent="0.3">
      <c r="A888" s="30"/>
      <c r="B888" s="29"/>
    </row>
    <row r="889" spans="1:2" ht="15.75" thickBot="1" x14ac:dyDescent="0.3">
      <c r="A889" s="30"/>
      <c r="B889" s="29"/>
    </row>
    <row r="890" spans="1:2" ht="15.75" thickBot="1" x14ac:dyDescent="0.3">
      <c r="A890" s="30"/>
      <c r="B890" s="29"/>
    </row>
    <row r="891" spans="1:2" ht="15.75" thickBot="1" x14ac:dyDescent="0.3">
      <c r="A891" s="30"/>
      <c r="B891" s="29"/>
    </row>
    <row r="892" spans="1:2" ht="15.75" thickBot="1" x14ac:dyDescent="0.3">
      <c r="A892" s="30"/>
      <c r="B892" s="29"/>
    </row>
    <row r="893" spans="1:2" ht="15.75" thickBot="1" x14ac:dyDescent="0.3">
      <c r="A893" s="30"/>
      <c r="B893" s="29"/>
    </row>
    <row r="894" spans="1:2" ht="15.75" thickBot="1" x14ac:dyDescent="0.3">
      <c r="A894" s="30"/>
      <c r="B894" s="29"/>
    </row>
    <row r="895" spans="1:2" ht="15.75" thickBot="1" x14ac:dyDescent="0.3">
      <c r="A895" s="30"/>
      <c r="B895" s="29"/>
    </row>
    <row r="896" spans="1:2" ht="15.75" thickBot="1" x14ac:dyDescent="0.3">
      <c r="A896" s="30"/>
      <c r="B896" s="29"/>
    </row>
    <row r="897" spans="1:2" ht="15.75" thickBot="1" x14ac:dyDescent="0.3">
      <c r="A897" s="30"/>
      <c r="B897" s="29"/>
    </row>
    <row r="898" spans="1:2" ht="15.75" thickBot="1" x14ac:dyDescent="0.3">
      <c r="A898" s="30"/>
      <c r="B898" s="29"/>
    </row>
    <row r="899" spans="1:2" ht="15.75" thickBot="1" x14ac:dyDescent="0.3">
      <c r="A899" s="30"/>
      <c r="B899" s="29"/>
    </row>
    <row r="900" spans="1:2" ht="15.75" thickBot="1" x14ac:dyDescent="0.3">
      <c r="A900" s="30"/>
      <c r="B900" s="29"/>
    </row>
    <row r="901" spans="1:2" ht="15.75" thickBot="1" x14ac:dyDescent="0.3">
      <c r="A901" s="30"/>
      <c r="B901" s="29"/>
    </row>
    <row r="902" spans="1:2" ht="15.75" thickBot="1" x14ac:dyDescent="0.3">
      <c r="A902" s="30"/>
      <c r="B902" s="29"/>
    </row>
    <row r="903" spans="1:2" ht="15.75" thickBot="1" x14ac:dyDescent="0.3">
      <c r="A903" s="30"/>
      <c r="B903" s="29"/>
    </row>
    <row r="904" spans="1:2" ht="15.75" thickBot="1" x14ac:dyDescent="0.3">
      <c r="A904" s="30"/>
      <c r="B904" s="29"/>
    </row>
    <row r="905" spans="1:2" ht="15.75" thickBot="1" x14ac:dyDescent="0.3">
      <c r="A905" s="30"/>
      <c r="B905" s="29"/>
    </row>
    <row r="906" spans="1:2" ht="15.75" thickBot="1" x14ac:dyDescent="0.3">
      <c r="A906" s="30"/>
      <c r="B906" s="29"/>
    </row>
    <row r="907" spans="1:2" ht="15.75" thickBot="1" x14ac:dyDescent="0.3">
      <c r="A907" s="30"/>
      <c r="B907" s="29"/>
    </row>
    <row r="908" spans="1:2" ht="15.75" thickBot="1" x14ac:dyDescent="0.3">
      <c r="A908" s="30"/>
      <c r="B908" s="29"/>
    </row>
    <row r="909" spans="1:2" ht="15.75" thickBot="1" x14ac:dyDescent="0.3">
      <c r="A909" s="30"/>
      <c r="B909" s="29"/>
    </row>
    <row r="910" spans="1:2" ht="15.75" thickBot="1" x14ac:dyDescent="0.3">
      <c r="A910" s="30"/>
      <c r="B910" s="29"/>
    </row>
    <row r="911" spans="1:2" ht="15.75" thickBot="1" x14ac:dyDescent="0.3">
      <c r="A911" s="30"/>
      <c r="B911" s="29"/>
    </row>
    <row r="912" spans="1:2" ht="15.75" thickBot="1" x14ac:dyDescent="0.3">
      <c r="A912" s="30"/>
      <c r="B912" s="29"/>
    </row>
    <row r="913" spans="1:2" ht="15.75" thickBot="1" x14ac:dyDescent="0.3">
      <c r="A913" s="30"/>
      <c r="B913" s="29"/>
    </row>
    <row r="914" spans="1:2" ht="15.75" thickBot="1" x14ac:dyDescent="0.3">
      <c r="A914" s="30"/>
      <c r="B914" s="29"/>
    </row>
    <row r="915" spans="1:2" ht="15.75" thickBot="1" x14ac:dyDescent="0.3">
      <c r="A915" s="30"/>
      <c r="B915" s="29"/>
    </row>
    <row r="916" spans="1:2" ht="15.75" thickBot="1" x14ac:dyDescent="0.3">
      <c r="A916" s="30"/>
      <c r="B916" s="29"/>
    </row>
    <row r="917" spans="1:2" ht="15.75" thickBot="1" x14ac:dyDescent="0.3">
      <c r="A917" s="30"/>
      <c r="B917" s="29"/>
    </row>
    <row r="918" spans="1:2" ht="15.75" thickBot="1" x14ac:dyDescent="0.3">
      <c r="A918" s="30"/>
      <c r="B918" s="29"/>
    </row>
    <row r="919" spans="1:2" ht="15.75" thickBot="1" x14ac:dyDescent="0.3">
      <c r="A919" s="30"/>
      <c r="B919" s="29"/>
    </row>
    <row r="920" spans="1:2" ht="15.75" thickBot="1" x14ac:dyDescent="0.3">
      <c r="A920" s="30"/>
      <c r="B920" s="29"/>
    </row>
    <row r="921" spans="1:2" ht="15.75" thickBot="1" x14ac:dyDescent="0.3">
      <c r="A921" s="30"/>
      <c r="B921" s="29"/>
    </row>
    <row r="922" spans="1:2" ht="15.75" thickBot="1" x14ac:dyDescent="0.3">
      <c r="A922" s="30"/>
      <c r="B922" s="29"/>
    </row>
    <row r="923" spans="1:2" ht="15.75" thickBot="1" x14ac:dyDescent="0.3">
      <c r="A923" s="30"/>
      <c r="B923" s="29"/>
    </row>
    <row r="924" spans="1:2" ht="15.75" thickBot="1" x14ac:dyDescent="0.3">
      <c r="A924" s="30"/>
      <c r="B924" s="29"/>
    </row>
    <row r="925" spans="1:2" ht="15.75" thickBot="1" x14ac:dyDescent="0.3">
      <c r="A925" s="30"/>
      <c r="B925" s="29"/>
    </row>
    <row r="926" spans="1:2" ht="15.75" thickBot="1" x14ac:dyDescent="0.3">
      <c r="A926" s="30"/>
      <c r="B926" s="29"/>
    </row>
    <row r="927" spans="1:2" ht="15.75" thickBot="1" x14ac:dyDescent="0.3">
      <c r="A927" s="30"/>
      <c r="B927" s="29"/>
    </row>
    <row r="928" spans="1:2" ht="15.75" thickBot="1" x14ac:dyDescent="0.3">
      <c r="A928" s="30"/>
      <c r="B928" s="29"/>
    </row>
    <row r="929" spans="1:2" ht="15.75" thickBot="1" x14ac:dyDescent="0.3">
      <c r="A929" s="30"/>
      <c r="B929" s="29"/>
    </row>
    <row r="930" spans="1:2" ht="15.75" thickBot="1" x14ac:dyDescent="0.3">
      <c r="A930" s="30"/>
      <c r="B930" s="29"/>
    </row>
    <row r="931" spans="1:2" ht="15.75" thickBot="1" x14ac:dyDescent="0.3">
      <c r="A931" s="30"/>
      <c r="B931" s="29"/>
    </row>
    <row r="932" spans="1:2" ht="15.75" thickBot="1" x14ac:dyDescent="0.3">
      <c r="A932" s="30"/>
      <c r="B932" s="29"/>
    </row>
    <row r="933" spans="1:2" ht="15.75" thickBot="1" x14ac:dyDescent="0.3">
      <c r="A933" s="30"/>
      <c r="B933" s="29"/>
    </row>
    <row r="934" spans="1:2" ht="15.75" thickBot="1" x14ac:dyDescent="0.3">
      <c r="A934" s="30"/>
      <c r="B934" s="29"/>
    </row>
    <row r="935" spans="1:2" ht="15.75" thickBot="1" x14ac:dyDescent="0.3">
      <c r="A935" s="30"/>
      <c r="B935" s="29"/>
    </row>
    <row r="936" spans="1:2" ht="15.75" thickBot="1" x14ac:dyDescent="0.3">
      <c r="A936" s="30"/>
      <c r="B936" s="29"/>
    </row>
    <row r="937" spans="1:2" ht="15.75" thickBot="1" x14ac:dyDescent="0.3">
      <c r="A937" s="30"/>
      <c r="B937" s="29"/>
    </row>
    <row r="938" spans="1:2" ht="15.75" thickBot="1" x14ac:dyDescent="0.3">
      <c r="A938" s="30"/>
      <c r="B938" s="29"/>
    </row>
    <row r="939" spans="1:2" ht="15.75" thickBot="1" x14ac:dyDescent="0.3">
      <c r="A939" s="30"/>
      <c r="B939" s="29"/>
    </row>
    <row r="940" spans="1:2" ht="15.75" thickBot="1" x14ac:dyDescent="0.3">
      <c r="A940" s="30"/>
      <c r="B940" s="29"/>
    </row>
    <row r="941" spans="1:2" ht="15.75" thickBot="1" x14ac:dyDescent="0.3">
      <c r="A941" s="30"/>
      <c r="B941" s="29"/>
    </row>
    <row r="942" spans="1:2" ht="15.75" thickBot="1" x14ac:dyDescent="0.3">
      <c r="A942" s="30"/>
      <c r="B942" s="29"/>
    </row>
    <row r="943" spans="1:2" ht="15.75" thickBot="1" x14ac:dyDescent="0.3">
      <c r="A943" s="30"/>
      <c r="B943" s="29"/>
    </row>
    <row r="944" spans="1:2" ht="15.75" thickBot="1" x14ac:dyDescent="0.3">
      <c r="A944" s="30"/>
      <c r="B944" s="29"/>
    </row>
    <row r="945" spans="1:2" ht="15.75" thickBot="1" x14ac:dyDescent="0.3">
      <c r="A945" s="30"/>
      <c r="B945" s="29"/>
    </row>
    <row r="946" spans="1:2" ht="15.75" thickBot="1" x14ac:dyDescent="0.3">
      <c r="A946" s="30"/>
      <c r="B946" s="29"/>
    </row>
    <row r="947" spans="1:2" ht="15.75" thickBot="1" x14ac:dyDescent="0.3">
      <c r="A947" s="30"/>
      <c r="B947" s="29"/>
    </row>
    <row r="948" spans="1:2" ht="15.75" thickBot="1" x14ac:dyDescent="0.3">
      <c r="A948" s="30"/>
      <c r="B948" s="29"/>
    </row>
    <row r="949" spans="1:2" ht="15.75" thickBot="1" x14ac:dyDescent="0.3">
      <c r="A949" s="30"/>
      <c r="B949" s="29"/>
    </row>
    <row r="950" spans="1:2" ht="15.75" thickBot="1" x14ac:dyDescent="0.3">
      <c r="A950" s="30"/>
      <c r="B950" s="29"/>
    </row>
    <row r="951" spans="1:2" ht="15.75" thickBot="1" x14ac:dyDescent="0.3">
      <c r="A951" s="30"/>
      <c r="B951" s="29"/>
    </row>
    <row r="952" spans="1:2" ht="15.75" thickBot="1" x14ac:dyDescent="0.3">
      <c r="A952" s="30"/>
      <c r="B952" s="29"/>
    </row>
    <row r="953" spans="1:2" ht="15.75" thickBot="1" x14ac:dyDescent="0.3">
      <c r="A953" s="30"/>
      <c r="B953" s="29"/>
    </row>
    <row r="954" spans="1:2" ht="15.75" thickBot="1" x14ac:dyDescent="0.3">
      <c r="A954" s="30"/>
      <c r="B954" s="29"/>
    </row>
    <row r="955" spans="1:2" ht="15.75" thickBot="1" x14ac:dyDescent="0.3">
      <c r="A955" s="30"/>
      <c r="B955" s="29"/>
    </row>
    <row r="956" spans="1:2" ht="15.75" thickBot="1" x14ac:dyDescent="0.3">
      <c r="A956" s="30"/>
      <c r="B956" s="29"/>
    </row>
    <row r="957" spans="1:2" ht="15.75" thickBot="1" x14ac:dyDescent="0.3">
      <c r="A957" s="30"/>
      <c r="B957" s="29"/>
    </row>
    <row r="958" spans="1:2" ht="15.75" thickBot="1" x14ac:dyDescent="0.3">
      <c r="A958" s="30"/>
      <c r="B958" s="29"/>
    </row>
    <row r="959" spans="1:2" ht="15.75" thickBot="1" x14ac:dyDescent="0.3">
      <c r="A959" s="30"/>
      <c r="B959" s="29"/>
    </row>
    <row r="960" spans="1:2" ht="15.75" thickBot="1" x14ac:dyDescent="0.3">
      <c r="A960" s="30"/>
      <c r="B960" s="29"/>
    </row>
    <row r="961" spans="1:2" ht="15.75" thickBot="1" x14ac:dyDescent="0.3">
      <c r="A961" s="30"/>
      <c r="B961" s="29"/>
    </row>
    <row r="962" spans="1:2" ht="15.75" thickBot="1" x14ac:dyDescent="0.3">
      <c r="A962" s="30"/>
      <c r="B962" s="29"/>
    </row>
    <row r="963" spans="1:2" ht="15.75" thickBot="1" x14ac:dyDescent="0.3">
      <c r="A963" s="30"/>
      <c r="B963" s="29"/>
    </row>
    <row r="964" spans="1:2" ht="15.75" thickBot="1" x14ac:dyDescent="0.3">
      <c r="A964" s="30"/>
      <c r="B964" s="29"/>
    </row>
    <row r="965" spans="1:2" ht="15.75" thickBot="1" x14ac:dyDescent="0.3">
      <c r="A965" s="30"/>
      <c r="B965" s="29"/>
    </row>
    <row r="966" spans="1:2" ht="15.75" thickBot="1" x14ac:dyDescent="0.3">
      <c r="A966" s="30"/>
      <c r="B966" s="29"/>
    </row>
    <row r="967" spans="1:2" ht="15.75" thickBot="1" x14ac:dyDescent="0.3">
      <c r="A967" s="30"/>
      <c r="B967" s="29"/>
    </row>
    <row r="968" spans="1:2" ht="15.75" thickBot="1" x14ac:dyDescent="0.3">
      <c r="A968" s="30"/>
      <c r="B968" s="29"/>
    </row>
    <row r="969" spans="1:2" ht="15.75" thickBot="1" x14ac:dyDescent="0.3">
      <c r="A969" s="30"/>
      <c r="B969" s="29"/>
    </row>
    <row r="970" spans="1:2" ht="15.75" thickBot="1" x14ac:dyDescent="0.3">
      <c r="A970" s="30"/>
      <c r="B970" s="29"/>
    </row>
    <row r="971" spans="1:2" ht="15.75" thickBot="1" x14ac:dyDescent="0.3">
      <c r="A971" s="30"/>
      <c r="B971" s="29"/>
    </row>
    <row r="972" spans="1:2" ht="15.75" thickBot="1" x14ac:dyDescent="0.3">
      <c r="A972" s="30"/>
      <c r="B972" s="29"/>
    </row>
    <row r="973" spans="1:2" ht="15.75" thickBot="1" x14ac:dyDescent="0.3">
      <c r="A973" s="30"/>
      <c r="B973" s="29"/>
    </row>
    <row r="974" spans="1:2" ht="15.75" thickBot="1" x14ac:dyDescent="0.3">
      <c r="A974" s="30"/>
      <c r="B974" s="29"/>
    </row>
    <row r="975" spans="1:2" ht="15.75" thickBot="1" x14ac:dyDescent="0.3">
      <c r="A975" s="30"/>
      <c r="B975" s="29"/>
    </row>
    <row r="976" spans="1:2" ht="15.75" thickBot="1" x14ac:dyDescent="0.3">
      <c r="A976" s="30"/>
      <c r="B976" s="29"/>
    </row>
    <row r="977" spans="1:2" ht="15.75" thickBot="1" x14ac:dyDescent="0.3">
      <c r="A977" s="30"/>
      <c r="B977" s="29"/>
    </row>
    <row r="978" spans="1:2" ht="15.75" thickBot="1" x14ac:dyDescent="0.3">
      <c r="A978" s="30"/>
      <c r="B978" s="29"/>
    </row>
    <row r="979" spans="1:2" ht="15.75" thickBot="1" x14ac:dyDescent="0.3">
      <c r="A979" s="30"/>
      <c r="B979" s="29"/>
    </row>
    <row r="980" spans="1:2" ht="15.75" thickBot="1" x14ac:dyDescent="0.3">
      <c r="A980" s="30"/>
      <c r="B980" s="29"/>
    </row>
    <row r="981" spans="1:2" ht="15.75" thickBot="1" x14ac:dyDescent="0.3">
      <c r="A981" s="30"/>
      <c r="B981" s="29"/>
    </row>
    <row r="982" spans="1:2" ht="15.75" thickBot="1" x14ac:dyDescent="0.3">
      <c r="A982" s="30"/>
      <c r="B982" s="29"/>
    </row>
    <row r="983" spans="1:2" ht="15.75" thickBot="1" x14ac:dyDescent="0.3">
      <c r="A983" s="30"/>
      <c r="B983" s="29"/>
    </row>
    <row r="984" spans="1:2" ht="15.75" thickBot="1" x14ac:dyDescent="0.3">
      <c r="A984" s="30"/>
      <c r="B984" s="29"/>
    </row>
    <row r="985" spans="1:2" ht="15.75" thickBot="1" x14ac:dyDescent="0.3">
      <c r="A985" s="30"/>
      <c r="B985" s="29"/>
    </row>
    <row r="986" spans="1:2" ht="15.75" thickBot="1" x14ac:dyDescent="0.3">
      <c r="A986" s="30"/>
      <c r="B986" s="29"/>
    </row>
    <row r="987" spans="1:2" ht="15.75" thickBot="1" x14ac:dyDescent="0.3">
      <c r="A987" s="30"/>
      <c r="B987" s="29"/>
    </row>
    <row r="988" spans="1:2" ht="15.75" thickBot="1" x14ac:dyDescent="0.3">
      <c r="A988" s="30"/>
      <c r="B988" s="29"/>
    </row>
    <row r="989" spans="1:2" ht="15.75" thickBot="1" x14ac:dyDescent="0.3">
      <c r="A989" s="30"/>
      <c r="B989" s="29"/>
    </row>
    <row r="990" spans="1:2" ht="15.75" thickBot="1" x14ac:dyDescent="0.3">
      <c r="A990" s="30"/>
      <c r="B990" s="29"/>
    </row>
    <row r="991" spans="1:2" ht="15.75" thickBot="1" x14ac:dyDescent="0.3">
      <c r="A991" s="30"/>
      <c r="B991" s="29"/>
    </row>
    <row r="992" spans="1:2" ht="15.75" thickBot="1" x14ac:dyDescent="0.3">
      <c r="A992" s="30"/>
      <c r="B992" s="29"/>
    </row>
    <row r="993" spans="1:2" ht="15.75" thickBot="1" x14ac:dyDescent="0.3">
      <c r="A993" s="30"/>
      <c r="B993" s="29"/>
    </row>
    <row r="994" spans="1:2" ht="15.75" thickBot="1" x14ac:dyDescent="0.3">
      <c r="A994" s="30"/>
      <c r="B994" s="29"/>
    </row>
    <row r="995" spans="1:2" ht="15.75" thickBot="1" x14ac:dyDescent="0.3">
      <c r="A995" s="30"/>
      <c r="B995" s="29"/>
    </row>
    <row r="996" spans="1:2" ht="15.75" thickBot="1" x14ac:dyDescent="0.3">
      <c r="A996" s="30"/>
      <c r="B996" s="29"/>
    </row>
    <row r="997" spans="1:2" ht="15.75" thickBot="1" x14ac:dyDescent="0.3">
      <c r="A997" s="30"/>
      <c r="B997" s="29"/>
    </row>
    <row r="998" spans="1:2" ht="15.75" thickBot="1" x14ac:dyDescent="0.3">
      <c r="A998" s="30"/>
      <c r="B998" s="29"/>
    </row>
    <row r="999" spans="1:2" ht="15.75" thickBot="1" x14ac:dyDescent="0.3">
      <c r="A999" s="30"/>
      <c r="B999" s="29"/>
    </row>
    <row r="1000" spans="1:2" ht="15.75" thickBot="1" x14ac:dyDescent="0.3">
      <c r="A1000" s="30"/>
      <c r="B1000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80F720-A55F-4C9A-BC8B-B653E2D6BB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Intro</vt:lpstr>
      <vt:lpstr>Dashboard</vt:lpstr>
      <vt:lpstr>Data</vt:lpstr>
      <vt:lpstr>Weekly</vt:lpstr>
      <vt:lpstr>Dividends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2026-01-19T03:32:40Z</dcterms:created>
  <dcterms:modified xsi:type="dcterms:W3CDTF">2026-02-17T01:30:28Z</dcterms:modified>
</cp:coreProperties>
</file>