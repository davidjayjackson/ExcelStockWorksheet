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array.xml" ContentType="application/vnd.ms-excel.rdarray+xml"/>
  <Override PartName="/xl/richData/richStyles.xml" ContentType="application/vnd.ms-excel.richstyles+xml"/>
  <Override PartName="/xl/richData/rdsupportingpropertybagstructure.xml" ContentType="application/vnd.ms-excel.rdsupportingpropertybagstructure+xml"/>
  <Override PartName="/xl/richData/rdsupportingpropertybag.xml" ContentType="application/vnd.ms-excel.rdsupportingpropertybag+xml"/>
  <Override PartName="/xl/richData/rdRichValueTypes.xml" ContentType="application/vnd.ms-excel.rdrichvaluetype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wner\Documents\ExcelStockWorksheet\"/>
    </mc:Choice>
  </mc:AlternateContent>
  <xr:revisionPtr revIDLastSave="0" documentId="13_ncr:1_{80DE7B73-82EE-455D-B4AF-C917B08CD709}" xr6:coauthVersionLast="47" xr6:coauthVersionMax="47" xr10:uidLastSave="{00000000-0000-0000-0000-000000000000}"/>
  <bookViews>
    <workbookView xWindow="4980" yWindow="255" windowWidth="8565" windowHeight="10620" firstSheet="1" activeTab="4" xr2:uid="{92AFEA67-FCE1-458C-9A7E-ADF426D7B024}"/>
  </bookViews>
  <sheets>
    <sheet name="Intro" sheetId="10" r:id="rId1"/>
    <sheet name="Data" sheetId="1" r:id="rId2"/>
    <sheet name="Weekly" sheetId="17" r:id="rId3"/>
    <sheet name="Forecast" sheetId="16" r:id="rId4"/>
    <sheet name="Dashboard" sheetId="7" r:id="rId5"/>
    <sheet name="Dividends" sheetId="18" r:id="rId6"/>
  </sheets>
  <definedNames>
    <definedName name="data">Data!$1:$1048576</definedName>
    <definedName name="ExternalData_1" localSheetId="2" hidden="1">Weekly!$A$1:$B$121</definedName>
    <definedName name="FromArray_1">_xlfn.ANCHORARRAY(Data!$B$1)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Y523" i="1" l="1"/>
  <c r="B1" i="1" a="1"/>
  <c r="B1" i="1" l="1"/>
  <c r="E515" i="1"/>
  <c r="G515" i="1"/>
  <c r="J515" i="1"/>
  <c r="K515" i="1"/>
  <c r="N515" i="1"/>
  <c r="O515" i="1" s="1"/>
  <c r="U515" i="1"/>
  <c r="V515" i="1"/>
  <c r="AB515" i="1"/>
  <c r="E516" i="1"/>
  <c r="G516" i="1"/>
  <c r="J516" i="1"/>
  <c r="M516" i="1" s="1"/>
  <c r="K516" i="1"/>
  <c r="N516" i="1"/>
  <c r="O516" i="1" s="1"/>
  <c r="U516" i="1"/>
  <c r="V516" i="1"/>
  <c r="AB516" i="1"/>
  <c r="E517" i="1"/>
  <c r="G517" i="1"/>
  <c r="J517" i="1"/>
  <c r="K517" i="1"/>
  <c r="N517" i="1"/>
  <c r="P517" i="1" s="1"/>
  <c r="U517" i="1"/>
  <c r="V517" i="1"/>
  <c r="AB517" i="1"/>
  <c r="E518" i="1"/>
  <c r="G518" i="1"/>
  <c r="J518" i="1"/>
  <c r="K518" i="1"/>
  <c r="N518" i="1"/>
  <c r="P518" i="1" s="1"/>
  <c r="U518" i="1"/>
  <c r="V518" i="1"/>
  <c r="AB518" i="1"/>
  <c r="E519" i="1"/>
  <c r="G519" i="1"/>
  <c r="J519" i="1"/>
  <c r="K519" i="1"/>
  <c r="N519" i="1"/>
  <c r="P519" i="1" s="1"/>
  <c r="U519" i="1"/>
  <c r="V519" i="1"/>
  <c r="AB519" i="1"/>
  <c r="E520" i="1"/>
  <c r="G520" i="1"/>
  <c r="J520" i="1"/>
  <c r="K520" i="1"/>
  <c r="N520" i="1"/>
  <c r="P520" i="1" s="1"/>
  <c r="U520" i="1"/>
  <c r="V520" i="1"/>
  <c r="AB520" i="1"/>
  <c r="E521" i="1"/>
  <c r="G521" i="1"/>
  <c r="J521" i="1"/>
  <c r="K521" i="1"/>
  <c r="N521" i="1"/>
  <c r="P521" i="1" s="1"/>
  <c r="O521" i="1"/>
  <c r="U521" i="1"/>
  <c r="V521" i="1"/>
  <c r="AB521" i="1"/>
  <c r="E522" i="1"/>
  <c r="G522" i="1"/>
  <c r="J522" i="1"/>
  <c r="M522" i="1" s="1"/>
  <c r="K522" i="1"/>
  <c r="N522" i="1"/>
  <c r="P522" i="1" s="1"/>
  <c r="U522" i="1"/>
  <c r="V522" i="1"/>
  <c r="AB522" i="1"/>
  <c r="E523" i="1"/>
  <c r="G523" i="1"/>
  <c r="J523" i="1"/>
  <c r="K523" i="1"/>
  <c r="N523" i="1"/>
  <c r="P523" i="1" s="1"/>
  <c r="U523" i="1"/>
  <c r="V523" i="1"/>
  <c r="AB523" i="1"/>
  <c r="V16" i="1"/>
  <c r="V17" i="1"/>
  <c r="V18" i="1"/>
  <c r="V19" i="1"/>
  <c r="V20" i="1"/>
  <c r="V21" i="1"/>
  <c r="V22" i="1"/>
  <c r="V23" i="1"/>
  <c r="V24" i="1"/>
  <c r="V25" i="1"/>
  <c r="V26" i="1"/>
  <c r="V27" i="1"/>
  <c r="V28" i="1"/>
  <c r="V29" i="1"/>
  <c r="V30" i="1"/>
  <c r="V31" i="1"/>
  <c r="V32" i="1"/>
  <c r="V33" i="1"/>
  <c r="V34" i="1"/>
  <c r="V35" i="1"/>
  <c r="V36" i="1"/>
  <c r="V37" i="1"/>
  <c r="V38" i="1"/>
  <c r="V39" i="1"/>
  <c r="V40" i="1"/>
  <c r="V41" i="1"/>
  <c r="V42" i="1"/>
  <c r="V43" i="1"/>
  <c r="V44" i="1"/>
  <c r="V45" i="1"/>
  <c r="V46" i="1"/>
  <c r="V47" i="1"/>
  <c r="V48" i="1"/>
  <c r="V49" i="1"/>
  <c r="V50" i="1"/>
  <c r="V51" i="1"/>
  <c r="V52" i="1"/>
  <c r="V53" i="1"/>
  <c r="V54" i="1"/>
  <c r="V55" i="1"/>
  <c r="V56" i="1"/>
  <c r="V57" i="1"/>
  <c r="V58" i="1"/>
  <c r="V59" i="1"/>
  <c r="V60" i="1"/>
  <c r="V61" i="1"/>
  <c r="V62" i="1"/>
  <c r="V63" i="1"/>
  <c r="V64" i="1"/>
  <c r="V65" i="1"/>
  <c r="V66" i="1"/>
  <c r="V67" i="1"/>
  <c r="V68" i="1"/>
  <c r="V69" i="1"/>
  <c r="V70" i="1"/>
  <c r="V71" i="1"/>
  <c r="V72" i="1"/>
  <c r="V73" i="1"/>
  <c r="V74" i="1"/>
  <c r="V75" i="1"/>
  <c r="V76" i="1"/>
  <c r="V77" i="1"/>
  <c r="V78" i="1"/>
  <c r="V79" i="1"/>
  <c r="V80" i="1"/>
  <c r="V81" i="1"/>
  <c r="V82" i="1"/>
  <c r="V83" i="1"/>
  <c r="V84" i="1"/>
  <c r="V85" i="1"/>
  <c r="V86" i="1"/>
  <c r="V87" i="1"/>
  <c r="V88" i="1"/>
  <c r="V89" i="1"/>
  <c r="V90" i="1"/>
  <c r="V91" i="1"/>
  <c r="V92" i="1"/>
  <c r="V93" i="1"/>
  <c r="V94" i="1"/>
  <c r="V95" i="1"/>
  <c r="V96" i="1"/>
  <c r="V97" i="1"/>
  <c r="V98" i="1"/>
  <c r="V99" i="1"/>
  <c r="V100" i="1"/>
  <c r="V101" i="1"/>
  <c r="V102" i="1"/>
  <c r="V103" i="1"/>
  <c r="V104" i="1"/>
  <c r="V105" i="1"/>
  <c r="V106" i="1"/>
  <c r="V107" i="1"/>
  <c r="V108" i="1"/>
  <c r="V109" i="1"/>
  <c r="V110" i="1"/>
  <c r="V111" i="1"/>
  <c r="V112" i="1"/>
  <c r="V113" i="1"/>
  <c r="V114" i="1"/>
  <c r="V115" i="1"/>
  <c r="V116" i="1"/>
  <c r="V117" i="1"/>
  <c r="V118" i="1"/>
  <c r="V119" i="1"/>
  <c r="V120" i="1"/>
  <c r="V121" i="1"/>
  <c r="V122" i="1"/>
  <c r="V123" i="1"/>
  <c r="V124" i="1"/>
  <c r="V125" i="1"/>
  <c r="V126" i="1"/>
  <c r="V127" i="1"/>
  <c r="V128" i="1"/>
  <c r="V129" i="1"/>
  <c r="V130" i="1"/>
  <c r="V131" i="1"/>
  <c r="V132" i="1"/>
  <c r="V133" i="1"/>
  <c r="V134" i="1"/>
  <c r="V135" i="1"/>
  <c r="V136" i="1"/>
  <c r="V137" i="1"/>
  <c r="V138" i="1"/>
  <c r="V139" i="1"/>
  <c r="V140" i="1"/>
  <c r="V141" i="1"/>
  <c r="V142" i="1"/>
  <c r="V143" i="1"/>
  <c r="V144" i="1"/>
  <c r="V145" i="1"/>
  <c r="V146" i="1"/>
  <c r="V147" i="1"/>
  <c r="V148" i="1"/>
  <c r="V149" i="1"/>
  <c r="V150" i="1"/>
  <c r="V151" i="1"/>
  <c r="V152" i="1"/>
  <c r="V153" i="1"/>
  <c r="V154" i="1"/>
  <c r="V155" i="1"/>
  <c r="V156" i="1"/>
  <c r="V157" i="1"/>
  <c r="V158" i="1"/>
  <c r="V159" i="1"/>
  <c r="V160" i="1"/>
  <c r="V161" i="1"/>
  <c r="V162" i="1"/>
  <c r="V163" i="1"/>
  <c r="V164" i="1"/>
  <c r="V165" i="1"/>
  <c r="V166" i="1"/>
  <c r="V167" i="1"/>
  <c r="V168" i="1"/>
  <c r="V169" i="1"/>
  <c r="V170" i="1"/>
  <c r="V171" i="1"/>
  <c r="V172" i="1"/>
  <c r="V173" i="1"/>
  <c r="V174" i="1"/>
  <c r="V175" i="1"/>
  <c r="V176" i="1"/>
  <c r="V177" i="1"/>
  <c r="V178" i="1"/>
  <c r="V179" i="1"/>
  <c r="V180" i="1"/>
  <c r="V181" i="1"/>
  <c r="V182" i="1"/>
  <c r="V183" i="1"/>
  <c r="V184" i="1"/>
  <c r="V185" i="1"/>
  <c r="V186" i="1"/>
  <c r="V187" i="1"/>
  <c r="V188" i="1"/>
  <c r="V189" i="1"/>
  <c r="V190" i="1"/>
  <c r="V191" i="1"/>
  <c r="V192" i="1"/>
  <c r="V193" i="1"/>
  <c r="V194" i="1"/>
  <c r="V195" i="1"/>
  <c r="V196" i="1"/>
  <c r="V197" i="1"/>
  <c r="V198" i="1"/>
  <c r="V199" i="1"/>
  <c r="V200" i="1"/>
  <c r="V201" i="1"/>
  <c r="V202" i="1"/>
  <c r="V203" i="1"/>
  <c r="V204" i="1"/>
  <c r="V205" i="1"/>
  <c r="V206" i="1"/>
  <c r="V207" i="1"/>
  <c r="V208" i="1"/>
  <c r="V209" i="1"/>
  <c r="V210" i="1"/>
  <c r="V211" i="1"/>
  <c r="V212" i="1"/>
  <c r="V213" i="1"/>
  <c r="V214" i="1"/>
  <c r="V215" i="1"/>
  <c r="V216" i="1"/>
  <c r="V217" i="1"/>
  <c r="V218" i="1"/>
  <c r="V219" i="1"/>
  <c r="V220" i="1"/>
  <c r="V221" i="1"/>
  <c r="V222" i="1"/>
  <c r="V223" i="1"/>
  <c r="V224" i="1"/>
  <c r="V225" i="1"/>
  <c r="V226" i="1"/>
  <c r="V227" i="1"/>
  <c r="V228" i="1"/>
  <c r="V229" i="1"/>
  <c r="V230" i="1"/>
  <c r="V231" i="1"/>
  <c r="V232" i="1"/>
  <c r="V233" i="1"/>
  <c r="V234" i="1"/>
  <c r="V235" i="1"/>
  <c r="V236" i="1"/>
  <c r="V237" i="1"/>
  <c r="V238" i="1"/>
  <c r="V239" i="1"/>
  <c r="V240" i="1"/>
  <c r="V241" i="1"/>
  <c r="V242" i="1"/>
  <c r="V243" i="1"/>
  <c r="V244" i="1"/>
  <c r="V245" i="1"/>
  <c r="V246" i="1"/>
  <c r="V247" i="1"/>
  <c r="V248" i="1"/>
  <c r="V249" i="1"/>
  <c r="V250" i="1"/>
  <c r="V251" i="1"/>
  <c r="V252" i="1"/>
  <c r="V253" i="1"/>
  <c r="V254" i="1"/>
  <c r="V255" i="1"/>
  <c r="V256" i="1"/>
  <c r="V257" i="1"/>
  <c r="V258" i="1"/>
  <c r="V259" i="1"/>
  <c r="V260" i="1"/>
  <c r="V261" i="1"/>
  <c r="V262" i="1"/>
  <c r="V263" i="1"/>
  <c r="V264" i="1"/>
  <c r="V265" i="1"/>
  <c r="V266" i="1"/>
  <c r="V267" i="1"/>
  <c r="V268" i="1"/>
  <c r="V269" i="1"/>
  <c r="V270" i="1"/>
  <c r="V271" i="1"/>
  <c r="V272" i="1"/>
  <c r="V273" i="1"/>
  <c r="V274" i="1"/>
  <c r="V275" i="1"/>
  <c r="V276" i="1"/>
  <c r="V277" i="1"/>
  <c r="V278" i="1"/>
  <c r="V279" i="1"/>
  <c r="V280" i="1"/>
  <c r="V281" i="1"/>
  <c r="V282" i="1"/>
  <c r="V283" i="1"/>
  <c r="V284" i="1"/>
  <c r="V285" i="1"/>
  <c r="V286" i="1"/>
  <c r="V287" i="1"/>
  <c r="V288" i="1"/>
  <c r="V289" i="1"/>
  <c r="V290" i="1"/>
  <c r="V291" i="1"/>
  <c r="V292" i="1"/>
  <c r="V293" i="1"/>
  <c r="V294" i="1"/>
  <c r="V295" i="1"/>
  <c r="V296" i="1"/>
  <c r="V297" i="1"/>
  <c r="V298" i="1"/>
  <c r="V299" i="1"/>
  <c r="V300" i="1"/>
  <c r="V301" i="1"/>
  <c r="V302" i="1"/>
  <c r="V303" i="1"/>
  <c r="V304" i="1"/>
  <c r="V305" i="1"/>
  <c r="V306" i="1"/>
  <c r="V307" i="1"/>
  <c r="V308" i="1"/>
  <c r="V309" i="1"/>
  <c r="V310" i="1"/>
  <c r="V311" i="1"/>
  <c r="V312" i="1"/>
  <c r="V313" i="1"/>
  <c r="V314" i="1"/>
  <c r="V315" i="1"/>
  <c r="V316" i="1"/>
  <c r="V317" i="1"/>
  <c r="V318" i="1"/>
  <c r="V319" i="1"/>
  <c r="V320" i="1"/>
  <c r="V321" i="1"/>
  <c r="V322" i="1"/>
  <c r="V323" i="1"/>
  <c r="V324" i="1"/>
  <c r="V325" i="1"/>
  <c r="V326" i="1"/>
  <c r="V327" i="1"/>
  <c r="V328" i="1"/>
  <c r="V329" i="1"/>
  <c r="V330" i="1"/>
  <c r="V331" i="1"/>
  <c r="V332" i="1"/>
  <c r="V333" i="1"/>
  <c r="V334" i="1"/>
  <c r="V335" i="1"/>
  <c r="V336" i="1"/>
  <c r="V337" i="1"/>
  <c r="V338" i="1"/>
  <c r="V339" i="1"/>
  <c r="V340" i="1"/>
  <c r="V341" i="1"/>
  <c r="V342" i="1"/>
  <c r="V343" i="1"/>
  <c r="V344" i="1"/>
  <c r="V345" i="1"/>
  <c r="V346" i="1"/>
  <c r="V347" i="1"/>
  <c r="V348" i="1"/>
  <c r="V349" i="1"/>
  <c r="V350" i="1"/>
  <c r="V351" i="1"/>
  <c r="V352" i="1"/>
  <c r="V353" i="1"/>
  <c r="V354" i="1"/>
  <c r="V355" i="1"/>
  <c r="V356" i="1"/>
  <c r="V357" i="1"/>
  <c r="V358" i="1"/>
  <c r="V359" i="1"/>
  <c r="V360" i="1"/>
  <c r="V361" i="1"/>
  <c r="V362" i="1"/>
  <c r="V363" i="1"/>
  <c r="V364" i="1"/>
  <c r="V365" i="1"/>
  <c r="V366" i="1"/>
  <c r="V367" i="1"/>
  <c r="V368" i="1"/>
  <c r="V369" i="1"/>
  <c r="V370" i="1"/>
  <c r="V371" i="1"/>
  <c r="V372" i="1"/>
  <c r="V373" i="1"/>
  <c r="V374" i="1"/>
  <c r="V375" i="1"/>
  <c r="V376" i="1"/>
  <c r="V377" i="1"/>
  <c r="V378" i="1"/>
  <c r="V379" i="1"/>
  <c r="V380" i="1"/>
  <c r="V381" i="1"/>
  <c r="V382" i="1"/>
  <c r="V383" i="1"/>
  <c r="V384" i="1"/>
  <c r="V385" i="1"/>
  <c r="V386" i="1"/>
  <c r="V387" i="1"/>
  <c r="V388" i="1"/>
  <c r="V389" i="1"/>
  <c r="V390" i="1"/>
  <c r="V391" i="1"/>
  <c r="V392" i="1"/>
  <c r="V393" i="1"/>
  <c r="V394" i="1"/>
  <c r="V395" i="1"/>
  <c r="V396" i="1"/>
  <c r="V397" i="1"/>
  <c r="V398" i="1"/>
  <c r="V399" i="1"/>
  <c r="V400" i="1"/>
  <c r="V401" i="1"/>
  <c r="V402" i="1"/>
  <c r="V403" i="1"/>
  <c r="V404" i="1"/>
  <c r="V405" i="1"/>
  <c r="V406" i="1"/>
  <c r="V407" i="1"/>
  <c r="V408" i="1"/>
  <c r="V409" i="1"/>
  <c r="V410" i="1"/>
  <c r="V411" i="1"/>
  <c r="V412" i="1"/>
  <c r="V413" i="1"/>
  <c r="V414" i="1"/>
  <c r="V415" i="1"/>
  <c r="V416" i="1"/>
  <c r="V417" i="1"/>
  <c r="V418" i="1"/>
  <c r="V419" i="1"/>
  <c r="V420" i="1"/>
  <c r="V421" i="1"/>
  <c r="V422" i="1"/>
  <c r="V423" i="1"/>
  <c r="V424" i="1"/>
  <c r="V425" i="1"/>
  <c r="V426" i="1"/>
  <c r="V427" i="1"/>
  <c r="V428" i="1"/>
  <c r="V429" i="1"/>
  <c r="V430" i="1"/>
  <c r="V431" i="1"/>
  <c r="V432" i="1"/>
  <c r="V433" i="1"/>
  <c r="V434" i="1"/>
  <c r="V435" i="1"/>
  <c r="V436" i="1"/>
  <c r="V437" i="1"/>
  <c r="V438" i="1"/>
  <c r="V439" i="1"/>
  <c r="V440" i="1"/>
  <c r="V441" i="1"/>
  <c r="V442" i="1"/>
  <c r="V443" i="1"/>
  <c r="V444" i="1"/>
  <c r="V445" i="1"/>
  <c r="V446" i="1"/>
  <c r="V447" i="1"/>
  <c r="V448" i="1"/>
  <c r="V449" i="1"/>
  <c r="V450" i="1"/>
  <c r="V451" i="1"/>
  <c r="V452" i="1"/>
  <c r="V453" i="1"/>
  <c r="V454" i="1"/>
  <c r="V455" i="1"/>
  <c r="V456" i="1"/>
  <c r="V457" i="1"/>
  <c r="V458" i="1"/>
  <c r="V459" i="1"/>
  <c r="V460" i="1"/>
  <c r="V461" i="1"/>
  <c r="V462" i="1"/>
  <c r="V463" i="1"/>
  <c r="V464" i="1"/>
  <c r="V465" i="1"/>
  <c r="V466" i="1"/>
  <c r="V467" i="1"/>
  <c r="V468" i="1"/>
  <c r="V469" i="1"/>
  <c r="V470" i="1"/>
  <c r="V471" i="1"/>
  <c r="V472" i="1"/>
  <c r="V473" i="1"/>
  <c r="V474" i="1"/>
  <c r="V475" i="1"/>
  <c r="V476" i="1"/>
  <c r="V477" i="1"/>
  <c r="V478" i="1"/>
  <c r="V479" i="1"/>
  <c r="V480" i="1"/>
  <c r="V481" i="1"/>
  <c r="V482" i="1"/>
  <c r="V483" i="1"/>
  <c r="V484" i="1"/>
  <c r="V485" i="1"/>
  <c r="V486" i="1"/>
  <c r="V487" i="1"/>
  <c r="V488" i="1"/>
  <c r="V489" i="1"/>
  <c r="V490" i="1"/>
  <c r="V491" i="1"/>
  <c r="V492" i="1"/>
  <c r="V493" i="1"/>
  <c r="V494" i="1"/>
  <c r="V495" i="1"/>
  <c r="V496" i="1"/>
  <c r="V497" i="1"/>
  <c r="V498" i="1"/>
  <c r="V499" i="1"/>
  <c r="V500" i="1"/>
  <c r="V501" i="1"/>
  <c r="V502" i="1"/>
  <c r="V503" i="1"/>
  <c r="V504" i="1"/>
  <c r="V505" i="1"/>
  <c r="V506" i="1"/>
  <c r="V507" i="1"/>
  <c r="V508" i="1"/>
  <c r="V509" i="1"/>
  <c r="V510" i="1"/>
  <c r="V511" i="1"/>
  <c r="V512" i="1"/>
  <c r="V513" i="1"/>
  <c r="V514" i="1"/>
  <c r="V15" i="1"/>
  <c r="U16" i="1"/>
  <c r="U17" i="1"/>
  <c r="U18" i="1"/>
  <c r="U19" i="1"/>
  <c r="U20" i="1"/>
  <c r="U21" i="1"/>
  <c r="U22" i="1"/>
  <c r="U23" i="1"/>
  <c r="U24" i="1"/>
  <c r="U25" i="1"/>
  <c r="U26" i="1"/>
  <c r="U27" i="1"/>
  <c r="U28" i="1"/>
  <c r="U29" i="1"/>
  <c r="U30" i="1"/>
  <c r="U31" i="1"/>
  <c r="U32" i="1"/>
  <c r="U33" i="1"/>
  <c r="U34" i="1"/>
  <c r="U35" i="1"/>
  <c r="U36" i="1"/>
  <c r="U37" i="1"/>
  <c r="U38" i="1"/>
  <c r="U39" i="1"/>
  <c r="U40" i="1"/>
  <c r="U41" i="1"/>
  <c r="U42" i="1"/>
  <c r="U43" i="1"/>
  <c r="U44" i="1"/>
  <c r="U45" i="1"/>
  <c r="U46" i="1"/>
  <c r="U47" i="1"/>
  <c r="U48" i="1"/>
  <c r="U49" i="1"/>
  <c r="U50" i="1"/>
  <c r="U51" i="1"/>
  <c r="U52" i="1"/>
  <c r="U53" i="1"/>
  <c r="U54" i="1"/>
  <c r="U55" i="1"/>
  <c r="U56" i="1"/>
  <c r="U57" i="1"/>
  <c r="U58" i="1"/>
  <c r="U59" i="1"/>
  <c r="U60" i="1"/>
  <c r="U61" i="1"/>
  <c r="U62" i="1"/>
  <c r="U63" i="1"/>
  <c r="U64" i="1"/>
  <c r="U65" i="1"/>
  <c r="U66" i="1"/>
  <c r="U67" i="1"/>
  <c r="U68" i="1"/>
  <c r="U69" i="1"/>
  <c r="U70" i="1"/>
  <c r="U71" i="1"/>
  <c r="U72" i="1"/>
  <c r="U73" i="1"/>
  <c r="U74" i="1"/>
  <c r="U75" i="1"/>
  <c r="U76" i="1"/>
  <c r="U77" i="1"/>
  <c r="U78" i="1"/>
  <c r="U79" i="1"/>
  <c r="U80" i="1"/>
  <c r="U81" i="1"/>
  <c r="U82" i="1"/>
  <c r="U83" i="1"/>
  <c r="U84" i="1"/>
  <c r="U85" i="1"/>
  <c r="U86" i="1"/>
  <c r="U87" i="1"/>
  <c r="U88" i="1"/>
  <c r="U89" i="1"/>
  <c r="U90" i="1"/>
  <c r="U91" i="1"/>
  <c r="U92" i="1"/>
  <c r="U93" i="1"/>
  <c r="U94" i="1"/>
  <c r="U95" i="1"/>
  <c r="U96" i="1"/>
  <c r="U97" i="1"/>
  <c r="U98" i="1"/>
  <c r="U99" i="1"/>
  <c r="U100" i="1"/>
  <c r="U101" i="1"/>
  <c r="U102" i="1"/>
  <c r="U103" i="1"/>
  <c r="U104" i="1"/>
  <c r="U105" i="1"/>
  <c r="U106" i="1"/>
  <c r="U107" i="1"/>
  <c r="U108" i="1"/>
  <c r="U109" i="1"/>
  <c r="U110" i="1"/>
  <c r="U111" i="1"/>
  <c r="U112" i="1"/>
  <c r="U113" i="1"/>
  <c r="U114" i="1"/>
  <c r="U115" i="1"/>
  <c r="U116" i="1"/>
  <c r="U117" i="1"/>
  <c r="U118" i="1"/>
  <c r="U119" i="1"/>
  <c r="U120" i="1"/>
  <c r="U121" i="1"/>
  <c r="U122" i="1"/>
  <c r="U123" i="1"/>
  <c r="U124" i="1"/>
  <c r="U125" i="1"/>
  <c r="U126" i="1"/>
  <c r="U127" i="1"/>
  <c r="U128" i="1"/>
  <c r="U129" i="1"/>
  <c r="U130" i="1"/>
  <c r="U131" i="1"/>
  <c r="U132" i="1"/>
  <c r="U133" i="1"/>
  <c r="U134" i="1"/>
  <c r="U135" i="1"/>
  <c r="U136" i="1"/>
  <c r="U137" i="1"/>
  <c r="U138" i="1"/>
  <c r="U139" i="1"/>
  <c r="U140" i="1"/>
  <c r="U141" i="1"/>
  <c r="U142" i="1"/>
  <c r="U143" i="1"/>
  <c r="U144" i="1"/>
  <c r="U145" i="1"/>
  <c r="U146" i="1"/>
  <c r="U147" i="1"/>
  <c r="U148" i="1"/>
  <c r="U149" i="1"/>
  <c r="U150" i="1"/>
  <c r="U151" i="1"/>
  <c r="U152" i="1"/>
  <c r="U153" i="1"/>
  <c r="U154" i="1"/>
  <c r="U155" i="1"/>
  <c r="U156" i="1"/>
  <c r="U157" i="1"/>
  <c r="U158" i="1"/>
  <c r="U159" i="1"/>
  <c r="U160" i="1"/>
  <c r="U161" i="1"/>
  <c r="U162" i="1"/>
  <c r="U163" i="1"/>
  <c r="U164" i="1"/>
  <c r="U165" i="1"/>
  <c r="U166" i="1"/>
  <c r="U167" i="1"/>
  <c r="U168" i="1"/>
  <c r="U169" i="1"/>
  <c r="U170" i="1"/>
  <c r="U171" i="1"/>
  <c r="U172" i="1"/>
  <c r="U173" i="1"/>
  <c r="U174" i="1"/>
  <c r="U175" i="1"/>
  <c r="U176" i="1"/>
  <c r="U177" i="1"/>
  <c r="U178" i="1"/>
  <c r="U179" i="1"/>
  <c r="U180" i="1"/>
  <c r="U181" i="1"/>
  <c r="U182" i="1"/>
  <c r="U183" i="1"/>
  <c r="U184" i="1"/>
  <c r="U185" i="1"/>
  <c r="U186" i="1"/>
  <c r="U187" i="1"/>
  <c r="U188" i="1"/>
  <c r="U189" i="1"/>
  <c r="U190" i="1"/>
  <c r="U191" i="1"/>
  <c r="U192" i="1"/>
  <c r="U193" i="1"/>
  <c r="U194" i="1"/>
  <c r="U195" i="1"/>
  <c r="U196" i="1"/>
  <c r="U197" i="1"/>
  <c r="U198" i="1"/>
  <c r="U199" i="1"/>
  <c r="U200" i="1"/>
  <c r="U201" i="1"/>
  <c r="U202" i="1"/>
  <c r="U203" i="1"/>
  <c r="U204" i="1"/>
  <c r="U205" i="1"/>
  <c r="U206" i="1"/>
  <c r="U207" i="1"/>
  <c r="U208" i="1"/>
  <c r="U209" i="1"/>
  <c r="U210" i="1"/>
  <c r="U211" i="1"/>
  <c r="U212" i="1"/>
  <c r="U213" i="1"/>
  <c r="U214" i="1"/>
  <c r="U215" i="1"/>
  <c r="U216" i="1"/>
  <c r="U217" i="1"/>
  <c r="U218" i="1"/>
  <c r="U219" i="1"/>
  <c r="U220" i="1"/>
  <c r="U221" i="1"/>
  <c r="U222" i="1"/>
  <c r="U223" i="1"/>
  <c r="U224" i="1"/>
  <c r="U225" i="1"/>
  <c r="U226" i="1"/>
  <c r="U227" i="1"/>
  <c r="U228" i="1"/>
  <c r="U229" i="1"/>
  <c r="U230" i="1"/>
  <c r="U231" i="1"/>
  <c r="U232" i="1"/>
  <c r="U233" i="1"/>
  <c r="U234" i="1"/>
  <c r="U235" i="1"/>
  <c r="U236" i="1"/>
  <c r="U237" i="1"/>
  <c r="U238" i="1"/>
  <c r="U239" i="1"/>
  <c r="U240" i="1"/>
  <c r="U241" i="1"/>
  <c r="U242" i="1"/>
  <c r="U243" i="1"/>
  <c r="U244" i="1"/>
  <c r="U245" i="1"/>
  <c r="U246" i="1"/>
  <c r="U247" i="1"/>
  <c r="U248" i="1"/>
  <c r="U249" i="1"/>
  <c r="U250" i="1"/>
  <c r="U251" i="1"/>
  <c r="U252" i="1"/>
  <c r="U253" i="1"/>
  <c r="U254" i="1"/>
  <c r="U255" i="1"/>
  <c r="U256" i="1"/>
  <c r="U257" i="1"/>
  <c r="U258" i="1"/>
  <c r="U259" i="1"/>
  <c r="U260" i="1"/>
  <c r="U261" i="1"/>
  <c r="U262" i="1"/>
  <c r="U263" i="1"/>
  <c r="U264" i="1"/>
  <c r="U265" i="1"/>
  <c r="U266" i="1"/>
  <c r="U267" i="1"/>
  <c r="U268" i="1"/>
  <c r="U269" i="1"/>
  <c r="U270" i="1"/>
  <c r="U271" i="1"/>
  <c r="U272" i="1"/>
  <c r="U273" i="1"/>
  <c r="U274" i="1"/>
  <c r="U275" i="1"/>
  <c r="U276" i="1"/>
  <c r="U277" i="1"/>
  <c r="U278" i="1"/>
  <c r="U279" i="1"/>
  <c r="U280" i="1"/>
  <c r="U281" i="1"/>
  <c r="U282" i="1"/>
  <c r="U283" i="1"/>
  <c r="U284" i="1"/>
  <c r="U285" i="1"/>
  <c r="U286" i="1"/>
  <c r="U287" i="1"/>
  <c r="U288" i="1"/>
  <c r="U289" i="1"/>
  <c r="U290" i="1"/>
  <c r="U291" i="1"/>
  <c r="U292" i="1"/>
  <c r="U293" i="1"/>
  <c r="U294" i="1"/>
  <c r="U295" i="1"/>
  <c r="U296" i="1"/>
  <c r="U297" i="1"/>
  <c r="U298" i="1"/>
  <c r="U299" i="1"/>
  <c r="U300" i="1"/>
  <c r="U301" i="1"/>
  <c r="U302" i="1"/>
  <c r="U303" i="1"/>
  <c r="U304" i="1"/>
  <c r="U305" i="1"/>
  <c r="U306" i="1"/>
  <c r="U307" i="1"/>
  <c r="U308" i="1"/>
  <c r="U309" i="1"/>
  <c r="U310" i="1"/>
  <c r="U311" i="1"/>
  <c r="U312" i="1"/>
  <c r="U313" i="1"/>
  <c r="U314" i="1"/>
  <c r="U315" i="1"/>
  <c r="U316" i="1"/>
  <c r="U317" i="1"/>
  <c r="U318" i="1"/>
  <c r="U319" i="1"/>
  <c r="U320" i="1"/>
  <c r="U321" i="1"/>
  <c r="U322" i="1"/>
  <c r="U323" i="1"/>
  <c r="U324" i="1"/>
  <c r="U325" i="1"/>
  <c r="U326" i="1"/>
  <c r="U327" i="1"/>
  <c r="U328" i="1"/>
  <c r="U329" i="1"/>
  <c r="U330" i="1"/>
  <c r="U331" i="1"/>
  <c r="U332" i="1"/>
  <c r="U333" i="1"/>
  <c r="U334" i="1"/>
  <c r="U335" i="1"/>
  <c r="U336" i="1"/>
  <c r="U337" i="1"/>
  <c r="U338" i="1"/>
  <c r="U339" i="1"/>
  <c r="U340" i="1"/>
  <c r="U341" i="1"/>
  <c r="U342" i="1"/>
  <c r="U343" i="1"/>
  <c r="U344" i="1"/>
  <c r="U345" i="1"/>
  <c r="U346" i="1"/>
  <c r="U347" i="1"/>
  <c r="U348" i="1"/>
  <c r="U349" i="1"/>
  <c r="U350" i="1"/>
  <c r="U351" i="1"/>
  <c r="U352" i="1"/>
  <c r="U353" i="1"/>
  <c r="U354" i="1"/>
  <c r="U355" i="1"/>
  <c r="U356" i="1"/>
  <c r="U357" i="1"/>
  <c r="U358" i="1"/>
  <c r="U359" i="1"/>
  <c r="U360" i="1"/>
  <c r="U361" i="1"/>
  <c r="U362" i="1"/>
  <c r="U363" i="1"/>
  <c r="U364" i="1"/>
  <c r="U365" i="1"/>
  <c r="U366" i="1"/>
  <c r="U367" i="1"/>
  <c r="U368" i="1"/>
  <c r="U369" i="1"/>
  <c r="U370" i="1"/>
  <c r="U371" i="1"/>
  <c r="U372" i="1"/>
  <c r="U373" i="1"/>
  <c r="U374" i="1"/>
  <c r="U375" i="1"/>
  <c r="U376" i="1"/>
  <c r="U377" i="1"/>
  <c r="U378" i="1"/>
  <c r="U379" i="1"/>
  <c r="U380" i="1"/>
  <c r="U381" i="1"/>
  <c r="U382" i="1"/>
  <c r="U383" i="1"/>
  <c r="U384" i="1"/>
  <c r="U385" i="1"/>
  <c r="U386" i="1"/>
  <c r="U387" i="1"/>
  <c r="U388" i="1"/>
  <c r="U389" i="1"/>
  <c r="U390" i="1"/>
  <c r="U391" i="1"/>
  <c r="U392" i="1"/>
  <c r="U393" i="1"/>
  <c r="U394" i="1"/>
  <c r="U395" i="1"/>
  <c r="U396" i="1"/>
  <c r="U397" i="1"/>
  <c r="U398" i="1"/>
  <c r="U399" i="1"/>
  <c r="U400" i="1"/>
  <c r="U401" i="1"/>
  <c r="U402" i="1"/>
  <c r="U403" i="1"/>
  <c r="U404" i="1"/>
  <c r="U405" i="1"/>
  <c r="U406" i="1"/>
  <c r="U407" i="1"/>
  <c r="U408" i="1"/>
  <c r="U409" i="1"/>
  <c r="U410" i="1"/>
  <c r="U411" i="1"/>
  <c r="U412" i="1"/>
  <c r="U413" i="1"/>
  <c r="U414" i="1"/>
  <c r="U415" i="1"/>
  <c r="U416" i="1"/>
  <c r="U417" i="1"/>
  <c r="U418" i="1"/>
  <c r="U419" i="1"/>
  <c r="U420" i="1"/>
  <c r="U421" i="1"/>
  <c r="U422" i="1"/>
  <c r="U423" i="1"/>
  <c r="U424" i="1"/>
  <c r="U425" i="1"/>
  <c r="U426" i="1"/>
  <c r="U427" i="1"/>
  <c r="U428" i="1"/>
  <c r="U429" i="1"/>
  <c r="U430" i="1"/>
  <c r="U431" i="1"/>
  <c r="U432" i="1"/>
  <c r="U433" i="1"/>
  <c r="U434" i="1"/>
  <c r="U435" i="1"/>
  <c r="U436" i="1"/>
  <c r="U437" i="1"/>
  <c r="U438" i="1"/>
  <c r="U439" i="1"/>
  <c r="U440" i="1"/>
  <c r="U441" i="1"/>
  <c r="U442" i="1"/>
  <c r="U443" i="1"/>
  <c r="U444" i="1"/>
  <c r="U445" i="1"/>
  <c r="U446" i="1"/>
  <c r="U447" i="1"/>
  <c r="U448" i="1"/>
  <c r="U449" i="1"/>
  <c r="U450" i="1"/>
  <c r="U451" i="1"/>
  <c r="U452" i="1"/>
  <c r="U453" i="1"/>
  <c r="U454" i="1"/>
  <c r="U455" i="1"/>
  <c r="U456" i="1"/>
  <c r="U457" i="1"/>
  <c r="U458" i="1"/>
  <c r="U459" i="1"/>
  <c r="U460" i="1"/>
  <c r="U461" i="1"/>
  <c r="U462" i="1"/>
  <c r="U463" i="1"/>
  <c r="U464" i="1"/>
  <c r="U465" i="1"/>
  <c r="U466" i="1"/>
  <c r="U467" i="1"/>
  <c r="U468" i="1"/>
  <c r="U469" i="1"/>
  <c r="U470" i="1"/>
  <c r="U471" i="1"/>
  <c r="U472" i="1"/>
  <c r="U473" i="1"/>
  <c r="U474" i="1"/>
  <c r="U475" i="1"/>
  <c r="U476" i="1"/>
  <c r="U477" i="1"/>
  <c r="U478" i="1"/>
  <c r="U479" i="1"/>
  <c r="U480" i="1"/>
  <c r="U481" i="1"/>
  <c r="U482" i="1"/>
  <c r="U483" i="1"/>
  <c r="U484" i="1"/>
  <c r="U485" i="1"/>
  <c r="U486" i="1"/>
  <c r="U487" i="1"/>
  <c r="U488" i="1"/>
  <c r="U489" i="1"/>
  <c r="U490" i="1"/>
  <c r="U491" i="1"/>
  <c r="U492" i="1"/>
  <c r="U493" i="1"/>
  <c r="U494" i="1"/>
  <c r="U495" i="1"/>
  <c r="U496" i="1"/>
  <c r="U497" i="1"/>
  <c r="U498" i="1"/>
  <c r="U499" i="1"/>
  <c r="U500" i="1"/>
  <c r="U501" i="1"/>
  <c r="U502" i="1"/>
  <c r="U503" i="1"/>
  <c r="U504" i="1"/>
  <c r="U505" i="1"/>
  <c r="U506" i="1"/>
  <c r="U507" i="1"/>
  <c r="U508" i="1"/>
  <c r="U509" i="1"/>
  <c r="U510" i="1"/>
  <c r="U511" i="1"/>
  <c r="U512" i="1"/>
  <c r="U513" i="1"/>
  <c r="U514" i="1"/>
  <c r="U15" i="1"/>
  <c r="C106" i="17"/>
  <c r="C107" i="17"/>
  <c r="C109" i="17"/>
  <c r="C117" i="17"/>
  <c r="C119" i="17"/>
  <c r="C110" i="17"/>
  <c r="C118" i="17"/>
  <c r="C111" i="17"/>
  <c r="C112" i="17"/>
  <c r="C120" i="17"/>
  <c r="C115" i="17"/>
  <c r="C116" i="17"/>
  <c r="C113" i="17"/>
  <c r="C114" i="17"/>
  <c r="C108" i="17"/>
  <c r="L523" i="1" l="1"/>
  <c r="L517" i="1"/>
  <c r="O520" i="1"/>
  <c r="L516" i="1"/>
  <c r="M520" i="1"/>
  <c r="O519" i="1"/>
  <c r="O522" i="1"/>
  <c r="L515" i="1"/>
  <c r="M515" i="1"/>
  <c r="L522" i="1"/>
  <c r="L521" i="1"/>
  <c r="L518" i="1"/>
  <c r="O523" i="1"/>
  <c r="L520" i="1"/>
  <c r="L519" i="1"/>
  <c r="M518" i="1"/>
  <c r="O517" i="1"/>
  <c r="M523" i="1"/>
  <c r="M519" i="1"/>
  <c r="M521" i="1"/>
  <c r="O518" i="1"/>
  <c r="M517" i="1"/>
  <c r="P516" i="1"/>
  <c r="P515" i="1"/>
  <c r="A3" i="1"/>
  <c r="A11" i="1"/>
  <c r="A19" i="1"/>
  <c r="A27" i="1"/>
  <c r="A35" i="1"/>
  <c r="A43" i="1"/>
  <c r="A51" i="1"/>
  <c r="A59" i="1"/>
  <c r="A67" i="1"/>
  <c r="A75" i="1"/>
  <c r="A83" i="1"/>
  <c r="A91" i="1"/>
  <c r="A99" i="1"/>
  <c r="A107" i="1"/>
  <c r="A115" i="1"/>
  <c r="A123" i="1"/>
  <c r="A131" i="1"/>
  <c r="A139" i="1"/>
  <c r="A147" i="1"/>
  <c r="A155" i="1"/>
  <c r="A163" i="1"/>
  <c r="A171" i="1"/>
  <c r="A179" i="1"/>
  <c r="A187" i="1"/>
  <c r="A195" i="1"/>
  <c r="A203" i="1"/>
  <c r="A211" i="1"/>
  <c r="A219" i="1"/>
  <c r="A227" i="1"/>
  <c r="A235" i="1"/>
  <c r="A243" i="1"/>
  <c r="A251" i="1"/>
  <c r="A259" i="1"/>
  <c r="A267" i="1"/>
  <c r="A275" i="1"/>
  <c r="A283" i="1"/>
  <c r="A291" i="1"/>
  <c r="A299" i="1"/>
  <c r="A307" i="1"/>
  <c r="A315" i="1"/>
  <c r="A323" i="1"/>
  <c r="A331" i="1"/>
  <c r="A339" i="1"/>
  <c r="A347" i="1"/>
  <c r="A355" i="1"/>
  <c r="A363" i="1"/>
  <c r="A371" i="1"/>
  <c r="A379" i="1"/>
  <c r="A387" i="1"/>
  <c r="A395" i="1"/>
  <c r="A403" i="1"/>
  <c r="A411" i="1"/>
  <c r="A419" i="1"/>
  <c r="A427" i="1"/>
  <c r="A435" i="1"/>
  <c r="A443" i="1"/>
  <c r="A451" i="1"/>
  <c r="A459" i="1"/>
  <c r="A467" i="1"/>
  <c r="A475" i="1"/>
  <c r="A483" i="1"/>
  <c r="A491" i="1"/>
  <c r="A499" i="1"/>
  <c r="A507" i="1"/>
  <c r="A515" i="1"/>
  <c r="A523" i="1"/>
  <c r="A396" i="1"/>
  <c r="A4" i="1"/>
  <c r="A12" i="1"/>
  <c r="A20" i="1"/>
  <c r="A28" i="1"/>
  <c r="A36" i="1"/>
  <c r="A44" i="1"/>
  <c r="A52" i="1"/>
  <c r="A60" i="1"/>
  <c r="A68" i="1"/>
  <c r="A76" i="1"/>
  <c r="A84" i="1"/>
  <c r="A92" i="1"/>
  <c r="A100" i="1"/>
  <c r="A108" i="1"/>
  <c r="A116" i="1"/>
  <c r="A124" i="1"/>
  <c r="A132" i="1"/>
  <c r="A140" i="1"/>
  <c r="A148" i="1"/>
  <c r="A156" i="1"/>
  <c r="A164" i="1"/>
  <c r="A172" i="1"/>
  <c r="A180" i="1"/>
  <c r="A188" i="1"/>
  <c r="A196" i="1"/>
  <c r="A204" i="1"/>
  <c r="A212" i="1"/>
  <c r="A220" i="1"/>
  <c r="A228" i="1"/>
  <c r="A236" i="1"/>
  <c r="A244" i="1"/>
  <c r="A252" i="1"/>
  <c r="A260" i="1"/>
  <c r="A268" i="1"/>
  <c r="A276" i="1"/>
  <c r="A284" i="1"/>
  <c r="A292" i="1"/>
  <c r="A300" i="1"/>
  <c r="A308" i="1"/>
  <c r="A316" i="1"/>
  <c r="A324" i="1"/>
  <c r="A332" i="1"/>
  <c r="A340" i="1"/>
  <c r="A348" i="1"/>
  <c r="A356" i="1"/>
  <c r="A364" i="1"/>
  <c r="A372" i="1"/>
  <c r="A380" i="1"/>
  <c r="A388" i="1"/>
  <c r="A404" i="1"/>
  <c r="A412" i="1"/>
  <c r="A420" i="1"/>
  <c r="A428" i="1"/>
  <c r="A436" i="1"/>
  <c r="A444" i="1"/>
  <c r="A452" i="1"/>
  <c r="A460" i="1"/>
  <c r="A468" i="1"/>
  <c r="A476" i="1"/>
  <c r="A484" i="1"/>
  <c r="A492" i="1"/>
  <c r="A500" i="1"/>
  <c r="A508" i="1"/>
  <c r="A516" i="1"/>
  <c r="A5" i="1"/>
  <c r="A13" i="1"/>
  <c r="A21" i="1"/>
  <c r="A29" i="1"/>
  <c r="A37" i="1"/>
  <c r="A45" i="1"/>
  <c r="A53" i="1"/>
  <c r="A61" i="1"/>
  <c r="A69" i="1"/>
  <c r="A77" i="1"/>
  <c r="A85" i="1"/>
  <c r="A93" i="1"/>
  <c r="A101" i="1"/>
  <c r="A109" i="1"/>
  <c r="A117" i="1"/>
  <c r="A125" i="1"/>
  <c r="A133" i="1"/>
  <c r="A141" i="1"/>
  <c r="A149" i="1"/>
  <c r="A157" i="1"/>
  <c r="A165" i="1"/>
  <c r="A173" i="1"/>
  <c r="A181" i="1"/>
  <c r="A189" i="1"/>
  <c r="A197" i="1"/>
  <c r="A205" i="1"/>
  <c r="A213" i="1"/>
  <c r="A221" i="1"/>
  <c r="A229" i="1"/>
  <c r="A237" i="1"/>
  <c r="A245" i="1"/>
  <c r="A253" i="1"/>
  <c r="A261" i="1"/>
  <c r="A269" i="1"/>
  <c r="A277" i="1"/>
  <c r="A285" i="1"/>
  <c r="A293" i="1"/>
  <c r="A301" i="1"/>
  <c r="A309" i="1"/>
  <c r="A317" i="1"/>
  <c r="A325" i="1"/>
  <c r="A333" i="1"/>
  <c r="A341" i="1"/>
  <c r="A349" i="1"/>
  <c r="A357" i="1"/>
  <c r="A365" i="1"/>
  <c r="A373" i="1"/>
  <c r="A381" i="1"/>
  <c r="A389" i="1"/>
  <c r="A397" i="1"/>
  <c r="A405" i="1"/>
  <c r="A413" i="1"/>
  <c r="A421" i="1"/>
  <c r="A429" i="1"/>
  <c r="A437" i="1"/>
  <c r="A445" i="1"/>
  <c r="A453" i="1"/>
  <c r="A461" i="1"/>
  <c r="A469" i="1"/>
  <c r="A477" i="1"/>
  <c r="A485" i="1"/>
  <c r="A493" i="1"/>
  <c r="A501" i="1"/>
  <c r="A509" i="1"/>
  <c r="A517" i="1"/>
  <c r="A406" i="1"/>
  <c r="A518" i="1"/>
  <c r="A6" i="1"/>
  <c r="A14" i="1"/>
  <c r="A22" i="1"/>
  <c r="A30" i="1"/>
  <c r="A38" i="1"/>
  <c r="A46" i="1"/>
  <c r="A54" i="1"/>
  <c r="A62" i="1"/>
  <c r="A70" i="1"/>
  <c r="A78" i="1"/>
  <c r="A86" i="1"/>
  <c r="A94" i="1"/>
  <c r="A102" i="1"/>
  <c r="A110" i="1"/>
  <c r="A118" i="1"/>
  <c r="A126" i="1"/>
  <c r="A134" i="1"/>
  <c r="A142" i="1"/>
  <c r="A150" i="1"/>
  <c r="A158" i="1"/>
  <c r="A166" i="1"/>
  <c r="A174" i="1"/>
  <c r="A182" i="1"/>
  <c r="A190" i="1"/>
  <c r="A198" i="1"/>
  <c r="A206" i="1"/>
  <c r="A214" i="1"/>
  <c r="A222" i="1"/>
  <c r="A230" i="1"/>
  <c r="A238" i="1"/>
  <c r="A246" i="1"/>
  <c r="A254" i="1"/>
  <c r="A262" i="1"/>
  <c r="A270" i="1"/>
  <c r="A278" i="1"/>
  <c r="A286" i="1"/>
  <c r="A294" i="1"/>
  <c r="A302" i="1"/>
  <c r="A310" i="1"/>
  <c r="A318" i="1"/>
  <c r="A326" i="1"/>
  <c r="A334" i="1"/>
  <c r="A342" i="1"/>
  <c r="A350" i="1"/>
  <c r="A358" i="1"/>
  <c r="A366" i="1"/>
  <c r="A374" i="1"/>
  <c r="A382" i="1"/>
  <c r="A390" i="1"/>
  <c r="A398" i="1"/>
  <c r="A414" i="1"/>
  <c r="A422" i="1"/>
  <c r="A430" i="1"/>
  <c r="A438" i="1"/>
  <c r="A446" i="1"/>
  <c r="A454" i="1"/>
  <c r="A462" i="1"/>
  <c r="A470" i="1"/>
  <c r="A478" i="1"/>
  <c r="A486" i="1"/>
  <c r="A494" i="1"/>
  <c r="A502" i="1"/>
  <c r="A510" i="1"/>
  <c r="A7" i="1"/>
  <c r="A15" i="1"/>
  <c r="A23" i="1"/>
  <c r="A31" i="1"/>
  <c r="A39" i="1"/>
  <c r="A47" i="1"/>
  <c r="A55" i="1"/>
  <c r="A63" i="1"/>
  <c r="A71" i="1"/>
  <c r="A79" i="1"/>
  <c r="A87" i="1"/>
  <c r="A95" i="1"/>
  <c r="A103" i="1"/>
  <c r="A111" i="1"/>
  <c r="A119" i="1"/>
  <c r="A127" i="1"/>
  <c r="A135" i="1"/>
  <c r="A143" i="1"/>
  <c r="A151" i="1"/>
  <c r="A159" i="1"/>
  <c r="A167" i="1"/>
  <c r="A175" i="1"/>
  <c r="A183" i="1"/>
  <c r="A191" i="1"/>
  <c r="A199" i="1"/>
  <c r="A207" i="1"/>
  <c r="A215" i="1"/>
  <c r="A223" i="1"/>
  <c r="A231" i="1"/>
  <c r="A239" i="1"/>
  <c r="A247" i="1"/>
  <c r="A255" i="1"/>
  <c r="A263" i="1"/>
  <c r="A271" i="1"/>
  <c r="A279" i="1"/>
  <c r="A287" i="1"/>
  <c r="A295" i="1"/>
  <c r="A303" i="1"/>
  <c r="A311" i="1"/>
  <c r="A319" i="1"/>
  <c r="A327" i="1"/>
  <c r="A335" i="1"/>
  <c r="A343" i="1"/>
  <c r="A351" i="1"/>
  <c r="A359" i="1"/>
  <c r="A367" i="1"/>
  <c r="A375" i="1"/>
  <c r="A383" i="1"/>
  <c r="A391" i="1"/>
  <c r="A399" i="1"/>
  <c r="A407" i="1"/>
  <c r="A415" i="1"/>
  <c r="A423" i="1"/>
  <c r="A431" i="1"/>
  <c r="A439" i="1"/>
  <c r="A447" i="1"/>
  <c r="A455" i="1"/>
  <c r="A463" i="1"/>
  <c r="A471" i="1"/>
  <c r="A479" i="1"/>
  <c r="A487" i="1"/>
  <c r="A495" i="1"/>
  <c r="A503" i="1"/>
  <c r="A511" i="1"/>
  <c r="A519" i="1"/>
  <c r="A26" i="1"/>
  <c r="A82" i="1"/>
  <c r="A114" i="1"/>
  <c r="A138" i="1"/>
  <c r="A162" i="1"/>
  <c r="A186" i="1"/>
  <c r="A218" i="1"/>
  <c r="A250" i="1"/>
  <c r="A274" i="1"/>
  <c r="A298" i="1"/>
  <c r="A322" i="1"/>
  <c r="A346" i="1"/>
  <c r="A370" i="1"/>
  <c r="A394" i="1"/>
  <c r="A418" i="1"/>
  <c r="A442" i="1"/>
  <c r="A466" i="1"/>
  <c r="A8" i="1"/>
  <c r="A16" i="1"/>
  <c r="A24" i="1"/>
  <c r="A32" i="1"/>
  <c r="A40" i="1"/>
  <c r="A48" i="1"/>
  <c r="A56" i="1"/>
  <c r="A64" i="1"/>
  <c r="A72" i="1"/>
  <c r="A80" i="1"/>
  <c r="A88" i="1"/>
  <c r="A96" i="1"/>
  <c r="A104" i="1"/>
  <c r="A112" i="1"/>
  <c r="A120" i="1"/>
  <c r="A128" i="1"/>
  <c r="A136" i="1"/>
  <c r="A144" i="1"/>
  <c r="A152" i="1"/>
  <c r="A160" i="1"/>
  <c r="A168" i="1"/>
  <c r="A176" i="1"/>
  <c r="A184" i="1"/>
  <c r="A192" i="1"/>
  <c r="A200" i="1"/>
  <c r="A208" i="1"/>
  <c r="A216" i="1"/>
  <c r="A224" i="1"/>
  <c r="A232" i="1"/>
  <c r="A240" i="1"/>
  <c r="A248" i="1"/>
  <c r="A256" i="1"/>
  <c r="A264" i="1"/>
  <c r="A272" i="1"/>
  <c r="A280" i="1"/>
  <c r="A288" i="1"/>
  <c r="A296" i="1"/>
  <c r="A304" i="1"/>
  <c r="A312" i="1"/>
  <c r="A320" i="1"/>
  <c r="A328" i="1"/>
  <c r="A336" i="1"/>
  <c r="A344" i="1"/>
  <c r="A352" i="1"/>
  <c r="A360" i="1"/>
  <c r="A368" i="1"/>
  <c r="A376" i="1"/>
  <c r="A384" i="1"/>
  <c r="A392" i="1"/>
  <c r="A400" i="1"/>
  <c r="A408" i="1"/>
  <c r="A416" i="1"/>
  <c r="A424" i="1"/>
  <c r="A432" i="1"/>
  <c r="A440" i="1"/>
  <c r="A448" i="1"/>
  <c r="A456" i="1"/>
  <c r="A464" i="1"/>
  <c r="A472" i="1"/>
  <c r="A480" i="1"/>
  <c r="A488" i="1"/>
  <c r="A496" i="1"/>
  <c r="A504" i="1"/>
  <c r="A512" i="1"/>
  <c r="A520" i="1"/>
  <c r="A18" i="1"/>
  <c r="A34" i="1"/>
  <c r="A50" i="1"/>
  <c r="A66" i="1"/>
  <c r="A90" i="1"/>
  <c r="A106" i="1"/>
  <c r="A130" i="1"/>
  <c r="A154" i="1"/>
  <c r="A178" i="1"/>
  <c r="A202" i="1"/>
  <c r="A242" i="1"/>
  <c r="A266" i="1"/>
  <c r="A290" i="1"/>
  <c r="A314" i="1"/>
  <c r="A338" i="1"/>
  <c r="A378" i="1"/>
  <c r="A402" i="1"/>
  <c r="A434" i="1"/>
  <c r="A458" i="1"/>
  <c r="A474" i="1"/>
  <c r="A9" i="1"/>
  <c r="A17" i="1"/>
  <c r="A25" i="1"/>
  <c r="A33" i="1"/>
  <c r="A41" i="1"/>
  <c r="A49" i="1"/>
  <c r="A57" i="1"/>
  <c r="A65" i="1"/>
  <c r="A73" i="1"/>
  <c r="A81" i="1"/>
  <c r="A89" i="1"/>
  <c r="A97" i="1"/>
  <c r="A105" i="1"/>
  <c r="A113" i="1"/>
  <c r="A121" i="1"/>
  <c r="A129" i="1"/>
  <c r="A137" i="1"/>
  <c r="A145" i="1"/>
  <c r="A153" i="1"/>
  <c r="A161" i="1"/>
  <c r="A169" i="1"/>
  <c r="A177" i="1"/>
  <c r="A185" i="1"/>
  <c r="A193" i="1"/>
  <c r="A201" i="1"/>
  <c r="A209" i="1"/>
  <c r="A217" i="1"/>
  <c r="A225" i="1"/>
  <c r="A233" i="1"/>
  <c r="A241" i="1"/>
  <c r="A249" i="1"/>
  <c r="A257" i="1"/>
  <c r="A265" i="1"/>
  <c r="A273" i="1"/>
  <c r="A281" i="1"/>
  <c r="A289" i="1"/>
  <c r="A297" i="1"/>
  <c r="A305" i="1"/>
  <c r="A313" i="1"/>
  <c r="A321" i="1"/>
  <c r="A329" i="1"/>
  <c r="A337" i="1"/>
  <c r="A345" i="1"/>
  <c r="A353" i="1"/>
  <c r="A361" i="1"/>
  <c r="A369" i="1"/>
  <c r="A377" i="1"/>
  <c r="A385" i="1"/>
  <c r="A393" i="1"/>
  <c r="A401" i="1"/>
  <c r="A409" i="1"/>
  <c r="A417" i="1"/>
  <c r="A425" i="1"/>
  <c r="A433" i="1"/>
  <c r="A441" i="1"/>
  <c r="A449" i="1"/>
  <c r="A457" i="1"/>
  <c r="A465" i="1"/>
  <c r="A473" i="1"/>
  <c r="A481" i="1"/>
  <c r="A489" i="1"/>
  <c r="A497" i="1"/>
  <c r="A505" i="1"/>
  <c r="A513" i="1"/>
  <c r="A521" i="1"/>
  <c r="A10" i="1"/>
  <c r="A42" i="1"/>
  <c r="A58" i="1"/>
  <c r="A74" i="1"/>
  <c r="A98" i="1"/>
  <c r="A122" i="1"/>
  <c r="A146" i="1"/>
  <c r="A170" i="1"/>
  <c r="A194" i="1"/>
  <c r="A226" i="1"/>
  <c r="A258" i="1"/>
  <c r="A282" i="1"/>
  <c r="A306" i="1"/>
  <c r="A330" i="1"/>
  <c r="A354" i="1"/>
  <c r="A362" i="1"/>
  <c r="A386" i="1"/>
  <c r="A410" i="1"/>
  <c r="A426" i="1"/>
  <c r="A450" i="1"/>
  <c r="A210" i="1"/>
  <c r="A234" i="1"/>
  <c r="A482" i="1"/>
  <c r="A490" i="1"/>
  <c r="A498" i="1"/>
  <c r="A506" i="1"/>
  <c r="A514" i="1"/>
  <c r="A522" i="1"/>
  <c r="A2" i="1"/>
  <c r="AE5" i="1"/>
  <c r="AE4" i="1"/>
  <c r="AE3" i="1"/>
  <c r="AE2" i="1"/>
  <c r="AD5" i="1"/>
  <c r="AD4" i="1"/>
  <c r="AD3" i="1"/>
  <c r="AD2" i="1"/>
  <c r="AB102" i="1"/>
  <c r="N96" i="1"/>
  <c r="AB172" i="1"/>
  <c r="AB198" i="1"/>
  <c r="N192" i="1"/>
  <c r="AB278" i="1"/>
  <c r="N272" i="1"/>
  <c r="N427" i="1"/>
  <c r="N114" i="1"/>
  <c r="AB105" i="1"/>
  <c r="K294" i="1"/>
  <c r="AB241" i="1"/>
  <c r="AB366" i="1"/>
  <c r="N34" i="1"/>
  <c r="AB361" i="1"/>
  <c r="AB495" i="1"/>
  <c r="AB268" i="1"/>
  <c r="AB489" i="1"/>
  <c r="N108" i="1"/>
  <c r="N315" i="1"/>
  <c r="N329" i="1"/>
  <c r="AB482" i="1"/>
  <c r="AB413" i="1"/>
  <c r="AB178" i="1"/>
  <c r="AB476" i="1"/>
  <c r="AB509" i="1"/>
  <c r="AB283" i="1"/>
  <c r="N54" i="1"/>
  <c r="N342" i="1"/>
  <c r="AB267" i="1"/>
  <c r="K372" i="1"/>
  <c r="N324" i="1"/>
  <c r="AB327" i="1"/>
  <c r="N474" i="1"/>
  <c r="N142" i="1"/>
  <c r="AB423" i="1"/>
  <c r="N59" i="1"/>
  <c r="AB503" i="1"/>
  <c r="N139" i="1"/>
  <c r="N145" i="1"/>
  <c r="N332" i="1"/>
  <c r="AB101" i="1"/>
  <c r="K327" i="1"/>
  <c r="AB115" i="1"/>
  <c r="AB104" i="1"/>
  <c r="N291" i="1"/>
  <c r="AB211" i="1"/>
  <c r="AB217" i="1"/>
  <c r="AB291" i="1"/>
  <c r="AB220" i="1"/>
  <c r="K278" i="1"/>
  <c r="N132" i="1"/>
  <c r="N121" i="1"/>
  <c r="N510" i="1"/>
  <c r="N71" i="1"/>
  <c r="AB379" i="1"/>
  <c r="AB312" i="1"/>
  <c r="N167" i="1"/>
  <c r="AB389" i="1"/>
  <c r="N80" i="1"/>
  <c r="N456" i="1"/>
  <c r="N56" i="1"/>
  <c r="AB343" i="1"/>
  <c r="K102" i="1"/>
  <c r="AB505" i="1"/>
  <c r="AB174" i="1"/>
  <c r="N168" i="1"/>
  <c r="AB145" i="1"/>
  <c r="AB303" i="1"/>
  <c r="AB225" i="1"/>
  <c r="AB350" i="1"/>
  <c r="N299" i="1"/>
  <c r="N452" i="1"/>
  <c r="N386" i="1"/>
  <c r="AB297" i="1"/>
  <c r="AB334" i="1"/>
  <c r="N353" i="1"/>
  <c r="N51" i="1"/>
  <c r="N150" i="1"/>
  <c r="K205" i="1"/>
  <c r="N53" i="1"/>
  <c r="K411" i="1"/>
  <c r="N125" i="1"/>
  <c r="AB235" i="1"/>
  <c r="K53" i="1"/>
  <c r="AB135" i="1"/>
  <c r="N282" i="1"/>
  <c r="AB485" i="1"/>
  <c r="AB231" i="1"/>
  <c r="N378" i="1"/>
  <c r="AB311" i="1"/>
  <c r="N458" i="1"/>
  <c r="N77" i="1"/>
  <c r="N437" i="1"/>
  <c r="AB300" i="1"/>
  <c r="K135" i="1"/>
  <c r="AB426" i="1"/>
  <c r="AB399" i="1"/>
  <c r="N35" i="1"/>
  <c r="AB116" i="1"/>
  <c r="AB345" i="1"/>
  <c r="AB484" i="1"/>
  <c r="AB215" i="1"/>
  <c r="K86" i="1"/>
  <c r="N129" i="1"/>
  <c r="N513" i="1"/>
  <c r="N126" i="1"/>
  <c r="N390" i="1"/>
  <c r="AB187" i="1"/>
  <c r="AB120" i="1"/>
  <c r="N486" i="1"/>
  <c r="AB197" i="1"/>
  <c r="N55" i="1"/>
  <c r="N362" i="1"/>
  <c r="N350" i="1"/>
  <c r="K511" i="1"/>
  <c r="N5" i="1"/>
  <c r="AB352" i="1"/>
  <c r="N384" i="1"/>
  <c r="N143" i="1"/>
  <c r="AB448" i="1"/>
  <c r="AB111" i="1"/>
  <c r="AB441" i="1"/>
  <c r="AB158" i="1"/>
  <c r="N303" i="1"/>
  <c r="N165" i="1"/>
  <c r="N328" i="1"/>
  <c r="AB216" i="1"/>
  <c r="AB260" i="1"/>
  <c r="AB121" i="1"/>
  <c r="AB190" i="1"/>
  <c r="AB125" i="1"/>
  <c r="AB402" i="1"/>
  <c r="AB205" i="1"/>
  <c r="AB188" i="1"/>
  <c r="AB364" i="1"/>
  <c r="K286" i="1"/>
  <c r="N68" i="1"/>
  <c r="AB422" i="1"/>
  <c r="N90" i="1"/>
  <c r="AB293" i="1"/>
  <c r="AB353" i="1"/>
  <c r="N186" i="1"/>
  <c r="AB119" i="1"/>
  <c r="N266" i="1"/>
  <c r="N492" i="1"/>
  <c r="N175" i="1"/>
  <c r="AB131" i="1"/>
  <c r="K451" i="1"/>
  <c r="AB234" i="1"/>
  <c r="AB207" i="1"/>
  <c r="N354" i="1"/>
  <c r="AB330" i="1"/>
  <c r="AB328" i="1"/>
  <c r="AB410" i="1"/>
  <c r="AB383" i="1"/>
  <c r="N488" i="1"/>
  <c r="N311" i="1"/>
  <c r="N243" i="1"/>
  <c r="AB237" i="1"/>
  <c r="AB272" i="1"/>
  <c r="N195" i="1"/>
  <c r="N375" i="1"/>
  <c r="N219" i="1"/>
  <c r="J150" i="1"/>
  <c r="N347" i="1"/>
  <c r="K441" i="1"/>
  <c r="K480" i="1"/>
  <c r="N352" i="1"/>
  <c r="K436" i="1"/>
  <c r="AB160" i="1"/>
  <c r="N29" i="1"/>
  <c r="N462" i="1"/>
  <c r="AB256" i="1"/>
  <c r="AB398" i="1"/>
  <c r="AB336" i="1"/>
  <c r="N363" i="1"/>
  <c r="N508" i="1"/>
  <c r="N100" i="1"/>
  <c r="N111" i="1"/>
  <c r="K164" i="1"/>
  <c r="AB435" i="1"/>
  <c r="AB424" i="1"/>
  <c r="N480" i="1"/>
  <c r="AB132" i="1"/>
  <c r="AB210" i="1"/>
  <c r="AB236" i="1"/>
  <c r="AB356" i="1"/>
  <c r="AB279" i="1"/>
  <c r="K94" i="1"/>
  <c r="N377" i="1"/>
  <c r="AB230" i="1"/>
  <c r="N224" i="1"/>
  <c r="AB492" i="1"/>
  <c r="AB326" i="1"/>
  <c r="N320" i="1"/>
  <c r="AB406" i="1"/>
  <c r="N74" i="1"/>
  <c r="N217" i="1"/>
  <c r="N370" i="1"/>
  <c r="AB122" i="1"/>
  <c r="K422" i="1"/>
  <c r="AB393" i="1"/>
  <c r="AB494" i="1"/>
  <c r="N162" i="1"/>
  <c r="AB138" i="1"/>
  <c r="AB136" i="1"/>
  <c r="AB218" i="1"/>
  <c r="AB191" i="1"/>
  <c r="N380" i="1"/>
  <c r="N340" i="1"/>
  <c r="N331" i="1"/>
  <c r="AB323" i="1"/>
  <c r="N6" i="1"/>
  <c r="AB306" i="1"/>
  <c r="AB223" i="1"/>
  <c r="N102" i="1"/>
  <c r="AB411" i="1"/>
  <c r="N182" i="1"/>
  <c r="N87" i="1"/>
  <c r="AB252" i="1"/>
  <c r="K127" i="1"/>
  <c r="N496" i="1"/>
  <c r="AB455" i="1"/>
  <c r="N91" i="1"/>
  <c r="N270" i="1"/>
  <c r="AB228" i="1"/>
  <c r="AB206" i="1"/>
  <c r="AB144" i="1"/>
  <c r="N489" i="1"/>
  <c r="N356" i="1"/>
  <c r="N503" i="1"/>
  <c r="N238" i="1"/>
  <c r="K455" i="1"/>
  <c r="AB243" i="1"/>
  <c r="AB232" i="1"/>
  <c r="N203" i="1"/>
  <c r="AB339" i="1"/>
  <c r="AB369" i="1"/>
  <c r="AB419" i="1"/>
  <c r="AB417" i="1"/>
  <c r="K406" i="1"/>
  <c r="N509" i="1"/>
  <c r="N17" i="1"/>
  <c r="N88" i="1"/>
  <c r="N267" i="1"/>
  <c r="N415" i="1"/>
  <c r="N220" i="1"/>
  <c r="N359" i="1"/>
  <c r="AB420" i="1"/>
  <c r="K316" i="1"/>
  <c r="K370" i="1"/>
  <c r="K32" i="1"/>
  <c r="N169" i="1"/>
  <c r="N268" i="1"/>
  <c r="AB177" i="1"/>
  <c r="AB302" i="1"/>
  <c r="N296" i="1"/>
  <c r="AB273" i="1"/>
  <c r="AB431" i="1"/>
  <c r="AB377" i="1"/>
  <c r="AB478" i="1"/>
  <c r="N475" i="1"/>
  <c r="N45" i="1"/>
  <c r="N123" i="1"/>
  <c r="AB314" i="1"/>
  <c r="AB349" i="1"/>
  <c r="AB114" i="1"/>
  <c r="AB510" i="1"/>
  <c r="AB445" i="1"/>
  <c r="AB219" i="1"/>
  <c r="X27" i="1"/>
  <c r="X28" i="1" s="1"/>
  <c r="X29" i="1" s="1"/>
  <c r="X30" i="1" s="1"/>
  <c r="X31" i="1" s="1"/>
  <c r="X32" i="1" s="1"/>
  <c r="X33" i="1" s="1"/>
  <c r="X34" i="1" s="1"/>
  <c r="X35" i="1" s="1"/>
  <c r="X36" i="1" s="1"/>
  <c r="X37" i="1" s="1"/>
  <c r="X38" i="1" s="1"/>
  <c r="X39" i="1" s="1"/>
  <c r="X40" i="1" s="1"/>
  <c r="X41" i="1" s="1"/>
  <c r="X42" i="1" s="1"/>
  <c r="X43" i="1" s="1"/>
  <c r="X44" i="1" s="1"/>
  <c r="X45" i="1" s="1"/>
  <c r="X46" i="1" s="1"/>
  <c r="X47" i="1" s="1"/>
  <c r="X48" i="1" s="1"/>
  <c r="X49" i="1" s="1"/>
  <c r="X50" i="1" s="1"/>
  <c r="X51" i="1" s="1"/>
  <c r="X52" i="1" s="1"/>
  <c r="X53" i="1" s="1"/>
  <c r="X54" i="1" s="1"/>
  <c r="X55" i="1" s="1"/>
  <c r="X56" i="1" s="1"/>
  <c r="X57" i="1" s="1"/>
  <c r="X58" i="1" s="1"/>
  <c r="X59" i="1" s="1"/>
  <c r="X60" i="1" s="1"/>
  <c r="X61" i="1" s="1"/>
  <c r="X62" i="1" s="1"/>
  <c r="X63" i="1" s="1"/>
  <c r="X64" i="1" s="1"/>
  <c r="X65" i="1" s="1"/>
  <c r="X66" i="1" s="1"/>
  <c r="X67" i="1" s="1"/>
  <c r="X68" i="1" s="1"/>
  <c r="X69" i="1" s="1"/>
  <c r="X70" i="1" s="1"/>
  <c r="X71" i="1" s="1"/>
  <c r="X72" i="1" s="1"/>
  <c r="X73" i="1" s="1"/>
  <c r="X74" i="1" s="1"/>
  <c r="X75" i="1" s="1"/>
  <c r="X76" i="1" s="1"/>
  <c r="X77" i="1" s="1"/>
  <c r="X78" i="1" s="1"/>
  <c r="X79" i="1" s="1"/>
  <c r="X80" i="1" s="1"/>
  <c r="X81" i="1" s="1"/>
  <c r="X82" i="1" s="1"/>
  <c r="X83" i="1" s="1"/>
  <c r="X84" i="1" s="1"/>
  <c r="X85" i="1" s="1"/>
  <c r="X86" i="1" s="1"/>
  <c r="X87" i="1" s="1"/>
  <c r="X88" i="1" s="1"/>
  <c r="X89" i="1" s="1"/>
  <c r="X90" i="1" s="1"/>
  <c r="X91" i="1" s="1"/>
  <c r="X92" i="1" s="1"/>
  <c r="X93" i="1" s="1"/>
  <c r="X94" i="1" s="1"/>
  <c r="X95" i="1" s="1"/>
  <c r="X96" i="1" s="1"/>
  <c r="X97" i="1" s="1"/>
  <c r="X98" i="1" s="1"/>
  <c r="X99" i="1" s="1"/>
  <c r="X100" i="1" s="1"/>
  <c r="X101" i="1" s="1"/>
  <c r="X102" i="1" s="1"/>
  <c r="X103" i="1" s="1"/>
  <c r="X104" i="1" s="1"/>
  <c r="X105" i="1" s="1"/>
  <c r="X106" i="1" s="1"/>
  <c r="X107" i="1" s="1"/>
  <c r="X108" i="1" s="1"/>
  <c r="X109" i="1" s="1"/>
  <c r="X110" i="1" s="1"/>
  <c r="X111" i="1" s="1"/>
  <c r="X112" i="1" s="1"/>
  <c r="X113" i="1" s="1"/>
  <c r="X114" i="1" s="1"/>
  <c r="X115" i="1" s="1"/>
  <c r="X116" i="1" s="1"/>
  <c r="X117" i="1" s="1"/>
  <c r="X118" i="1" s="1"/>
  <c r="X119" i="1" s="1"/>
  <c r="X120" i="1" s="1"/>
  <c r="X121" i="1" s="1"/>
  <c r="X122" i="1" s="1"/>
  <c r="X123" i="1" s="1"/>
  <c r="X124" i="1" s="1"/>
  <c r="X125" i="1" s="1"/>
  <c r="X126" i="1" s="1"/>
  <c r="X127" i="1" s="1"/>
  <c r="X128" i="1" s="1"/>
  <c r="X129" i="1" s="1"/>
  <c r="X130" i="1" s="1"/>
  <c r="X131" i="1" s="1"/>
  <c r="X132" i="1" s="1"/>
  <c r="X133" i="1" s="1"/>
  <c r="X134" i="1" s="1"/>
  <c r="X135" i="1" s="1"/>
  <c r="X136" i="1" s="1"/>
  <c r="X137" i="1" s="1"/>
  <c r="X138" i="1" s="1"/>
  <c r="X139" i="1" s="1"/>
  <c r="X140" i="1" s="1"/>
  <c r="X141" i="1" s="1"/>
  <c r="X142" i="1" s="1"/>
  <c r="X143" i="1" s="1"/>
  <c r="X144" i="1" s="1"/>
  <c r="X145" i="1" s="1"/>
  <c r="X146" i="1" s="1"/>
  <c r="X147" i="1" s="1"/>
  <c r="X148" i="1" s="1"/>
  <c r="X149" i="1" s="1"/>
  <c r="X150" i="1" s="1"/>
  <c r="X151" i="1" s="1"/>
  <c r="X152" i="1" s="1"/>
  <c r="X153" i="1" s="1"/>
  <c r="X154" i="1" s="1"/>
  <c r="X155" i="1" s="1"/>
  <c r="X156" i="1" s="1"/>
  <c r="X157" i="1" s="1"/>
  <c r="X158" i="1" s="1"/>
  <c r="X159" i="1" s="1"/>
  <c r="X160" i="1" s="1"/>
  <c r="X161" i="1" s="1"/>
  <c r="X162" i="1" s="1"/>
  <c r="X163" i="1" s="1"/>
  <c r="X164" i="1" s="1"/>
  <c r="X165" i="1" s="1"/>
  <c r="X166" i="1" s="1"/>
  <c r="X167" i="1" s="1"/>
  <c r="X168" i="1" s="1"/>
  <c r="X169" i="1" s="1"/>
  <c r="X170" i="1" s="1"/>
  <c r="X171" i="1" s="1"/>
  <c r="X172" i="1" s="1"/>
  <c r="X173" i="1" s="1"/>
  <c r="X174" i="1" s="1"/>
  <c r="X175" i="1" s="1"/>
  <c r="X176" i="1" s="1"/>
  <c r="X177" i="1" s="1"/>
  <c r="X178" i="1" s="1"/>
  <c r="X179" i="1" s="1"/>
  <c r="X180" i="1" s="1"/>
  <c r="X181" i="1" s="1"/>
  <c r="X182" i="1" s="1"/>
  <c r="X183" i="1" s="1"/>
  <c r="X184" i="1" s="1"/>
  <c r="X185" i="1" s="1"/>
  <c r="X186" i="1" s="1"/>
  <c r="X187" i="1" s="1"/>
  <c r="X188" i="1" s="1"/>
  <c r="X189" i="1" s="1"/>
  <c r="X190" i="1" s="1"/>
  <c r="X191" i="1" s="1"/>
  <c r="X192" i="1" s="1"/>
  <c r="X193" i="1" s="1"/>
  <c r="X194" i="1" s="1"/>
  <c r="X195" i="1" s="1"/>
  <c r="X196" i="1" s="1"/>
  <c r="X197" i="1" s="1"/>
  <c r="X198" i="1" s="1"/>
  <c r="X199" i="1" s="1"/>
  <c r="X200" i="1" s="1"/>
  <c r="X201" i="1" s="1"/>
  <c r="X202" i="1" s="1"/>
  <c r="X203" i="1" s="1"/>
  <c r="X204" i="1" s="1"/>
  <c r="X205" i="1" s="1"/>
  <c r="X206" i="1" s="1"/>
  <c r="X207" i="1" s="1"/>
  <c r="X208" i="1" s="1"/>
  <c r="X209" i="1" s="1"/>
  <c r="X210" i="1" s="1"/>
  <c r="X211" i="1" s="1"/>
  <c r="X212" i="1" s="1"/>
  <c r="X213" i="1" s="1"/>
  <c r="X214" i="1" s="1"/>
  <c r="X215" i="1" s="1"/>
  <c r="X216" i="1" s="1"/>
  <c r="X217" i="1" s="1"/>
  <c r="X218" i="1" s="1"/>
  <c r="X219" i="1" s="1"/>
  <c r="X220" i="1" s="1"/>
  <c r="X221" i="1" s="1"/>
  <c r="X222" i="1" s="1"/>
  <c r="X223" i="1" s="1"/>
  <c r="X224" i="1" s="1"/>
  <c r="X225" i="1" s="1"/>
  <c r="X226" i="1" s="1"/>
  <c r="X227" i="1" s="1"/>
  <c r="X228" i="1" s="1"/>
  <c r="X229" i="1" s="1"/>
  <c r="X230" i="1" s="1"/>
  <c r="X231" i="1" s="1"/>
  <c r="X232" i="1" s="1"/>
  <c r="X233" i="1" s="1"/>
  <c r="X234" i="1" s="1"/>
  <c r="X235" i="1" s="1"/>
  <c r="X236" i="1" s="1"/>
  <c r="X237" i="1" s="1"/>
  <c r="X238" i="1" s="1"/>
  <c r="X239" i="1" s="1"/>
  <c r="X240" i="1" s="1"/>
  <c r="X241" i="1" s="1"/>
  <c r="X242" i="1" s="1"/>
  <c r="X243" i="1" s="1"/>
  <c r="X244" i="1" s="1"/>
  <c r="X245" i="1" s="1"/>
  <c r="X246" i="1" s="1"/>
  <c r="X247" i="1" s="1"/>
  <c r="X248" i="1" s="1"/>
  <c r="X249" i="1" s="1"/>
  <c r="X250" i="1" s="1"/>
  <c r="X251" i="1" s="1"/>
  <c r="X252" i="1" s="1"/>
  <c r="X253" i="1" s="1"/>
  <c r="X254" i="1" s="1"/>
  <c r="X255" i="1" s="1"/>
  <c r="X256" i="1" s="1"/>
  <c r="X257" i="1" s="1"/>
  <c r="X258" i="1" s="1"/>
  <c r="X259" i="1" s="1"/>
  <c r="X260" i="1" s="1"/>
  <c r="X261" i="1" s="1"/>
  <c r="X262" i="1" s="1"/>
  <c r="X263" i="1" s="1"/>
  <c r="X264" i="1" s="1"/>
  <c r="X265" i="1" s="1"/>
  <c r="X266" i="1" s="1"/>
  <c r="X267" i="1" s="1"/>
  <c r="X268" i="1" s="1"/>
  <c r="X269" i="1" s="1"/>
  <c r="X270" i="1" s="1"/>
  <c r="X271" i="1" s="1"/>
  <c r="X272" i="1" s="1"/>
  <c r="X273" i="1" s="1"/>
  <c r="X274" i="1" s="1"/>
  <c r="X275" i="1" s="1"/>
  <c r="X276" i="1" s="1"/>
  <c r="X277" i="1" s="1"/>
  <c r="X278" i="1" s="1"/>
  <c r="X279" i="1" s="1"/>
  <c r="X280" i="1" s="1"/>
  <c r="X281" i="1" s="1"/>
  <c r="X282" i="1" s="1"/>
  <c r="X283" i="1" s="1"/>
  <c r="X284" i="1" s="1"/>
  <c r="X285" i="1" s="1"/>
  <c r="X286" i="1" s="1"/>
  <c r="X287" i="1" s="1"/>
  <c r="X288" i="1" s="1"/>
  <c r="X289" i="1" s="1"/>
  <c r="X290" i="1" s="1"/>
  <c r="X291" i="1" s="1"/>
  <c r="X292" i="1" s="1"/>
  <c r="X293" i="1" s="1"/>
  <c r="X294" i="1" s="1"/>
  <c r="X295" i="1" s="1"/>
  <c r="X296" i="1" s="1"/>
  <c r="X297" i="1" s="1"/>
  <c r="X298" i="1" s="1"/>
  <c r="X299" i="1" s="1"/>
  <c r="X300" i="1" s="1"/>
  <c r="X301" i="1" s="1"/>
  <c r="X302" i="1" s="1"/>
  <c r="X303" i="1" s="1"/>
  <c r="X304" i="1" s="1"/>
  <c r="X305" i="1" s="1"/>
  <c r="X306" i="1" s="1"/>
  <c r="X307" i="1" s="1"/>
  <c r="X308" i="1" s="1"/>
  <c r="X309" i="1" s="1"/>
  <c r="X310" i="1" s="1"/>
  <c r="X311" i="1" s="1"/>
  <c r="X312" i="1" s="1"/>
  <c r="X313" i="1" s="1"/>
  <c r="X314" i="1" s="1"/>
  <c r="X315" i="1" s="1"/>
  <c r="X316" i="1" s="1"/>
  <c r="X317" i="1" s="1"/>
  <c r="X318" i="1" s="1"/>
  <c r="X319" i="1" s="1"/>
  <c r="X320" i="1" s="1"/>
  <c r="X321" i="1" s="1"/>
  <c r="X322" i="1" s="1"/>
  <c r="X323" i="1" s="1"/>
  <c r="X324" i="1" s="1"/>
  <c r="X325" i="1" s="1"/>
  <c r="X326" i="1" s="1"/>
  <c r="X327" i="1" s="1"/>
  <c r="X328" i="1" s="1"/>
  <c r="X329" i="1" s="1"/>
  <c r="X330" i="1" s="1"/>
  <c r="X331" i="1" s="1"/>
  <c r="X332" i="1" s="1"/>
  <c r="X333" i="1" s="1"/>
  <c r="X334" i="1" s="1"/>
  <c r="X335" i="1" s="1"/>
  <c r="X336" i="1" s="1"/>
  <c r="X337" i="1" s="1"/>
  <c r="X338" i="1" s="1"/>
  <c r="X339" i="1" s="1"/>
  <c r="X340" i="1" s="1"/>
  <c r="X341" i="1" s="1"/>
  <c r="X342" i="1" s="1"/>
  <c r="X343" i="1" s="1"/>
  <c r="X344" i="1" s="1"/>
  <c r="X345" i="1" s="1"/>
  <c r="X346" i="1" s="1"/>
  <c r="X347" i="1" s="1"/>
  <c r="X348" i="1" s="1"/>
  <c r="X349" i="1" s="1"/>
  <c r="X350" i="1" s="1"/>
  <c r="X351" i="1" s="1"/>
  <c r="X352" i="1" s="1"/>
  <c r="X353" i="1" s="1"/>
  <c r="X354" i="1" s="1"/>
  <c r="X355" i="1" s="1"/>
  <c r="X356" i="1" s="1"/>
  <c r="X357" i="1" s="1"/>
  <c r="X358" i="1" s="1"/>
  <c r="X359" i="1" s="1"/>
  <c r="X360" i="1" s="1"/>
  <c r="X361" i="1" s="1"/>
  <c r="X362" i="1" s="1"/>
  <c r="X363" i="1" s="1"/>
  <c r="X364" i="1" s="1"/>
  <c r="X365" i="1" s="1"/>
  <c r="X366" i="1" s="1"/>
  <c r="X367" i="1" s="1"/>
  <c r="X368" i="1" s="1"/>
  <c r="X369" i="1" s="1"/>
  <c r="X370" i="1" s="1"/>
  <c r="X371" i="1" s="1"/>
  <c r="X372" i="1" s="1"/>
  <c r="X373" i="1" s="1"/>
  <c r="X374" i="1" s="1"/>
  <c r="X375" i="1" s="1"/>
  <c r="X376" i="1" s="1"/>
  <c r="X377" i="1" s="1"/>
  <c r="X378" i="1" s="1"/>
  <c r="X379" i="1" s="1"/>
  <c r="X380" i="1" s="1"/>
  <c r="X381" i="1" s="1"/>
  <c r="X382" i="1" s="1"/>
  <c r="X383" i="1" s="1"/>
  <c r="X384" i="1" s="1"/>
  <c r="X385" i="1" s="1"/>
  <c r="X386" i="1" s="1"/>
  <c r="X387" i="1" s="1"/>
  <c r="X388" i="1" s="1"/>
  <c r="X389" i="1" s="1"/>
  <c r="X390" i="1" s="1"/>
  <c r="X391" i="1" s="1"/>
  <c r="X392" i="1" s="1"/>
  <c r="X393" i="1" s="1"/>
  <c r="X394" i="1" s="1"/>
  <c r="X395" i="1" s="1"/>
  <c r="X396" i="1" s="1"/>
  <c r="X397" i="1" s="1"/>
  <c r="X398" i="1" s="1"/>
  <c r="X399" i="1" s="1"/>
  <c r="X400" i="1" s="1"/>
  <c r="X401" i="1" s="1"/>
  <c r="X402" i="1" s="1"/>
  <c r="X403" i="1" s="1"/>
  <c r="X404" i="1" s="1"/>
  <c r="X405" i="1" s="1"/>
  <c r="X406" i="1" s="1"/>
  <c r="X407" i="1" s="1"/>
  <c r="X408" i="1" s="1"/>
  <c r="X409" i="1" s="1"/>
  <c r="X410" i="1" s="1"/>
  <c r="X411" i="1" s="1"/>
  <c r="X412" i="1" s="1"/>
  <c r="X413" i="1" s="1"/>
  <c r="X414" i="1" s="1"/>
  <c r="X415" i="1" s="1"/>
  <c r="X416" i="1" s="1"/>
  <c r="X417" i="1" s="1"/>
  <c r="X418" i="1" s="1"/>
  <c r="X419" i="1" s="1"/>
  <c r="X420" i="1" s="1"/>
  <c r="X421" i="1" s="1"/>
  <c r="X422" i="1" s="1"/>
  <c r="X423" i="1" s="1"/>
  <c r="X424" i="1" s="1"/>
  <c r="X425" i="1" s="1"/>
  <c r="X426" i="1" s="1"/>
  <c r="X427" i="1" s="1"/>
  <c r="X428" i="1" s="1"/>
  <c r="X429" i="1" s="1"/>
  <c r="X430" i="1" s="1"/>
  <c r="X431" i="1" s="1"/>
  <c r="X432" i="1" s="1"/>
  <c r="X433" i="1" s="1"/>
  <c r="X434" i="1" s="1"/>
  <c r="X435" i="1" s="1"/>
  <c r="X436" i="1" s="1"/>
  <c r="X437" i="1" s="1"/>
  <c r="X438" i="1" s="1"/>
  <c r="X439" i="1" s="1"/>
  <c r="X440" i="1" s="1"/>
  <c r="X441" i="1" s="1"/>
  <c r="X442" i="1" s="1"/>
  <c r="X443" i="1" s="1"/>
  <c r="X444" i="1" s="1"/>
  <c r="X445" i="1" s="1"/>
  <c r="X446" i="1" s="1"/>
  <c r="X447" i="1" s="1"/>
  <c r="X448" i="1" s="1"/>
  <c r="X449" i="1" s="1"/>
  <c r="X450" i="1" s="1"/>
  <c r="X451" i="1" s="1"/>
  <c r="X452" i="1" s="1"/>
  <c r="X453" i="1" s="1"/>
  <c r="X454" i="1" s="1"/>
  <c r="X455" i="1" s="1"/>
  <c r="X456" i="1" s="1"/>
  <c r="X457" i="1" s="1"/>
  <c r="X458" i="1" s="1"/>
  <c r="X459" i="1" s="1"/>
  <c r="X460" i="1" s="1"/>
  <c r="X461" i="1" s="1"/>
  <c r="X462" i="1" s="1"/>
  <c r="X463" i="1" s="1"/>
  <c r="X464" i="1" s="1"/>
  <c r="X465" i="1" s="1"/>
  <c r="X466" i="1" s="1"/>
  <c r="X467" i="1" s="1"/>
  <c r="X468" i="1" s="1"/>
  <c r="X469" i="1" s="1"/>
  <c r="X470" i="1" s="1"/>
  <c r="X471" i="1" s="1"/>
  <c r="X472" i="1" s="1"/>
  <c r="X473" i="1" s="1"/>
  <c r="X474" i="1" s="1"/>
  <c r="X475" i="1" s="1"/>
  <c r="X476" i="1" s="1"/>
  <c r="X477" i="1" s="1"/>
  <c r="X478" i="1" s="1"/>
  <c r="X479" i="1" s="1"/>
  <c r="X480" i="1" s="1"/>
  <c r="X481" i="1" s="1"/>
  <c r="X482" i="1" s="1"/>
  <c r="X483" i="1" s="1"/>
  <c r="X484" i="1" s="1"/>
  <c r="X485" i="1" s="1"/>
  <c r="X486" i="1" s="1"/>
  <c r="X487" i="1" s="1"/>
  <c r="X488" i="1" s="1"/>
  <c r="X489" i="1" s="1"/>
  <c r="X490" i="1" s="1"/>
  <c r="X491" i="1" s="1"/>
  <c r="X492" i="1" s="1"/>
  <c r="X493" i="1" s="1"/>
  <c r="X494" i="1" s="1"/>
  <c r="X495" i="1" s="1"/>
  <c r="X496" i="1" s="1"/>
  <c r="X497" i="1" s="1"/>
  <c r="X498" i="1" s="1"/>
  <c r="X499" i="1" s="1"/>
  <c r="X500" i="1" s="1"/>
  <c r="X501" i="1" s="1"/>
  <c r="X502" i="1" s="1"/>
  <c r="X503" i="1" s="1"/>
  <c r="X504" i="1" s="1"/>
  <c r="X505" i="1" s="1"/>
  <c r="X506" i="1" s="1"/>
  <c r="X507" i="1" s="1"/>
  <c r="X508" i="1" s="1"/>
  <c r="X509" i="1" s="1"/>
  <c r="X510" i="1" s="1"/>
  <c r="X511" i="1" s="1"/>
  <c r="X512" i="1" s="1"/>
  <c r="X513" i="1" s="1"/>
  <c r="X514" i="1" s="1"/>
  <c r="X515" i="1" s="1"/>
  <c r="X516" i="1" s="1"/>
  <c r="X517" i="1" s="1"/>
  <c r="X518" i="1" s="1"/>
  <c r="X519" i="1" s="1"/>
  <c r="X520" i="1" s="1"/>
  <c r="X521" i="1" s="1"/>
  <c r="X522" i="1" s="1"/>
  <c r="X523" i="1" s="1"/>
  <c r="N214" i="1"/>
  <c r="AB107" i="1"/>
  <c r="K355" i="1"/>
  <c r="N221" i="1"/>
  <c r="AB263" i="1"/>
  <c r="N410" i="1"/>
  <c r="N78" i="1"/>
  <c r="AB359" i="1"/>
  <c r="N506" i="1"/>
  <c r="AB439" i="1"/>
  <c r="N75" i="1"/>
  <c r="N493" i="1"/>
  <c r="N229" i="1"/>
  <c r="AB373" i="1"/>
  <c r="K263" i="1"/>
  <c r="AB308" i="1"/>
  <c r="AB433" i="1"/>
  <c r="N163" i="1"/>
  <c r="AB147" i="1"/>
  <c r="AB153" i="1"/>
  <c r="AB227" i="1"/>
  <c r="AB368" i="1"/>
  <c r="K214" i="1"/>
  <c r="N401" i="1"/>
  <c r="N461" i="1"/>
  <c r="N382" i="1"/>
  <c r="N7" i="1"/>
  <c r="AB315" i="1"/>
  <c r="AB248" i="1"/>
  <c r="N103" i="1"/>
  <c r="AB325" i="1"/>
  <c r="N16" i="1"/>
  <c r="N107" i="1"/>
  <c r="N95" i="1"/>
  <c r="AB310" i="1"/>
  <c r="K38" i="1"/>
  <c r="AB480" i="1"/>
  <c r="AB110" i="1"/>
  <c r="N104" i="1"/>
  <c r="AB412" i="1"/>
  <c r="AB239" i="1"/>
  <c r="AB161" i="1"/>
  <c r="AB286" i="1"/>
  <c r="N196" i="1"/>
  <c r="N367" i="1"/>
  <c r="N258" i="1"/>
  <c r="AB129" i="1"/>
  <c r="AB157" i="1"/>
  <c r="AB249" i="1"/>
  <c r="AB318" i="1"/>
  <c r="AB253" i="1"/>
  <c r="AB244" i="1"/>
  <c r="AB333" i="1"/>
  <c r="AB341" i="1"/>
  <c r="AB452" i="1"/>
  <c r="K414" i="1"/>
  <c r="N69" i="1"/>
  <c r="AB212" i="1"/>
  <c r="N325" i="1"/>
  <c r="N444" i="1"/>
  <c r="N468" i="1"/>
  <c r="K175" i="1"/>
  <c r="N152" i="1"/>
  <c r="AB471" i="1"/>
  <c r="K291" i="1"/>
  <c r="K129" i="1"/>
  <c r="K504" i="1"/>
  <c r="K488" i="1"/>
  <c r="AB362" i="1"/>
  <c r="AB335" i="1"/>
  <c r="N482" i="1"/>
  <c r="AB458" i="1"/>
  <c r="AB456" i="1"/>
  <c r="AB276" i="1"/>
  <c r="AB182" i="1"/>
  <c r="K22" i="1"/>
  <c r="N485" i="1"/>
  <c r="N428" i="1"/>
  <c r="W13" i="1"/>
  <c r="W14" i="1" s="1"/>
  <c r="W15" i="1" s="1"/>
  <c r="W16" i="1" s="1"/>
  <c r="W17" i="1" s="1"/>
  <c r="W18" i="1" s="1"/>
  <c r="W19" i="1" s="1"/>
  <c r="W20" i="1" s="1"/>
  <c r="W21" i="1" s="1"/>
  <c r="W22" i="1" s="1"/>
  <c r="W23" i="1" s="1"/>
  <c r="W24" i="1" s="1"/>
  <c r="W25" i="1" s="1"/>
  <c r="W26" i="1" s="1"/>
  <c r="W27" i="1" s="1"/>
  <c r="W28" i="1" s="1"/>
  <c r="W29" i="1" s="1"/>
  <c r="N326" i="1"/>
  <c r="AB123" i="1"/>
  <c r="AB497" i="1"/>
  <c r="N422" i="1"/>
  <c r="AB133" i="1"/>
  <c r="N502" i="1"/>
  <c r="N234" i="1"/>
  <c r="N222" i="1"/>
  <c r="K447" i="1"/>
  <c r="N360" i="1"/>
  <c r="AB288" i="1"/>
  <c r="N292" i="1"/>
  <c r="N79" i="1"/>
  <c r="AB384" i="1"/>
  <c r="AB425" i="1"/>
  <c r="AB464" i="1"/>
  <c r="N33" i="1"/>
  <c r="N499" i="1"/>
  <c r="N457" i="1"/>
  <c r="N200" i="1"/>
  <c r="AB407" i="1"/>
  <c r="AB164" i="1"/>
  <c r="AB513" i="1"/>
  <c r="AB126" i="1"/>
  <c r="AB332" i="1"/>
  <c r="AB338" i="1"/>
  <c r="AB141" i="1"/>
  <c r="AB427" i="1"/>
  <c r="AB408" i="1"/>
  <c r="K222" i="1"/>
  <c r="N369" i="1"/>
  <c r="AB358" i="1"/>
  <c r="N26" i="1"/>
  <c r="AB229" i="1"/>
  <c r="AB454" i="1"/>
  <c r="N122" i="1"/>
  <c r="AB457" i="1"/>
  <c r="N202" i="1"/>
  <c r="N407" i="1"/>
  <c r="N115" i="1"/>
  <c r="AB450" i="1"/>
  <c r="K368" i="1"/>
  <c r="AB170" i="1"/>
  <c r="AB143" i="1"/>
  <c r="N290" i="1"/>
  <c r="AB266" i="1"/>
  <c r="AB264" i="1"/>
  <c r="AB346" i="1"/>
  <c r="AB319" i="1"/>
  <c r="N327" i="1"/>
  <c r="N209" i="1"/>
  <c r="N117" i="1"/>
  <c r="AB316" i="1"/>
  <c r="N134" i="1"/>
  <c r="AB434" i="1"/>
  <c r="AB351" i="1"/>
  <c r="N230" i="1"/>
  <c r="AB140" i="1"/>
  <c r="N310" i="1"/>
  <c r="N176" i="1"/>
  <c r="AB365" i="1"/>
  <c r="K255" i="1"/>
  <c r="N275" i="1"/>
  <c r="AB500" i="1"/>
  <c r="N440" i="1"/>
  <c r="K238" i="1"/>
  <c r="N476" i="1"/>
  <c r="K192" i="1"/>
  <c r="N207" i="1"/>
  <c r="N264" i="1"/>
  <c r="K357" i="1"/>
  <c r="K58" i="1"/>
  <c r="K40" i="1"/>
  <c r="K354" i="1"/>
  <c r="AB371" i="1"/>
  <c r="AB360" i="1"/>
  <c r="N395" i="1"/>
  <c r="AB467" i="1"/>
  <c r="AB146" i="1"/>
  <c r="AB148" i="1"/>
  <c r="AB418" i="1"/>
  <c r="AB246" i="1"/>
  <c r="K30" i="1"/>
  <c r="N284" i="1"/>
  <c r="AB166" i="1"/>
  <c r="N160" i="1"/>
  <c r="AB284" i="1"/>
  <c r="AB262" i="1"/>
  <c r="N256" i="1"/>
  <c r="AB342" i="1"/>
  <c r="N10" i="1"/>
  <c r="N76" i="1"/>
  <c r="N242" i="1"/>
  <c r="AB265" i="1"/>
  <c r="K358" i="1"/>
  <c r="AB305" i="1"/>
  <c r="AB430" i="1"/>
  <c r="N98" i="1"/>
  <c r="AB449" i="1"/>
  <c r="AB388" i="1"/>
  <c r="AB154" i="1"/>
  <c r="AB127" i="1"/>
  <c r="N236" i="1"/>
  <c r="N28" i="1"/>
  <c r="N137" i="1"/>
  <c r="AB139" i="1"/>
  <c r="AB477" i="1"/>
  <c r="AB242" i="1"/>
  <c r="AB159" i="1"/>
  <c r="N38" i="1"/>
  <c r="AB347" i="1"/>
  <c r="N118" i="1"/>
  <c r="N470" i="1"/>
  <c r="AB451" i="1"/>
  <c r="K63" i="1"/>
  <c r="N411" i="1"/>
  <c r="AB391" i="1"/>
  <c r="N27" i="1"/>
  <c r="N206" i="1"/>
  <c r="AB487" i="1"/>
  <c r="AB142" i="1"/>
  <c r="AB428" i="1"/>
  <c r="N49" i="1"/>
  <c r="N259" i="1"/>
  <c r="N417" i="1"/>
  <c r="N110" i="1"/>
  <c r="K391" i="1"/>
  <c r="AB179" i="1"/>
  <c r="AB168" i="1"/>
  <c r="N52" i="1"/>
  <c r="AB275" i="1"/>
  <c r="AB281" i="1"/>
  <c r="AB355" i="1"/>
  <c r="AB233" i="1"/>
  <c r="K342" i="1"/>
  <c r="N349" i="1"/>
  <c r="N365" i="1"/>
  <c r="N127" i="1"/>
  <c r="N135" i="1"/>
  <c r="AB443" i="1"/>
  <c r="AB376" i="1"/>
  <c r="N64" i="1"/>
  <c r="AB150" i="1"/>
  <c r="N144" i="1"/>
  <c r="N93" i="1"/>
  <c r="N184" i="1"/>
  <c r="AB176" i="1"/>
  <c r="K166" i="1"/>
  <c r="N227" i="1"/>
  <c r="N494" i="1"/>
  <c r="AB496" i="1"/>
  <c r="K254" i="1"/>
  <c r="K289" i="1"/>
  <c r="K70" i="1"/>
  <c r="N245" i="1"/>
  <c r="J302" i="1"/>
  <c r="K244" i="1"/>
  <c r="K137" i="1"/>
  <c r="K341" i="1"/>
  <c r="AB285" i="1"/>
  <c r="N262" i="1"/>
  <c r="AB401" i="1"/>
  <c r="AB461" i="1"/>
  <c r="N84" i="1"/>
  <c r="AB295" i="1"/>
  <c r="N295" i="1"/>
  <c r="AB490" i="1"/>
  <c r="AB468" i="1"/>
  <c r="N261" i="1"/>
  <c r="AB251" i="1"/>
  <c r="N119" i="1"/>
  <c r="N351" i="1"/>
  <c r="AB512" i="1"/>
  <c r="N41" i="1"/>
  <c r="AB444" i="1"/>
  <c r="AB466" i="1"/>
  <c r="K350" i="1"/>
  <c r="AB357" i="1"/>
  <c r="N330" i="1"/>
  <c r="K444" i="1"/>
  <c r="K95" i="1"/>
  <c r="AB203" i="1"/>
  <c r="J408" i="1"/>
  <c r="K221" i="1"/>
  <c r="AB289" i="1"/>
  <c r="N297" i="1"/>
  <c r="N460" i="1"/>
  <c r="N180" i="1"/>
  <c r="J214" i="1"/>
  <c r="N85" i="1"/>
  <c r="K505" i="1"/>
  <c r="N418" i="1"/>
  <c r="AB405" i="1"/>
  <c r="AB277" i="1"/>
  <c r="K223" i="1"/>
  <c r="K346" i="1"/>
  <c r="K496" i="1"/>
  <c r="K454" i="1"/>
  <c r="AB469" i="1"/>
  <c r="K470" i="1"/>
  <c r="N92" i="1"/>
  <c r="N357" i="1"/>
  <c r="K487" i="1"/>
  <c r="N73" i="1"/>
  <c r="AB171" i="1"/>
  <c r="K37" i="1"/>
  <c r="K321" i="1"/>
  <c r="K239" i="1"/>
  <c r="K297" i="1"/>
  <c r="J156" i="1"/>
  <c r="AB313" i="1"/>
  <c r="N372" i="1"/>
  <c r="AB354" i="1"/>
  <c r="K510" i="1"/>
  <c r="K491" i="1"/>
  <c r="K260" i="1"/>
  <c r="N368" i="1"/>
  <c r="J82" i="1"/>
  <c r="K235" i="1"/>
  <c r="N198" i="1"/>
  <c r="K319" i="1"/>
  <c r="AB502" i="1"/>
  <c r="K62" i="1"/>
  <c r="K97" i="1"/>
  <c r="N65" i="1"/>
  <c r="N396" i="1"/>
  <c r="J110" i="1"/>
  <c r="K378" i="1"/>
  <c r="K28" i="1"/>
  <c r="K100" i="1"/>
  <c r="N128" i="1"/>
  <c r="N140" i="1"/>
  <c r="N306" i="1"/>
  <c r="AB395" i="1"/>
  <c r="K77" i="1"/>
  <c r="N67" i="1"/>
  <c r="K216" i="1"/>
  <c r="N249" i="1"/>
  <c r="AB193" i="1"/>
  <c r="K427" i="1"/>
  <c r="J280" i="1"/>
  <c r="N408" i="1"/>
  <c r="K252" i="1"/>
  <c r="K55" i="1"/>
  <c r="J458" i="1"/>
  <c r="K248" i="1"/>
  <c r="J94" i="1"/>
  <c r="K268" i="1"/>
  <c r="J355" i="1"/>
  <c r="G506" i="1"/>
  <c r="J356" i="1"/>
  <c r="J127" i="1"/>
  <c r="G221" i="1"/>
  <c r="E213" i="1"/>
  <c r="G309" i="1"/>
  <c r="G297" i="1"/>
  <c r="G435" i="1"/>
  <c r="J323" i="1"/>
  <c r="E474" i="1"/>
  <c r="E475" i="1"/>
  <c r="G252" i="1"/>
  <c r="E106" i="1"/>
  <c r="K154" i="1"/>
  <c r="K36" i="1"/>
  <c r="J28" i="1"/>
  <c r="K371" i="1"/>
  <c r="J69" i="1"/>
  <c r="K361" i="1"/>
  <c r="J188" i="1"/>
  <c r="J177" i="1"/>
  <c r="G134" i="1"/>
  <c r="J416" i="1"/>
  <c r="G289" i="1"/>
  <c r="G472" i="1"/>
  <c r="G193" i="1"/>
  <c r="J197" i="1"/>
  <c r="K311" i="1"/>
  <c r="K181" i="1"/>
  <c r="K80" i="1"/>
  <c r="J87" i="1"/>
  <c r="K89" i="1"/>
  <c r="J326" i="1"/>
  <c r="K288" i="1"/>
  <c r="J483" i="1"/>
  <c r="E21" i="1"/>
  <c r="J125" i="1"/>
  <c r="J48" i="1"/>
  <c r="G113" i="1"/>
  <c r="G212" i="1"/>
  <c r="N314" i="1"/>
  <c r="K483" i="1"/>
  <c r="K275" i="1"/>
  <c r="J382" i="1"/>
  <c r="J402" i="1"/>
  <c r="J78" i="1"/>
  <c r="J248" i="1"/>
  <c r="K413" i="1"/>
  <c r="K69" i="1"/>
  <c r="G361" i="1"/>
  <c r="G135" i="1"/>
  <c r="J244" i="1"/>
  <c r="J306" i="1"/>
  <c r="G364" i="1"/>
  <c r="G403" i="1"/>
  <c r="G384" i="1"/>
  <c r="E144" i="1"/>
  <c r="G432" i="1"/>
  <c r="E158" i="1"/>
  <c r="E381" i="1"/>
  <c r="G482" i="1"/>
  <c r="J180" i="1"/>
  <c r="K377" i="1"/>
  <c r="K501" i="1"/>
  <c r="K49" i="1"/>
  <c r="J215" i="1"/>
  <c r="K345" i="1"/>
  <c r="J502" i="1"/>
  <c r="K113" i="1"/>
  <c r="J68" i="1"/>
  <c r="G20" i="1"/>
  <c r="G195" i="1"/>
  <c r="J304" i="1"/>
  <c r="G217" i="1"/>
  <c r="G24" i="1"/>
  <c r="G418" i="1"/>
  <c r="G81" i="1"/>
  <c r="E39" i="1"/>
  <c r="G286" i="1"/>
  <c r="E191" i="1"/>
  <c r="N21" i="1"/>
  <c r="AB324" i="1"/>
  <c r="N438" i="1"/>
  <c r="N173" i="1"/>
  <c r="AB320" i="1"/>
  <c r="N276" i="1"/>
  <c r="AB499" i="1"/>
  <c r="AB274" i="1"/>
  <c r="K158" i="1"/>
  <c r="AB165" i="1"/>
  <c r="N138" i="1"/>
  <c r="K486" i="1"/>
  <c r="AB202" i="1"/>
  <c r="N89" i="1"/>
  <c r="N70" i="1"/>
  <c r="AB475" i="1"/>
  <c r="K191" i="1"/>
  <c r="N334" i="1"/>
  <c r="N157" i="1"/>
  <c r="K272" i="1"/>
  <c r="K512" i="1"/>
  <c r="N253" i="1"/>
  <c r="J265" i="1"/>
  <c r="J503" i="1"/>
  <c r="AB414" i="1"/>
  <c r="N105" i="1"/>
  <c r="N323" i="1"/>
  <c r="N445" i="1"/>
  <c r="AB472" i="1"/>
  <c r="K103" i="1"/>
  <c r="K434" i="1"/>
  <c r="AB394" i="1"/>
  <c r="N361" i="1"/>
  <c r="N120" i="1"/>
  <c r="AB438" i="1"/>
  <c r="K267" i="1"/>
  <c r="N190" i="1"/>
  <c r="K435" i="1"/>
  <c r="AB307" i="1"/>
  <c r="N316" i="1"/>
  <c r="K430" i="1"/>
  <c r="N188" i="1"/>
  <c r="K132" i="1"/>
  <c r="N425" i="1"/>
  <c r="N241" i="1"/>
  <c r="K340" i="1"/>
  <c r="K250" i="1"/>
  <c r="K232" i="1"/>
  <c r="K147" i="1"/>
  <c r="J245" i="1"/>
  <c r="AB382" i="1"/>
  <c r="N18" i="1"/>
  <c r="N30" i="1"/>
  <c r="K351" i="1"/>
  <c r="K474" i="1"/>
  <c r="AB151" i="1"/>
  <c r="K500" i="1"/>
  <c r="N151" i="1"/>
  <c r="K301" i="1"/>
  <c r="AB498" i="1"/>
  <c r="N423" i="1"/>
  <c r="AB514" i="1"/>
  <c r="K424" i="1"/>
  <c r="K26" i="1"/>
  <c r="K87" i="1"/>
  <c r="N185" i="1"/>
  <c r="AB465" i="1"/>
  <c r="K299" i="1"/>
  <c r="K457" i="1"/>
  <c r="J374" i="1"/>
  <c r="AB214" i="1"/>
  <c r="N387" i="1"/>
  <c r="N179" i="1"/>
  <c r="N501" i="1"/>
  <c r="J22" i="1"/>
  <c r="N251" i="1"/>
  <c r="K313" i="1"/>
  <c r="K310" i="1"/>
  <c r="N338" i="1"/>
  <c r="K437" i="1"/>
  <c r="J137" i="1"/>
  <c r="J238" i="1"/>
  <c r="N66" i="1"/>
  <c r="K106" i="1"/>
  <c r="J511" i="1"/>
  <c r="K274" i="1"/>
  <c r="J103" i="1"/>
  <c r="K42" i="1"/>
  <c r="J324" i="1"/>
  <c r="G463" i="1"/>
  <c r="G9" i="1"/>
  <c r="J161" i="1"/>
  <c r="G59" i="1"/>
  <c r="G225" i="1"/>
  <c r="G203" i="1"/>
  <c r="G167" i="1"/>
  <c r="E16" i="1"/>
  <c r="G125" i="1"/>
  <c r="E445" i="1"/>
  <c r="G414" i="1"/>
  <c r="E389" i="1"/>
  <c r="G513" i="1"/>
  <c r="K295" i="1"/>
  <c r="K130" i="1"/>
  <c r="J501" i="1"/>
  <c r="K509" i="1"/>
  <c r="N164" i="1"/>
  <c r="K211" i="1"/>
  <c r="N430" i="1"/>
  <c r="J122" i="1"/>
  <c r="G459" i="1"/>
  <c r="J349" i="1"/>
  <c r="K184" i="1"/>
  <c r="G292" i="1"/>
  <c r="G445" i="1"/>
  <c r="J276" i="1"/>
  <c r="N147" i="1"/>
  <c r="N453" i="1"/>
  <c r="K490" i="1"/>
  <c r="J40" i="1"/>
  <c r="K443" i="1"/>
  <c r="J231" i="1"/>
  <c r="K298" i="1"/>
  <c r="J452" i="1"/>
  <c r="G359" i="1"/>
  <c r="G162" i="1"/>
  <c r="J417" i="1"/>
  <c r="G444" i="1"/>
  <c r="E182" i="1"/>
  <c r="N255" i="1"/>
  <c r="K186" i="1"/>
  <c r="J199" i="1"/>
  <c r="J495" i="1"/>
  <c r="J481" i="1"/>
  <c r="J95" i="1"/>
  <c r="J105" i="1"/>
  <c r="J221" i="1"/>
  <c r="J400" i="1"/>
  <c r="G90" i="1"/>
  <c r="G5" i="1"/>
  <c r="G72" i="1"/>
  <c r="J57" i="1"/>
  <c r="E53" i="1"/>
  <c r="E84" i="1"/>
  <c r="G423" i="1"/>
  <c r="E315" i="1"/>
  <c r="G273" i="1"/>
  <c r="G126" i="1"/>
  <c r="J146" i="1"/>
  <c r="E201" i="1"/>
  <c r="G462" i="1"/>
  <c r="N449" i="1"/>
  <c r="K200" i="1"/>
  <c r="K283" i="1"/>
  <c r="J168" i="1"/>
  <c r="K195" i="1"/>
  <c r="J359" i="1"/>
  <c r="K116" i="1"/>
  <c r="J93" i="1"/>
  <c r="E340" i="1"/>
  <c r="E4" i="1"/>
  <c r="J106" i="1"/>
  <c r="K507" i="1"/>
  <c r="G483" i="1"/>
  <c r="G400" i="1"/>
  <c r="G367" i="1"/>
  <c r="G354" i="1"/>
  <c r="G261" i="1"/>
  <c r="G321" i="1"/>
  <c r="J274" i="1"/>
  <c r="K201" i="1"/>
  <c r="AB446" i="1"/>
  <c r="N86" i="1"/>
  <c r="AB199" i="1"/>
  <c r="N442" i="1"/>
  <c r="N97" i="1"/>
  <c r="AB463" i="1"/>
  <c r="AB163" i="1"/>
  <c r="N308" i="1"/>
  <c r="AB184" i="1"/>
  <c r="N490" i="1"/>
  <c r="AB416" i="1"/>
  <c r="AB175" i="1"/>
  <c r="N271" i="1"/>
  <c r="AB185" i="1"/>
  <c r="AB269" i="1"/>
  <c r="N339" i="1"/>
  <c r="AB103" i="1"/>
  <c r="N257" i="1"/>
  <c r="N398" i="1"/>
  <c r="K218" i="1"/>
  <c r="K45" i="1"/>
  <c r="J285" i="1"/>
  <c r="J399" i="1"/>
  <c r="N389" i="1"/>
  <c r="N187" i="1"/>
  <c r="N148" i="1"/>
  <c r="K279" i="1"/>
  <c r="N194" i="1"/>
  <c r="AB473" i="1"/>
  <c r="K395" i="1"/>
  <c r="AB392" i="1"/>
  <c r="N36" i="1"/>
  <c r="N436" i="1"/>
  <c r="N136" i="1"/>
  <c r="K333" i="1"/>
  <c r="N344" i="1"/>
  <c r="K57" i="1"/>
  <c r="AB296" i="1"/>
  <c r="N181" i="1"/>
  <c r="AB186" i="1"/>
  <c r="K446" i="1"/>
  <c r="K481" i="1"/>
  <c r="K384" i="1"/>
  <c r="N20" i="1"/>
  <c r="J494" i="1"/>
  <c r="K171" i="1"/>
  <c r="K329" i="1"/>
  <c r="J158" i="1"/>
  <c r="N464" i="1"/>
  <c r="AB317" i="1"/>
  <c r="N341" i="1"/>
  <c r="N50" i="1"/>
  <c r="AB385" i="1"/>
  <c r="K84" i="1"/>
  <c r="N240" i="1"/>
  <c r="K88" i="1"/>
  <c r="N451" i="1"/>
  <c r="J246" i="1"/>
  <c r="AB415" i="1"/>
  <c r="N146" i="1"/>
  <c r="N158" i="1"/>
  <c r="K415" i="1"/>
  <c r="K499" i="1"/>
  <c r="AB504" i="1"/>
  <c r="K111" i="1"/>
  <c r="N280" i="1"/>
  <c r="K365" i="1"/>
  <c r="K386" i="1"/>
  <c r="J263" i="1"/>
  <c r="N208" i="1"/>
  <c r="N371" i="1"/>
  <c r="N429" i="1"/>
  <c r="N273" i="1"/>
  <c r="J479" i="1"/>
  <c r="K438" i="1"/>
  <c r="K242" i="1"/>
  <c r="K336" i="1"/>
  <c r="N412" i="1"/>
  <c r="AB149" i="1"/>
  <c r="N218" i="1"/>
  <c r="K462" i="1"/>
  <c r="K226" i="1"/>
  <c r="K477" i="1"/>
  <c r="J424" i="1"/>
  <c r="K261" i="1"/>
  <c r="J56" i="1"/>
  <c r="K29" i="1"/>
  <c r="K153" i="1"/>
  <c r="G85" i="1"/>
  <c r="G396" i="1"/>
  <c r="J403" i="1"/>
  <c r="K251" i="1"/>
  <c r="G169" i="1"/>
  <c r="E195" i="1"/>
  <c r="E428" i="1"/>
  <c r="E328" i="1"/>
  <c r="G21" i="1"/>
  <c r="G160" i="1"/>
  <c r="E231" i="1"/>
  <c r="E419" i="1"/>
  <c r="J497" i="1"/>
  <c r="N213" i="1"/>
  <c r="K117" i="1"/>
  <c r="K471" i="1"/>
  <c r="J23" i="1"/>
  <c r="K108" i="1"/>
  <c r="J222" i="1"/>
  <c r="K144" i="1"/>
  <c r="J419" i="1"/>
  <c r="E140" i="1"/>
  <c r="J484" i="1"/>
  <c r="J383" i="1"/>
  <c r="G112" i="1"/>
  <c r="G339" i="1"/>
  <c r="AB167" i="1"/>
  <c r="K119" i="1"/>
  <c r="K484" i="1"/>
  <c r="J294" i="1"/>
  <c r="J138" i="1"/>
  <c r="K68" i="1"/>
  <c r="J184" i="1"/>
  <c r="K285" i="1"/>
  <c r="K380" i="1"/>
  <c r="G488" i="1"/>
  <c r="G208" i="1"/>
  <c r="J116" i="1"/>
  <c r="J262" i="1"/>
  <c r="G491" i="1"/>
  <c r="N434" i="1"/>
  <c r="J54" i="1"/>
  <c r="J397" i="1"/>
  <c r="K334" i="1"/>
  <c r="J203" i="1"/>
  <c r="AB378" i="1"/>
  <c r="J477" i="1"/>
  <c r="J234" i="1"/>
  <c r="J205" i="1"/>
  <c r="N24" i="1"/>
  <c r="E285" i="1"/>
  <c r="G182" i="1"/>
  <c r="J299" i="1"/>
  <c r="K325" i="1"/>
  <c r="G43" i="1"/>
  <c r="E61" i="1"/>
  <c r="E156" i="1"/>
  <c r="E335" i="1"/>
  <c r="E249" i="1"/>
  <c r="K61" i="1"/>
  <c r="E116" i="1"/>
  <c r="AB247" i="1"/>
  <c r="K96" i="1"/>
  <c r="K213" i="1"/>
  <c r="J462" i="1"/>
  <c r="J25" i="1"/>
  <c r="J206" i="1"/>
  <c r="J312" i="1"/>
  <c r="K284" i="1"/>
  <c r="K21" i="1"/>
  <c r="G299" i="1"/>
  <c r="G369" i="1"/>
  <c r="J372" i="1"/>
  <c r="J183" i="1"/>
  <c r="G285" i="1"/>
  <c r="G276" i="1"/>
  <c r="G241" i="1"/>
  <c r="E171" i="1"/>
  <c r="G471" i="1"/>
  <c r="E431" i="1"/>
  <c r="K408" i="1"/>
  <c r="AB479" i="1"/>
  <c r="N106" i="1"/>
  <c r="AB224" i="1"/>
  <c r="AB462" i="1"/>
  <c r="N333" i="1"/>
  <c r="AB488" i="1"/>
  <c r="AB372" i="1"/>
  <c r="N463" i="1"/>
  <c r="AB390" i="1"/>
  <c r="N319" i="1"/>
  <c r="AB106" i="1"/>
  <c r="AB200" i="1"/>
  <c r="N61" i="1"/>
  <c r="AB370" i="1"/>
  <c r="N246" i="1"/>
  <c r="N149" i="1"/>
  <c r="AB128" i="1"/>
  <c r="N441" i="1"/>
  <c r="AB192" i="1"/>
  <c r="K139" i="1"/>
  <c r="K396" i="1"/>
  <c r="J507" i="1"/>
  <c r="AB113" i="1"/>
  <c r="N348" i="1"/>
  <c r="K302" i="1"/>
  <c r="N237" i="1"/>
  <c r="K256" i="1"/>
  <c r="N431" i="1"/>
  <c r="N298" i="1"/>
  <c r="K421" i="1"/>
  <c r="AB474" i="1"/>
  <c r="N388" i="1"/>
  <c r="N193" i="1"/>
  <c r="N124" i="1"/>
  <c r="J278" i="1"/>
  <c r="N497" i="1"/>
  <c r="K228" i="1"/>
  <c r="N305" i="1"/>
  <c r="N216" i="1"/>
  <c r="AB437" i="1"/>
  <c r="K287" i="1"/>
  <c r="K410" i="1"/>
  <c r="K452" i="1"/>
  <c r="K456" i="1"/>
  <c r="N302" i="1"/>
  <c r="K237" i="1"/>
  <c r="K258" i="1"/>
  <c r="J135" i="1"/>
  <c r="K177" i="1"/>
  <c r="AB436" i="1"/>
  <c r="N483" i="1"/>
  <c r="N373" i="1"/>
  <c r="N466" i="1"/>
  <c r="K461" i="1"/>
  <c r="N233" i="1"/>
  <c r="K185" i="1"/>
  <c r="N252" i="1"/>
  <c r="N8" i="1"/>
  <c r="N294" i="1"/>
  <c r="N491" i="1"/>
  <c r="N178" i="1"/>
  <c r="AB506" i="1"/>
  <c r="K404" i="1"/>
  <c r="N210" i="1"/>
  <c r="K152" i="1"/>
  <c r="N309" i="1"/>
  <c r="AB460" i="1"/>
  <c r="K307" i="1"/>
  <c r="J216" i="1"/>
  <c r="N279" i="1"/>
  <c r="N172" i="1"/>
  <c r="N413" i="1"/>
  <c r="K196" i="1"/>
  <c r="N174" i="1"/>
  <c r="K379" i="1"/>
  <c r="K163" i="1"/>
  <c r="K356" i="1"/>
  <c r="K326" i="1"/>
  <c r="K72" i="1"/>
  <c r="AB459" i="1"/>
  <c r="K257" i="1"/>
  <c r="J487" i="1"/>
  <c r="J207" i="1"/>
  <c r="J281" i="1"/>
  <c r="J162" i="1"/>
  <c r="J210" i="1"/>
  <c r="J422" i="1"/>
  <c r="J437" i="1"/>
  <c r="G496" i="1"/>
  <c r="E85" i="1"/>
  <c r="G259" i="1"/>
  <c r="J328" i="1"/>
  <c r="G370" i="1"/>
  <c r="G10" i="1"/>
  <c r="E380" i="1"/>
  <c r="E96" i="1"/>
  <c r="G448" i="1"/>
  <c r="E146" i="1"/>
  <c r="E387" i="1"/>
  <c r="E118" i="1"/>
  <c r="E187" i="1"/>
  <c r="AB226" i="1"/>
  <c r="N345" i="1"/>
  <c r="K362" i="1"/>
  <c r="J466" i="1"/>
  <c r="K402" i="1"/>
  <c r="J167" i="1"/>
  <c r="K170" i="1"/>
  <c r="J388" i="1"/>
  <c r="G358" i="1"/>
  <c r="G249" i="1"/>
  <c r="J289" i="1"/>
  <c r="G142" i="1"/>
  <c r="E20" i="1"/>
  <c r="N402" i="1"/>
  <c r="K122" i="1"/>
  <c r="J71" i="1"/>
  <c r="J335" i="1"/>
  <c r="J409" i="1"/>
  <c r="J31" i="1"/>
  <c r="J41" i="1"/>
  <c r="J242" i="1"/>
  <c r="J272" i="1"/>
  <c r="G378" i="1"/>
  <c r="G84" i="1"/>
  <c r="G181" i="1"/>
  <c r="J258" i="1"/>
  <c r="E172" i="1"/>
  <c r="AB301" i="1"/>
  <c r="N467" i="1"/>
  <c r="J59" i="1"/>
  <c r="K337" i="1"/>
  <c r="J172" i="1"/>
  <c r="K212" i="1"/>
  <c r="J347" i="1"/>
  <c r="J448" i="1"/>
  <c r="J468" i="1"/>
  <c r="J447" i="1"/>
  <c r="G236" i="1"/>
  <c r="E268" i="1"/>
  <c r="J485" i="1"/>
  <c r="J464" i="1"/>
  <c r="E35" i="1"/>
  <c r="E240" i="1"/>
  <c r="E346" i="1"/>
  <c r="G421" i="1"/>
  <c r="E281" i="1"/>
  <c r="J164" i="1"/>
  <c r="E283" i="1"/>
  <c r="N37" i="1"/>
  <c r="K506" i="1"/>
  <c r="J391" i="1"/>
  <c r="J426" i="1"/>
  <c r="J314" i="1"/>
  <c r="J159" i="1"/>
  <c r="J169" i="1"/>
  <c r="J47" i="1"/>
  <c r="J489" i="1"/>
  <c r="E291" i="1"/>
  <c r="G22" i="1"/>
  <c r="G73" i="1"/>
  <c r="J185" i="1"/>
  <c r="G123" i="1"/>
  <c r="E366" i="1"/>
  <c r="E244" i="1"/>
  <c r="G248" i="1"/>
  <c r="E243" i="1"/>
  <c r="E395" i="1"/>
  <c r="K306" i="1"/>
  <c r="AB381" i="1"/>
  <c r="AB442" i="1"/>
  <c r="N346" i="1"/>
  <c r="AB375" i="1"/>
  <c r="AB213" i="1"/>
  <c r="N99" i="1"/>
  <c r="AB112" i="1"/>
  <c r="N254" i="1"/>
  <c r="N39" i="1"/>
  <c r="N478" i="1"/>
  <c r="N469" i="1"/>
  <c r="AB508" i="1"/>
  <c r="N130" i="1"/>
  <c r="AB254" i="1"/>
  <c r="AB173" i="1"/>
  <c r="AB486" i="1"/>
  <c r="N250" i="1"/>
  <c r="N116" i="1"/>
  <c r="K448" i="1"/>
  <c r="K399" i="1"/>
  <c r="K66" i="1"/>
  <c r="J476" i="1"/>
  <c r="AB238" i="1"/>
  <c r="N514" i="1"/>
  <c r="AB169" i="1"/>
  <c r="K318" i="1"/>
  <c r="K353" i="1"/>
  <c r="K246" i="1"/>
  <c r="N505" i="1"/>
  <c r="J366" i="1"/>
  <c r="AB447" i="1"/>
  <c r="N235" i="1"/>
  <c r="N409" i="1"/>
  <c r="K54" i="1"/>
  <c r="AB409" i="1"/>
  <c r="K207" i="1"/>
  <c r="K498" i="1"/>
  <c r="AB403" i="1"/>
  <c r="N177" i="1"/>
  <c r="N248" i="1"/>
  <c r="AB344" i="1"/>
  <c r="K331" i="1"/>
  <c r="N47" i="1"/>
  <c r="K24" i="1"/>
  <c r="N397" i="1"/>
  <c r="J182" i="1"/>
  <c r="K179" i="1"/>
  <c r="J88" i="1"/>
  <c r="K27" i="1"/>
  <c r="AB397" i="1"/>
  <c r="N391" i="1"/>
  <c r="N500" i="1"/>
  <c r="N153" i="1"/>
  <c r="J406" i="1"/>
  <c r="K78" i="1"/>
  <c r="K114" i="1"/>
  <c r="K335" i="1"/>
  <c r="N472" i="1"/>
  <c r="AB204" i="1"/>
  <c r="N141" i="1"/>
  <c r="N512" i="1"/>
  <c r="N9" i="1"/>
  <c r="K156" i="1"/>
  <c r="N484" i="1"/>
  <c r="K249" i="1"/>
  <c r="K134" i="1"/>
  <c r="N42" i="1"/>
  <c r="K373" i="1"/>
  <c r="J73" i="1"/>
  <c r="N312" i="1"/>
  <c r="K110" i="1"/>
  <c r="N197" i="1"/>
  <c r="K64" i="1"/>
  <c r="N244" i="1"/>
  <c r="N278" i="1"/>
  <c r="K229" i="1"/>
  <c r="K513" i="1"/>
  <c r="K376" i="1"/>
  <c r="K98" i="1"/>
  <c r="AB280" i="1"/>
  <c r="K109" i="1"/>
  <c r="J344" i="1"/>
  <c r="N481" i="1"/>
  <c r="J413" i="1"/>
  <c r="J415" i="1"/>
  <c r="J425" i="1"/>
  <c r="J303" i="1"/>
  <c r="J385" i="1"/>
  <c r="G316" i="1"/>
  <c r="G271" i="1"/>
  <c r="E68" i="1"/>
  <c r="J154" i="1"/>
  <c r="K409" i="1"/>
  <c r="G341" i="1"/>
  <c r="E65" i="1"/>
  <c r="E398" i="1"/>
  <c r="G175" i="1"/>
  <c r="G362" i="1"/>
  <c r="G152" i="1"/>
  <c r="E154" i="1"/>
  <c r="AB421" i="1"/>
  <c r="K23" i="1"/>
  <c r="K482" i="1"/>
  <c r="J166" i="1"/>
  <c r="J488" i="1"/>
  <c r="K389" i="1"/>
  <c r="J120" i="1"/>
  <c r="K157" i="1"/>
  <c r="K82" i="1"/>
  <c r="G238" i="1"/>
  <c r="G317" i="1"/>
  <c r="J229" i="1"/>
  <c r="K317" i="1"/>
  <c r="G279" i="1"/>
  <c r="N414" i="1"/>
  <c r="K493" i="1"/>
  <c r="J505" i="1"/>
  <c r="N300" i="1"/>
  <c r="J139" i="1"/>
  <c r="J506" i="1"/>
  <c r="J394" i="1"/>
  <c r="J431" i="1"/>
  <c r="J50" i="1"/>
  <c r="G128" i="1"/>
  <c r="E404" i="1"/>
  <c r="G75" i="1"/>
  <c r="J171" i="1"/>
  <c r="K259" i="1"/>
  <c r="K141" i="1"/>
  <c r="K168" i="1"/>
  <c r="J220" i="1"/>
  <c r="K187" i="1"/>
  <c r="J309" i="1"/>
  <c r="K34" i="1"/>
  <c r="J316" i="1"/>
  <c r="J305" i="1"/>
  <c r="G327" i="1"/>
  <c r="J461" i="1"/>
  <c r="E246" i="1"/>
  <c r="G185" i="1"/>
  <c r="G458" i="1"/>
  <c r="J51" i="1"/>
  <c r="K25" i="1"/>
  <c r="G28" i="1"/>
  <c r="G218" i="1"/>
  <c r="E217" i="1"/>
  <c r="E289" i="1"/>
  <c r="G346" i="1"/>
  <c r="G15" i="1"/>
  <c r="N281" i="1"/>
  <c r="J118" i="1"/>
  <c r="J201" i="1"/>
  <c r="K151" i="1"/>
  <c r="J267" i="1"/>
  <c r="N406" i="1"/>
  <c r="J114" i="1"/>
  <c r="J301" i="1"/>
  <c r="J115" i="1"/>
  <c r="N479" i="1"/>
  <c r="G355" i="1"/>
  <c r="G460" i="1"/>
  <c r="J427" i="1"/>
  <c r="J270" i="1"/>
  <c r="G102" i="1"/>
  <c r="G156" i="1"/>
  <c r="E192" i="1"/>
  <c r="E296" i="1"/>
  <c r="E409" i="1"/>
  <c r="N358" i="1"/>
  <c r="N94" i="1"/>
  <c r="N189" i="1"/>
  <c r="AB400" i="1"/>
  <c r="N72" i="1"/>
  <c r="AB118" i="1"/>
  <c r="AB259" i="1"/>
  <c r="AB294" i="1"/>
  <c r="N58" i="1"/>
  <c r="N498" i="1"/>
  <c r="AB380" i="1"/>
  <c r="AB282" i="1"/>
  <c r="N459" i="1"/>
  <c r="AB287" i="1"/>
  <c r="N48" i="1"/>
  <c r="AB337" i="1"/>
  <c r="AB270" i="1"/>
  <c r="N283" i="1"/>
  <c r="N19" i="1"/>
  <c r="AB156" i="1"/>
  <c r="K276" i="1"/>
  <c r="N82" i="1"/>
  <c r="N232" i="1"/>
  <c r="AB130" i="1"/>
  <c r="AB109" i="1"/>
  <c r="K159" i="1"/>
  <c r="K282" i="1"/>
  <c r="K495" i="1"/>
  <c r="K270" i="1"/>
  <c r="AB404" i="1"/>
  <c r="N277" i="1"/>
  <c r="N381" i="1"/>
  <c r="N260" i="1"/>
  <c r="K375" i="1"/>
  <c r="N43" i="1"/>
  <c r="AB194" i="1"/>
  <c r="K180" i="1"/>
  <c r="AB481" i="1"/>
  <c r="N321" i="1"/>
  <c r="N228" i="1"/>
  <c r="N170" i="1"/>
  <c r="K397" i="1"/>
  <c r="N269" i="1"/>
  <c r="K121" i="1"/>
  <c r="N212" i="1"/>
  <c r="N318" i="1"/>
  <c r="K245" i="1"/>
  <c r="J330" i="1"/>
  <c r="J38" i="1"/>
  <c r="AB493" i="1"/>
  <c r="N421" i="1"/>
  <c r="N433" i="1"/>
  <c r="K390" i="1"/>
  <c r="AB108" i="1"/>
  <c r="K407" i="1"/>
  <c r="K35" i="1"/>
  <c r="K312" i="1"/>
  <c r="N404" i="1"/>
  <c r="N374" i="1"/>
  <c r="N109" i="1"/>
  <c r="N205" i="1"/>
  <c r="N265" i="1"/>
  <c r="J470" i="1"/>
  <c r="K262" i="1"/>
  <c r="K178" i="1"/>
  <c r="K431" i="1"/>
  <c r="N335" i="1"/>
  <c r="AB240" i="1"/>
  <c r="N32" i="1"/>
  <c r="AB432" i="1"/>
  <c r="AB511" i="1"/>
  <c r="K126" i="1"/>
  <c r="K161" i="1"/>
  <c r="N455" i="1"/>
  <c r="N376" i="1"/>
  <c r="J174" i="1"/>
  <c r="K442" i="1"/>
  <c r="K420" i="1"/>
  <c r="K85" i="1"/>
  <c r="K190" i="1"/>
  <c r="N4" i="1"/>
  <c r="J253" i="1"/>
  <c r="K92" i="1"/>
  <c r="J181" i="1"/>
  <c r="N289" i="1"/>
  <c r="J155" i="1"/>
  <c r="J256" i="1"/>
  <c r="J84" i="1"/>
  <c r="K123" i="1"/>
  <c r="G41" i="1"/>
  <c r="G497" i="1"/>
  <c r="J396" i="1"/>
  <c r="J80" i="1"/>
  <c r="G233" i="1"/>
  <c r="E284" i="1"/>
  <c r="E353" i="1"/>
  <c r="E174" i="1"/>
  <c r="G308" i="1"/>
  <c r="J473" i="1"/>
  <c r="E491" i="1"/>
  <c r="K71" i="1"/>
  <c r="K308" i="1"/>
  <c r="J389" i="1"/>
  <c r="J271" i="1"/>
  <c r="J345" i="1"/>
  <c r="J490" i="1"/>
  <c r="J482" i="1"/>
  <c r="J510" i="1"/>
  <c r="J144" i="1"/>
  <c r="G409" i="1"/>
  <c r="G211" i="1"/>
  <c r="G260" i="1"/>
  <c r="J456" i="1"/>
  <c r="G350" i="1"/>
  <c r="K360" i="1"/>
  <c r="N471" i="1"/>
  <c r="J250" i="1"/>
  <c r="K209" i="1"/>
  <c r="J108" i="1"/>
  <c r="K247" i="1"/>
  <c r="J283" i="1"/>
  <c r="J384" i="1"/>
  <c r="J340" i="1"/>
  <c r="J134" i="1"/>
  <c r="G363" i="1"/>
  <c r="E67" i="1"/>
  <c r="J157" i="1"/>
  <c r="J336" i="1"/>
  <c r="N215" i="1"/>
  <c r="K322" i="1"/>
  <c r="AB304" i="1"/>
  <c r="J198" i="1"/>
  <c r="N337" i="1"/>
  <c r="K460" i="1"/>
  <c r="N57" i="1"/>
  <c r="J35" i="1"/>
  <c r="G253" i="1"/>
  <c r="J259" i="1"/>
  <c r="K210" i="1"/>
  <c r="G104" i="1"/>
  <c r="G447" i="1"/>
  <c r="J45" i="1"/>
  <c r="J235" i="1"/>
  <c r="E506" i="1"/>
  <c r="J373" i="1"/>
  <c r="E501" i="1"/>
  <c r="E228" i="1"/>
  <c r="G23" i="1"/>
  <c r="G230" i="1"/>
  <c r="N307" i="1"/>
  <c r="N432" i="1"/>
  <c r="J123" i="1"/>
  <c r="K465" i="1"/>
  <c r="J236" i="1"/>
  <c r="K136" i="1"/>
  <c r="J411" i="1"/>
  <c r="J512" i="1"/>
  <c r="J109" i="1"/>
  <c r="J119" i="1"/>
  <c r="G157" i="1"/>
  <c r="E149" i="1"/>
  <c r="G387" i="1"/>
  <c r="J290" i="1"/>
  <c r="E236" i="1"/>
  <c r="E73" i="1"/>
  <c r="E22" i="1"/>
  <c r="G194" i="1"/>
  <c r="N394" i="1"/>
  <c r="K160" i="1"/>
  <c r="K469" i="1"/>
  <c r="AB155" i="1"/>
  <c r="K199" i="1"/>
  <c r="AB261" i="1"/>
  <c r="AB440" i="1"/>
  <c r="AB183" i="1"/>
  <c r="J386" i="1"/>
  <c r="N159" i="1"/>
  <c r="K320" i="1"/>
  <c r="N424" i="1"/>
  <c r="K485" i="1"/>
  <c r="N420" i="1"/>
  <c r="K231" i="1"/>
  <c r="J79" i="1"/>
  <c r="K472" i="1"/>
  <c r="K385" i="1"/>
  <c r="N199" i="1"/>
  <c r="K99" i="1"/>
  <c r="AB507" i="1"/>
  <c r="K90" i="1"/>
  <c r="K403" i="1"/>
  <c r="K143" i="1"/>
  <c r="K233" i="1"/>
  <c r="J288" i="1"/>
  <c r="J449" i="1"/>
  <c r="E304" i="1"/>
  <c r="AB363" i="1"/>
  <c r="J75" i="1"/>
  <c r="J186" i="1"/>
  <c r="J43" i="1"/>
  <c r="J92" i="1"/>
  <c r="J252" i="1"/>
  <c r="E44" i="1"/>
  <c r="K296" i="1"/>
  <c r="K217" i="1"/>
  <c r="G147" i="1"/>
  <c r="G133" i="1"/>
  <c r="J509" i="1"/>
  <c r="K453" i="1"/>
  <c r="K315" i="1"/>
  <c r="J369" i="1"/>
  <c r="G478" i="1"/>
  <c r="G479" i="1"/>
  <c r="N435" i="1"/>
  <c r="J329" i="1"/>
  <c r="K400" i="1"/>
  <c r="J331" i="1"/>
  <c r="N301" i="1"/>
  <c r="J410" i="1"/>
  <c r="J64" i="1"/>
  <c r="J243" i="1"/>
  <c r="K176" i="1"/>
  <c r="G228" i="1"/>
  <c r="G381" i="1"/>
  <c r="J381" i="1"/>
  <c r="J346" i="1"/>
  <c r="G428" i="1"/>
  <c r="E280" i="1"/>
  <c r="E361" i="1"/>
  <c r="E129" i="1"/>
  <c r="E58" i="1"/>
  <c r="J96" i="1"/>
  <c r="K227" i="1"/>
  <c r="J126" i="1"/>
  <c r="K433" i="1"/>
  <c r="J343" i="1"/>
  <c r="K476" i="1"/>
  <c r="J514" i="1"/>
  <c r="K369" i="1"/>
  <c r="J196" i="1"/>
  <c r="G453" i="1"/>
  <c r="G117" i="1"/>
  <c r="J170" i="1"/>
  <c r="E108" i="1"/>
  <c r="G410" i="1"/>
  <c r="E196" i="1"/>
  <c r="E341" i="1"/>
  <c r="E226" i="1"/>
  <c r="E59" i="1"/>
  <c r="G82" i="1"/>
  <c r="E265" i="1"/>
  <c r="J286" i="1"/>
  <c r="E204" i="1"/>
  <c r="G141" i="1"/>
  <c r="E107" i="1"/>
  <c r="G154" i="1"/>
  <c r="G166" i="1"/>
  <c r="G315" i="1"/>
  <c r="E242" i="1"/>
  <c r="E210" i="1"/>
  <c r="E10" i="1"/>
  <c r="E454" i="1"/>
  <c r="J351" i="1"/>
  <c r="K432" i="1"/>
  <c r="E302" i="1"/>
  <c r="E36" i="1"/>
  <c r="E184" i="1"/>
  <c r="E257" i="1"/>
  <c r="E87" i="1"/>
  <c r="G111" i="1"/>
  <c r="E423" i="1"/>
  <c r="AB348" i="1"/>
  <c r="AB374" i="1"/>
  <c r="AB470" i="1"/>
  <c r="AB491" i="1"/>
  <c r="AB208" i="1"/>
  <c r="J471" i="1"/>
  <c r="N171" i="1"/>
  <c r="K292" i="1"/>
  <c r="K382" i="1"/>
  <c r="J430" i="1"/>
  <c r="K206" i="1"/>
  <c r="K224" i="1"/>
  <c r="AB221" i="1"/>
  <c r="K33" i="1"/>
  <c r="K314" i="1"/>
  <c r="N44" i="1"/>
  <c r="K165" i="1"/>
  <c r="AB134" i="1"/>
  <c r="K428" i="1"/>
  <c r="K429" i="1"/>
  <c r="K348" i="1"/>
  <c r="K83" i="1"/>
  <c r="J74" i="1"/>
  <c r="J148" i="1"/>
  <c r="G284" i="1"/>
  <c r="K31" i="1"/>
  <c r="J44" i="1"/>
  <c r="J212" i="1"/>
  <c r="J37" i="1"/>
  <c r="G323" i="1"/>
  <c r="N393" i="1"/>
  <c r="K281" i="1"/>
  <c r="N191" i="1"/>
  <c r="K67" i="1"/>
  <c r="E139" i="1"/>
  <c r="G27" i="1"/>
  <c r="G19" i="1"/>
  <c r="K445" i="1"/>
  <c r="J310" i="1"/>
  <c r="J99" i="1"/>
  <c r="G105" i="1"/>
  <c r="E459" i="1"/>
  <c r="K43" i="1"/>
  <c r="J251" i="1"/>
  <c r="K412" i="1"/>
  <c r="J300" i="1"/>
  <c r="K264" i="1"/>
  <c r="J475" i="1"/>
  <c r="J226" i="1"/>
  <c r="J357" i="1"/>
  <c r="J375" i="1"/>
  <c r="G48" i="1"/>
  <c r="G275" i="1"/>
  <c r="G324" i="1"/>
  <c r="J65" i="1"/>
  <c r="E117" i="1"/>
  <c r="E178" i="1"/>
  <c r="E102" i="1"/>
  <c r="E436" i="1"/>
  <c r="E372" i="1"/>
  <c r="G3" i="1"/>
  <c r="N379" i="1"/>
  <c r="K169" i="1"/>
  <c r="K344" i="1"/>
  <c r="AB396" i="1"/>
  <c r="K440" i="1"/>
  <c r="AB189" i="1"/>
  <c r="AB299" i="1"/>
  <c r="K208" i="1"/>
  <c r="K324" i="1"/>
  <c r="AB298" i="1"/>
  <c r="K464" i="1"/>
  <c r="AB483" i="1"/>
  <c r="J342" i="1"/>
  <c r="N504" i="1"/>
  <c r="AB258" i="1"/>
  <c r="N12" i="1"/>
  <c r="K343" i="1"/>
  <c r="K328" i="1"/>
  <c r="K467" i="1"/>
  <c r="K230" i="1"/>
  <c r="K183" i="1"/>
  <c r="K387" i="1"/>
  <c r="J443" i="1"/>
  <c r="J124" i="1"/>
  <c r="G510" i="1"/>
  <c r="G254" i="1"/>
  <c r="E229" i="1"/>
  <c r="K173" i="1"/>
  <c r="J98" i="1"/>
  <c r="G237" i="1"/>
  <c r="K338" i="1"/>
  <c r="K59" i="1"/>
  <c r="J241" i="1"/>
  <c r="G439" i="1"/>
  <c r="K309" i="1"/>
  <c r="J414" i="1"/>
  <c r="J405" i="1"/>
  <c r="G353" i="1"/>
  <c r="E494" i="1"/>
  <c r="J86" i="1"/>
  <c r="J21" i="1"/>
  <c r="G489" i="1"/>
  <c r="E132" i="1"/>
  <c r="G16" i="1"/>
  <c r="AB322" i="1"/>
  <c r="J348" i="1"/>
  <c r="K300" i="1"/>
  <c r="G451" i="1"/>
  <c r="K290" i="1"/>
  <c r="J444" i="1"/>
  <c r="J433" i="1"/>
  <c r="G366" i="1"/>
  <c r="J273" i="1"/>
  <c r="G507" i="1"/>
  <c r="E267" i="1"/>
  <c r="E13" i="1"/>
  <c r="J307" i="1"/>
  <c r="J438" i="1"/>
  <c r="E91" i="1"/>
  <c r="G14" i="1"/>
  <c r="E464" i="1"/>
  <c r="E14" i="1"/>
  <c r="N419" i="1"/>
  <c r="K65" i="1"/>
  <c r="J30" i="1"/>
  <c r="J453" i="1"/>
  <c r="J153" i="1"/>
  <c r="J398" i="1"/>
  <c r="J440" i="1"/>
  <c r="J230" i="1"/>
  <c r="J63" i="1"/>
  <c r="G93" i="1"/>
  <c r="E3" i="1"/>
  <c r="J149" i="1"/>
  <c r="J72" i="1"/>
  <c r="G7" i="1"/>
  <c r="G88" i="1"/>
  <c r="G393" i="1"/>
  <c r="E371" i="1"/>
  <c r="G188" i="1"/>
  <c r="E225" i="1"/>
  <c r="E27" i="1"/>
  <c r="J217" i="1"/>
  <c r="J200" i="1"/>
  <c r="G440" i="1"/>
  <c r="G122" i="1"/>
  <c r="E368" i="1"/>
  <c r="G334" i="1"/>
  <c r="E385" i="1"/>
  <c r="J491" i="1"/>
  <c r="E234" i="1"/>
  <c r="E467" i="1"/>
  <c r="E433" i="1"/>
  <c r="J239" i="1"/>
  <c r="G420" i="1"/>
  <c r="G375" i="1"/>
  <c r="N101" i="1"/>
  <c r="E262" i="1"/>
  <c r="J317" i="1"/>
  <c r="E209" i="1"/>
  <c r="G465" i="1"/>
  <c r="E241" i="1"/>
  <c r="E317" i="1"/>
  <c r="J218" i="1"/>
  <c r="G40" i="1"/>
  <c r="E162" i="1"/>
  <c r="E64" i="1"/>
  <c r="E508" i="1"/>
  <c r="G467" i="1"/>
  <c r="G192" i="1"/>
  <c r="E142" i="1"/>
  <c r="E379" i="1"/>
  <c r="E230" i="1"/>
  <c r="E417" i="1"/>
  <c r="K105" i="1"/>
  <c r="J321" i="1"/>
  <c r="E408" i="1"/>
  <c r="E165" i="1"/>
  <c r="K383" i="1"/>
  <c r="AB196" i="1"/>
  <c r="AB290" i="1"/>
  <c r="N166" i="1"/>
  <c r="N366" i="1"/>
  <c r="K234" i="1"/>
  <c r="N446" i="1"/>
  <c r="AB271" i="1"/>
  <c r="K417" i="1"/>
  <c r="AB250" i="1"/>
  <c r="AB292" i="1"/>
  <c r="N263" i="1"/>
  <c r="K478" i="1"/>
  <c r="N285" i="1"/>
  <c r="K352" i="1"/>
  <c r="K388" i="1"/>
  <c r="K449" i="1"/>
  <c r="N274" i="1"/>
  <c r="AB162" i="1"/>
  <c r="K450" i="1"/>
  <c r="J117" i="1"/>
  <c r="AB386" i="1"/>
  <c r="N3" i="1"/>
  <c r="J293" i="1"/>
  <c r="E441" i="1"/>
  <c r="N204" i="1"/>
  <c r="K280" i="1"/>
  <c r="K189" i="1"/>
  <c r="J208" i="1"/>
  <c r="J70" i="1"/>
  <c r="J450" i="1"/>
  <c r="G213" i="1"/>
  <c r="K47" i="1"/>
  <c r="J295" i="1"/>
  <c r="G183" i="1"/>
  <c r="G509" i="1"/>
  <c r="E89" i="1"/>
  <c r="N511" i="1"/>
  <c r="K374" i="1"/>
  <c r="G144" i="1"/>
  <c r="G282" i="1"/>
  <c r="J368" i="1"/>
  <c r="N223" i="1"/>
  <c r="N293" i="1"/>
  <c r="J390" i="1"/>
  <c r="K167" i="1"/>
  <c r="K277" i="1"/>
  <c r="N403" i="1"/>
  <c r="J163" i="1"/>
  <c r="G145" i="1"/>
  <c r="J133" i="1"/>
  <c r="K197" i="1"/>
  <c r="G74" i="1"/>
  <c r="G306" i="1"/>
  <c r="J493" i="1"/>
  <c r="J420" i="1"/>
  <c r="E397" i="1"/>
  <c r="J81" i="1"/>
  <c r="E120" i="1"/>
  <c r="E310" i="1"/>
  <c r="N287" i="1"/>
  <c r="K107" i="1"/>
  <c r="J24" i="1"/>
  <c r="N46" i="1"/>
  <c r="J90" i="1"/>
  <c r="J287" i="1"/>
  <c r="N15" i="1"/>
  <c r="AB152" i="1"/>
  <c r="N226" i="1"/>
  <c r="AB181" i="1"/>
  <c r="N31" i="1"/>
  <c r="AB367" i="1"/>
  <c r="K269" i="1"/>
  <c r="N343" i="1"/>
  <c r="K398" i="1"/>
  <c r="N336" i="1"/>
  <c r="K303" i="1"/>
  <c r="K182" i="1"/>
  <c r="K494" i="1"/>
  <c r="N161" i="1"/>
  <c r="AB501" i="1"/>
  <c r="N364" i="1"/>
  <c r="K439" i="1"/>
  <c r="N286" i="1"/>
  <c r="K215" i="1"/>
  <c r="J327" i="1"/>
  <c r="K381" i="1"/>
  <c r="J26" i="1"/>
  <c r="G419" i="1"/>
  <c r="E56" i="1"/>
  <c r="E75" i="1"/>
  <c r="J58" i="1"/>
  <c r="J219" i="1"/>
  <c r="G130" i="1"/>
  <c r="AB340" i="1"/>
  <c r="N487" i="1"/>
  <c r="G332" i="1"/>
  <c r="G336" i="1"/>
  <c r="K155" i="1"/>
  <c r="K426" i="1"/>
  <c r="J354" i="1"/>
  <c r="G174" i="1"/>
  <c r="G226" i="1"/>
  <c r="K514" i="1"/>
  <c r="K149" i="1"/>
  <c r="J387" i="1"/>
  <c r="J165" i="1"/>
  <c r="E159" i="1"/>
  <c r="J62" i="1"/>
  <c r="K124" i="1"/>
  <c r="J232" i="1"/>
  <c r="K323" i="1"/>
  <c r="J423" i="1"/>
  <c r="K91" i="1"/>
  <c r="AB387" i="1"/>
  <c r="E221" i="1"/>
  <c r="E62" i="1"/>
  <c r="J469" i="1"/>
  <c r="K392" i="1"/>
  <c r="G356" i="1"/>
  <c r="G374" i="1"/>
  <c r="G108" i="1"/>
  <c r="E500" i="1"/>
  <c r="G335" i="1"/>
  <c r="E336" i="1"/>
  <c r="E202" i="1"/>
  <c r="K79" i="1"/>
  <c r="K502" i="1"/>
  <c r="J315" i="1"/>
  <c r="K138" i="1"/>
  <c r="J364" i="1"/>
  <c r="K188" i="1"/>
  <c r="J261" i="1"/>
  <c r="J189" i="1"/>
  <c r="G131" i="1"/>
  <c r="J32" i="1"/>
  <c r="G49" i="1"/>
  <c r="G148" i="1"/>
  <c r="G245" i="1"/>
  <c r="J193" i="1"/>
  <c r="G187" i="1"/>
  <c r="E384" i="1"/>
  <c r="K74" i="1"/>
  <c r="E38" i="1"/>
  <c r="G219" i="1"/>
  <c r="G373" i="1"/>
  <c r="J334" i="1"/>
  <c r="G127" i="1"/>
  <c r="E269" i="1"/>
  <c r="G95" i="1"/>
  <c r="E443" i="1"/>
  <c r="J225" i="1"/>
  <c r="E376" i="1"/>
  <c r="G274" i="1"/>
  <c r="G480" i="1"/>
  <c r="E405" i="1"/>
  <c r="J152" i="1"/>
  <c r="G343" i="1"/>
  <c r="E232" i="1"/>
  <c r="E103" i="1"/>
  <c r="E307" i="1"/>
  <c r="E12" i="1"/>
  <c r="G109" i="1"/>
  <c r="E481" i="1"/>
  <c r="E457" i="1"/>
  <c r="E511" i="1"/>
  <c r="E453" i="1"/>
  <c r="N156" i="1"/>
  <c r="J455" i="1"/>
  <c r="E512" i="1"/>
  <c r="G115" i="1"/>
  <c r="E17" i="1"/>
  <c r="E80" i="1"/>
  <c r="E48" i="1"/>
  <c r="E150" i="1"/>
  <c r="E448" i="1"/>
  <c r="E253" i="1"/>
  <c r="K128" i="1"/>
  <c r="G132" i="1"/>
  <c r="J353" i="1"/>
  <c r="E30" i="1"/>
  <c r="N11" i="1"/>
  <c r="N454" i="1"/>
  <c r="AB222" i="1"/>
  <c r="N154" i="1"/>
  <c r="K118" i="1"/>
  <c r="N131" i="1"/>
  <c r="AB429" i="1"/>
  <c r="K366" i="1"/>
  <c r="N83" i="1"/>
  <c r="N355" i="1"/>
  <c r="K50" i="1"/>
  <c r="J457" i="1"/>
  <c r="N443" i="1"/>
  <c r="K101" i="1"/>
  <c r="N507" i="1"/>
  <c r="K503" i="1"/>
  <c r="K463" i="1"/>
  <c r="K140" i="1"/>
  <c r="AB137" i="1"/>
  <c r="K225" i="1"/>
  <c r="J492" i="1"/>
  <c r="G53" i="1"/>
  <c r="G137" i="1"/>
  <c r="J209" i="1"/>
  <c r="E495" i="1"/>
  <c r="N465" i="1"/>
  <c r="J367" i="1"/>
  <c r="E326" i="1"/>
  <c r="K104" i="1"/>
  <c r="K489" i="1"/>
  <c r="J42" i="1"/>
  <c r="J194" i="1"/>
  <c r="J151" i="1"/>
  <c r="J325" i="1"/>
  <c r="G106" i="1"/>
  <c r="E365" i="1"/>
  <c r="G63" i="1"/>
  <c r="J284" i="1"/>
  <c r="J380" i="1"/>
  <c r="G51" i="1"/>
  <c r="K475" i="1"/>
  <c r="N113" i="1"/>
  <c r="K41" i="1"/>
  <c r="J418" i="1"/>
  <c r="J89" i="1"/>
  <c r="J318" i="1"/>
  <c r="J376" i="1"/>
  <c r="J102" i="1"/>
  <c r="J446" i="1"/>
  <c r="G172" i="1"/>
  <c r="G434" i="1"/>
  <c r="J500" i="1"/>
  <c r="J439" i="1"/>
  <c r="G176" i="1"/>
  <c r="G197" i="1"/>
  <c r="G178" i="1"/>
  <c r="G504" i="1"/>
  <c r="E181" i="1"/>
  <c r="E392" i="1"/>
  <c r="E127" i="1"/>
  <c r="N23" i="1"/>
  <c r="K265" i="1"/>
  <c r="J412" i="1"/>
  <c r="K125" i="1"/>
  <c r="AB321" i="1"/>
  <c r="K418" i="1"/>
  <c r="J508" i="1"/>
  <c r="J66" i="1"/>
  <c r="E251" i="1"/>
  <c r="J401" i="1"/>
  <c r="G380" i="1"/>
  <c r="E468" i="1"/>
  <c r="G139" i="1"/>
  <c r="J435" i="1"/>
  <c r="J322" i="1"/>
  <c r="E437" i="1"/>
  <c r="E212" i="1"/>
  <c r="E19" i="1"/>
  <c r="E293" i="1"/>
  <c r="N317" i="1"/>
  <c r="J319" i="1"/>
  <c r="G493" i="1"/>
  <c r="G425" i="1"/>
  <c r="G326" i="1"/>
  <c r="G501" i="1"/>
  <c r="N14" i="1"/>
  <c r="AB124" i="1"/>
  <c r="N225" i="1"/>
  <c r="N383" i="1"/>
  <c r="K142" i="1"/>
  <c r="K394" i="1"/>
  <c r="E123" i="1"/>
  <c r="K75" i="1"/>
  <c r="K363" i="1"/>
  <c r="G66" i="1"/>
  <c r="J179" i="1"/>
  <c r="J279" i="1"/>
  <c r="J132" i="1"/>
  <c r="G290" i="1"/>
  <c r="E330" i="1"/>
  <c r="N201" i="1"/>
  <c r="J478" i="1"/>
  <c r="J297" i="1"/>
  <c r="J129" i="1"/>
  <c r="G422" i="1"/>
  <c r="J441" i="1"/>
  <c r="G78" i="1"/>
  <c r="E416" i="1"/>
  <c r="E199" i="1"/>
  <c r="J486" i="1"/>
  <c r="E263" i="1"/>
  <c r="E223" i="1"/>
  <c r="E69" i="1"/>
  <c r="E219" i="1"/>
  <c r="G92" i="1"/>
  <c r="J338" i="1"/>
  <c r="G98" i="1"/>
  <c r="E74" i="1"/>
  <c r="G29" i="1"/>
  <c r="G338" i="1"/>
  <c r="G382" i="1"/>
  <c r="G413" i="1"/>
  <c r="J91" i="1"/>
  <c r="J352" i="1"/>
  <c r="G101" i="1"/>
  <c r="E435" i="1"/>
  <c r="G140" i="1"/>
  <c r="J311" i="1"/>
  <c r="E286" i="1"/>
  <c r="G45" i="1"/>
  <c r="J60" i="1"/>
  <c r="G502" i="1"/>
  <c r="E121" i="1"/>
  <c r="E41" i="1"/>
  <c r="E60" i="1"/>
  <c r="E105" i="1"/>
  <c r="G68" i="1"/>
  <c r="E220" i="1"/>
  <c r="G37" i="1"/>
  <c r="E505" i="1"/>
  <c r="J85" i="1"/>
  <c r="E396" i="1"/>
  <c r="J277" i="1"/>
  <c r="E282" i="1"/>
  <c r="G288" i="1"/>
  <c r="K492" i="1"/>
  <c r="G454" i="1"/>
  <c r="E300" i="1"/>
  <c r="E200" i="1"/>
  <c r="G171" i="1"/>
  <c r="K198" i="1"/>
  <c r="J463" i="1"/>
  <c r="E382" i="1"/>
  <c r="E45" i="1"/>
  <c r="E110" i="1"/>
  <c r="E148" i="1"/>
  <c r="G402" i="1"/>
  <c r="K133" i="1"/>
  <c r="G168" i="1"/>
  <c r="E190" i="1"/>
  <c r="G278" i="1"/>
  <c r="E254" i="1"/>
  <c r="E270" i="1"/>
  <c r="E83" i="1"/>
  <c r="G204" i="1"/>
  <c r="E37" i="1"/>
  <c r="E46" i="1"/>
  <c r="E316" i="1"/>
  <c r="E18" i="1"/>
  <c r="E141" i="1"/>
  <c r="E124" i="1"/>
  <c r="G512" i="1"/>
  <c r="E2" i="1"/>
  <c r="G17" i="1"/>
  <c r="G430" i="1"/>
  <c r="E498" i="1"/>
  <c r="K148" i="1"/>
  <c r="G263" i="1"/>
  <c r="E472" i="1"/>
  <c r="E49" i="1"/>
  <c r="G302" i="1"/>
  <c r="E514" i="1"/>
  <c r="E362" i="1"/>
  <c r="G177" i="1"/>
  <c r="E350" i="1"/>
  <c r="G379" i="1"/>
  <c r="G498" i="1"/>
  <c r="E507" i="1"/>
  <c r="J39" i="1"/>
  <c r="E197" i="1"/>
  <c r="G429" i="1"/>
  <c r="E394" i="1"/>
  <c r="E451" i="1"/>
  <c r="E418" i="1"/>
  <c r="J33" i="1"/>
  <c r="G293" i="1"/>
  <c r="E138" i="1"/>
  <c r="G269" i="1"/>
  <c r="J332" i="1"/>
  <c r="E347" i="1"/>
  <c r="G170" i="1"/>
  <c r="E125" i="1"/>
  <c r="G200" i="1"/>
  <c r="E9" i="1"/>
  <c r="J339" i="1"/>
  <c r="E24" i="1"/>
  <c r="E115" i="1"/>
  <c r="G424" i="1"/>
  <c r="G205" i="1"/>
  <c r="E168" i="1"/>
  <c r="E299" i="1"/>
  <c r="E180" i="1"/>
  <c r="E167" i="1"/>
  <c r="E297" i="1"/>
  <c r="K56" i="1"/>
  <c r="J460" i="1"/>
  <c r="G264" i="1"/>
  <c r="G514" i="1"/>
  <c r="E290" i="1"/>
  <c r="E93" i="1"/>
  <c r="E29" i="1"/>
  <c r="J358" i="1"/>
  <c r="J407" i="1"/>
  <c r="G476" i="1"/>
  <c r="E482" i="1"/>
  <c r="E306" i="1"/>
  <c r="K497" i="1"/>
  <c r="E203" i="1"/>
  <c r="G468" i="1"/>
  <c r="K204" i="1"/>
  <c r="E185" i="1"/>
  <c r="E311" i="1"/>
  <c r="E412" i="1"/>
  <c r="G389" i="1"/>
  <c r="E42" i="1"/>
  <c r="N62" i="1"/>
  <c r="G255" i="1"/>
  <c r="G328" i="1"/>
  <c r="G62" i="1"/>
  <c r="K349" i="1"/>
  <c r="G469" i="1"/>
  <c r="G6" i="1"/>
  <c r="E179" i="1"/>
  <c r="G394" i="1"/>
  <c r="E352" i="1"/>
  <c r="E70" i="1"/>
  <c r="E370" i="1"/>
  <c r="J260" i="1"/>
  <c r="E375" i="1"/>
  <c r="AB453" i="1"/>
  <c r="G30" i="1"/>
  <c r="G398" i="1"/>
  <c r="N247" i="1"/>
  <c r="K401" i="1"/>
  <c r="G55" i="1"/>
  <c r="N448" i="1"/>
  <c r="K423" i="1"/>
  <c r="N392" i="1"/>
  <c r="N447" i="1"/>
  <c r="K44" i="1"/>
  <c r="N450" i="1"/>
  <c r="E287" i="1"/>
  <c r="K194" i="1"/>
  <c r="J104" i="1"/>
  <c r="E390" i="1"/>
  <c r="J52" i="1"/>
  <c r="J365" i="1"/>
  <c r="J341" i="1"/>
  <c r="J313" i="1"/>
  <c r="E327" i="1"/>
  <c r="K508" i="1"/>
  <c r="J296" i="1"/>
  <c r="J27" i="1"/>
  <c r="J371" i="1"/>
  <c r="G149" i="1"/>
  <c r="J140" i="1"/>
  <c r="G349" i="1"/>
  <c r="G475" i="1"/>
  <c r="E403" i="1"/>
  <c r="J504" i="1"/>
  <c r="J83" i="1"/>
  <c r="G416" i="1"/>
  <c r="E429" i="1"/>
  <c r="E489" i="1"/>
  <c r="E264" i="1"/>
  <c r="J361" i="1"/>
  <c r="E216" i="1"/>
  <c r="G267" i="1"/>
  <c r="G47" i="1"/>
  <c r="E383" i="1"/>
  <c r="E164" i="1"/>
  <c r="E411" i="1"/>
  <c r="J192" i="1"/>
  <c r="E157" i="1"/>
  <c r="E456" i="1"/>
  <c r="E356" i="1"/>
  <c r="G36" i="1"/>
  <c r="J173" i="1"/>
  <c r="E313" i="1"/>
  <c r="E206" i="1"/>
  <c r="J49" i="1"/>
  <c r="E25" i="1"/>
  <c r="G455" i="1"/>
  <c r="E183" i="1"/>
  <c r="G312" i="1"/>
  <c r="E82" i="1"/>
  <c r="G340" i="1"/>
  <c r="G499" i="1"/>
  <c r="E303" i="1"/>
  <c r="J34" i="1"/>
  <c r="J434" i="1"/>
  <c r="G240" i="1"/>
  <c r="G495" i="1"/>
  <c r="J97" i="1"/>
  <c r="E8" i="1"/>
  <c r="J292" i="1"/>
  <c r="G184" i="1"/>
  <c r="E252" i="1"/>
  <c r="E477" i="1"/>
  <c r="G372" i="1"/>
  <c r="J130" i="1"/>
  <c r="G300" i="1"/>
  <c r="E318" i="1"/>
  <c r="G138" i="1"/>
  <c r="G390" i="1"/>
  <c r="G38" i="1"/>
  <c r="E79" i="1"/>
  <c r="J237" i="1"/>
  <c r="G103" i="1"/>
  <c r="J136" i="1"/>
  <c r="E248" i="1"/>
  <c r="E250" i="1"/>
  <c r="G333" i="1"/>
  <c r="E6" i="1"/>
  <c r="G100" i="1"/>
  <c r="G13" i="1"/>
  <c r="E374" i="1"/>
  <c r="K293" i="1"/>
  <c r="J249" i="1"/>
  <c r="E410" i="1"/>
  <c r="E351" i="1"/>
  <c r="G481" i="1"/>
  <c r="J337" i="1"/>
  <c r="G466" i="1"/>
  <c r="E461" i="1"/>
  <c r="J496" i="1"/>
  <c r="E449" i="1"/>
  <c r="E40" i="1"/>
  <c r="E364" i="1"/>
  <c r="E189" i="1"/>
  <c r="E504" i="1"/>
  <c r="E301" i="1"/>
  <c r="G470" i="1"/>
  <c r="E235" i="1"/>
  <c r="G265" i="1"/>
  <c r="E305" i="1"/>
  <c r="G242" i="1"/>
  <c r="J211" i="1"/>
  <c r="G159" i="1"/>
  <c r="G446" i="1"/>
  <c r="E402" i="1"/>
  <c r="E422" i="1"/>
  <c r="G449" i="1"/>
  <c r="E113" i="1"/>
  <c r="G4" i="1"/>
  <c r="E272" i="1"/>
  <c r="E460" i="1"/>
  <c r="G404" i="1"/>
  <c r="N477" i="1"/>
  <c r="J143" i="1"/>
  <c r="K150" i="1"/>
  <c r="AB209" i="1"/>
  <c r="N473" i="1"/>
  <c r="AB180" i="1"/>
  <c r="AB195" i="1"/>
  <c r="J113" i="1"/>
  <c r="J472" i="1"/>
  <c r="J141" i="1"/>
  <c r="K236" i="1"/>
  <c r="K73" i="1"/>
  <c r="G39" i="1"/>
  <c r="K473" i="1"/>
  <c r="G110" i="1"/>
  <c r="G25" i="1"/>
  <c r="G431" i="1"/>
  <c r="AB117" i="1"/>
  <c r="J395" i="1"/>
  <c r="K304" i="1"/>
  <c r="G215" i="1"/>
  <c r="J142" i="1"/>
  <c r="E131" i="1"/>
  <c r="J269" i="1"/>
  <c r="J377" i="1"/>
  <c r="E424" i="1"/>
  <c r="G262" i="1"/>
  <c r="E137" i="1"/>
  <c r="J121" i="1"/>
  <c r="E426" i="1"/>
  <c r="G352" i="1"/>
  <c r="G342" i="1"/>
  <c r="J257" i="1"/>
  <c r="G401" i="1"/>
  <c r="G206" i="1"/>
  <c r="J247" i="1"/>
  <c r="J350" i="1"/>
  <c r="G357" i="1"/>
  <c r="E357" i="1"/>
  <c r="J499" i="1"/>
  <c r="E95" i="1"/>
  <c r="E166" i="1"/>
  <c r="E76" i="1"/>
  <c r="G351" i="1"/>
  <c r="G70" i="1"/>
  <c r="E109" i="1"/>
  <c r="E425" i="1"/>
  <c r="J160" i="1"/>
  <c r="E98" i="1"/>
  <c r="E513" i="1"/>
  <c r="E378" i="1"/>
  <c r="K458" i="1"/>
  <c r="G96" i="1"/>
  <c r="G486" i="1"/>
  <c r="E239" i="1"/>
  <c r="G452" i="1"/>
  <c r="N231" i="1"/>
  <c r="E452" i="1"/>
  <c r="J298" i="1"/>
  <c r="E473" i="1"/>
  <c r="G83" i="1"/>
  <c r="K459" i="1"/>
  <c r="G231" i="1"/>
  <c r="E359" i="1"/>
  <c r="E194" i="1"/>
  <c r="K332" i="1"/>
  <c r="G347" i="1"/>
  <c r="K120" i="1"/>
  <c r="E332" i="1"/>
  <c r="G94" i="1"/>
  <c r="E160" i="1"/>
  <c r="G150" i="1"/>
  <c r="G426" i="1"/>
  <c r="G294" i="1"/>
  <c r="K347" i="1"/>
  <c r="G143" i="1"/>
  <c r="J436" i="1"/>
  <c r="J204" i="1"/>
  <c r="E81" i="1"/>
  <c r="J465" i="1"/>
  <c r="E415" i="1"/>
  <c r="G256" i="1"/>
  <c r="E55" i="1"/>
  <c r="E321" i="1"/>
  <c r="G344" i="1"/>
  <c r="E133" i="1"/>
  <c r="E413" i="1"/>
  <c r="G473" i="1"/>
  <c r="G18" i="1"/>
  <c r="E502" i="1"/>
  <c r="E147" i="1"/>
  <c r="G239" i="1"/>
  <c r="J224" i="1"/>
  <c r="E279" i="1"/>
  <c r="G120" i="1"/>
  <c r="G246" i="1"/>
  <c r="G442" i="1"/>
  <c r="E466" i="1"/>
  <c r="G301" i="1"/>
  <c r="E400" i="1"/>
  <c r="E50" i="1"/>
  <c r="E439" i="1"/>
  <c r="E308" i="1"/>
  <c r="G399" i="1"/>
  <c r="E7" i="1"/>
  <c r="E334" i="1"/>
  <c r="G310" i="1"/>
  <c r="G60" i="1"/>
  <c r="G474" i="1"/>
  <c r="E440" i="1"/>
  <c r="G266" i="1"/>
  <c r="G283" i="1"/>
  <c r="E388" i="1"/>
  <c r="G151" i="1"/>
  <c r="G89" i="1"/>
  <c r="E238" i="1"/>
  <c r="J454" i="1"/>
  <c r="G223" i="1"/>
  <c r="E363" i="1"/>
  <c r="G318" i="1"/>
  <c r="E173" i="1"/>
  <c r="G32" i="1"/>
  <c r="E274" i="1"/>
  <c r="E26" i="1"/>
  <c r="E222" i="1"/>
  <c r="E122" i="1"/>
  <c r="G303" i="1"/>
  <c r="J55" i="1"/>
  <c r="E101" i="1"/>
  <c r="K48" i="1"/>
  <c r="J112" i="1"/>
  <c r="G179" i="1"/>
  <c r="E322" i="1"/>
  <c r="J76" i="1"/>
  <c r="G173" i="1"/>
  <c r="J187" i="1"/>
  <c r="J404" i="1"/>
  <c r="J111" i="1"/>
  <c r="J178" i="1"/>
  <c r="E78" i="1"/>
  <c r="E193" i="1"/>
  <c r="G376" i="1"/>
  <c r="N288" i="1"/>
  <c r="N439" i="1"/>
  <c r="N495" i="1"/>
  <c r="J46" i="1"/>
  <c r="K479" i="1"/>
  <c r="E333" i="1"/>
  <c r="K81" i="1"/>
  <c r="K339" i="1"/>
  <c r="J29" i="1"/>
  <c r="AB245" i="1"/>
  <c r="N81" i="1"/>
  <c r="J223" i="1"/>
  <c r="E492" i="1"/>
  <c r="N416" i="1"/>
  <c r="E444" i="1"/>
  <c r="K115" i="1"/>
  <c r="K416" i="1"/>
  <c r="K219" i="1"/>
  <c r="G291" i="1"/>
  <c r="J147" i="1"/>
  <c r="G277" i="1"/>
  <c r="G368" i="1"/>
  <c r="E11" i="1"/>
  <c r="E503" i="1"/>
  <c r="J445" i="1"/>
  <c r="G329" i="1"/>
  <c r="G107" i="1"/>
  <c r="G485" i="1"/>
  <c r="E134" i="1"/>
  <c r="E23" i="1"/>
  <c r="G443" i="1"/>
  <c r="J77" i="1"/>
  <c r="E323" i="1"/>
  <c r="E324" i="1"/>
  <c r="J308" i="1"/>
  <c r="G392" i="1"/>
  <c r="G503" i="1"/>
  <c r="K202" i="1"/>
  <c r="E177" i="1"/>
  <c r="K419" i="1"/>
  <c r="J363" i="1"/>
  <c r="G116" i="1"/>
  <c r="G199" i="1"/>
  <c r="G153" i="1"/>
  <c r="E237" i="1"/>
  <c r="G186" i="1"/>
  <c r="E367" i="1"/>
  <c r="J333" i="1"/>
  <c r="G161" i="1"/>
  <c r="J467" i="1"/>
  <c r="E345" i="1"/>
  <c r="E51" i="1"/>
  <c r="E32" i="1"/>
  <c r="E298" i="1"/>
  <c r="K393" i="1"/>
  <c r="J266" i="1"/>
  <c r="G124" i="1"/>
  <c r="E275" i="1"/>
  <c r="E245" i="1"/>
  <c r="G67" i="1"/>
  <c r="G235" i="1"/>
  <c r="E145" i="1"/>
  <c r="K220" i="1"/>
  <c r="G388" i="1"/>
  <c r="E469" i="1"/>
  <c r="E427" i="1"/>
  <c r="J451" i="1"/>
  <c r="G457" i="1"/>
  <c r="G201" i="1"/>
  <c r="G450" i="1"/>
  <c r="K266" i="1"/>
  <c r="J282" i="1"/>
  <c r="N40" i="1"/>
  <c r="K203" i="1"/>
  <c r="N133" i="1"/>
  <c r="N304" i="1"/>
  <c r="N25" i="1"/>
  <c r="G190" i="1"/>
  <c r="J513" i="1"/>
  <c r="G456" i="1"/>
  <c r="J176" i="1"/>
  <c r="K162" i="1"/>
  <c r="K51" i="1"/>
  <c r="J202" i="1"/>
  <c r="G196" i="1"/>
  <c r="G2" i="1"/>
  <c r="G52" i="1"/>
  <c r="J393" i="1"/>
  <c r="K364" i="1"/>
  <c r="J175" i="1"/>
  <c r="E373" i="1"/>
  <c r="G79" i="1"/>
  <c r="K60" i="1"/>
  <c r="E271" i="1"/>
  <c r="E325" i="1"/>
  <c r="E260" i="1"/>
  <c r="G298" i="1"/>
  <c r="E483" i="1"/>
  <c r="E463" i="1"/>
  <c r="E486" i="1"/>
  <c r="G406" i="1"/>
  <c r="E447" i="1"/>
  <c r="G441" i="1"/>
  <c r="G397" i="1"/>
  <c r="E478" i="1"/>
  <c r="E276" i="1"/>
  <c r="G270" i="1"/>
  <c r="E487" i="1"/>
  <c r="N313" i="1"/>
  <c r="G319" i="1"/>
  <c r="N60" i="1"/>
  <c r="G189" i="1"/>
  <c r="G511" i="1"/>
  <c r="E355" i="1"/>
  <c r="E143" i="1"/>
  <c r="G224" i="1"/>
  <c r="K39" i="1"/>
  <c r="G69" i="1"/>
  <c r="K52" i="1"/>
  <c r="E259" i="1"/>
  <c r="N183" i="1"/>
  <c r="G80" i="1"/>
  <c r="E54" i="1"/>
  <c r="E104" i="1"/>
  <c r="K468" i="1"/>
  <c r="G258" i="1"/>
  <c r="J53" i="1"/>
  <c r="N112" i="1"/>
  <c r="G345" i="1"/>
  <c r="G407" i="1"/>
  <c r="G114" i="1"/>
  <c r="G385" i="1"/>
  <c r="G337" i="1"/>
  <c r="E34" i="1"/>
  <c r="E119" i="1"/>
  <c r="G214" i="1"/>
  <c r="G436" i="1"/>
  <c r="K271" i="1"/>
  <c r="E277" i="1"/>
  <c r="J362" i="1"/>
  <c r="K359" i="1"/>
  <c r="E450" i="1"/>
  <c r="J255" i="1"/>
  <c r="N211" i="1"/>
  <c r="G164" i="1"/>
  <c r="E205" i="1"/>
  <c r="E343" i="1"/>
  <c r="G163" i="1"/>
  <c r="J480" i="1"/>
  <c r="G216" i="1"/>
  <c r="E294" i="1"/>
  <c r="G438" i="1"/>
  <c r="J264" i="1"/>
  <c r="G371" i="1"/>
  <c r="E266" i="1"/>
  <c r="G417" i="1"/>
  <c r="E100" i="1"/>
  <c r="J254" i="1"/>
  <c r="J421" i="1"/>
  <c r="E337" i="1"/>
  <c r="E153" i="1"/>
  <c r="E152" i="1"/>
  <c r="E295" i="1"/>
  <c r="E399" i="1"/>
  <c r="E186" i="1"/>
  <c r="G484" i="1"/>
  <c r="E438" i="1"/>
  <c r="E470" i="1"/>
  <c r="E442" i="1"/>
  <c r="J213" i="1"/>
  <c r="E92" i="1"/>
  <c r="E5" i="1"/>
  <c r="K146" i="1"/>
  <c r="G412" i="1"/>
  <c r="E480" i="1"/>
  <c r="E128" i="1"/>
  <c r="E312" i="1"/>
  <c r="E126" i="1"/>
  <c r="E314" i="1"/>
  <c r="G129" i="1"/>
  <c r="E33" i="1"/>
  <c r="N400" i="1"/>
  <c r="G281" i="1"/>
  <c r="J145" i="1"/>
  <c r="K241" i="1"/>
  <c r="G202" i="1"/>
  <c r="K405" i="1"/>
  <c r="J100" i="1"/>
  <c r="G492" i="1"/>
  <c r="E218" i="1"/>
  <c r="G405" i="1"/>
  <c r="J442" i="1"/>
  <c r="E57" i="1"/>
  <c r="G395" i="1"/>
  <c r="K240" i="1"/>
  <c r="E484" i="1"/>
  <c r="G42" i="1"/>
  <c r="G77" i="1"/>
  <c r="E161" i="1"/>
  <c r="G91" i="1"/>
  <c r="N63" i="1"/>
  <c r="G325" i="1"/>
  <c r="G243" i="1"/>
  <c r="E188" i="1"/>
  <c r="E28" i="1"/>
  <c r="E155" i="1"/>
  <c r="E273" i="1"/>
  <c r="E163" i="1"/>
  <c r="E509" i="1"/>
  <c r="G320" i="1"/>
  <c r="G57" i="1"/>
  <c r="E111" i="1"/>
  <c r="N155" i="1"/>
  <c r="G305" i="1"/>
  <c r="AB201" i="1"/>
  <c r="K112" i="1"/>
  <c r="G287" i="1"/>
  <c r="G322" i="1"/>
  <c r="AB255" i="1"/>
  <c r="N385" i="1"/>
  <c r="K172" i="1"/>
  <c r="K46" i="1"/>
  <c r="N322" i="1"/>
  <c r="G86" i="1"/>
  <c r="J320" i="1"/>
  <c r="J131" i="1"/>
  <c r="N405" i="1"/>
  <c r="N239" i="1"/>
  <c r="J370" i="1"/>
  <c r="J233" i="1"/>
  <c r="G408" i="1"/>
  <c r="G35" i="1"/>
  <c r="E170" i="1"/>
  <c r="N399" i="1"/>
  <c r="N13" i="1"/>
  <c r="J128" i="1"/>
  <c r="K273" i="1"/>
  <c r="G272" i="1"/>
  <c r="J191" i="1"/>
  <c r="G165" i="1"/>
  <c r="E354" i="1"/>
  <c r="J392" i="1"/>
  <c r="E77" i="1"/>
  <c r="G146" i="1"/>
  <c r="G295" i="1"/>
  <c r="K466" i="1"/>
  <c r="E278" i="1"/>
  <c r="K174" i="1"/>
  <c r="J474" i="1"/>
  <c r="E386" i="1"/>
  <c r="E233" i="1"/>
  <c r="G222" i="1"/>
  <c r="E485" i="1"/>
  <c r="E215" i="1"/>
  <c r="N22" i="1"/>
  <c r="J268" i="1"/>
  <c r="G505" i="1"/>
  <c r="G383" i="1"/>
  <c r="G377" i="1"/>
  <c r="E499" i="1"/>
  <c r="G244" i="1"/>
  <c r="G58" i="1"/>
  <c r="J379" i="1"/>
  <c r="G136" i="1"/>
  <c r="G99" i="1"/>
  <c r="G490" i="1"/>
  <c r="J61" i="1"/>
  <c r="G296" i="1"/>
  <c r="G257" i="1"/>
  <c r="G250" i="1"/>
  <c r="G44" i="1"/>
  <c r="E476" i="1"/>
  <c r="K253" i="1"/>
  <c r="E349" i="1"/>
  <c r="E401" i="1"/>
  <c r="G54" i="1"/>
  <c r="G56" i="1"/>
  <c r="E309" i="1"/>
  <c r="E421" i="1"/>
  <c r="J378" i="1"/>
  <c r="E479" i="1"/>
  <c r="E97" i="1"/>
  <c r="E446" i="1"/>
  <c r="J291" i="1"/>
  <c r="G433" i="1"/>
  <c r="G500" i="1"/>
  <c r="J498" i="1"/>
  <c r="G180" i="1"/>
  <c r="J101" i="1"/>
  <c r="K425" i="1"/>
  <c r="G508" i="1"/>
  <c r="E261" i="1"/>
  <c r="E86" i="1"/>
  <c r="G34" i="1"/>
  <c r="G331" i="1"/>
  <c r="E227" i="1"/>
  <c r="E136" i="1"/>
  <c r="E112" i="1"/>
  <c r="E214" i="1"/>
  <c r="E256" i="1"/>
  <c r="G234" i="1"/>
  <c r="G307" i="1"/>
  <c r="J36" i="1"/>
  <c r="G8" i="1"/>
  <c r="G220" i="1"/>
  <c r="E31" i="1"/>
  <c r="G391" i="1"/>
  <c r="G313" i="1"/>
  <c r="G229" i="1"/>
  <c r="G227" i="1"/>
  <c r="E15" i="1"/>
  <c r="E176" i="1"/>
  <c r="G121" i="1"/>
  <c r="G87" i="1"/>
  <c r="G119" i="1"/>
  <c r="E288" i="1"/>
  <c r="G64" i="1"/>
  <c r="E496" i="1"/>
  <c r="G314" i="1"/>
  <c r="E208" i="1"/>
  <c r="G330" i="1"/>
  <c r="E292" i="1"/>
  <c r="E72" i="1"/>
  <c r="E71" i="1"/>
  <c r="E510" i="1"/>
  <c r="G461" i="1"/>
  <c r="E207" i="1"/>
  <c r="AB257" i="1"/>
  <c r="J190" i="1"/>
  <c r="AB309" i="1"/>
  <c r="G61" i="1"/>
  <c r="K305" i="1"/>
  <c r="J432" i="1"/>
  <c r="E471" i="1"/>
  <c r="K93" i="1"/>
  <c r="J227" i="1"/>
  <c r="G427" i="1"/>
  <c r="E458" i="1"/>
  <c r="K193" i="1"/>
  <c r="G464" i="1"/>
  <c r="G76" i="1"/>
  <c r="E255" i="1"/>
  <c r="E420" i="1"/>
  <c r="K367" i="1"/>
  <c r="G31" i="1"/>
  <c r="G71" i="1"/>
  <c r="G12" i="1"/>
  <c r="E94" i="1"/>
  <c r="E52" i="1"/>
  <c r="G191" i="1"/>
  <c r="J275" i="1"/>
  <c r="E360" i="1"/>
  <c r="G155" i="1"/>
  <c r="E130" i="1"/>
  <c r="G268" i="1"/>
  <c r="G494" i="1"/>
  <c r="E377" i="1"/>
  <c r="E175" i="1"/>
  <c r="E339" i="1"/>
  <c r="AB329" i="1"/>
  <c r="K131" i="1"/>
  <c r="E358" i="1"/>
  <c r="G158" i="1"/>
  <c r="G11" i="1"/>
  <c r="G311" i="1"/>
  <c r="G360" i="1"/>
  <c r="K145" i="1"/>
  <c r="J459" i="1"/>
  <c r="J428" i="1"/>
  <c r="E348" i="1"/>
  <c r="E393" i="1"/>
  <c r="G118" i="1"/>
  <c r="G65" i="1"/>
  <c r="G97" i="1"/>
  <c r="G304" i="1"/>
  <c r="E455" i="1"/>
  <c r="G415" i="1"/>
  <c r="G232" i="1"/>
  <c r="G210" i="1"/>
  <c r="E114" i="1"/>
  <c r="G280" i="1"/>
  <c r="E66" i="1"/>
  <c r="E90" i="1"/>
  <c r="E488" i="1"/>
  <c r="G411" i="1"/>
  <c r="E430" i="1"/>
  <c r="J195" i="1"/>
  <c r="N426" i="1"/>
  <c r="G437" i="1"/>
  <c r="E224" i="1"/>
  <c r="E434" i="1"/>
  <c r="E258" i="1"/>
  <c r="J67" i="1"/>
  <c r="K330" i="1"/>
  <c r="E43" i="1"/>
  <c r="E338" i="1"/>
  <c r="G46" i="1"/>
  <c r="E169" i="1"/>
  <c r="G198" i="1"/>
  <c r="AB331" i="1"/>
  <c r="E344" i="1"/>
  <c r="E497" i="1"/>
  <c r="K76" i="1"/>
  <c r="G477" i="1"/>
  <c r="E414" i="1"/>
  <c r="E198" i="1"/>
  <c r="J360" i="1"/>
  <c r="E151" i="1"/>
  <c r="J107" i="1"/>
  <c r="E47" i="1"/>
  <c r="G251" i="1"/>
  <c r="E63" i="1"/>
  <c r="J228" i="1"/>
  <c r="E493" i="1"/>
  <c r="E88" i="1"/>
  <c r="G247" i="1"/>
  <c r="G207" i="1"/>
  <c r="E406" i="1"/>
  <c r="G386" i="1"/>
  <c r="E369" i="1"/>
  <c r="J429" i="1"/>
  <c r="E247" i="1"/>
  <c r="E99" i="1"/>
  <c r="G487" i="1"/>
  <c r="G348" i="1"/>
  <c r="G209" i="1"/>
  <c r="E319" i="1"/>
  <c r="J240" i="1"/>
  <c r="K243" i="1"/>
  <c r="E211" i="1"/>
  <c r="E329" i="1"/>
  <c r="E342" i="1"/>
  <c r="E432" i="1"/>
  <c r="E465" i="1"/>
  <c r="E407" i="1"/>
  <c r="E331" i="1"/>
  <c r="E320" i="1"/>
  <c r="E462" i="1"/>
  <c r="E490" i="1"/>
  <c r="E391" i="1"/>
  <c r="G50" i="1"/>
  <c r="G33" i="1"/>
  <c r="G26" i="1"/>
  <c r="G365" i="1"/>
  <c r="E135" i="1"/>
  <c r="F519" i="1" l="1"/>
  <c r="F523" i="1"/>
  <c r="F515" i="1"/>
  <c r="F518" i="1"/>
  <c r="F522" i="1"/>
  <c r="F517" i="1"/>
  <c r="F521" i="1"/>
  <c r="F520" i="1"/>
  <c r="F516" i="1"/>
  <c r="Y28" i="1"/>
  <c r="Y27" i="1"/>
  <c r="M36" i="1"/>
  <c r="L36" i="1"/>
  <c r="M498" i="1"/>
  <c r="L498" i="1"/>
  <c r="M379" i="1"/>
  <c r="L379" i="1"/>
  <c r="O22" i="1"/>
  <c r="P22" i="1"/>
  <c r="L191" i="1"/>
  <c r="M191" i="1"/>
  <c r="M421" i="1"/>
  <c r="L421" i="1"/>
  <c r="M255" i="1"/>
  <c r="L255" i="1"/>
  <c r="M53" i="1"/>
  <c r="L53" i="1"/>
  <c r="O60" i="1"/>
  <c r="P60" i="1"/>
  <c r="M513" i="1"/>
  <c r="L513" i="1"/>
  <c r="M454" i="1"/>
  <c r="L454" i="1"/>
  <c r="M224" i="1"/>
  <c r="L224" i="1"/>
  <c r="L436" i="1"/>
  <c r="M436" i="1"/>
  <c r="L350" i="1"/>
  <c r="M350" i="1"/>
  <c r="M121" i="1"/>
  <c r="L121" i="1"/>
  <c r="P473" i="1"/>
  <c r="O473" i="1"/>
  <c r="M49" i="1"/>
  <c r="L49" i="1"/>
  <c r="L192" i="1"/>
  <c r="M192" i="1"/>
  <c r="L313" i="1"/>
  <c r="M313" i="1"/>
  <c r="P450" i="1"/>
  <c r="O450" i="1"/>
  <c r="O247" i="1"/>
  <c r="P247" i="1"/>
  <c r="M339" i="1"/>
  <c r="L339" i="1"/>
  <c r="M39" i="1"/>
  <c r="L39" i="1"/>
  <c r="F75" i="1"/>
  <c r="F201" i="1"/>
  <c r="F29" i="1"/>
  <c r="F432" i="1"/>
  <c r="F436" i="1"/>
  <c r="F429" i="1"/>
  <c r="F375" i="1"/>
  <c r="F5" i="1"/>
  <c r="F339" i="1"/>
  <c r="F246" i="1"/>
  <c r="F92" i="1"/>
  <c r="F25" i="1"/>
  <c r="F67" i="1"/>
  <c r="F131" i="1"/>
  <c r="F422" i="1"/>
  <c r="F12" i="1"/>
  <c r="F118" i="1"/>
  <c r="F355" i="1"/>
  <c r="F480" i="1"/>
  <c r="F99" i="1"/>
  <c r="F257" i="1"/>
  <c r="F206" i="1"/>
  <c r="F266" i="1"/>
  <c r="F239" i="1"/>
  <c r="F79" i="1"/>
  <c r="F403" i="1"/>
  <c r="F177" i="1"/>
  <c r="F365" i="1"/>
  <c r="F451" i="1"/>
  <c r="F255" i="1"/>
  <c r="F254" i="1"/>
  <c r="F260" i="1"/>
  <c r="F334" i="1"/>
  <c r="F259" i="1"/>
  <c r="F330" i="1"/>
  <c r="F338" i="1"/>
  <c r="F72" i="1"/>
  <c r="F107" i="1"/>
  <c r="F175" i="1"/>
  <c r="F388" i="1"/>
  <c r="F36" i="1"/>
  <c r="F115" i="1"/>
  <c r="F105" i="1"/>
  <c r="F512" i="1"/>
  <c r="F145" i="1"/>
  <c r="F272" i="1"/>
  <c r="F449" i="1"/>
  <c r="F354" i="1"/>
  <c r="F164" i="1"/>
  <c r="F43" i="1"/>
  <c r="F402" i="1"/>
  <c r="F252" i="1"/>
  <c r="F398" i="1"/>
  <c r="F463" i="1"/>
  <c r="F28" i="1"/>
  <c r="F60" i="1"/>
  <c r="F33" i="1"/>
  <c r="F41" i="1"/>
  <c r="F236" i="1"/>
  <c r="F310" i="1"/>
  <c r="F458" i="1"/>
  <c r="F420" i="1"/>
  <c r="F158" i="1"/>
  <c r="F318" i="1"/>
  <c r="F104" i="1"/>
  <c r="F130" i="1"/>
  <c r="F191" i="1"/>
  <c r="F283" i="1"/>
  <c r="F331" i="1"/>
  <c r="F51" i="1"/>
  <c r="F174" i="1"/>
  <c r="F232" i="1"/>
  <c r="F337" i="1"/>
  <c r="F53" i="1"/>
  <c r="F324" i="1"/>
  <c r="F279" i="1"/>
  <c r="F348" i="1"/>
  <c r="F489" i="1"/>
  <c r="F456" i="1"/>
  <c r="F473" i="1"/>
  <c r="F502" i="1"/>
  <c r="F280" i="1"/>
  <c r="F278" i="1"/>
  <c r="F31" i="1"/>
  <c r="F134" i="1"/>
  <c r="F103" i="1"/>
  <c r="F139" i="1"/>
  <c r="F214" i="1"/>
  <c r="F421" i="1"/>
  <c r="F486" i="1"/>
  <c r="F341" i="1"/>
  <c r="F509" i="1"/>
  <c r="F126" i="1"/>
  <c r="F240" i="1"/>
  <c r="F80" i="1"/>
  <c r="F299" i="1"/>
  <c r="F462" i="1"/>
  <c r="F492" i="1"/>
  <c r="F269" i="1"/>
  <c r="F45" i="1"/>
  <c r="F294" i="1"/>
  <c r="F268" i="1"/>
  <c r="F113" i="1"/>
  <c r="F204" i="1"/>
  <c r="F9" i="1"/>
  <c r="F58" i="1"/>
  <c r="F317" i="1"/>
  <c r="F192" i="1"/>
  <c r="F76" i="1"/>
  <c r="F253" i="1"/>
  <c r="F380" i="1"/>
  <c r="F374" i="1"/>
  <c r="F187" i="1"/>
  <c r="F223" i="1"/>
  <c r="F16" i="1"/>
  <c r="F132" i="1"/>
  <c r="F362" i="1"/>
  <c r="F196" i="1"/>
  <c r="F225" i="1"/>
  <c r="F137" i="1"/>
  <c r="F250" i="1"/>
  <c r="F491" i="1"/>
  <c r="F481" i="1"/>
  <c r="F405" i="1"/>
  <c r="F98" i="1"/>
  <c r="F112" i="1"/>
  <c r="F353" i="1"/>
  <c r="F165" i="1"/>
  <c r="F63" i="1"/>
  <c r="F415" i="1"/>
  <c r="F323" i="1"/>
  <c r="F435" i="1"/>
  <c r="F194" i="1"/>
  <c r="F321" i="1"/>
  <c r="F377" i="1"/>
  <c r="F182" i="1"/>
  <c r="F142" i="1"/>
  <c r="F121" i="1"/>
  <c r="F54" i="1"/>
  <c r="F124" i="1"/>
  <c r="F368" i="1"/>
  <c r="F483" i="1"/>
  <c r="F369" i="1"/>
  <c r="F289" i="1"/>
  <c r="F303" i="1"/>
  <c r="F69" i="1"/>
  <c r="F514" i="1"/>
  <c r="F419" i="1"/>
  <c r="F219" i="1"/>
  <c r="F153" i="1"/>
  <c r="F21" i="1"/>
  <c r="F476" i="1"/>
  <c r="F111" i="1"/>
  <c r="F73" i="1"/>
  <c r="F503" i="1"/>
  <c r="F271" i="1"/>
  <c r="F499" i="1"/>
  <c r="F116" i="1"/>
  <c r="F320" i="1"/>
  <c r="F68" i="1"/>
  <c r="F457" i="1"/>
  <c r="F6" i="1"/>
  <c r="F35" i="1"/>
  <c r="F428" i="1"/>
  <c r="F426" i="1"/>
  <c r="F189" i="1"/>
  <c r="F179" i="1"/>
  <c r="F211" i="1"/>
  <c r="F493" i="1"/>
  <c r="F513" i="1"/>
  <c r="F215" i="1"/>
  <c r="F329" i="1"/>
  <c r="F231" i="1"/>
  <c r="F247" i="1"/>
  <c r="F325" i="1"/>
  <c r="F83" i="1"/>
  <c r="F416" i="1"/>
  <c r="F265" i="1"/>
  <c r="F245" i="1"/>
  <c r="F198" i="1"/>
  <c r="F285" i="1"/>
  <c r="F373" i="1"/>
  <c r="F208" i="1"/>
  <c r="F418" i="1"/>
  <c r="F96" i="1"/>
  <c r="F427" i="1"/>
  <c r="F30" i="1"/>
  <c r="F123" i="1"/>
  <c r="F409" i="1"/>
  <c r="F407" i="1"/>
  <c r="F178" i="1"/>
  <c r="F248" i="1"/>
  <c r="F37" i="1"/>
  <c r="F396" i="1"/>
  <c r="F218" i="1"/>
  <c r="F149" i="1"/>
  <c r="F475" i="1"/>
  <c r="F439" i="1"/>
  <c r="F490" i="1"/>
  <c r="F154" i="1"/>
  <c r="F148" i="1"/>
  <c r="F487" i="1"/>
  <c r="F386" i="1"/>
  <c r="F507" i="1"/>
  <c r="F109" i="1"/>
  <c r="F169" i="1"/>
  <c r="F437" i="1"/>
  <c r="F455" i="1"/>
  <c r="F203" i="1"/>
  <c r="F81" i="1"/>
  <c r="F184" i="1"/>
  <c r="F364" i="1"/>
  <c r="F504" i="1"/>
  <c r="F32" i="1"/>
  <c r="F197" i="1"/>
  <c r="F293" i="1"/>
  <c r="F263" i="1"/>
  <c r="F224" i="1"/>
  <c r="F453" i="1"/>
  <c r="F389" i="1"/>
  <c r="F185" i="1"/>
  <c r="F448" i="1"/>
  <c r="F508" i="1"/>
  <c r="F478" i="1"/>
  <c r="F106" i="1"/>
  <c r="F470" i="1"/>
  <c r="F438" i="1"/>
  <c r="F4" i="1"/>
  <c r="F167" i="1"/>
  <c r="F312" i="1"/>
  <c r="F424" i="1"/>
  <c r="F108" i="1"/>
  <c r="F333" i="1"/>
  <c r="F319" i="1"/>
  <c r="F383" i="1"/>
  <c r="F316" i="1"/>
  <c r="F371" i="1"/>
  <c r="F146" i="1"/>
  <c r="F332" i="1"/>
  <c r="F309" i="1"/>
  <c r="F2" i="1"/>
  <c r="F55" i="1"/>
  <c r="F410" i="1"/>
  <c r="F46" i="1"/>
  <c r="F89" i="1"/>
  <c r="F24" i="1"/>
  <c r="F267" i="1"/>
  <c r="F359" i="1"/>
  <c r="F302" i="1"/>
  <c r="F394" i="1"/>
  <c r="F249" i="1"/>
  <c r="F230" i="1"/>
  <c r="F413" i="1"/>
  <c r="F505" i="1"/>
  <c r="F242" i="1"/>
  <c r="F61" i="1"/>
  <c r="F155" i="1"/>
  <c r="F342" i="1"/>
  <c r="F56" i="1"/>
  <c r="F237" i="1"/>
  <c r="F474" i="1"/>
  <c r="F229" i="1"/>
  <c r="F382" i="1"/>
  <c r="F94" i="1"/>
  <c r="F372" i="1"/>
  <c r="F3" i="1"/>
  <c r="F274" i="1"/>
  <c r="F417" i="1"/>
  <c r="F497" i="1"/>
  <c r="F400" i="1"/>
  <c r="F445" i="1"/>
  <c r="F308" i="1"/>
  <c r="F347" i="1"/>
  <c r="F434" i="1"/>
  <c r="F256" i="1"/>
  <c r="F406" i="1"/>
  <c r="F222" i="1"/>
  <c r="F34" i="1"/>
  <c r="F315" i="1"/>
  <c r="F304" i="1"/>
  <c r="F166" i="1"/>
  <c r="F488" i="1"/>
  <c r="F151" i="1"/>
  <c r="F397" i="1"/>
  <c r="F399" i="1"/>
  <c r="F23" i="1"/>
  <c r="F86" i="1"/>
  <c r="F352" i="1"/>
  <c r="F38" i="1"/>
  <c r="F135" i="1"/>
  <c r="F311" i="1"/>
  <c r="F277" i="1"/>
  <c r="F27" i="1"/>
  <c r="F363" i="1"/>
  <c r="F220" i="1"/>
  <c r="F471" i="1"/>
  <c r="F270" i="1"/>
  <c r="F8" i="1"/>
  <c r="F95" i="1"/>
  <c r="F90" i="1"/>
  <c r="F387" i="1"/>
  <c r="F244" i="1"/>
  <c r="F181" i="1"/>
  <c r="F344" i="1"/>
  <c r="F183" i="1"/>
  <c r="F286" i="1"/>
  <c r="F501" i="1"/>
  <c r="F42" i="1"/>
  <c r="F441" i="1"/>
  <c r="F101" i="1"/>
  <c r="F173" i="1"/>
  <c r="F454" i="1"/>
  <c r="F494" i="1"/>
  <c r="F446" i="1"/>
  <c r="F469" i="1"/>
  <c r="F384" i="1"/>
  <c r="F241" i="1"/>
  <c r="F442" i="1"/>
  <c r="F430" i="1"/>
  <c r="F162" i="1"/>
  <c r="F18" i="1"/>
  <c r="F205" i="1"/>
  <c r="F77" i="1"/>
  <c r="F262" i="1"/>
  <c r="F120" i="1"/>
  <c r="F163" i="1"/>
  <c r="F235" i="1"/>
  <c r="F114" i="1"/>
  <c r="F443" i="1"/>
  <c r="F313" i="1"/>
  <c r="F301" i="1"/>
  <c r="F40" i="1"/>
  <c r="F335" i="1"/>
  <c r="F408" i="1"/>
  <c r="F305" i="1"/>
  <c r="F295" i="1"/>
  <c r="F468" i="1"/>
  <c r="F367" i="1"/>
  <c r="F207" i="1"/>
  <c r="F156" i="1"/>
  <c r="F44" i="1"/>
  <c r="F298" i="1"/>
  <c r="F345" i="1"/>
  <c r="F93" i="1"/>
  <c r="F349" i="1"/>
  <c r="F510" i="1"/>
  <c r="F228" i="1"/>
  <c r="F440" i="1"/>
  <c r="F284" i="1"/>
  <c r="F401" i="1"/>
  <c r="F322" i="1"/>
  <c r="F152" i="1"/>
  <c r="F168" i="1"/>
  <c r="F234" i="1"/>
  <c r="F370" i="1"/>
  <c r="F119" i="1"/>
  <c r="F117" i="1"/>
  <c r="F287" i="1"/>
  <c r="F498" i="1"/>
  <c r="F102" i="1"/>
  <c r="F466" i="1"/>
  <c r="F110" i="1"/>
  <c r="F199" i="1"/>
  <c r="F392" i="1"/>
  <c r="F22" i="1"/>
  <c r="F87" i="1"/>
  <c r="F273" i="1"/>
  <c r="F200" i="1"/>
  <c r="F391" i="1"/>
  <c r="F39" i="1"/>
  <c r="F261" i="1"/>
  <c r="F157" i="1"/>
  <c r="F328" i="1"/>
  <c r="F472" i="1"/>
  <c r="F447" i="1"/>
  <c r="F414" i="1"/>
  <c r="F366" i="1"/>
  <c r="F292" i="1"/>
  <c r="F336" i="1"/>
  <c r="F147" i="1"/>
  <c r="F291" i="1"/>
  <c r="F195" i="1"/>
  <c r="F511" i="1"/>
  <c r="F495" i="1"/>
  <c r="F297" i="1"/>
  <c r="F346" i="1"/>
  <c r="F129" i="1"/>
  <c r="F264" i="1"/>
  <c r="F461" i="1"/>
  <c r="F171" i="1"/>
  <c r="F85" i="1"/>
  <c r="F404" i="1"/>
  <c r="F57" i="1"/>
  <c r="F251" i="1"/>
  <c r="F144" i="1"/>
  <c r="F19" i="1"/>
  <c r="F343" i="1"/>
  <c r="F467" i="1"/>
  <c r="F243" i="1"/>
  <c r="F213" i="1"/>
  <c r="F431" i="1"/>
  <c r="F506" i="1"/>
  <c r="F216" i="1"/>
  <c r="F340" i="1"/>
  <c r="F52" i="1"/>
  <c r="F306" i="1"/>
  <c r="F26" i="1"/>
  <c r="F59" i="1"/>
  <c r="F217" i="1"/>
  <c r="F258" i="1"/>
  <c r="F188" i="1"/>
  <c r="F358" i="1"/>
  <c r="F15" i="1"/>
  <c r="F376" i="1"/>
  <c r="F357" i="1"/>
  <c r="F385" i="1"/>
  <c r="F459" i="1"/>
  <c r="F186" i="1"/>
  <c r="F14" i="1"/>
  <c r="F393" i="1"/>
  <c r="F161" i="1"/>
  <c r="F460" i="1"/>
  <c r="F452" i="1"/>
  <c r="F47" i="1"/>
  <c r="F395" i="1"/>
  <c r="F238" i="1"/>
  <c r="F288" i="1"/>
  <c r="F233" i="1"/>
  <c r="F360" i="1"/>
  <c r="F140" i="1"/>
  <c r="F65" i="1"/>
  <c r="F78" i="1"/>
  <c r="F464" i="1"/>
  <c r="F88" i="1"/>
  <c r="F361" i="1"/>
  <c r="F450" i="1"/>
  <c r="F425" i="1"/>
  <c r="F20" i="1"/>
  <c r="F275" i="1"/>
  <c r="F411" i="1"/>
  <c r="F133" i="1"/>
  <c r="F190" i="1"/>
  <c r="F496" i="1"/>
  <c r="F91" i="1"/>
  <c r="F300" i="1"/>
  <c r="F138" i="1"/>
  <c r="F84" i="1"/>
  <c r="F50" i="1"/>
  <c r="F172" i="1"/>
  <c r="F176" i="1"/>
  <c r="F48" i="1"/>
  <c r="F74" i="1"/>
  <c r="F412" i="1"/>
  <c r="F281" i="1"/>
  <c r="F127" i="1"/>
  <c r="F49" i="1"/>
  <c r="F326" i="1"/>
  <c r="F62" i="1"/>
  <c r="F484" i="1"/>
  <c r="F141" i="1"/>
  <c r="F82" i="1"/>
  <c r="F180" i="1"/>
  <c r="F70" i="1"/>
  <c r="F351" i="1"/>
  <c r="F221" i="1"/>
  <c r="F227" i="1"/>
  <c r="F11" i="1"/>
  <c r="F276" i="1"/>
  <c r="F390" i="1"/>
  <c r="F444" i="1"/>
  <c r="F296" i="1"/>
  <c r="F128" i="1"/>
  <c r="F477" i="1"/>
  <c r="F122" i="1"/>
  <c r="F482" i="1"/>
  <c r="F170" i="1"/>
  <c r="F71" i="1"/>
  <c r="F97" i="1"/>
  <c r="F193" i="1"/>
  <c r="F150" i="1"/>
  <c r="F160" i="1"/>
  <c r="F17" i="1"/>
  <c r="F210" i="1"/>
  <c r="F327" i="1"/>
  <c r="F13" i="1"/>
  <c r="F64" i="1"/>
  <c r="F226" i="1"/>
  <c r="F356" i="1"/>
  <c r="F500" i="1"/>
  <c r="F423" i="1"/>
  <c r="F290" i="1"/>
  <c r="F202" i="1"/>
  <c r="F212" i="1"/>
  <c r="F485" i="1"/>
  <c r="F7" i="1"/>
  <c r="F159" i="1"/>
  <c r="F378" i="1"/>
  <c r="F143" i="1"/>
  <c r="F282" i="1"/>
  <c r="F10" i="1"/>
  <c r="F433" i="1"/>
  <c r="F307" i="1"/>
  <c r="F379" i="1"/>
  <c r="F125" i="1"/>
  <c r="F350" i="1"/>
  <c r="F465" i="1"/>
  <c r="F381" i="1"/>
  <c r="F209" i="1"/>
  <c r="F136" i="1"/>
  <c r="F479" i="1"/>
  <c r="F66" i="1"/>
  <c r="F100" i="1"/>
  <c r="F314" i="1"/>
  <c r="L85" i="1"/>
  <c r="M85" i="1"/>
  <c r="O201" i="1"/>
  <c r="P201" i="1"/>
  <c r="P23" i="1"/>
  <c r="O23" i="1"/>
  <c r="M439" i="1"/>
  <c r="L439" i="1"/>
  <c r="L89" i="1"/>
  <c r="M89" i="1"/>
  <c r="M492" i="1"/>
  <c r="L492" i="1"/>
  <c r="O443" i="1"/>
  <c r="P443" i="1"/>
  <c r="L387" i="1"/>
  <c r="M387" i="1"/>
  <c r="P364" i="1"/>
  <c r="O364" i="1"/>
  <c r="P343" i="1"/>
  <c r="O343" i="1"/>
  <c r="L287" i="1"/>
  <c r="M287" i="1"/>
  <c r="M81" i="1"/>
  <c r="L81" i="1"/>
  <c r="M368" i="1"/>
  <c r="L368" i="1"/>
  <c r="L295" i="1"/>
  <c r="M295" i="1"/>
  <c r="P204" i="1"/>
  <c r="O204" i="1"/>
  <c r="P274" i="1"/>
  <c r="O274" i="1"/>
  <c r="M218" i="1"/>
  <c r="L218" i="1"/>
  <c r="L86" i="1"/>
  <c r="M86" i="1"/>
  <c r="M124" i="1"/>
  <c r="L124" i="1"/>
  <c r="P12" i="1"/>
  <c r="O12" i="1"/>
  <c r="L37" i="1"/>
  <c r="M37" i="1"/>
  <c r="L286" i="1"/>
  <c r="M286" i="1"/>
  <c r="L343" i="1"/>
  <c r="M343" i="1"/>
  <c r="M64" i="1"/>
  <c r="L64" i="1"/>
  <c r="O424" i="1"/>
  <c r="P424" i="1"/>
  <c r="M290" i="1"/>
  <c r="L290" i="1"/>
  <c r="M340" i="1"/>
  <c r="L340" i="1"/>
  <c r="M482" i="1"/>
  <c r="L482" i="1"/>
  <c r="L473" i="1"/>
  <c r="M473" i="1"/>
  <c r="P376" i="1"/>
  <c r="O376" i="1"/>
  <c r="O335" i="1"/>
  <c r="P335" i="1"/>
  <c r="P374" i="1"/>
  <c r="O374" i="1"/>
  <c r="O421" i="1"/>
  <c r="P421" i="1"/>
  <c r="O269" i="1"/>
  <c r="P269" i="1"/>
  <c r="P43" i="1"/>
  <c r="O43" i="1"/>
  <c r="O19" i="1"/>
  <c r="P19" i="1"/>
  <c r="P189" i="1"/>
  <c r="O189" i="1"/>
  <c r="L270" i="1"/>
  <c r="M270" i="1"/>
  <c r="P406" i="1"/>
  <c r="O406" i="1"/>
  <c r="M220" i="1"/>
  <c r="L220" i="1"/>
  <c r="L50" i="1"/>
  <c r="M50" i="1"/>
  <c r="O414" i="1"/>
  <c r="P414" i="1"/>
  <c r="L120" i="1"/>
  <c r="M120" i="1"/>
  <c r="P481" i="1"/>
  <c r="O481" i="1"/>
  <c r="P278" i="1"/>
  <c r="O278" i="1"/>
  <c r="O42" i="1"/>
  <c r="P42" i="1"/>
  <c r="O391" i="1"/>
  <c r="P391" i="1"/>
  <c r="P47" i="1"/>
  <c r="O47" i="1"/>
  <c r="O469" i="1"/>
  <c r="P469" i="1"/>
  <c r="P346" i="1"/>
  <c r="O346" i="1"/>
  <c r="L169" i="1"/>
  <c r="M169" i="1"/>
  <c r="L164" i="1"/>
  <c r="M164" i="1"/>
  <c r="L328" i="1"/>
  <c r="M328" i="1"/>
  <c r="M281" i="1"/>
  <c r="L281" i="1"/>
  <c r="P491" i="1"/>
  <c r="O491" i="1"/>
  <c r="P373" i="1"/>
  <c r="O373" i="1"/>
  <c r="O497" i="1"/>
  <c r="P497" i="1"/>
  <c r="O431" i="1"/>
  <c r="P431" i="1"/>
  <c r="M299" i="1"/>
  <c r="L299" i="1"/>
  <c r="L203" i="1"/>
  <c r="M203" i="1"/>
  <c r="L419" i="1"/>
  <c r="M419" i="1"/>
  <c r="M497" i="1"/>
  <c r="L497" i="1"/>
  <c r="L263" i="1"/>
  <c r="M263" i="1"/>
  <c r="O158" i="1"/>
  <c r="P158" i="1"/>
  <c r="L494" i="1"/>
  <c r="M494" i="1"/>
  <c r="O271" i="1"/>
  <c r="P271" i="1"/>
  <c r="O97" i="1"/>
  <c r="P97" i="1"/>
  <c r="P449" i="1"/>
  <c r="O449" i="1"/>
  <c r="L105" i="1"/>
  <c r="M105" i="1"/>
  <c r="L40" i="1"/>
  <c r="M40" i="1"/>
  <c r="M349" i="1"/>
  <c r="L349" i="1"/>
  <c r="O387" i="1"/>
  <c r="P387" i="1"/>
  <c r="P316" i="1"/>
  <c r="O316" i="1"/>
  <c r="M503" i="1"/>
  <c r="L503" i="1"/>
  <c r="L28" i="1"/>
  <c r="M28" i="1"/>
  <c r="L355" i="1"/>
  <c r="M355" i="1"/>
  <c r="M280" i="1"/>
  <c r="L280" i="1"/>
  <c r="P306" i="1"/>
  <c r="O306" i="1"/>
  <c r="O65" i="1"/>
  <c r="P65" i="1"/>
  <c r="P368" i="1"/>
  <c r="O368" i="1"/>
  <c r="O92" i="1"/>
  <c r="P92" i="1"/>
  <c r="O261" i="1"/>
  <c r="P261" i="1"/>
  <c r="P262" i="1"/>
  <c r="O262" i="1"/>
  <c r="P93" i="1"/>
  <c r="O93" i="1"/>
  <c r="P365" i="1"/>
  <c r="O365" i="1"/>
  <c r="P470" i="1"/>
  <c r="O470" i="1"/>
  <c r="O137" i="1"/>
  <c r="P137" i="1"/>
  <c r="O256" i="1"/>
  <c r="P256" i="1"/>
  <c r="P440" i="1"/>
  <c r="O440" i="1"/>
  <c r="P230" i="1"/>
  <c r="O230" i="1"/>
  <c r="P26" i="1"/>
  <c r="O26" i="1"/>
  <c r="O33" i="1"/>
  <c r="P33" i="1"/>
  <c r="O326" i="1"/>
  <c r="P326" i="1"/>
  <c r="O16" i="1"/>
  <c r="P16" i="1"/>
  <c r="O401" i="1"/>
  <c r="P401" i="1"/>
  <c r="O45" i="1"/>
  <c r="P45" i="1"/>
  <c r="P220" i="1"/>
  <c r="O220" i="1"/>
  <c r="O503" i="1"/>
  <c r="P503" i="1"/>
  <c r="P370" i="1"/>
  <c r="O370" i="1"/>
  <c r="P480" i="1"/>
  <c r="O480" i="1"/>
  <c r="O354" i="1"/>
  <c r="P354" i="1"/>
  <c r="O143" i="1"/>
  <c r="P143" i="1"/>
  <c r="O299" i="1"/>
  <c r="P299" i="1"/>
  <c r="P145" i="1"/>
  <c r="O145" i="1"/>
  <c r="P324" i="1"/>
  <c r="O324" i="1"/>
  <c r="P427" i="1"/>
  <c r="O427" i="1"/>
  <c r="M228" i="1"/>
  <c r="L228" i="1"/>
  <c r="L292" i="1"/>
  <c r="M292" i="1"/>
  <c r="L338" i="1"/>
  <c r="M338" i="1"/>
  <c r="M500" i="1"/>
  <c r="L500" i="1"/>
  <c r="L457" i="1"/>
  <c r="M457" i="1"/>
  <c r="L90" i="1"/>
  <c r="M90" i="1"/>
  <c r="M163" i="1"/>
  <c r="L163" i="1"/>
  <c r="O419" i="1"/>
  <c r="P419" i="1"/>
  <c r="M369" i="1"/>
  <c r="L369" i="1"/>
  <c r="P199" i="1"/>
  <c r="O199" i="1"/>
  <c r="L236" i="1"/>
  <c r="M236" i="1"/>
  <c r="L490" i="1"/>
  <c r="M490" i="1"/>
  <c r="L253" i="1"/>
  <c r="M253" i="1"/>
  <c r="P283" i="1"/>
  <c r="O283" i="1"/>
  <c r="M427" i="1"/>
  <c r="L427" i="1"/>
  <c r="M461" i="1"/>
  <c r="L461" i="1"/>
  <c r="M431" i="1"/>
  <c r="L431" i="1"/>
  <c r="M344" i="1"/>
  <c r="L344" i="1"/>
  <c r="P116" i="1"/>
  <c r="O116" i="1"/>
  <c r="L159" i="1"/>
  <c r="M159" i="1"/>
  <c r="P483" i="1"/>
  <c r="O483" i="1"/>
  <c r="M278" i="1"/>
  <c r="L278" i="1"/>
  <c r="O146" i="1"/>
  <c r="P146" i="1"/>
  <c r="O50" i="1"/>
  <c r="P50" i="1"/>
  <c r="P20" i="1"/>
  <c r="O20" i="1"/>
  <c r="P344" i="1"/>
  <c r="O344" i="1"/>
  <c r="O194" i="1"/>
  <c r="P194" i="1"/>
  <c r="O442" i="1"/>
  <c r="P442" i="1"/>
  <c r="M93" i="1"/>
  <c r="L93" i="1"/>
  <c r="M95" i="1"/>
  <c r="L95" i="1"/>
  <c r="M417" i="1"/>
  <c r="L417" i="1"/>
  <c r="L103" i="1"/>
  <c r="M103" i="1"/>
  <c r="P338" i="1"/>
  <c r="O338" i="1"/>
  <c r="L265" i="1"/>
  <c r="M265" i="1"/>
  <c r="L87" i="1"/>
  <c r="M87" i="1"/>
  <c r="L416" i="1"/>
  <c r="M416" i="1"/>
  <c r="O140" i="1"/>
  <c r="P140" i="1"/>
  <c r="P144" i="1"/>
  <c r="O144" i="1"/>
  <c r="P349" i="1"/>
  <c r="O349" i="1"/>
  <c r="O118" i="1"/>
  <c r="P118" i="1"/>
  <c r="P28" i="1"/>
  <c r="O28" i="1"/>
  <c r="O115" i="1"/>
  <c r="P115" i="1"/>
  <c r="O222" i="1"/>
  <c r="P222" i="1"/>
  <c r="O482" i="1"/>
  <c r="P482" i="1"/>
  <c r="P152" i="1"/>
  <c r="O152" i="1"/>
  <c r="P104" i="1"/>
  <c r="O104" i="1"/>
  <c r="O78" i="1"/>
  <c r="P78" i="1"/>
  <c r="O475" i="1"/>
  <c r="P475" i="1"/>
  <c r="O268" i="1"/>
  <c r="P268" i="1"/>
  <c r="P415" i="1"/>
  <c r="O415" i="1"/>
  <c r="P356" i="1"/>
  <c r="O356" i="1"/>
  <c r="O217" i="1"/>
  <c r="P217" i="1"/>
  <c r="O186" i="1"/>
  <c r="P186" i="1"/>
  <c r="P328" i="1"/>
  <c r="O328" i="1"/>
  <c r="O384" i="1"/>
  <c r="P384" i="1"/>
  <c r="P486" i="1"/>
  <c r="O486" i="1"/>
  <c r="P282" i="1"/>
  <c r="O282" i="1"/>
  <c r="P150" i="1"/>
  <c r="O150" i="1"/>
  <c r="O71" i="1"/>
  <c r="P71" i="1"/>
  <c r="P139" i="1"/>
  <c r="O139" i="1"/>
  <c r="O272" i="1"/>
  <c r="P272" i="1"/>
  <c r="L240" i="1"/>
  <c r="M240" i="1"/>
  <c r="O426" i="1"/>
  <c r="P426" i="1"/>
  <c r="L432" i="1"/>
  <c r="M432" i="1"/>
  <c r="M370" i="1"/>
  <c r="L370" i="1"/>
  <c r="O155" i="1"/>
  <c r="P155" i="1"/>
  <c r="M480" i="1"/>
  <c r="L480" i="1"/>
  <c r="P313" i="1"/>
  <c r="O313" i="1"/>
  <c r="O25" i="1"/>
  <c r="P25" i="1"/>
  <c r="M178" i="1"/>
  <c r="L178" i="1"/>
  <c r="M112" i="1"/>
  <c r="L112" i="1"/>
  <c r="M298" i="1"/>
  <c r="L298" i="1"/>
  <c r="L395" i="1"/>
  <c r="M395" i="1"/>
  <c r="L249" i="1"/>
  <c r="M249" i="1"/>
  <c r="L365" i="1"/>
  <c r="M365" i="1"/>
  <c r="O447" i="1"/>
  <c r="P447" i="1"/>
  <c r="M33" i="1"/>
  <c r="L33" i="1"/>
  <c r="L60" i="1"/>
  <c r="M60" i="1"/>
  <c r="M91" i="1"/>
  <c r="L91" i="1"/>
  <c r="M322" i="1"/>
  <c r="L322" i="1"/>
  <c r="L508" i="1"/>
  <c r="M508" i="1"/>
  <c r="M367" i="1"/>
  <c r="L367" i="1"/>
  <c r="P156" i="1"/>
  <c r="O156" i="1"/>
  <c r="M225" i="1"/>
  <c r="L225" i="1"/>
  <c r="M32" i="1"/>
  <c r="L32" i="1"/>
  <c r="O487" i="1"/>
  <c r="P487" i="1"/>
  <c r="L26" i="1"/>
  <c r="M26" i="1"/>
  <c r="O161" i="1"/>
  <c r="P161" i="1"/>
  <c r="O46" i="1"/>
  <c r="P46" i="1"/>
  <c r="L420" i="1"/>
  <c r="M420" i="1"/>
  <c r="P403" i="1"/>
  <c r="O403" i="1"/>
  <c r="M293" i="1"/>
  <c r="L293" i="1"/>
  <c r="M239" i="1"/>
  <c r="L239" i="1"/>
  <c r="M230" i="1"/>
  <c r="L230" i="1"/>
  <c r="M348" i="1"/>
  <c r="L348" i="1"/>
  <c r="O504" i="1"/>
  <c r="P504" i="1"/>
  <c r="M375" i="1"/>
  <c r="L375" i="1"/>
  <c r="L44" i="1"/>
  <c r="M44" i="1"/>
  <c r="M126" i="1"/>
  <c r="L126" i="1"/>
  <c r="L346" i="1"/>
  <c r="M346" i="1"/>
  <c r="O301" i="1"/>
  <c r="P301" i="1"/>
  <c r="L252" i="1"/>
  <c r="M252" i="1"/>
  <c r="M288" i="1"/>
  <c r="L288" i="1"/>
  <c r="P159" i="1"/>
  <c r="O159" i="1"/>
  <c r="M373" i="1"/>
  <c r="L373" i="1"/>
  <c r="O215" i="1"/>
  <c r="P215" i="1"/>
  <c r="M283" i="1"/>
  <c r="L283" i="1"/>
  <c r="L456" i="1"/>
  <c r="M456" i="1"/>
  <c r="L345" i="1"/>
  <c r="M345" i="1"/>
  <c r="O4" i="1"/>
  <c r="P4" i="1"/>
  <c r="L38" i="1"/>
  <c r="M38" i="1"/>
  <c r="O170" i="1"/>
  <c r="P170" i="1"/>
  <c r="P260" i="1"/>
  <c r="O260" i="1"/>
  <c r="P58" i="1"/>
  <c r="O58" i="1"/>
  <c r="O358" i="1"/>
  <c r="P358" i="1"/>
  <c r="M394" i="1"/>
  <c r="L394" i="1"/>
  <c r="L488" i="1"/>
  <c r="M488" i="1"/>
  <c r="O409" i="1"/>
  <c r="P409" i="1"/>
  <c r="O250" i="1"/>
  <c r="P250" i="1"/>
  <c r="O39" i="1"/>
  <c r="P39" i="1"/>
  <c r="M185" i="1"/>
  <c r="L185" i="1"/>
  <c r="L314" i="1"/>
  <c r="M314" i="1"/>
  <c r="M447" i="1"/>
  <c r="L447" i="1"/>
  <c r="O467" i="1"/>
  <c r="P467" i="1"/>
  <c r="L242" i="1"/>
  <c r="M242" i="1"/>
  <c r="L487" i="1"/>
  <c r="M487" i="1"/>
  <c r="O174" i="1"/>
  <c r="P174" i="1"/>
  <c r="O309" i="1"/>
  <c r="P309" i="1"/>
  <c r="P8" i="1"/>
  <c r="O8" i="1"/>
  <c r="O124" i="1"/>
  <c r="P124" i="1"/>
  <c r="O237" i="1"/>
  <c r="P237" i="1"/>
  <c r="O441" i="1"/>
  <c r="P441" i="1"/>
  <c r="O319" i="1"/>
  <c r="P319" i="1"/>
  <c r="P106" i="1"/>
  <c r="O106" i="1"/>
  <c r="L206" i="1"/>
  <c r="M206" i="1"/>
  <c r="M397" i="1"/>
  <c r="L397" i="1"/>
  <c r="M222" i="1"/>
  <c r="L222" i="1"/>
  <c r="L403" i="1"/>
  <c r="M403" i="1"/>
  <c r="P341" i="1"/>
  <c r="O341" i="1"/>
  <c r="P398" i="1"/>
  <c r="O398" i="1"/>
  <c r="M57" i="1"/>
  <c r="L57" i="1"/>
  <c r="M481" i="1"/>
  <c r="L481" i="1"/>
  <c r="O453" i="1"/>
  <c r="P453" i="1"/>
  <c r="L122" i="1"/>
  <c r="M122" i="1"/>
  <c r="L374" i="1"/>
  <c r="M374" i="1"/>
  <c r="O253" i="1"/>
  <c r="P253" i="1"/>
  <c r="P89" i="1"/>
  <c r="O89" i="1"/>
  <c r="P276" i="1"/>
  <c r="O276" i="1"/>
  <c r="L68" i="1"/>
  <c r="M68" i="1"/>
  <c r="L180" i="1"/>
  <c r="M180" i="1"/>
  <c r="M78" i="1"/>
  <c r="L78" i="1"/>
  <c r="M48" i="1"/>
  <c r="L48" i="1"/>
  <c r="M94" i="1"/>
  <c r="L94" i="1"/>
  <c r="O128" i="1"/>
  <c r="P128" i="1"/>
  <c r="M408" i="1"/>
  <c r="L408" i="1"/>
  <c r="O206" i="1"/>
  <c r="P206" i="1"/>
  <c r="P236" i="1"/>
  <c r="O236" i="1"/>
  <c r="O275" i="1"/>
  <c r="P275" i="1"/>
  <c r="P407" i="1"/>
  <c r="O407" i="1"/>
  <c r="P369" i="1"/>
  <c r="O369" i="1"/>
  <c r="P234" i="1"/>
  <c r="O234" i="1"/>
  <c r="P428" i="1"/>
  <c r="O428" i="1"/>
  <c r="O258" i="1"/>
  <c r="P258" i="1"/>
  <c r="O103" i="1"/>
  <c r="P103" i="1"/>
  <c r="P410" i="1"/>
  <c r="O410" i="1"/>
  <c r="P169" i="1"/>
  <c r="O169" i="1"/>
  <c r="P267" i="1"/>
  <c r="O267" i="1"/>
  <c r="O489" i="1"/>
  <c r="P489" i="1"/>
  <c r="O6" i="1"/>
  <c r="P6" i="1"/>
  <c r="P74" i="1"/>
  <c r="O74" i="1"/>
  <c r="P347" i="1"/>
  <c r="O347" i="1"/>
  <c r="O311" i="1"/>
  <c r="P311" i="1"/>
  <c r="P165" i="1"/>
  <c r="O165" i="1"/>
  <c r="O437" i="1"/>
  <c r="P437" i="1"/>
  <c r="P51" i="1"/>
  <c r="O51" i="1"/>
  <c r="P56" i="1"/>
  <c r="O56" i="1"/>
  <c r="P510" i="1"/>
  <c r="O510" i="1"/>
  <c r="O291" i="1"/>
  <c r="P291" i="1"/>
  <c r="O34" i="1"/>
  <c r="P34" i="1"/>
  <c r="M429" i="1"/>
  <c r="L429" i="1"/>
  <c r="P400" i="1"/>
  <c r="O400" i="1"/>
  <c r="L254" i="1"/>
  <c r="M254" i="1"/>
  <c r="M247" i="1"/>
  <c r="L247" i="1"/>
  <c r="L140" i="1"/>
  <c r="M140" i="1"/>
  <c r="L341" i="1"/>
  <c r="M341" i="1"/>
  <c r="P62" i="1"/>
  <c r="O62" i="1"/>
  <c r="M352" i="1"/>
  <c r="L352" i="1"/>
  <c r="M66" i="1"/>
  <c r="L66" i="1"/>
  <c r="L418" i="1"/>
  <c r="M418" i="1"/>
  <c r="O154" i="1"/>
  <c r="P154" i="1"/>
  <c r="M455" i="1"/>
  <c r="L455" i="1"/>
  <c r="M315" i="1"/>
  <c r="L315" i="1"/>
  <c r="L423" i="1"/>
  <c r="M423" i="1"/>
  <c r="L63" i="1"/>
  <c r="M63" i="1"/>
  <c r="L443" i="1"/>
  <c r="M443" i="1"/>
  <c r="M251" i="1"/>
  <c r="L251" i="1"/>
  <c r="M212" i="1"/>
  <c r="L212" i="1"/>
  <c r="M170" i="1"/>
  <c r="L170" i="1"/>
  <c r="L410" i="1"/>
  <c r="M410" i="1"/>
  <c r="M449" i="1"/>
  <c r="L449" i="1"/>
  <c r="L259" i="1"/>
  <c r="M259" i="1"/>
  <c r="M384" i="1"/>
  <c r="L384" i="1"/>
  <c r="P455" i="1"/>
  <c r="O455" i="1"/>
  <c r="O404" i="1"/>
  <c r="P404" i="1"/>
  <c r="P498" i="1"/>
  <c r="O498" i="1"/>
  <c r="O94" i="1"/>
  <c r="P94" i="1"/>
  <c r="M267" i="1"/>
  <c r="L267" i="1"/>
  <c r="O244" i="1"/>
  <c r="P244" i="1"/>
  <c r="O472" i="1"/>
  <c r="P472" i="1"/>
  <c r="P478" i="1"/>
  <c r="O478" i="1"/>
  <c r="M59" i="1"/>
  <c r="L59" i="1"/>
  <c r="L272" i="1"/>
  <c r="M272" i="1"/>
  <c r="O402" i="1"/>
  <c r="P402" i="1"/>
  <c r="L167" i="1"/>
  <c r="M167" i="1"/>
  <c r="M207" i="1"/>
  <c r="L207" i="1"/>
  <c r="P294" i="1"/>
  <c r="O294" i="1"/>
  <c r="L312" i="1"/>
  <c r="M312" i="1"/>
  <c r="L424" i="1"/>
  <c r="M424" i="1"/>
  <c r="O70" i="1"/>
  <c r="P70" i="1"/>
  <c r="L248" i="1"/>
  <c r="M248" i="1"/>
  <c r="P418" i="1"/>
  <c r="O418" i="1"/>
  <c r="O496" i="1"/>
  <c r="P496" i="1"/>
  <c r="P377" i="1"/>
  <c r="O377" i="1"/>
  <c r="O243" i="1"/>
  <c r="P243" i="1"/>
  <c r="M291" i="1"/>
  <c r="L291" i="1"/>
  <c r="L128" i="1"/>
  <c r="M128" i="1"/>
  <c r="P239" i="1"/>
  <c r="O239" i="1"/>
  <c r="P385" i="1"/>
  <c r="O385" i="1"/>
  <c r="M100" i="1"/>
  <c r="L100" i="1"/>
  <c r="M362" i="1"/>
  <c r="L362" i="1"/>
  <c r="M202" i="1"/>
  <c r="L202" i="1"/>
  <c r="O304" i="1"/>
  <c r="P304" i="1"/>
  <c r="M147" i="1"/>
  <c r="L147" i="1"/>
  <c r="M223" i="1"/>
  <c r="L223" i="1"/>
  <c r="L46" i="1"/>
  <c r="M46" i="1"/>
  <c r="M111" i="1"/>
  <c r="L111" i="1"/>
  <c r="L141" i="1"/>
  <c r="M141" i="1"/>
  <c r="L143" i="1"/>
  <c r="M143" i="1"/>
  <c r="L496" i="1"/>
  <c r="M496" i="1"/>
  <c r="L136" i="1"/>
  <c r="M136" i="1"/>
  <c r="L97" i="1"/>
  <c r="M97" i="1"/>
  <c r="M173" i="1"/>
  <c r="L173" i="1"/>
  <c r="L371" i="1"/>
  <c r="M371" i="1"/>
  <c r="M52" i="1"/>
  <c r="L52" i="1"/>
  <c r="O392" i="1"/>
  <c r="P392" i="1"/>
  <c r="L441" i="1"/>
  <c r="M441" i="1"/>
  <c r="M132" i="1"/>
  <c r="L132" i="1"/>
  <c r="L435" i="1"/>
  <c r="M435" i="1"/>
  <c r="P113" i="1"/>
  <c r="O113" i="1"/>
  <c r="L325" i="1"/>
  <c r="M325" i="1"/>
  <c r="P465" i="1"/>
  <c r="O465" i="1"/>
  <c r="O355" i="1"/>
  <c r="P355" i="1"/>
  <c r="O454" i="1"/>
  <c r="P454" i="1"/>
  <c r="L232" i="1"/>
  <c r="M232" i="1"/>
  <c r="O31" i="1"/>
  <c r="P31" i="1"/>
  <c r="M24" i="1"/>
  <c r="L24" i="1"/>
  <c r="L493" i="1"/>
  <c r="M493" i="1"/>
  <c r="L450" i="1"/>
  <c r="M450" i="1"/>
  <c r="P3" i="1"/>
  <c r="O3" i="1"/>
  <c r="O446" i="1"/>
  <c r="P446" i="1"/>
  <c r="M440" i="1"/>
  <c r="L440" i="1"/>
  <c r="M273" i="1"/>
  <c r="L273" i="1"/>
  <c r="M405" i="1"/>
  <c r="L405" i="1"/>
  <c r="L98" i="1"/>
  <c r="M98" i="1"/>
  <c r="M342" i="1"/>
  <c r="L342" i="1"/>
  <c r="L357" i="1"/>
  <c r="M357" i="1"/>
  <c r="L430" i="1"/>
  <c r="M430" i="1"/>
  <c r="L381" i="1"/>
  <c r="M381" i="1"/>
  <c r="M331" i="1"/>
  <c r="L331" i="1"/>
  <c r="L92" i="1"/>
  <c r="M92" i="1"/>
  <c r="M386" i="1"/>
  <c r="L386" i="1"/>
  <c r="O394" i="1"/>
  <c r="P394" i="1"/>
  <c r="L123" i="1"/>
  <c r="M123" i="1"/>
  <c r="L35" i="1"/>
  <c r="M35" i="1"/>
  <c r="M336" i="1"/>
  <c r="L336" i="1"/>
  <c r="L271" i="1"/>
  <c r="M271" i="1"/>
  <c r="M84" i="1"/>
  <c r="L84" i="1"/>
  <c r="M330" i="1"/>
  <c r="L330" i="1"/>
  <c r="O228" i="1"/>
  <c r="P228" i="1"/>
  <c r="P381" i="1"/>
  <c r="O381" i="1"/>
  <c r="L201" i="1"/>
  <c r="M201" i="1"/>
  <c r="L305" i="1"/>
  <c r="M305" i="1"/>
  <c r="L506" i="1"/>
  <c r="M506" i="1"/>
  <c r="M229" i="1"/>
  <c r="L229" i="1"/>
  <c r="L166" i="1"/>
  <c r="M166" i="1"/>
  <c r="M385" i="1"/>
  <c r="L385" i="1"/>
  <c r="O197" i="1"/>
  <c r="P197" i="1"/>
  <c r="P484" i="1"/>
  <c r="O484" i="1"/>
  <c r="M88" i="1"/>
  <c r="L88" i="1"/>
  <c r="O248" i="1"/>
  <c r="P248" i="1"/>
  <c r="P235" i="1"/>
  <c r="O235" i="1"/>
  <c r="O514" i="1"/>
  <c r="P514" i="1"/>
  <c r="O254" i="1"/>
  <c r="P254" i="1"/>
  <c r="M426" i="1"/>
  <c r="L426" i="1"/>
  <c r="L468" i="1"/>
  <c r="M468" i="1"/>
  <c r="L41" i="1"/>
  <c r="M41" i="1"/>
  <c r="L466" i="1"/>
  <c r="M466" i="1"/>
  <c r="P252" i="1"/>
  <c r="O252" i="1"/>
  <c r="P193" i="1"/>
  <c r="O193" i="1"/>
  <c r="L183" i="1"/>
  <c r="M183" i="1"/>
  <c r="M25" i="1"/>
  <c r="L25" i="1"/>
  <c r="O24" i="1"/>
  <c r="P24" i="1"/>
  <c r="M54" i="1"/>
  <c r="L54" i="1"/>
  <c r="M479" i="1"/>
  <c r="L479" i="1"/>
  <c r="O280" i="1"/>
  <c r="P280" i="1"/>
  <c r="L246" i="1"/>
  <c r="M246" i="1"/>
  <c r="P136" i="1"/>
  <c r="O136" i="1"/>
  <c r="P148" i="1"/>
  <c r="O148" i="1"/>
  <c r="O257" i="1"/>
  <c r="P257" i="1"/>
  <c r="P490" i="1"/>
  <c r="O490" i="1"/>
  <c r="P86" i="1"/>
  <c r="O86" i="1"/>
  <c r="M359" i="1"/>
  <c r="L359" i="1"/>
  <c r="L146" i="1"/>
  <c r="M146" i="1"/>
  <c r="M495" i="1"/>
  <c r="L495" i="1"/>
  <c r="P147" i="1"/>
  <c r="O147" i="1"/>
  <c r="O430" i="1"/>
  <c r="P430" i="1"/>
  <c r="M511" i="1"/>
  <c r="L511" i="1"/>
  <c r="O423" i="1"/>
  <c r="P423" i="1"/>
  <c r="P30" i="1"/>
  <c r="O30" i="1"/>
  <c r="P241" i="1"/>
  <c r="O241" i="1"/>
  <c r="O190" i="1"/>
  <c r="P190" i="1"/>
  <c r="M306" i="1"/>
  <c r="L306" i="1"/>
  <c r="L402" i="1"/>
  <c r="M402" i="1"/>
  <c r="M125" i="1"/>
  <c r="L125" i="1"/>
  <c r="M177" i="1"/>
  <c r="L177" i="1"/>
  <c r="P249" i="1"/>
  <c r="O249" i="1"/>
  <c r="P85" i="1"/>
  <c r="O85" i="1"/>
  <c r="O41" i="1"/>
  <c r="P41" i="1"/>
  <c r="P295" i="1"/>
  <c r="O295" i="1"/>
  <c r="P494" i="1"/>
  <c r="O494" i="1"/>
  <c r="P64" i="1"/>
  <c r="O64" i="1"/>
  <c r="P110" i="1"/>
  <c r="O110" i="1"/>
  <c r="P27" i="1"/>
  <c r="O27" i="1"/>
  <c r="P38" i="1"/>
  <c r="O38" i="1"/>
  <c r="O160" i="1"/>
  <c r="P160" i="1"/>
  <c r="O264" i="1"/>
  <c r="P264" i="1"/>
  <c r="P134" i="1"/>
  <c r="O134" i="1"/>
  <c r="P202" i="1"/>
  <c r="O202" i="1"/>
  <c r="O502" i="1"/>
  <c r="P502" i="1"/>
  <c r="O485" i="1"/>
  <c r="P485" i="1"/>
  <c r="P468" i="1"/>
  <c r="O468" i="1"/>
  <c r="O367" i="1"/>
  <c r="P367" i="1"/>
  <c r="P229" i="1"/>
  <c r="O229" i="1"/>
  <c r="O88" i="1"/>
  <c r="P88" i="1"/>
  <c r="P203" i="1"/>
  <c r="O203" i="1"/>
  <c r="O162" i="1"/>
  <c r="P162" i="1"/>
  <c r="P462" i="1"/>
  <c r="O462" i="1"/>
  <c r="M150" i="1"/>
  <c r="L150" i="1"/>
  <c r="O488" i="1"/>
  <c r="P488" i="1"/>
  <c r="O303" i="1"/>
  <c r="P303" i="1"/>
  <c r="O5" i="1"/>
  <c r="P5" i="1"/>
  <c r="O77" i="1"/>
  <c r="P77" i="1"/>
  <c r="O353" i="1"/>
  <c r="P353" i="1"/>
  <c r="P456" i="1"/>
  <c r="O456" i="1"/>
  <c r="P121" i="1"/>
  <c r="O121" i="1"/>
  <c r="O59" i="1"/>
  <c r="P59" i="1"/>
  <c r="O342" i="1"/>
  <c r="P342" i="1"/>
  <c r="O329" i="1"/>
  <c r="P329" i="1"/>
  <c r="P192" i="1"/>
  <c r="O192" i="1"/>
  <c r="P231" i="1"/>
  <c r="O231" i="1"/>
  <c r="M257" i="1"/>
  <c r="L257" i="1"/>
  <c r="M377" i="1"/>
  <c r="L377" i="1"/>
  <c r="L472" i="1"/>
  <c r="M472" i="1"/>
  <c r="O477" i="1"/>
  <c r="P477" i="1"/>
  <c r="L130" i="1"/>
  <c r="M130" i="1"/>
  <c r="L83" i="1"/>
  <c r="M83" i="1"/>
  <c r="L27" i="1"/>
  <c r="M27" i="1"/>
  <c r="M279" i="1"/>
  <c r="L279" i="1"/>
  <c r="P383" i="1"/>
  <c r="O383" i="1"/>
  <c r="M319" i="1"/>
  <c r="L319" i="1"/>
  <c r="L446" i="1"/>
  <c r="M446" i="1"/>
  <c r="L151" i="1"/>
  <c r="M151" i="1"/>
  <c r="P83" i="1"/>
  <c r="O83" i="1"/>
  <c r="O11" i="1"/>
  <c r="P11" i="1"/>
  <c r="L189" i="1"/>
  <c r="M189" i="1"/>
  <c r="M469" i="1"/>
  <c r="L469" i="1"/>
  <c r="L327" i="1"/>
  <c r="M327" i="1"/>
  <c r="O511" i="1"/>
  <c r="P511" i="1"/>
  <c r="M70" i="1"/>
  <c r="L70" i="1"/>
  <c r="P285" i="1"/>
  <c r="O285" i="1"/>
  <c r="L321" i="1"/>
  <c r="M321" i="1"/>
  <c r="M200" i="1"/>
  <c r="L200" i="1"/>
  <c r="M398" i="1"/>
  <c r="L398" i="1"/>
  <c r="L414" i="1"/>
  <c r="M414" i="1"/>
  <c r="L226" i="1"/>
  <c r="M226" i="1"/>
  <c r="P191" i="1"/>
  <c r="O191" i="1"/>
  <c r="L196" i="1"/>
  <c r="M196" i="1"/>
  <c r="L96" i="1"/>
  <c r="M96" i="1"/>
  <c r="M509" i="1"/>
  <c r="L509" i="1"/>
  <c r="M43" i="1"/>
  <c r="L43" i="1"/>
  <c r="M79" i="1"/>
  <c r="L79" i="1"/>
  <c r="L119" i="1"/>
  <c r="M119" i="1"/>
  <c r="P432" i="1"/>
  <c r="O432" i="1"/>
  <c r="L235" i="1"/>
  <c r="M235" i="1"/>
  <c r="P57" i="1"/>
  <c r="O57" i="1"/>
  <c r="L157" i="1"/>
  <c r="M157" i="1"/>
  <c r="L108" i="1"/>
  <c r="M108" i="1"/>
  <c r="M389" i="1"/>
  <c r="L389" i="1"/>
  <c r="M256" i="1"/>
  <c r="L256" i="1"/>
  <c r="M470" i="1"/>
  <c r="L470" i="1"/>
  <c r="P321" i="1"/>
  <c r="O321" i="1"/>
  <c r="O277" i="1"/>
  <c r="P277" i="1"/>
  <c r="O232" i="1"/>
  <c r="P232" i="1"/>
  <c r="P48" i="1"/>
  <c r="O48" i="1"/>
  <c r="P479" i="1"/>
  <c r="O479" i="1"/>
  <c r="M118" i="1"/>
  <c r="L118" i="1"/>
  <c r="L316" i="1"/>
  <c r="M316" i="1"/>
  <c r="M171" i="1"/>
  <c r="L171" i="1"/>
  <c r="L139" i="1"/>
  <c r="M139" i="1"/>
  <c r="M303" i="1"/>
  <c r="L303" i="1"/>
  <c r="P177" i="1"/>
  <c r="O177" i="1"/>
  <c r="M391" i="1"/>
  <c r="L391" i="1"/>
  <c r="L448" i="1"/>
  <c r="M448" i="1"/>
  <c r="M31" i="1"/>
  <c r="L31" i="1"/>
  <c r="L289" i="1"/>
  <c r="M289" i="1"/>
  <c r="M437" i="1"/>
  <c r="L437" i="1"/>
  <c r="O413" i="1"/>
  <c r="P413" i="1"/>
  <c r="P210" i="1"/>
  <c r="O210" i="1"/>
  <c r="L135" i="1"/>
  <c r="M135" i="1"/>
  <c r="O388" i="1"/>
  <c r="P388" i="1"/>
  <c r="O348" i="1"/>
  <c r="P348" i="1"/>
  <c r="O149" i="1"/>
  <c r="P149" i="1"/>
  <c r="O463" i="1"/>
  <c r="P463" i="1"/>
  <c r="L372" i="1"/>
  <c r="M372" i="1"/>
  <c r="L462" i="1"/>
  <c r="M462" i="1"/>
  <c r="M205" i="1"/>
  <c r="L205" i="1"/>
  <c r="P434" i="1"/>
  <c r="O434" i="1"/>
  <c r="L184" i="1"/>
  <c r="M184" i="1"/>
  <c r="L23" i="1"/>
  <c r="M23" i="1"/>
  <c r="O273" i="1"/>
  <c r="P273" i="1"/>
  <c r="O451" i="1"/>
  <c r="P451" i="1"/>
  <c r="O464" i="1"/>
  <c r="P464" i="1"/>
  <c r="P436" i="1"/>
  <c r="O436" i="1"/>
  <c r="O187" i="1"/>
  <c r="P187" i="1"/>
  <c r="M199" i="1"/>
  <c r="L199" i="1"/>
  <c r="L452" i="1"/>
  <c r="M452" i="1"/>
  <c r="L276" i="1"/>
  <c r="M276" i="1"/>
  <c r="L161" i="1"/>
  <c r="M161" i="1"/>
  <c r="P251" i="1"/>
  <c r="O251" i="1"/>
  <c r="P18" i="1"/>
  <c r="O18" i="1"/>
  <c r="O425" i="1"/>
  <c r="P425" i="1"/>
  <c r="P445" i="1"/>
  <c r="O445" i="1"/>
  <c r="P173" i="1"/>
  <c r="O173" i="1"/>
  <c r="L502" i="1"/>
  <c r="M502" i="1"/>
  <c r="L244" i="1"/>
  <c r="M244" i="1"/>
  <c r="M382" i="1"/>
  <c r="L382" i="1"/>
  <c r="M188" i="1"/>
  <c r="L188" i="1"/>
  <c r="M458" i="1"/>
  <c r="L458" i="1"/>
  <c r="M214" i="1"/>
  <c r="L214" i="1"/>
  <c r="O227" i="1"/>
  <c r="P227" i="1"/>
  <c r="O417" i="1"/>
  <c r="P417" i="1"/>
  <c r="P242" i="1"/>
  <c r="O242" i="1"/>
  <c r="P395" i="1"/>
  <c r="O395" i="1"/>
  <c r="P207" i="1"/>
  <c r="O207" i="1"/>
  <c r="P290" i="1"/>
  <c r="O290" i="1"/>
  <c r="P79" i="1"/>
  <c r="O79" i="1"/>
  <c r="P444" i="1"/>
  <c r="O444" i="1"/>
  <c r="O196" i="1"/>
  <c r="P196" i="1"/>
  <c r="O493" i="1"/>
  <c r="P493" i="1"/>
  <c r="O221" i="1"/>
  <c r="P221" i="1"/>
  <c r="P17" i="1"/>
  <c r="O17" i="1"/>
  <c r="P87" i="1"/>
  <c r="O87" i="1"/>
  <c r="P331" i="1"/>
  <c r="O331" i="1"/>
  <c r="O320" i="1"/>
  <c r="P320" i="1"/>
  <c r="P111" i="1"/>
  <c r="O111" i="1"/>
  <c r="O29" i="1"/>
  <c r="P29" i="1"/>
  <c r="O219" i="1"/>
  <c r="P219" i="1"/>
  <c r="P90" i="1"/>
  <c r="O90" i="1"/>
  <c r="P390" i="1"/>
  <c r="O390" i="1"/>
  <c r="O458" i="1"/>
  <c r="P458" i="1"/>
  <c r="O80" i="1"/>
  <c r="P80" i="1"/>
  <c r="P132" i="1"/>
  <c r="O132" i="1"/>
  <c r="P54" i="1"/>
  <c r="O54" i="1"/>
  <c r="P315" i="1"/>
  <c r="O315" i="1"/>
  <c r="M233" i="1"/>
  <c r="L233" i="1"/>
  <c r="L195" i="1"/>
  <c r="M195" i="1"/>
  <c r="M61" i="1"/>
  <c r="L61" i="1"/>
  <c r="O81" i="1"/>
  <c r="P81" i="1"/>
  <c r="O495" i="1"/>
  <c r="P495" i="1"/>
  <c r="L107" i="1"/>
  <c r="M107" i="1"/>
  <c r="L213" i="1"/>
  <c r="M213" i="1"/>
  <c r="M175" i="1"/>
  <c r="L175" i="1"/>
  <c r="L467" i="1"/>
  <c r="M467" i="1"/>
  <c r="O439" i="1"/>
  <c r="P439" i="1"/>
  <c r="M187" i="1"/>
  <c r="L187" i="1"/>
  <c r="M55" i="1"/>
  <c r="L55" i="1"/>
  <c r="M465" i="1"/>
  <c r="L465" i="1"/>
  <c r="L160" i="1"/>
  <c r="M160" i="1"/>
  <c r="L499" i="1"/>
  <c r="M499" i="1"/>
  <c r="M269" i="1"/>
  <c r="L269" i="1"/>
  <c r="L113" i="1"/>
  <c r="M113" i="1"/>
  <c r="M237" i="1"/>
  <c r="L237" i="1"/>
  <c r="M504" i="1"/>
  <c r="L504" i="1"/>
  <c r="L296" i="1"/>
  <c r="M296" i="1"/>
  <c r="L104" i="1"/>
  <c r="M104" i="1"/>
  <c r="P448" i="1"/>
  <c r="O448" i="1"/>
  <c r="M260" i="1"/>
  <c r="L260" i="1"/>
  <c r="M460" i="1"/>
  <c r="L460" i="1"/>
  <c r="L463" i="1"/>
  <c r="M463" i="1"/>
  <c r="L311" i="1"/>
  <c r="M311" i="1"/>
  <c r="L129" i="1"/>
  <c r="M129" i="1"/>
  <c r="M179" i="1"/>
  <c r="L179" i="1"/>
  <c r="P225" i="1"/>
  <c r="O225" i="1"/>
  <c r="P317" i="1"/>
  <c r="O317" i="1"/>
  <c r="L102" i="1"/>
  <c r="M102" i="1"/>
  <c r="M194" i="1"/>
  <c r="L194" i="1"/>
  <c r="M209" i="1"/>
  <c r="L209" i="1"/>
  <c r="L152" i="1"/>
  <c r="M152" i="1"/>
  <c r="M261" i="1"/>
  <c r="L261" i="1"/>
  <c r="M62" i="1"/>
  <c r="L62" i="1"/>
  <c r="L354" i="1"/>
  <c r="M354" i="1"/>
  <c r="L219" i="1"/>
  <c r="M219" i="1"/>
  <c r="O226" i="1"/>
  <c r="P226" i="1"/>
  <c r="P287" i="1"/>
  <c r="O287" i="1"/>
  <c r="L390" i="1"/>
  <c r="M390" i="1"/>
  <c r="L208" i="1"/>
  <c r="M208" i="1"/>
  <c r="L117" i="1"/>
  <c r="M117" i="1"/>
  <c r="P366" i="1"/>
  <c r="O366" i="1"/>
  <c r="M317" i="1"/>
  <c r="L317" i="1"/>
  <c r="L217" i="1"/>
  <c r="M217" i="1"/>
  <c r="M72" i="1"/>
  <c r="L72" i="1"/>
  <c r="L153" i="1"/>
  <c r="M153" i="1"/>
  <c r="L433" i="1"/>
  <c r="M433" i="1"/>
  <c r="M475" i="1"/>
  <c r="L475" i="1"/>
  <c r="M99" i="1"/>
  <c r="L99" i="1"/>
  <c r="M148" i="1"/>
  <c r="L148" i="1"/>
  <c r="P44" i="1"/>
  <c r="O44" i="1"/>
  <c r="M351" i="1"/>
  <c r="L351" i="1"/>
  <c r="L329" i="1"/>
  <c r="M329" i="1"/>
  <c r="L186" i="1"/>
  <c r="M186" i="1"/>
  <c r="L109" i="1"/>
  <c r="M109" i="1"/>
  <c r="O307" i="1"/>
  <c r="P307" i="1"/>
  <c r="M45" i="1"/>
  <c r="L45" i="1"/>
  <c r="M155" i="1"/>
  <c r="L155" i="1"/>
  <c r="P265" i="1"/>
  <c r="O265" i="1"/>
  <c r="P318" i="1"/>
  <c r="O318" i="1"/>
  <c r="P82" i="1"/>
  <c r="O82" i="1"/>
  <c r="M115" i="1"/>
  <c r="L115" i="1"/>
  <c r="P281" i="1"/>
  <c r="O281" i="1"/>
  <c r="L51" i="1"/>
  <c r="M51" i="1"/>
  <c r="O300" i="1"/>
  <c r="P300" i="1"/>
  <c r="M425" i="1"/>
  <c r="L425" i="1"/>
  <c r="P312" i="1"/>
  <c r="O312" i="1"/>
  <c r="P9" i="1"/>
  <c r="O9" i="1"/>
  <c r="M406" i="1"/>
  <c r="L406" i="1"/>
  <c r="M182" i="1"/>
  <c r="L182" i="1"/>
  <c r="L366" i="1"/>
  <c r="M366" i="1"/>
  <c r="L476" i="1"/>
  <c r="M476" i="1"/>
  <c r="P99" i="1"/>
  <c r="O99" i="1"/>
  <c r="M347" i="1"/>
  <c r="L347" i="1"/>
  <c r="L258" i="1"/>
  <c r="M258" i="1"/>
  <c r="M409" i="1"/>
  <c r="L409" i="1"/>
  <c r="P345" i="1"/>
  <c r="O345" i="1"/>
  <c r="L422" i="1"/>
  <c r="M422" i="1"/>
  <c r="P172" i="1"/>
  <c r="O172" i="1"/>
  <c r="P233" i="1"/>
  <c r="O233" i="1"/>
  <c r="O216" i="1"/>
  <c r="P216" i="1"/>
  <c r="P246" i="1"/>
  <c r="O246" i="1"/>
  <c r="L234" i="1"/>
  <c r="M234" i="1"/>
  <c r="M383" i="1"/>
  <c r="L383" i="1"/>
  <c r="P218" i="1"/>
  <c r="O218" i="1"/>
  <c r="P429" i="1"/>
  <c r="O429" i="1"/>
  <c r="M158" i="1"/>
  <c r="L158" i="1"/>
  <c r="P36" i="1"/>
  <c r="O36" i="1"/>
  <c r="P389" i="1"/>
  <c r="O389" i="1"/>
  <c r="O339" i="1"/>
  <c r="P339" i="1"/>
  <c r="O308" i="1"/>
  <c r="P308" i="1"/>
  <c r="M168" i="1"/>
  <c r="L168" i="1"/>
  <c r="O164" i="1"/>
  <c r="P164" i="1"/>
  <c r="P66" i="1"/>
  <c r="O66" i="1"/>
  <c r="M22" i="1"/>
  <c r="L22" i="1"/>
  <c r="O323" i="1"/>
  <c r="P323" i="1"/>
  <c r="O157" i="1"/>
  <c r="P157" i="1"/>
  <c r="P138" i="1"/>
  <c r="O138" i="1"/>
  <c r="P438" i="1"/>
  <c r="O438" i="1"/>
  <c r="L483" i="1"/>
  <c r="M483" i="1"/>
  <c r="L197" i="1"/>
  <c r="M197" i="1"/>
  <c r="L127" i="1"/>
  <c r="M127" i="1"/>
  <c r="O67" i="1"/>
  <c r="P67" i="1"/>
  <c r="P198" i="1"/>
  <c r="O198" i="1"/>
  <c r="P372" i="1"/>
  <c r="O372" i="1"/>
  <c r="O73" i="1"/>
  <c r="P73" i="1"/>
  <c r="O180" i="1"/>
  <c r="P180" i="1"/>
  <c r="O351" i="1"/>
  <c r="P351" i="1"/>
  <c r="O84" i="1"/>
  <c r="P84" i="1"/>
  <c r="M302" i="1"/>
  <c r="L302" i="1"/>
  <c r="O259" i="1"/>
  <c r="P259" i="1"/>
  <c r="O411" i="1"/>
  <c r="P411" i="1"/>
  <c r="O76" i="1"/>
  <c r="P76" i="1"/>
  <c r="P284" i="1"/>
  <c r="O284" i="1"/>
  <c r="P176" i="1"/>
  <c r="O176" i="1"/>
  <c r="O117" i="1"/>
  <c r="P117" i="1"/>
  <c r="P122" i="1"/>
  <c r="O122" i="1"/>
  <c r="O200" i="1"/>
  <c r="P200" i="1"/>
  <c r="P292" i="1"/>
  <c r="O292" i="1"/>
  <c r="O422" i="1"/>
  <c r="P422" i="1"/>
  <c r="P325" i="1"/>
  <c r="O325" i="1"/>
  <c r="O7" i="1"/>
  <c r="P7" i="1"/>
  <c r="P75" i="1"/>
  <c r="O75" i="1"/>
  <c r="P509" i="1"/>
  <c r="O509" i="1"/>
  <c r="P182" i="1"/>
  <c r="O182" i="1"/>
  <c r="P340" i="1"/>
  <c r="O340" i="1"/>
  <c r="O100" i="1"/>
  <c r="P100" i="1"/>
  <c r="P375" i="1"/>
  <c r="O375" i="1"/>
  <c r="O175" i="1"/>
  <c r="P175" i="1"/>
  <c r="O350" i="1"/>
  <c r="P350" i="1"/>
  <c r="P126" i="1"/>
  <c r="O126" i="1"/>
  <c r="O35" i="1"/>
  <c r="P35" i="1"/>
  <c r="P125" i="1"/>
  <c r="O125" i="1"/>
  <c r="P168" i="1"/>
  <c r="O168" i="1"/>
  <c r="O142" i="1"/>
  <c r="P142" i="1"/>
  <c r="P108" i="1"/>
  <c r="O108" i="1"/>
  <c r="L275" i="1"/>
  <c r="M275" i="1"/>
  <c r="O322" i="1"/>
  <c r="P322" i="1"/>
  <c r="P416" i="1"/>
  <c r="O416" i="1"/>
  <c r="P13" i="1"/>
  <c r="O13" i="1"/>
  <c r="P405" i="1"/>
  <c r="O405" i="1"/>
  <c r="P133" i="1"/>
  <c r="O133" i="1"/>
  <c r="M404" i="1"/>
  <c r="L404" i="1"/>
  <c r="L67" i="1"/>
  <c r="M67" i="1"/>
  <c r="L392" i="1"/>
  <c r="M392" i="1"/>
  <c r="O399" i="1"/>
  <c r="P399" i="1"/>
  <c r="L131" i="1"/>
  <c r="M131" i="1"/>
  <c r="M474" i="1"/>
  <c r="L474" i="1"/>
  <c r="L320" i="1"/>
  <c r="M320" i="1"/>
  <c r="O63" i="1"/>
  <c r="P63" i="1"/>
  <c r="L264" i="1"/>
  <c r="M264" i="1"/>
  <c r="P40" i="1"/>
  <c r="O40" i="1"/>
  <c r="L407" i="1"/>
  <c r="M407" i="1"/>
  <c r="M380" i="1"/>
  <c r="L380" i="1"/>
  <c r="P507" i="1"/>
  <c r="O507" i="1"/>
  <c r="M353" i="1"/>
  <c r="L353" i="1"/>
  <c r="L193" i="1"/>
  <c r="M193" i="1"/>
  <c r="P286" i="1"/>
  <c r="O286" i="1"/>
  <c r="P263" i="1"/>
  <c r="O263" i="1"/>
  <c r="M491" i="1"/>
  <c r="L491" i="1"/>
  <c r="M149" i="1"/>
  <c r="L149" i="1"/>
  <c r="L438" i="1"/>
  <c r="M438" i="1"/>
  <c r="L65" i="1"/>
  <c r="M65" i="1"/>
  <c r="M310" i="1"/>
  <c r="L310" i="1"/>
  <c r="P393" i="1"/>
  <c r="O393" i="1"/>
  <c r="M74" i="1"/>
  <c r="L74" i="1"/>
  <c r="M514" i="1"/>
  <c r="L514" i="1"/>
  <c r="P435" i="1"/>
  <c r="O435" i="1"/>
  <c r="M75" i="1"/>
  <c r="L75" i="1"/>
  <c r="O420" i="1"/>
  <c r="P420" i="1"/>
  <c r="L512" i="1"/>
  <c r="M512" i="1"/>
  <c r="P337" i="1"/>
  <c r="O337" i="1"/>
  <c r="M250" i="1"/>
  <c r="L250" i="1"/>
  <c r="M144" i="1"/>
  <c r="L144" i="1"/>
  <c r="M80" i="1"/>
  <c r="L80" i="1"/>
  <c r="O289" i="1"/>
  <c r="P289" i="1"/>
  <c r="P32" i="1"/>
  <c r="O32" i="1"/>
  <c r="P205" i="1"/>
  <c r="O205" i="1"/>
  <c r="O212" i="1"/>
  <c r="P212" i="1"/>
  <c r="O459" i="1"/>
  <c r="P459" i="1"/>
  <c r="P72" i="1"/>
  <c r="O72" i="1"/>
  <c r="L301" i="1"/>
  <c r="M301" i="1"/>
  <c r="L309" i="1"/>
  <c r="M309" i="1"/>
  <c r="L505" i="1"/>
  <c r="M505" i="1"/>
  <c r="L415" i="1"/>
  <c r="M415" i="1"/>
  <c r="M73" i="1"/>
  <c r="L73" i="1"/>
  <c r="O512" i="1"/>
  <c r="P512" i="1"/>
  <c r="P153" i="1"/>
  <c r="O153" i="1"/>
  <c r="P397" i="1"/>
  <c r="O397" i="1"/>
  <c r="O505" i="1"/>
  <c r="P505" i="1"/>
  <c r="P130" i="1"/>
  <c r="O130" i="1"/>
  <c r="L489" i="1"/>
  <c r="M489" i="1"/>
  <c r="O37" i="1"/>
  <c r="P37" i="1"/>
  <c r="M464" i="1"/>
  <c r="L464" i="1"/>
  <c r="M335" i="1"/>
  <c r="L335" i="1"/>
  <c r="L210" i="1"/>
  <c r="M210" i="1"/>
  <c r="O279" i="1"/>
  <c r="P279" i="1"/>
  <c r="O305" i="1"/>
  <c r="P305" i="1"/>
  <c r="L507" i="1"/>
  <c r="M507" i="1"/>
  <c r="L477" i="1"/>
  <c r="M477" i="1"/>
  <c r="L262" i="1"/>
  <c r="M262" i="1"/>
  <c r="M138" i="1"/>
  <c r="L138" i="1"/>
  <c r="L484" i="1"/>
  <c r="M484" i="1"/>
  <c r="O371" i="1"/>
  <c r="P371" i="1"/>
  <c r="P240" i="1"/>
  <c r="O240" i="1"/>
  <c r="P181" i="1"/>
  <c r="O181" i="1"/>
  <c r="L399" i="1"/>
  <c r="M399" i="1"/>
  <c r="L274" i="1"/>
  <c r="M274" i="1"/>
  <c r="M106" i="1"/>
  <c r="L106" i="1"/>
  <c r="L400" i="1"/>
  <c r="M400" i="1"/>
  <c r="O255" i="1"/>
  <c r="P255" i="1"/>
  <c r="L231" i="1"/>
  <c r="M231" i="1"/>
  <c r="L238" i="1"/>
  <c r="M238" i="1"/>
  <c r="O501" i="1"/>
  <c r="P501" i="1"/>
  <c r="O185" i="1"/>
  <c r="P185" i="1"/>
  <c r="P151" i="1"/>
  <c r="O151" i="1"/>
  <c r="L245" i="1"/>
  <c r="M245" i="1"/>
  <c r="P188" i="1"/>
  <c r="O188" i="1"/>
  <c r="O120" i="1"/>
  <c r="P120" i="1"/>
  <c r="P105" i="1"/>
  <c r="O105" i="1"/>
  <c r="O334" i="1"/>
  <c r="P334" i="1"/>
  <c r="L215" i="1"/>
  <c r="M215" i="1"/>
  <c r="M69" i="1"/>
  <c r="L69" i="1"/>
  <c r="L356" i="1"/>
  <c r="M356" i="1"/>
  <c r="M110" i="1"/>
  <c r="L110" i="1"/>
  <c r="P460" i="1"/>
  <c r="O460" i="1"/>
  <c r="P330" i="1"/>
  <c r="O330" i="1"/>
  <c r="P119" i="1"/>
  <c r="O119" i="1"/>
  <c r="P245" i="1"/>
  <c r="O245" i="1"/>
  <c r="P135" i="1"/>
  <c r="O135" i="1"/>
  <c r="O49" i="1"/>
  <c r="P49" i="1"/>
  <c r="P10" i="1"/>
  <c r="O10" i="1"/>
  <c r="O476" i="1"/>
  <c r="P476" i="1"/>
  <c r="P310" i="1"/>
  <c r="O310" i="1"/>
  <c r="O209" i="1"/>
  <c r="P209" i="1"/>
  <c r="P457" i="1"/>
  <c r="O457" i="1"/>
  <c r="P95" i="1"/>
  <c r="O95" i="1"/>
  <c r="O382" i="1"/>
  <c r="P382" i="1"/>
  <c r="P163" i="1"/>
  <c r="O163" i="1"/>
  <c r="P296" i="1"/>
  <c r="O296" i="1"/>
  <c r="O270" i="1"/>
  <c r="P270" i="1"/>
  <c r="P380" i="1"/>
  <c r="O380" i="1"/>
  <c r="O508" i="1"/>
  <c r="P508" i="1"/>
  <c r="O195" i="1"/>
  <c r="P195" i="1"/>
  <c r="O492" i="1"/>
  <c r="P492" i="1"/>
  <c r="O68" i="1"/>
  <c r="P68" i="1"/>
  <c r="P362" i="1"/>
  <c r="O362" i="1"/>
  <c r="P513" i="1"/>
  <c r="O513" i="1"/>
  <c r="O378" i="1"/>
  <c r="P378" i="1"/>
  <c r="O386" i="1"/>
  <c r="P386" i="1"/>
  <c r="P167" i="1"/>
  <c r="O167" i="1"/>
  <c r="O474" i="1"/>
  <c r="P474" i="1"/>
  <c r="O96" i="1"/>
  <c r="P96" i="1"/>
  <c r="L451" i="1"/>
  <c r="M451" i="1"/>
  <c r="M308" i="1"/>
  <c r="L308" i="1"/>
  <c r="M428" i="1"/>
  <c r="L428" i="1"/>
  <c r="L190" i="1"/>
  <c r="M190" i="1"/>
  <c r="M101" i="1"/>
  <c r="L101" i="1"/>
  <c r="P183" i="1"/>
  <c r="O183" i="1"/>
  <c r="M176" i="1"/>
  <c r="L176" i="1"/>
  <c r="M363" i="1"/>
  <c r="L363" i="1"/>
  <c r="M445" i="1"/>
  <c r="L445" i="1"/>
  <c r="L29" i="1"/>
  <c r="M29" i="1"/>
  <c r="O288" i="1"/>
  <c r="P288" i="1"/>
  <c r="M337" i="1"/>
  <c r="L337" i="1"/>
  <c r="M434" i="1"/>
  <c r="L434" i="1"/>
  <c r="L332" i="1"/>
  <c r="M332" i="1"/>
  <c r="M277" i="1"/>
  <c r="L277" i="1"/>
  <c r="M297" i="1"/>
  <c r="L297" i="1"/>
  <c r="L412" i="1"/>
  <c r="M412" i="1"/>
  <c r="L376" i="1"/>
  <c r="M376" i="1"/>
  <c r="M42" i="1"/>
  <c r="L42" i="1"/>
  <c r="M58" i="1"/>
  <c r="L58" i="1"/>
  <c r="P336" i="1"/>
  <c r="O336" i="1"/>
  <c r="O293" i="1"/>
  <c r="P293" i="1"/>
  <c r="P166" i="1"/>
  <c r="O166" i="1"/>
  <c r="L453" i="1"/>
  <c r="M453" i="1"/>
  <c r="M444" i="1"/>
  <c r="L444" i="1"/>
  <c r="P171" i="1"/>
  <c r="O171" i="1"/>
  <c r="W30" i="1"/>
  <c r="M360" i="1"/>
  <c r="L360" i="1"/>
  <c r="M459" i="1"/>
  <c r="L459" i="1"/>
  <c r="M227" i="1"/>
  <c r="L227" i="1"/>
  <c r="L378" i="1"/>
  <c r="M378" i="1"/>
  <c r="L268" i="1"/>
  <c r="M268" i="1"/>
  <c r="L442" i="1"/>
  <c r="M442" i="1"/>
  <c r="M145" i="1"/>
  <c r="L145" i="1"/>
  <c r="P211" i="1"/>
  <c r="O211" i="1"/>
  <c r="P112" i="1"/>
  <c r="O112" i="1"/>
  <c r="M393" i="1"/>
  <c r="L393" i="1"/>
  <c r="M282" i="1"/>
  <c r="L282" i="1"/>
  <c r="L266" i="1"/>
  <c r="M266" i="1"/>
  <c r="M333" i="1"/>
  <c r="L333" i="1"/>
  <c r="L77" i="1"/>
  <c r="M77" i="1"/>
  <c r="M76" i="1"/>
  <c r="L76" i="1"/>
  <c r="L204" i="1"/>
  <c r="M204" i="1"/>
  <c r="M142" i="1"/>
  <c r="L142" i="1"/>
  <c r="M211" i="1"/>
  <c r="L211" i="1"/>
  <c r="L34" i="1"/>
  <c r="M34" i="1"/>
  <c r="M361" i="1"/>
  <c r="L361" i="1"/>
  <c r="M358" i="1"/>
  <c r="L358" i="1"/>
  <c r="L486" i="1"/>
  <c r="M486" i="1"/>
  <c r="M478" i="1"/>
  <c r="L478" i="1"/>
  <c r="P14" i="1"/>
  <c r="O14" i="1"/>
  <c r="L401" i="1"/>
  <c r="M401" i="1"/>
  <c r="M318" i="1"/>
  <c r="L318" i="1"/>
  <c r="L284" i="1"/>
  <c r="M284" i="1"/>
  <c r="P131" i="1"/>
  <c r="O131" i="1"/>
  <c r="L334" i="1"/>
  <c r="M334" i="1"/>
  <c r="M364" i="1"/>
  <c r="L364" i="1"/>
  <c r="L165" i="1"/>
  <c r="M165" i="1"/>
  <c r="O15" i="1"/>
  <c r="P15" i="1"/>
  <c r="M133" i="1"/>
  <c r="L133" i="1"/>
  <c r="P223" i="1"/>
  <c r="O223" i="1"/>
  <c r="O101" i="1"/>
  <c r="P101" i="1"/>
  <c r="L30" i="1"/>
  <c r="M30" i="1"/>
  <c r="L307" i="1"/>
  <c r="M307" i="1"/>
  <c r="L21" i="1"/>
  <c r="M21" i="1"/>
  <c r="L241" i="1"/>
  <c r="M241" i="1"/>
  <c r="P379" i="1"/>
  <c r="O379" i="1"/>
  <c r="M300" i="1"/>
  <c r="L300" i="1"/>
  <c r="M471" i="1"/>
  <c r="L471" i="1"/>
  <c r="L243" i="1"/>
  <c r="M243" i="1"/>
  <c r="M411" i="1"/>
  <c r="L411" i="1"/>
  <c r="M198" i="1"/>
  <c r="L198" i="1"/>
  <c r="L134" i="1"/>
  <c r="M134" i="1"/>
  <c r="P471" i="1"/>
  <c r="O471" i="1"/>
  <c r="M510" i="1"/>
  <c r="L510" i="1"/>
  <c r="L396" i="1"/>
  <c r="M396" i="1"/>
  <c r="L181" i="1"/>
  <c r="M181" i="1"/>
  <c r="M174" i="1"/>
  <c r="L174" i="1"/>
  <c r="O109" i="1"/>
  <c r="P109" i="1"/>
  <c r="P433" i="1"/>
  <c r="O433" i="1"/>
  <c r="L114" i="1"/>
  <c r="M114" i="1"/>
  <c r="L154" i="1"/>
  <c r="M154" i="1"/>
  <c r="M413" i="1"/>
  <c r="L413" i="1"/>
  <c r="O141" i="1"/>
  <c r="P141" i="1"/>
  <c r="O500" i="1"/>
  <c r="P500" i="1"/>
  <c r="L47" i="1"/>
  <c r="M47" i="1"/>
  <c r="L485" i="1"/>
  <c r="M485" i="1"/>
  <c r="M172" i="1"/>
  <c r="L172" i="1"/>
  <c r="M71" i="1"/>
  <c r="L71" i="1"/>
  <c r="L388" i="1"/>
  <c r="M388" i="1"/>
  <c r="L162" i="1"/>
  <c r="M162" i="1"/>
  <c r="L216" i="1"/>
  <c r="M216" i="1"/>
  <c r="P178" i="1"/>
  <c r="O178" i="1"/>
  <c r="P466" i="1"/>
  <c r="O466" i="1"/>
  <c r="O302" i="1"/>
  <c r="P302" i="1"/>
  <c r="P298" i="1"/>
  <c r="O298" i="1"/>
  <c r="O61" i="1"/>
  <c r="P61" i="1"/>
  <c r="P333" i="1"/>
  <c r="O333" i="1"/>
  <c r="M116" i="1"/>
  <c r="L116" i="1"/>
  <c r="M294" i="1"/>
  <c r="L294" i="1"/>
  <c r="P213" i="1"/>
  <c r="O213" i="1"/>
  <c r="M56" i="1"/>
  <c r="L56" i="1"/>
  <c r="P412" i="1"/>
  <c r="O412" i="1"/>
  <c r="P208" i="1"/>
  <c r="O208" i="1"/>
  <c r="M285" i="1"/>
  <c r="L285" i="1"/>
  <c r="M221" i="1"/>
  <c r="L221" i="1"/>
  <c r="M501" i="1"/>
  <c r="L501" i="1"/>
  <c r="L324" i="1"/>
  <c r="M324" i="1"/>
  <c r="L137" i="1"/>
  <c r="M137" i="1"/>
  <c r="P179" i="1"/>
  <c r="O179" i="1"/>
  <c r="P361" i="1"/>
  <c r="O361" i="1"/>
  <c r="O21" i="1"/>
  <c r="P21" i="1"/>
  <c r="M304" i="1"/>
  <c r="L304" i="1"/>
  <c r="P314" i="1"/>
  <c r="O314" i="1"/>
  <c r="M326" i="1"/>
  <c r="L326" i="1"/>
  <c r="M323" i="1"/>
  <c r="L323" i="1"/>
  <c r="P408" i="1"/>
  <c r="O408" i="1"/>
  <c r="O396" i="1"/>
  <c r="P396" i="1"/>
  <c r="M82" i="1"/>
  <c r="L82" i="1"/>
  <c r="L156" i="1"/>
  <c r="M156" i="1"/>
  <c r="P357" i="1"/>
  <c r="O357" i="1"/>
  <c r="P297" i="1"/>
  <c r="O297" i="1"/>
  <c r="P184" i="1"/>
  <c r="O184" i="1"/>
  <c r="P127" i="1"/>
  <c r="O127" i="1"/>
  <c r="P52" i="1"/>
  <c r="O52" i="1"/>
  <c r="P98" i="1"/>
  <c r="O98" i="1"/>
  <c r="P327" i="1"/>
  <c r="O327" i="1"/>
  <c r="O499" i="1"/>
  <c r="P499" i="1"/>
  <c r="P360" i="1"/>
  <c r="O360" i="1"/>
  <c r="O69" i="1"/>
  <c r="P69" i="1"/>
  <c r="P107" i="1"/>
  <c r="O107" i="1"/>
  <c r="O461" i="1"/>
  <c r="P461" i="1"/>
  <c r="P506" i="1"/>
  <c r="O506" i="1"/>
  <c r="O214" i="1"/>
  <c r="P214" i="1"/>
  <c r="P123" i="1"/>
  <c r="O123" i="1"/>
  <c r="P359" i="1"/>
  <c r="O359" i="1"/>
  <c r="O238" i="1"/>
  <c r="P238" i="1"/>
  <c r="P91" i="1"/>
  <c r="O91" i="1"/>
  <c r="P102" i="1"/>
  <c r="O102" i="1"/>
  <c r="P224" i="1"/>
  <c r="O224" i="1"/>
  <c r="P363" i="1"/>
  <c r="O363" i="1"/>
  <c r="P352" i="1"/>
  <c r="O352" i="1"/>
  <c r="P266" i="1"/>
  <c r="O266" i="1"/>
  <c r="P55" i="1"/>
  <c r="O55" i="1"/>
  <c r="P129" i="1"/>
  <c r="O129" i="1"/>
  <c r="O53" i="1"/>
  <c r="P53" i="1"/>
  <c r="P452" i="1"/>
  <c r="O452" i="1"/>
  <c r="P332" i="1"/>
  <c r="O332" i="1"/>
  <c r="P114" i="1"/>
  <c r="O114" i="1"/>
  <c r="H520" i="1" l="1"/>
  <c r="I520" i="1"/>
  <c r="H521" i="1"/>
  <c r="I521" i="1"/>
  <c r="H517" i="1"/>
  <c r="I517" i="1"/>
  <c r="H522" i="1"/>
  <c r="I522" i="1"/>
  <c r="H518" i="1"/>
  <c r="I518" i="1"/>
  <c r="H515" i="1"/>
  <c r="I515" i="1"/>
  <c r="H523" i="1"/>
  <c r="I523" i="1"/>
  <c r="H516" i="1"/>
  <c r="I516" i="1"/>
  <c r="H519" i="1"/>
  <c r="I519" i="1"/>
  <c r="H171" i="1"/>
  <c r="I171" i="1"/>
  <c r="R15" i="1"/>
  <c r="I465" i="1"/>
  <c r="H465" i="1"/>
  <c r="H143" i="1"/>
  <c r="I143" i="1"/>
  <c r="H423" i="1"/>
  <c r="I423" i="1"/>
  <c r="I17" i="1"/>
  <c r="H17" i="1"/>
  <c r="I122" i="1"/>
  <c r="H122" i="1"/>
  <c r="H227" i="1"/>
  <c r="I227" i="1"/>
  <c r="H62" i="1"/>
  <c r="I62" i="1"/>
  <c r="I176" i="1"/>
  <c r="H176" i="1"/>
  <c r="H190" i="1"/>
  <c r="I190" i="1"/>
  <c r="H88" i="1"/>
  <c r="I88" i="1"/>
  <c r="I238" i="1"/>
  <c r="H238" i="1"/>
  <c r="H186" i="1"/>
  <c r="I186" i="1"/>
  <c r="I258" i="1"/>
  <c r="H258" i="1"/>
  <c r="H506" i="1"/>
  <c r="I506" i="1"/>
  <c r="I251" i="1"/>
  <c r="H251" i="1"/>
  <c r="H346" i="1"/>
  <c r="I346" i="1"/>
  <c r="H292" i="1"/>
  <c r="I292" i="1"/>
  <c r="H39" i="1"/>
  <c r="I39" i="1"/>
  <c r="H110" i="1"/>
  <c r="I110" i="1"/>
  <c r="H234" i="1"/>
  <c r="I234" i="1"/>
  <c r="H510" i="1"/>
  <c r="I510" i="1"/>
  <c r="H367" i="1"/>
  <c r="I367" i="1"/>
  <c r="I313" i="1"/>
  <c r="H313" i="1"/>
  <c r="H205" i="1"/>
  <c r="I205" i="1"/>
  <c r="I446" i="1"/>
  <c r="H446" i="1"/>
  <c r="H286" i="1"/>
  <c r="I286" i="1"/>
  <c r="H8" i="1"/>
  <c r="I8" i="1"/>
  <c r="H135" i="1"/>
  <c r="I135" i="1"/>
  <c r="H488" i="1"/>
  <c r="I488" i="1"/>
  <c r="H434" i="1"/>
  <c r="I434" i="1"/>
  <c r="I3" i="1"/>
  <c r="H3" i="1"/>
  <c r="I342" i="1"/>
  <c r="H342" i="1"/>
  <c r="H394" i="1"/>
  <c r="I394" i="1"/>
  <c r="H55" i="1"/>
  <c r="I55" i="1"/>
  <c r="H319" i="1"/>
  <c r="I319" i="1"/>
  <c r="I470" i="1"/>
  <c r="H470" i="1"/>
  <c r="I224" i="1"/>
  <c r="H224" i="1"/>
  <c r="H81" i="1"/>
  <c r="I81" i="1"/>
  <c r="H487" i="1"/>
  <c r="I487" i="1"/>
  <c r="H396" i="1"/>
  <c r="I396" i="1"/>
  <c r="I427" i="1"/>
  <c r="H427" i="1"/>
  <c r="I265" i="1"/>
  <c r="H265" i="1"/>
  <c r="H513" i="1"/>
  <c r="I513" i="1"/>
  <c r="I6" i="1"/>
  <c r="H6" i="1"/>
  <c r="H73" i="1"/>
  <c r="I73" i="1"/>
  <c r="H69" i="1"/>
  <c r="I69" i="1"/>
  <c r="H121" i="1"/>
  <c r="I121" i="1"/>
  <c r="H415" i="1"/>
  <c r="I415" i="1"/>
  <c r="H491" i="1"/>
  <c r="I491" i="1"/>
  <c r="I223" i="1"/>
  <c r="H223" i="1"/>
  <c r="H58" i="1"/>
  <c r="I58" i="1"/>
  <c r="H492" i="1"/>
  <c r="I492" i="1"/>
  <c r="H486" i="1"/>
  <c r="I486" i="1"/>
  <c r="I280" i="1"/>
  <c r="H280" i="1"/>
  <c r="H53" i="1"/>
  <c r="I53" i="1"/>
  <c r="I130" i="1"/>
  <c r="H130" i="1"/>
  <c r="H41" i="1"/>
  <c r="I41" i="1"/>
  <c r="I43" i="1"/>
  <c r="H43" i="1"/>
  <c r="I115" i="1"/>
  <c r="H115" i="1"/>
  <c r="I259" i="1"/>
  <c r="H259" i="1"/>
  <c r="I403" i="1"/>
  <c r="H403" i="1"/>
  <c r="H355" i="1"/>
  <c r="I355" i="1"/>
  <c r="H246" i="1"/>
  <c r="I246" i="1"/>
  <c r="H201" i="1"/>
  <c r="I201" i="1"/>
  <c r="I306" i="1"/>
  <c r="H306" i="1"/>
  <c r="H314" i="1"/>
  <c r="I314" i="1"/>
  <c r="H350" i="1"/>
  <c r="I350" i="1"/>
  <c r="I378" i="1"/>
  <c r="H378" i="1"/>
  <c r="I500" i="1"/>
  <c r="H500" i="1"/>
  <c r="H160" i="1"/>
  <c r="I160" i="1"/>
  <c r="H477" i="1"/>
  <c r="I477" i="1"/>
  <c r="I221" i="1"/>
  <c r="H221" i="1"/>
  <c r="I326" i="1"/>
  <c r="H326" i="1"/>
  <c r="H172" i="1"/>
  <c r="I172" i="1"/>
  <c r="H133" i="1"/>
  <c r="I133" i="1"/>
  <c r="I464" i="1"/>
  <c r="H464" i="1"/>
  <c r="I395" i="1"/>
  <c r="H395" i="1"/>
  <c r="H459" i="1"/>
  <c r="I459" i="1"/>
  <c r="H217" i="1"/>
  <c r="I217" i="1"/>
  <c r="H431" i="1"/>
  <c r="I431" i="1"/>
  <c r="I57" i="1"/>
  <c r="H57" i="1"/>
  <c r="H297" i="1"/>
  <c r="I297" i="1"/>
  <c r="H366" i="1"/>
  <c r="I366" i="1"/>
  <c r="I391" i="1"/>
  <c r="H391" i="1"/>
  <c r="H466" i="1"/>
  <c r="I466" i="1"/>
  <c r="I168" i="1"/>
  <c r="H168" i="1"/>
  <c r="H349" i="1"/>
  <c r="I349" i="1"/>
  <c r="I468" i="1"/>
  <c r="H468" i="1"/>
  <c r="H443" i="1"/>
  <c r="I443" i="1"/>
  <c r="H18" i="1"/>
  <c r="I18" i="1"/>
  <c r="H494" i="1"/>
  <c r="I494" i="1"/>
  <c r="I183" i="1"/>
  <c r="H183" i="1"/>
  <c r="I270" i="1"/>
  <c r="H270" i="1"/>
  <c r="H38" i="1"/>
  <c r="I38" i="1"/>
  <c r="I166" i="1"/>
  <c r="H166" i="1"/>
  <c r="H347" i="1"/>
  <c r="I347" i="1"/>
  <c r="H372" i="1"/>
  <c r="I372" i="1"/>
  <c r="H155" i="1"/>
  <c r="I155" i="1"/>
  <c r="H302" i="1"/>
  <c r="I302" i="1"/>
  <c r="H2" i="1"/>
  <c r="I2" i="1"/>
  <c r="I333" i="1"/>
  <c r="H333" i="1"/>
  <c r="I106" i="1"/>
  <c r="H106" i="1"/>
  <c r="I263" i="1"/>
  <c r="H263" i="1"/>
  <c r="I203" i="1"/>
  <c r="H203" i="1"/>
  <c r="H148" i="1"/>
  <c r="I148" i="1"/>
  <c r="I37" i="1"/>
  <c r="H37" i="1"/>
  <c r="H96" i="1"/>
  <c r="I96" i="1"/>
  <c r="I416" i="1"/>
  <c r="H416" i="1"/>
  <c r="H493" i="1"/>
  <c r="I493" i="1"/>
  <c r="H457" i="1"/>
  <c r="I457" i="1"/>
  <c r="I111" i="1"/>
  <c r="H111" i="1"/>
  <c r="H303" i="1"/>
  <c r="I303" i="1"/>
  <c r="H142" i="1"/>
  <c r="I142" i="1"/>
  <c r="H63" i="1"/>
  <c r="I63" i="1"/>
  <c r="H250" i="1"/>
  <c r="I250" i="1"/>
  <c r="I187" i="1"/>
  <c r="H187" i="1"/>
  <c r="I9" i="1"/>
  <c r="H9" i="1"/>
  <c r="H462" i="1"/>
  <c r="I462" i="1"/>
  <c r="H421" i="1"/>
  <c r="I421" i="1"/>
  <c r="H502" i="1"/>
  <c r="I502" i="1"/>
  <c r="H337" i="1"/>
  <c r="I337" i="1"/>
  <c r="I104" i="1"/>
  <c r="H104" i="1"/>
  <c r="H33" i="1"/>
  <c r="I33" i="1"/>
  <c r="H164" i="1"/>
  <c r="I164" i="1"/>
  <c r="H36" i="1"/>
  <c r="I36" i="1"/>
  <c r="H334" i="1"/>
  <c r="I334" i="1"/>
  <c r="H79" i="1"/>
  <c r="I79" i="1"/>
  <c r="H118" i="1"/>
  <c r="I118" i="1"/>
  <c r="I339" i="1"/>
  <c r="H339" i="1"/>
  <c r="I75" i="1"/>
  <c r="H75" i="1"/>
  <c r="H467" i="1"/>
  <c r="I467" i="1"/>
  <c r="H100" i="1"/>
  <c r="I100" i="1"/>
  <c r="H125" i="1"/>
  <c r="I125" i="1"/>
  <c r="H159" i="1"/>
  <c r="I159" i="1"/>
  <c r="H356" i="1"/>
  <c r="I356" i="1"/>
  <c r="I150" i="1"/>
  <c r="H150" i="1"/>
  <c r="I128" i="1"/>
  <c r="H128" i="1"/>
  <c r="I351" i="1"/>
  <c r="H351" i="1"/>
  <c r="I49" i="1"/>
  <c r="H49" i="1"/>
  <c r="I50" i="1"/>
  <c r="H50" i="1"/>
  <c r="I411" i="1"/>
  <c r="H411" i="1"/>
  <c r="H78" i="1"/>
  <c r="I78" i="1"/>
  <c r="I47" i="1"/>
  <c r="H47" i="1"/>
  <c r="H385" i="1"/>
  <c r="I385" i="1"/>
  <c r="H59" i="1"/>
  <c r="I59" i="1"/>
  <c r="H213" i="1"/>
  <c r="I213" i="1"/>
  <c r="I404" i="1"/>
  <c r="H404" i="1"/>
  <c r="I495" i="1"/>
  <c r="H495" i="1"/>
  <c r="I414" i="1"/>
  <c r="H414" i="1"/>
  <c r="H200" i="1"/>
  <c r="I200" i="1"/>
  <c r="H102" i="1"/>
  <c r="I102" i="1"/>
  <c r="I152" i="1"/>
  <c r="H152" i="1"/>
  <c r="I93" i="1"/>
  <c r="H93" i="1"/>
  <c r="H295" i="1"/>
  <c r="I295" i="1"/>
  <c r="H114" i="1"/>
  <c r="I114" i="1"/>
  <c r="H162" i="1"/>
  <c r="I162" i="1"/>
  <c r="I454" i="1"/>
  <c r="H454" i="1"/>
  <c r="I344" i="1"/>
  <c r="H344" i="1"/>
  <c r="I471" i="1"/>
  <c r="H471" i="1"/>
  <c r="H352" i="1"/>
  <c r="I352" i="1"/>
  <c r="H304" i="1"/>
  <c r="I304" i="1"/>
  <c r="I308" i="1"/>
  <c r="H308" i="1"/>
  <c r="H94" i="1"/>
  <c r="I94" i="1"/>
  <c r="I61" i="1"/>
  <c r="H61" i="1"/>
  <c r="I359" i="1"/>
  <c r="H359" i="1"/>
  <c r="I309" i="1"/>
  <c r="H309" i="1"/>
  <c r="H108" i="1"/>
  <c r="I108" i="1"/>
  <c r="H478" i="1"/>
  <c r="I478" i="1"/>
  <c r="H293" i="1"/>
  <c r="I293" i="1"/>
  <c r="H455" i="1"/>
  <c r="I455" i="1"/>
  <c r="H154" i="1"/>
  <c r="I154" i="1"/>
  <c r="H248" i="1"/>
  <c r="I248" i="1"/>
  <c r="I418" i="1"/>
  <c r="H418" i="1"/>
  <c r="H83" i="1"/>
  <c r="I83" i="1"/>
  <c r="I211" i="1"/>
  <c r="H211" i="1"/>
  <c r="H68" i="1"/>
  <c r="I68" i="1"/>
  <c r="H476" i="1"/>
  <c r="I476" i="1"/>
  <c r="H289" i="1"/>
  <c r="I289" i="1"/>
  <c r="H182" i="1"/>
  <c r="I182" i="1"/>
  <c r="H165" i="1"/>
  <c r="I165" i="1"/>
  <c r="I137" i="1"/>
  <c r="H137" i="1"/>
  <c r="H374" i="1"/>
  <c r="I374" i="1"/>
  <c r="H204" i="1"/>
  <c r="I204" i="1"/>
  <c r="I299" i="1"/>
  <c r="H299" i="1"/>
  <c r="I214" i="1"/>
  <c r="H214" i="1"/>
  <c r="H473" i="1"/>
  <c r="I473" i="1"/>
  <c r="H232" i="1"/>
  <c r="I232" i="1"/>
  <c r="H318" i="1"/>
  <c r="I318" i="1"/>
  <c r="H60" i="1"/>
  <c r="I60" i="1"/>
  <c r="I354" i="1"/>
  <c r="H354" i="1"/>
  <c r="H388" i="1"/>
  <c r="I388" i="1"/>
  <c r="H260" i="1"/>
  <c r="I260" i="1"/>
  <c r="H239" i="1"/>
  <c r="I239" i="1"/>
  <c r="H12" i="1"/>
  <c r="I12" i="1"/>
  <c r="H5" i="1"/>
  <c r="I5" i="1"/>
  <c r="H195" i="1"/>
  <c r="I195" i="1"/>
  <c r="I66" i="1"/>
  <c r="H66" i="1"/>
  <c r="H379" i="1"/>
  <c r="I379" i="1"/>
  <c r="I7" i="1"/>
  <c r="H7" i="1"/>
  <c r="H226" i="1"/>
  <c r="I226" i="1"/>
  <c r="H193" i="1"/>
  <c r="I193" i="1"/>
  <c r="H296" i="1"/>
  <c r="I296" i="1"/>
  <c r="H70" i="1"/>
  <c r="I70" i="1"/>
  <c r="H127" i="1"/>
  <c r="I127" i="1"/>
  <c r="H84" i="1"/>
  <c r="I84" i="1"/>
  <c r="H275" i="1"/>
  <c r="I275" i="1"/>
  <c r="H65" i="1"/>
  <c r="I65" i="1"/>
  <c r="H452" i="1"/>
  <c r="I452" i="1"/>
  <c r="I357" i="1"/>
  <c r="H357" i="1"/>
  <c r="H26" i="1"/>
  <c r="I26" i="1"/>
  <c r="H243" i="1"/>
  <c r="I243" i="1"/>
  <c r="I85" i="1"/>
  <c r="H85" i="1"/>
  <c r="H511" i="1"/>
  <c r="I511" i="1"/>
  <c r="H447" i="1"/>
  <c r="I447" i="1"/>
  <c r="H273" i="1"/>
  <c r="I273" i="1"/>
  <c r="H498" i="1"/>
  <c r="I498" i="1"/>
  <c r="H322" i="1"/>
  <c r="I322" i="1"/>
  <c r="H345" i="1"/>
  <c r="I345" i="1"/>
  <c r="H305" i="1"/>
  <c r="I305" i="1"/>
  <c r="H235" i="1"/>
  <c r="I235" i="1"/>
  <c r="H430" i="1"/>
  <c r="I430" i="1"/>
  <c r="I173" i="1"/>
  <c r="H173" i="1"/>
  <c r="H181" i="1"/>
  <c r="I181" i="1"/>
  <c r="I220" i="1"/>
  <c r="H220" i="1"/>
  <c r="H86" i="1"/>
  <c r="I86" i="1"/>
  <c r="I315" i="1"/>
  <c r="H315" i="1"/>
  <c r="H445" i="1"/>
  <c r="I445" i="1"/>
  <c r="H382" i="1"/>
  <c r="I382" i="1"/>
  <c r="H242" i="1"/>
  <c r="I242" i="1"/>
  <c r="H267" i="1"/>
  <c r="I267" i="1"/>
  <c r="H332" i="1"/>
  <c r="I332" i="1"/>
  <c r="I424" i="1"/>
  <c r="H424" i="1"/>
  <c r="H508" i="1"/>
  <c r="I508" i="1"/>
  <c r="H197" i="1"/>
  <c r="I197" i="1"/>
  <c r="H437" i="1"/>
  <c r="I437" i="1"/>
  <c r="H490" i="1"/>
  <c r="I490" i="1"/>
  <c r="I178" i="1"/>
  <c r="H178" i="1"/>
  <c r="H208" i="1"/>
  <c r="I208" i="1"/>
  <c r="I325" i="1"/>
  <c r="H325" i="1"/>
  <c r="H179" i="1"/>
  <c r="I179" i="1"/>
  <c r="H320" i="1"/>
  <c r="I320" i="1"/>
  <c r="I21" i="1"/>
  <c r="H21" i="1"/>
  <c r="H369" i="1"/>
  <c r="I369" i="1"/>
  <c r="I377" i="1"/>
  <c r="H377" i="1"/>
  <c r="H353" i="1"/>
  <c r="I353" i="1"/>
  <c r="H225" i="1"/>
  <c r="I225" i="1"/>
  <c r="H380" i="1"/>
  <c r="I380" i="1"/>
  <c r="H113" i="1"/>
  <c r="I113" i="1"/>
  <c r="I80" i="1"/>
  <c r="H80" i="1"/>
  <c r="H139" i="1"/>
  <c r="I139" i="1"/>
  <c r="H456" i="1"/>
  <c r="I456" i="1"/>
  <c r="H174" i="1"/>
  <c r="I174" i="1"/>
  <c r="H158" i="1"/>
  <c r="I158" i="1"/>
  <c r="I28" i="1"/>
  <c r="H28" i="1"/>
  <c r="H449" i="1"/>
  <c r="I449" i="1"/>
  <c r="H175" i="1"/>
  <c r="I175" i="1"/>
  <c r="H254" i="1"/>
  <c r="I254" i="1"/>
  <c r="H266" i="1"/>
  <c r="I266" i="1"/>
  <c r="I422" i="1"/>
  <c r="H422" i="1"/>
  <c r="I375" i="1"/>
  <c r="H375" i="1"/>
  <c r="H401" i="1"/>
  <c r="I401" i="1"/>
  <c r="H298" i="1"/>
  <c r="I298" i="1"/>
  <c r="H408" i="1"/>
  <c r="I408" i="1"/>
  <c r="H163" i="1"/>
  <c r="I163" i="1"/>
  <c r="I442" i="1"/>
  <c r="H442" i="1"/>
  <c r="H101" i="1"/>
  <c r="I101" i="1"/>
  <c r="H244" i="1"/>
  <c r="I244" i="1"/>
  <c r="H363" i="1"/>
  <c r="I363" i="1"/>
  <c r="H23" i="1"/>
  <c r="I23" i="1"/>
  <c r="H34" i="1"/>
  <c r="I34" i="1"/>
  <c r="I400" i="1"/>
  <c r="H400" i="1"/>
  <c r="I229" i="1"/>
  <c r="H229" i="1"/>
  <c r="H505" i="1"/>
  <c r="I505" i="1"/>
  <c r="H24" i="1"/>
  <c r="I24" i="1"/>
  <c r="H146" i="1"/>
  <c r="I146" i="1"/>
  <c r="H312" i="1"/>
  <c r="I312" i="1"/>
  <c r="H448" i="1"/>
  <c r="I448" i="1"/>
  <c r="I32" i="1"/>
  <c r="H32" i="1"/>
  <c r="H169" i="1"/>
  <c r="I169" i="1"/>
  <c r="H439" i="1"/>
  <c r="I439" i="1"/>
  <c r="H407" i="1"/>
  <c r="I407" i="1"/>
  <c r="H373" i="1"/>
  <c r="I373" i="1"/>
  <c r="H247" i="1"/>
  <c r="I247" i="1"/>
  <c r="I189" i="1"/>
  <c r="H189" i="1"/>
  <c r="H116" i="1"/>
  <c r="I116" i="1"/>
  <c r="I153" i="1"/>
  <c r="H153" i="1"/>
  <c r="H483" i="1"/>
  <c r="I483" i="1"/>
  <c r="I321" i="1"/>
  <c r="H321" i="1"/>
  <c r="H112" i="1"/>
  <c r="I112" i="1"/>
  <c r="I196" i="1"/>
  <c r="H196" i="1"/>
  <c r="I253" i="1"/>
  <c r="H253" i="1"/>
  <c r="I268" i="1"/>
  <c r="H268" i="1"/>
  <c r="I240" i="1"/>
  <c r="H240" i="1"/>
  <c r="I103" i="1"/>
  <c r="H103" i="1"/>
  <c r="H489" i="1"/>
  <c r="I489" i="1"/>
  <c r="I51" i="1"/>
  <c r="H51" i="1"/>
  <c r="I420" i="1"/>
  <c r="H420" i="1"/>
  <c r="H463" i="1"/>
  <c r="I463" i="1"/>
  <c r="H272" i="1"/>
  <c r="I272" i="1"/>
  <c r="H107" i="1"/>
  <c r="I107" i="1"/>
  <c r="H255" i="1"/>
  <c r="I255" i="1"/>
  <c r="H206" i="1"/>
  <c r="I206" i="1"/>
  <c r="H131" i="1"/>
  <c r="I131" i="1"/>
  <c r="H429" i="1"/>
  <c r="I429" i="1"/>
  <c r="H485" i="1"/>
  <c r="I485" i="1"/>
  <c r="H180" i="1"/>
  <c r="I180" i="1"/>
  <c r="I138" i="1"/>
  <c r="H138" i="1"/>
  <c r="H20" i="1"/>
  <c r="I20" i="1"/>
  <c r="I472" i="1"/>
  <c r="H472" i="1"/>
  <c r="I136" i="1"/>
  <c r="H136" i="1"/>
  <c r="I433" i="1"/>
  <c r="H433" i="1"/>
  <c r="I212" i="1"/>
  <c r="H212" i="1"/>
  <c r="H13" i="1"/>
  <c r="I13" i="1"/>
  <c r="I71" i="1"/>
  <c r="H71" i="1"/>
  <c r="H390" i="1"/>
  <c r="I390" i="1"/>
  <c r="I82" i="1"/>
  <c r="H82" i="1"/>
  <c r="H412" i="1"/>
  <c r="I412" i="1"/>
  <c r="I300" i="1"/>
  <c r="H300" i="1"/>
  <c r="H425" i="1"/>
  <c r="I425" i="1"/>
  <c r="H360" i="1"/>
  <c r="I360" i="1"/>
  <c r="H161" i="1"/>
  <c r="I161" i="1"/>
  <c r="H15" i="1"/>
  <c r="I15" i="1"/>
  <c r="H52" i="1"/>
  <c r="I52" i="1"/>
  <c r="I343" i="1"/>
  <c r="H343" i="1"/>
  <c r="I461" i="1"/>
  <c r="H461" i="1"/>
  <c r="H291" i="1"/>
  <c r="I291" i="1"/>
  <c r="H328" i="1"/>
  <c r="I328" i="1"/>
  <c r="H22" i="1"/>
  <c r="I22" i="1"/>
  <c r="I117" i="1"/>
  <c r="H117" i="1"/>
  <c r="I284" i="1"/>
  <c r="H284" i="1"/>
  <c r="H44" i="1"/>
  <c r="I44" i="1"/>
  <c r="H335" i="1"/>
  <c r="I335" i="1"/>
  <c r="H120" i="1"/>
  <c r="I120" i="1"/>
  <c r="H241" i="1"/>
  <c r="I241" i="1"/>
  <c r="H441" i="1"/>
  <c r="I441" i="1"/>
  <c r="H387" i="1"/>
  <c r="I387" i="1"/>
  <c r="H27" i="1"/>
  <c r="I27" i="1"/>
  <c r="I399" i="1"/>
  <c r="H399" i="1"/>
  <c r="H222" i="1"/>
  <c r="I222" i="1"/>
  <c r="I497" i="1"/>
  <c r="H497" i="1"/>
  <c r="H474" i="1"/>
  <c r="I474" i="1"/>
  <c r="H413" i="1"/>
  <c r="I413" i="1"/>
  <c r="H89" i="1"/>
  <c r="I89" i="1"/>
  <c r="I371" i="1"/>
  <c r="H371" i="1"/>
  <c r="I167" i="1"/>
  <c r="H167" i="1"/>
  <c r="I185" i="1"/>
  <c r="H185" i="1"/>
  <c r="I504" i="1"/>
  <c r="H504" i="1"/>
  <c r="H109" i="1"/>
  <c r="I109" i="1"/>
  <c r="H475" i="1"/>
  <c r="I475" i="1"/>
  <c r="I409" i="1"/>
  <c r="H409" i="1"/>
  <c r="H285" i="1"/>
  <c r="I285" i="1"/>
  <c r="H231" i="1"/>
  <c r="I231" i="1"/>
  <c r="H426" i="1"/>
  <c r="I426" i="1"/>
  <c r="H499" i="1"/>
  <c r="I499" i="1"/>
  <c r="H219" i="1"/>
  <c r="I219" i="1"/>
  <c r="H368" i="1"/>
  <c r="I368" i="1"/>
  <c r="H194" i="1"/>
  <c r="I194" i="1"/>
  <c r="H98" i="1"/>
  <c r="I98" i="1"/>
  <c r="I362" i="1"/>
  <c r="H362" i="1"/>
  <c r="H76" i="1"/>
  <c r="I76" i="1"/>
  <c r="I294" i="1"/>
  <c r="H294" i="1"/>
  <c r="I126" i="1"/>
  <c r="H126" i="1"/>
  <c r="I134" i="1"/>
  <c r="H134" i="1"/>
  <c r="H348" i="1"/>
  <c r="I348" i="1"/>
  <c r="H331" i="1"/>
  <c r="I331" i="1"/>
  <c r="I458" i="1"/>
  <c r="H458" i="1"/>
  <c r="I398" i="1"/>
  <c r="H398" i="1"/>
  <c r="I145" i="1"/>
  <c r="H145" i="1"/>
  <c r="I72" i="1"/>
  <c r="H72" i="1"/>
  <c r="H451" i="1"/>
  <c r="I451" i="1"/>
  <c r="I257" i="1"/>
  <c r="H257" i="1"/>
  <c r="H67" i="1"/>
  <c r="I67" i="1"/>
  <c r="H436" i="1"/>
  <c r="I436" i="1"/>
  <c r="I307" i="1"/>
  <c r="H307" i="1"/>
  <c r="H64" i="1"/>
  <c r="I64" i="1"/>
  <c r="I97" i="1"/>
  <c r="H97" i="1"/>
  <c r="I281" i="1"/>
  <c r="H281" i="1"/>
  <c r="H140" i="1"/>
  <c r="I140" i="1"/>
  <c r="H376" i="1"/>
  <c r="I376" i="1"/>
  <c r="H87" i="1"/>
  <c r="I87" i="1"/>
  <c r="Y29" i="1"/>
  <c r="W31" i="1"/>
  <c r="H209" i="1"/>
  <c r="I209" i="1"/>
  <c r="H10" i="1"/>
  <c r="I10" i="1"/>
  <c r="I202" i="1"/>
  <c r="H202" i="1"/>
  <c r="H327" i="1"/>
  <c r="I327" i="1"/>
  <c r="I170" i="1"/>
  <c r="H170" i="1"/>
  <c r="H276" i="1"/>
  <c r="I276" i="1"/>
  <c r="H141" i="1"/>
  <c r="I141" i="1"/>
  <c r="I74" i="1"/>
  <c r="H74" i="1"/>
  <c r="I91" i="1"/>
  <c r="H91" i="1"/>
  <c r="I450" i="1"/>
  <c r="H450" i="1"/>
  <c r="H233" i="1"/>
  <c r="I233" i="1"/>
  <c r="H393" i="1"/>
  <c r="I393" i="1"/>
  <c r="I358" i="1"/>
  <c r="H358" i="1"/>
  <c r="H340" i="1"/>
  <c r="I340" i="1"/>
  <c r="H19" i="1"/>
  <c r="I19" i="1"/>
  <c r="I264" i="1"/>
  <c r="H264" i="1"/>
  <c r="I147" i="1"/>
  <c r="H147" i="1"/>
  <c r="H157" i="1"/>
  <c r="I157" i="1"/>
  <c r="H392" i="1"/>
  <c r="I392" i="1"/>
  <c r="H119" i="1"/>
  <c r="I119" i="1"/>
  <c r="H440" i="1"/>
  <c r="I440" i="1"/>
  <c r="H156" i="1"/>
  <c r="I156" i="1"/>
  <c r="I40" i="1"/>
  <c r="H40" i="1"/>
  <c r="H262" i="1"/>
  <c r="I262" i="1"/>
  <c r="H384" i="1"/>
  <c r="I384" i="1"/>
  <c r="H42" i="1"/>
  <c r="I42" i="1"/>
  <c r="H90" i="1"/>
  <c r="I90" i="1"/>
  <c r="H277" i="1"/>
  <c r="I277" i="1"/>
  <c r="I397" i="1"/>
  <c r="H397" i="1"/>
  <c r="H406" i="1"/>
  <c r="I406" i="1"/>
  <c r="H417" i="1"/>
  <c r="I417" i="1"/>
  <c r="H237" i="1"/>
  <c r="I237" i="1"/>
  <c r="I230" i="1"/>
  <c r="H230" i="1"/>
  <c r="H46" i="1"/>
  <c r="I46" i="1"/>
  <c r="I316" i="1"/>
  <c r="H316" i="1"/>
  <c r="I4" i="1"/>
  <c r="H4" i="1"/>
  <c r="H389" i="1"/>
  <c r="I389" i="1"/>
  <c r="H364" i="1"/>
  <c r="I364" i="1"/>
  <c r="H507" i="1"/>
  <c r="I507" i="1"/>
  <c r="H149" i="1"/>
  <c r="I149" i="1"/>
  <c r="H123" i="1"/>
  <c r="I123" i="1"/>
  <c r="H198" i="1"/>
  <c r="I198" i="1"/>
  <c r="I329" i="1"/>
  <c r="H329" i="1"/>
  <c r="H428" i="1"/>
  <c r="I428" i="1"/>
  <c r="H271" i="1"/>
  <c r="I271" i="1"/>
  <c r="I419" i="1"/>
  <c r="H419" i="1"/>
  <c r="I124" i="1"/>
  <c r="H124" i="1"/>
  <c r="I435" i="1"/>
  <c r="H435" i="1"/>
  <c r="H405" i="1"/>
  <c r="I405" i="1"/>
  <c r="I132" i="1"/>
  <c r="H132" i="1"/>
  <c r="H192" i="1"/>
  <c r="I192" i="1"/>
  <c r="H45" i="1"/>
  <c r="I45" i="1"/>
  <c r="H509" i="1"/>
  <c r="I509" i="1"/>
  <c r="H31" i="1"/>
  <c r="I31" i="1"/>
  <c r="I279" i="1"/>
  <c r="H279" i="1"/>
  <c r="I283" i="1"/>
  <c r="H283" i="1"/>
  <c r="H310" i="1"/>
  <c r="I310" i="1"/>
  <c r="H252" i="1"/>
  <c r="I252" i="1"/>
  <c r="H512" i="1"/>
  <c r="I512" i="1"/>
  <c r="H338" i="1"/>
  <c r="I338" i="1"/>
  <c r="I365" i="1"/>
  <c r="H365" i="1"/>
  <c r="I99" i="1"/>
  <c r="H99" i="1"/>
  <c r="H25" i="1"/>
  <c r="I25" i="1"/>
  <c r="H432" i="1"/>
  <c r="I432" i="1"/>
  <c r="H479" i="1"/>
  <c r="I479" i="1"/>
  <c r="I444" i="1"/>
  <c r="H444" i="1"/>
  <c r="I460" i="1"/>
  <c r="H460" i="1"/>
  <c r="H287" i="1"/>
  <c r="I287" i="1"/>
  <c r="Q15" i="1"/>
  <c r="Q16" i="1" s="1"/>
  <c r="Q17" i="1" s="1"/>
  <c r="Q18" i="1" s="1"/>
  <c r="Q19" i="1" s="1"/>
  <c r="Q20" i="1" s="1"/>
  <c r="Q21" i="1" s="1"/>
  <c r="Q22" i="1" s="1"/>
  <c r="Q23" i="1" s="1"/>
  <c r="Q24" i="1" s="1"/>
  <c r="Q25" i="1" s="1"/>
  <c r="Q26" i="1" s="1"/>
  <c r="Q27" i="1" s="1"/>
  <c r="Q28" i="1" s="1"/>
  <c r="Q29" i="1" s="1"/>
  <c r="Q30" i="1" s="1"/>
  <c r="Q31" i="1" s="1"/>
  <c r="Q32" i="1" s="1"/>
  <c r="Q33" i="1" s="1"/>
  <c r="Q34" i="1" s="1"/>
  <c r="Q35" i="1" s="1"/>
  <c r="Q36" i="1" s="1"/>
  <c r="Q37" i="1" s="1"/>
  <c r="Q38" i="1" s="1"/>
  <c r="Q39" i="1" s="1"/>
  <c r="Q40" i="1" s="1"/>
  <c r="Q41" i="1" s="1"/>
  <c r="Q42" i="1" s="1"/>
  <c r="Q43" i="1" s="1"/>
  <c r="Q44" i="1" s="1"/>
  <c r="Q45" i="1" s="1"/>
  <c r="Q46" i="1" s="1"/>
  <c r="Q47" i="1" s="1"/>
  <c r="Q48" i="1" s="1"/>
  <c r="Q49" i="1" s="1"/>
  <c r="Q50" i="1" s="1"/>
  <c r="Q51" i="1" s="1"/>
  <c r="Q52" i="1" s="1"/>
  <c r="Q53" i="1" s="1"/>
  <c r="Q54" i="1" s="1"/>
  <c r="Q55" i="1" s="1"/>
  <c r="Q56" i="1" s="1"/>
  <c r="Q57" i="1" s="1"/>
  <c r="Q58" i="1" s="1"/>
  <c r="Q59" i="1" s="1"/>
  <c r="Q60" i="1" s="1"/>
  <c r="Q61" i="1" s="1"/>
  <c r="Q62" i="1" s="1"/>
  <c r="Q63" i="1" s="1"/>
  <c r="Q64" i="1" s="1"/>
  <c r="Q65" i="1" s="1"/>
  <c r="Q66" i="1" s="1"/>
  <c r="Q67" i="1" s="1"/>
  <c r="Q68" i="1" s="1"/>
  <c r="Q69" i="1" s="1"/>
  <c r="Q70" i="1" s="1"/>
  <c r="Q71" i="1" s="1"/>
  <c r="Q72" i="1" s="1"/>
  <c r="Q73" i="1" s="1"/>
  <c r="Q74" i="1" s="1"/>
  <c r="Q75" i="1" s="1"/>
  <c r="Q76" i="1" s="1"/>
  <c r="Q77" i="1" s="1"/>
  <c r="Q78" i="1" s="1"/>
  <c r="Q79" i="1" s="1"/>
  <c r="Q80" i="1" s="1"/>
  <c r="Q81" i="1" s="1"/>
  <c r="Q82" i="1" s="1"/>
  <c r="Q83" i="1" s="1"/>
  <c r="Q84" i="1" s="1"/>
  <c r="Q85" i="1" s="1"/>
  <c r="Q86" i="1" s="1"/>
  <c r="Q87" i="1" s="1"/>
  <c r="Q88" i="1" s="1"/>
  <c r="Q89" i="1" s="1"/>
  <c r="Q90" i="1" s="1"/>
  <c r="Q91" i="1" s="1"/>
  <c r="Q92" i="1" s="1"/>
  <c r="Q93" i="1" s="1"/>
  <c r="Q94" i="1" s="1"/>
  <c r="Q95" i="1" s="1"/>
  <c r="Q96" i="1" s="1"/>
  <c r="Q97" i="1" s="1"/>
  <c r="Q98" i="1" s="1"/>
  <c r="Q99" i="1" s="1"/>
  <c r="Q100" i="1" s="1"/>
  <c r="Q101" i="1" s="1"/>
  <c r="Q102" i="1" s="1"/>
  <c r="Q103" i="1" s="1"/>
  <c r="Q104" i="1" s="1"/>
  <c r="Q105" i="1" s="1"/>
  <c r="Q106" i="1" s="1"/>
  <c r="Q107" i="1" s="1"/>
  <c r="Q108" i="1" s="1"/>
  <c r="Q109" i="1" s="1"/>
  <c r="Q110" i="1" s="1"/>
  <c r="Q111" i="1" s="1"/>
  <c r="Q112" i="1" s="1"/>
  <c r="Q113" i="1" s="1"/>
  <c r="Q114" i="1" s="1"/>
  <c r="Q115" i="1" s="1"/>
  <c r="Q116" i="1" s="1"/>
  <c r="Q117" i="1" s="1"/>
  <c r="Q118" i="1" s="1"/>
  <c r="Q119" i="1" s="1"/>
  <c r="Q120" i="1" s="1"/>
  <c r="Q121" i="1" s="1"/>
  <c r="Q122" i="1" s="1"/>
  <c r="Q123" i="1" s="1"/>
  <c r="Q124" i="1" s="1"/>
  <c r="Q125" i="1" s="1"/>
  <c r="Q126" i="1" s="1"/>
  <c r="Q127" i="1" s="1"/>
  <c r="Q128" i="1" s="1"/>
  <c r="Q129" i="1" s="1"/>
  <c r="Q130" i="1" s="1"/>
  <c r="Q131" i="1" s="1"/>
  <c r="Q132" i="1" s="1"/>
  <c r="Q133" i="1" s="1"/>
  <c r="Q134" i="1" s="1"/>
  <c r="Q135" i="1" s="1"/>
  <c r="Q136" i="1" s="1"/>
  <c r="Q137" i="1" s="1"/>
  <c r="Q138" i="1" s="1"/>
  <c r="Q139" i="1" s="1"/>
  <c r="Q140" i="1" s="1"/>
  <c r="Q141" i="1" s="1"/>
  <c r="Q142" i="1" s="1"/>
  <c r="Q143" i="1" s="1"/>
  <c r="Q144" i="1" s="1"/>
  <c r="Q145" i="1" s="1"/>
  <c r="Q146" i="1" s="1"/>
  <c r="Q147" i="1" s="1"/>
  <c r="Q148" i="1" s="1"/>
  <c r="Q149" i="1" s="1"/>
  <c r="Q150" i="1" s="1"/>
  <c r="Q151" i="1" s="1"/>
  <c r="Q152" i="1" s="1"/>
  <c r="Q153" i="1" s="1"/>
  <c r="Q154" i="1" s="1"/>
  <c r="Q155" i="1" s="1"/>
  <c r="Q156" i="1" s="1"/>
  <c r="Q157" i="1" s="1"/>
  <c r="Q158" i="1" s="1"/>
  <c r="Q159" i="1" s="1"/>
  <c r="Q160" i="1" s="1"/>
  <c r="Q161" i="1" s="1"/>
  <c r="Q162" i="1" s="1"/>
  <c r="Q163" i="1" s="1"/>
  <c r="Q164" i="1" s="1"/>
  <c r="Q165" i="1" s="1"/>
  <c r="Q166" i="1" s="1"/>
  <c r="Q167" i="1" s="1"/>
  <c r="Q168" i="1" s="1"/>
  <c r="Q169" i="1" s="1"/>
  <c r="Q170" i="1" s="1"/>
  <c r="Q171" i="1" s="1"/>
  <c r="Q172" i="1" s="1"/>
  <c r="Q173" i="1" s="1"/>
  <c r="Q174" i="1" s="1"/>
  <c r="Q175" i="1" s="1"/>
  <c r="Q176" i="1" s="1"/>
  <c r="Q177" i="1" s="1"/>
  <c r="Q178" i="1" s="1"/>
  <c r="Q179" i="1" s="1"/>
  <c r="Q180" i="1" s="1"/>
  <c r="Q181" i="1" s="1"/>
  <c r="Q182" i="1" s="1"/>
  <c r="Q183" i="1" s="1"/>
  <c r="Q184" i="1" s="1"/>
  <c r="Q185" i="1" s="1"/>
  <c r="Q186" i="1" s="1"/>
  <c r="Q187" i="1" s="1"/>
  <c r="Q188" i="1" s="1"/>
  <c r="Q189" i="1" s="1"/>
  <c r="Q190" i="1" s="1"/>
  <c r="Q191" i="1" s="1"/>
  <c r="Q192" i="1" s="1"/>
  <c r="Q193" i="1" s="1"/>
  <c r="Q194" i="1" s="1"/>
  <c r="Q195" i="1" s="1"/>
  <c r="Q196" i="1" s="1"/>
  <c r="Q197" i="1" s="1"/>
  <c r="Q198" i="1" s="1"/>
  <c r="Q199" i="1" s="1"/>
  <c r="Q200" i="1" s="1"/>
  <c r="Q201" i="1" s="1"/>
  <c r="Q202" i="1" s="1"/>
  <c r="Q203" i="1" s="1"/>
  <c r="Q204" i="1" s="1"/>
  <c r="Q205" i="1" s="1"/>
  <c r="Q206" i="1" s="1"/>
  <c r="Q207" i="1" s="1"/>
  <c r="Q208" i="1" s="1"/>
  <c r="Q209" i="1" s="1"/>
  <c r="Q210" i="1" s="1"/>
  <c r="Q211" i="1" s="1"/>
  <c r="Q212" i="1" s="1"/>
  <c r="Q213" i="1" s="1"/>
  <c r="Q214" i="1" s="1"/>
  <c r="Q215" i="1" s="1"/>
  <c r="Q216" i="1" s="1"/>
  <c r="Q217" i="1" s="1"/>
  <c r="Q218" i="1" s="1"/>
  <c r="Q219" i="1" s="1"/>
  <c r="Q220" i="1" s="1"/>
  <c r="Q221" i="1" s="1"/>
  <c r="Q222" i="1" s="1"/>
  <c r="Q223" i="1" s="1"/>
  <c r="Q224" i="1" s="1"/>
  <c r="Q225" i="1" s="1"/>
  <c r="Q226" i="1" s="1"/>
  <c r="Q227" i="1" s="1"/>
  <c r="Q228" i="1" s="1"/>
  <c r="Q229" i="1" s="1"/>
  <c r="Q230" i="1" s="1"/>
  <c r="Q231" i="1" s="1"/>
  <c r="Q232" i="1" s="1"/>
  <c r="Q233" i="1" s="1"/>
  <c r="Q234" i="1" s="1"/>
  <c r="Q235" i="1" s="1"/>
  <c r="Q236" i="1" s="1"/>
  <c r="Q237" i="1" s="1"/>
  <c r="Q238" i="1" s="1"/>
  <c r="Q239" i="1" s="1"/>
  <c r="Q240" i="1" s="1"/>
  <c r="Q241" i="1" s="1"/>
  <c r="Q242" i="1" s="1"/>
  <c r="Q243" i="1" s="1"/>
  <c r="Q244" i="1" s="1"/>
  <c r="Q245" i="1" s="1"/>
  <c r="Q246" i="1" s="1"/>
  <c r="Q247" i="1" s="1"/>
  <c r="Q248" i="1" s="1"/>
  <c r="Q249" i="1" s="1"/>
  <c r="Q250" i="1" s="1"/>
  <c r="Q251" i="1" s="1"/>
  <c r="Q252" i="1" s="1"/>
  <c r="Q253" i="1" s="1"/>
  <c r="Q254" i="1" s="1"/>
  <c r="Q255" i="1" s="1"/>
  <c r="Q256" i="1" s="1"/>
  <c r="Q257" i="1" s="1"/>
  <c r="Q258" i="1" s="1"/>
  <c r="Q259" i="1" s="1"/>
  <c r="Q260" i="1" s="1"/>
  <c r="Q261" i="1" s="1"/>
  <c r="Q262" i="1" s="1"/>
  <c r="Q263" i="1" s="1"/>
  <c r="Q264" i="1" s="1"/>
  <c r="Q265" i="1" s="1"/>
  <c r="Q266" i="1" s="1"/>
  <c r="Q267" i="1" s="1"/>
  <c r="Q268" i="1" s="1"/>
  <c r="Q269" i="1" s="1"/>
  <c r="Q270" i="1" s="1"/>
  <c r="Q271" i="1" s="1"/>
  <c r="Q272" i="1" s="1"/>
  <c r="Q273" i="1" s="1"/>
  <c r="Q274" i="1" s="1"/>
  <c r="Q275" i="1" s="1"/>
  <c r="Q276" i="1" s="1"/>
  <c r="Q277" i="1" s="1"/>
  <c r="Q278" i="1" s="1"/>
  <c r="Q279" i="1" s="1"/>
  <c r="Q280" i="1" s="1"/>
  <c r="Q281" i="1" s="1"/>
  <c r="Q282" i="1" s="1"/>
  <c r="Q283" i="1" s="1"/>
  <c r="Q284" i="1" s="1"/>
  <c r="Q285" i="1" s="1"/>
  <c r="Q286" i="1" s="1"/>
  <c r="Q287" i="1" s="1"/>
  <c r="Q288" i="1" s="1"/>
  <c r="Q289" i="1" s="1"/>
  <c r="Q290" i="1" s="1"/>
  <c r="Q291" i="1" s="1"/>
  <c r="Q292" i="1" s="1"/>
  <c r="Q293" i="1" s="1"/>
  <c r="Q294" i="1" s="1"/>
  <c r="Q295" i="1" s="1"/>
  <c r="Q296" i="1" s="1"/>
  <c r="Q297" i="1" s="1"/>
  <c r="Q298" i="1" s="1"/>
  <c r="Q299" i="1" s="1"/>
  <c r="Q300" i="1" s="1"/>
  <c r="Q301" i="1" s="1"/>
  <c r="Q302" i="1" s="1"/>
  <c r="Q303" i="1" s="1"/>
  <c r="Q304" i="1" s="1"/>
  <c r="Q305" i="1" s="1"/>
  <c r="Q306" i="1" s="1"/>
  <c r="Q307" i="1" s="1"/>
  <c r="Q308" i="1" s="1"/>
  <c r="Q309" i="1" s="1"/>
  <c r="Q310" i="1" s="1"/>
  <c r="Q311" i="1" s="1"/>
  <c r="Q312" i="1" s="1"/>
  <c r="Q313" i="1" s="1"/>
  <c r="Q314" i="1" s="1"/>
  <c r="Q315" i="1" s="1"/>
  <c r="Q316" i="1" s="1"/>
  <c r="Q317" i="1" s="1"/>
  <c r="Q318" i="1" s="1"/>
  <c r="Q319" i="1" s="1"/>
  <c r="Q320" i="1" s="1"/>
  <c r="Q321" i="1" s="1"/>
  <c r="Q322" i="1" s="1"/>
  <c r="Q323" i="1" s="1"/>
  <c r="Q324" i="1" s="1"/>
  <c r="Q325" i="1" s="1"/>
  <c r="Q326" i="1" s="1"/>
  <c r="Q327" i="1" s="1"/>
  <c r="Q328" i="1" s="1"/>
  <c r="Q329" i="1" s="1"/>
  <c r="Q330" i="1" s="1"/>
  <c r="Q331" i="1" s="1"/>
  <c r="Q332" i="1" s="1"/>
  <c r="Q333" i="1" s="1"/>
  <c r="Q334" i="1" s="1"/>
  <c r="Q335" i="1" s="1"/>
  <c r="Q336" i="1" s="1"/>
  <c r="Q337" i="1" s="1"/>
  <c r="Q338" i="1" s="1"/>
  <c r="Q339" i="1" s="1"/>
  <c r="Q340" i="1" s="1"/>
  <c r="Q341" i="1" s="1"/>
  <c r="Q342" i="1" s="1"/>
  <c r="Q343" i="1" s="1"/>
  <c r="Q344" i="1" s="1"/>
  <c r="Q345" i="1" s="1"/>
  <c r="Q346" i="1" s="1"/>
  <c r="Q347" i="1" s="1"/>
  <c r="Q348" i="1" s="1"/>
  <c r="Q349" i="1" s="1"/>
  <c r="Q350" i="1" s="1"/>
  <c r="Q351" i="1" s="1"/>
  <c r="Q352" i="1" s="1"/>
  <c r="Q353" i="1" s="1"/>
  <c r="Q354" i="1" s="1"/>
  <c r="Q355" i="1" s="1"/>
  <c r="Q356" i="1" s="1"/>
  <c r="Q357" i="1" s="1"/>
  <c r="Q358" i="1" s="1"/>
  <c r="Q359" i="1" s="1"/>
  <c r="Q360" i="1" s="1"/>
  <c r="Q361" i="1" s="1"/>
  <c r="Q362" i="1" s="1"/>
  <c r="Q363" i="1" s="1"/>
  <c r="Q364" i="1" s="1"/>
  <c r="Q365" i="1" s="1"/>
  <c r="Q366" i="1" s="1"/>
  <c r="Q367" i="1" s="1"/>
  <c r="Q368" i="1" s="1"/>
  <c r="Q369" i="1" s="1"/>
  <c r="Q370" i="1" s="1"/>
  <c r="Q371" i="1" s="1"/>
  <c r="Q372" i="1" s="1"/>
  <c r="Q373" i="1" s="1"/>
  <c r="Q374" i="1" s="1"/>
  <c r="Q375" i="1" s="1"/>
  <c r="Q376" i="1" s="1"/>
  <c r="Q377" i="1" s="1"/>
  <c r="Q378" i="1" s="1"/>
  <c r="Q379" i="1" s="1"/>
  <c r="Q380" i="1" s="1"/>
  <c r="Q381" i="1" s="1"/>
  <c r="Q382" i="1" s="1"/>
  <c r="Q383" i="1" s="1"/>
  <c r="Q384" i="1" s="1"/>
  <c r="Q385" i="1" s="1"/>
  <c r="Q386" i="1" s="1"/>
  <c r="Q387" i="1" s="1"/>
  <c r="Q388" i="1" s="1"/>
  <c r="Q389" i="1" s="1"/>
  <c r="Q390" i="1" s="1"/>
  <c r="Q391" i="1" s="1"/>
  <c r="Q392" i="1" s="1"/>
  <c r="Q393" i="1" s="1"/>
  <c r="Q394" i="1" s="1"/>
  <c r="Q395" i="1" s="1"/>
  <c r="Q396" i="1" s="1"/>
  <c r="Q397" i="1" s="1"/>
  <c r="Q398" i="1" s="1"/>
  <c r="Q399" i="1" s="1"/>
  <c r="Q400" i="1" s="1"/>
  <c r="Q401" i="1" s="1"/>
  <c r="Q402" i="1" s="1"/>
  <c r="Q403" i="1" s="1"/>
  <c r="Q404" i="1" s="1"/>
  <c r="Q405" i="1" s="1"/>
  <c r="Q406" i="1" s="1"/>
  <c r="Q407" i="1" s="1"/>
  <c r="Q408" i="1" s="1"/>
  <c r="Q409" i="1" s="1"/>
  <c r="Q410" i="1" s="1"/>
  <c r="Q411" i="1" s="1"/>
  <c r="Q412" i="1" s="1"/>
  <c r="Q413" i="1" s="1"/>
  <c r="Q414" i="1" s="1"/>
  <c r="Q415" i="1" s="1"/>
  <c r="Q416" i="1" s="1"/>
  <c r="Q417" i="1" s="1"/>
  <c r="Q418" i="1" s="1"/>
  <c r="Q419" i="1" s="1"/>
  <c r="Q420" i="1" s="1"/>
  <c r="Q421" i="1" s="1"/>
  <c r="Q422" i="1" s="1"/>
  <c r="Q423" i="1" s="1"/>
  <c r="Q424" i="1" s="1"/>
  <c r="Q425" i="1" s="1"/>
  <c r="Q426" i="1" s="1"/>
  <c r="Q427" i="1" s="1"/>
  <c r="Q428" i="1" s="1"/>
  <c r="Q429" i="1" s="1"/>
  <c r="Q430" i="1" s="1"/>
  <c r="Q431" i="1" s="1"/>
  <c r="Q432" i="1" s="1"/>
  <c r="Q433" i="1" s="1"/>
  <c r="Q434" i="1" s="1"/>
  <c r="Q435" i="1" s="1"/>
  <c r="Q436" i="1" s="1"/>
  <c r="Q437" i="1" s="1"/>
  <c r="Q438" i="1" s="1"/>
  <c r="Q439" i="1" s="1"/>
  <c r="Q440" i="1" s="1"/>
  <c r="Q441" i="1" s="1"/>
  <c r="Q442" i="1" s="1"/>
  <c r="Q443" i="1" s="1"/>
  <c r="Q444" i="1" s="1"/>
  <c r="Q445" i="1" s="1"/>
  <c r="Q446" i="1" s="1"/>
  <c r="Q447" i="1" s="1"/>
  <c r="Q448" i="1" s="1"/>
  <c r="Q449" i="1" s="1"/>
  <c r="Q450" i="1" s="1"/>
  <c r="Q451" i="1" s="1"/>
  <c r="Q452" i="1" s="1"/>
  <c r="Q453" i="1" s="1"/>
  <c r="Q454" i="1" s="1"/>
  <c r="Q455" i="1" s="1"/>
  <c r="Q456" i="1" s="1"/>
  <c r="Q457" i="1" s="1"/>
  <c r="Q458" i="1" s="1"/>
  <c r="Q459" i="1" s="1"/>
  <c r="Q460" i="1" s="1"/>
  <c r="Q461" i="1" s="1"/>
  <c r="Q462" i="1" s="1"/>
  <c r="Q463" i="1" s="1"/>
  <c r="Q464" i="1" s="1"/>
  <c r="Q465" i="1" s="1"/>
  <c r="Q466" i="1" s="1"/>
  <c r="Q467" i="1" s="1"/>
  <c r="Q468" i="1" s="1"/>
  <c r="Q469" i="1" s="1"/>
  <c r="Q470" i="1" s="1"/>
  <c r="Q471" i="1" s="1"/>
  <c r="Q472" i="1" s="1"/>
  <c r="Q473" i="1" s="1"/>
  <c r="Q474" i="1" s="1"/>
  <c r="Q475" i="1" s="1"/>
  <c r="Q476" i="1" s="1"/>
  <c r="Q477" i="1" s="1"/>
  <c r="Q478" i="1" s="1"/>
  <c r="Q479" i="1" s="1"/>
  <c r="Q480" i="1" s="1"/>
  <c r="Q481" i="1" s="1"/>
  <c r="Q482" i="1" s="1"/>
  <c r="Q483" i="1" s="1"/>
  <c r="Q484" i="1" s="1"/>
  <c r="Q485" i="1" s="1"/>
  <c r="Q486" i="1" s="1"/>
  <c r="Q487" i="1" s="1"/>
  <c r="Q488" i="1" s="1"/>
  <c r="Q489" i="1" s="1"/>
  <c r="Q490" i="1" s="1"/>
  <c r="Q491" i="1" s="1"/>
  <c r="Q492" i="1" s="1"/>
  <c r="Q493" i="1" s="1"/>
  <c r="Q494" i="1" s="1"/>
  <c r="Q495" i="1" s="1"/>
  <c r="Q496" i="1" s="1"/>
  <c r="Q497" i="1" s="1"/>
  <c r="Q498" i="1" s="1"/>
  <c r="Q499" i="1" s="1"/>
  <c r="Q500" i="1" s="1"/>
  <c r="Q501" i="1" s="1"/>
  <c r="Q502" i="1" s="1"/>
  <c r="Q503" i="1" s="1"/>
  <c r="Q504" i="1" s="1"/>
  <c r="Q505" i="1" s="1"/>
  <c r="Q506" i="1" s="1"/>
  <c r="Q507" i="1" s="1"/>
  <c r="Q508" i="1" s="1"/>
  <c r="Q509" i="1" s="1"/>
  <c r="Q510" i="1" s="1"/>
  <c r="Q511" i="1" s="1"/>
  <c r="Q512" i="1" s="1"/>
  <c r="Q513" i="1" s="1"/>
  <c r="Q514" i="1" s="1"/>
  <c r="Q515" i="1" s="1"/>
  <c r="Q516" i="1" s="1"/>
  <c r="Q517" i="1" s="1"/>
  <c r="Q518" i="1" s="1"/>
  <c r="Q519" i="1" s="1"/>
  <c r="Q520" i="1" s="1"/>
  <c r="Q521" i="1" s="1"/>
  <c r="Q522" i="1" s="1"/>
  <c r="Q523" i="1" s="1"/>
  <c r="I381" i="1"/>
  <c r="H381" i="1"/>
  <c r="H282" i="1"/>
  <c r="I282" i="1"/>
  <c r="H290" i="1"/>
  <c r="I290" i="1"/>
  <c r="H210" i="1"/>
  <c r="I210" i="1"/>
  <c r="I482" i="1"/>
  <c r="H482" i="1"/>
  <c r="H11" i="1"/>
  <c r="I11" i="1"/>
  <c r="I484" i="1"/>
  <c r="H484" i="1"/>
  <c r="I48" i="1"/>
  <c r="H48" i="1"/>
  <c r="H496" i="1"/>
  <c r="I496" i="1"/>
  <c r="I361" i="1"/>
  <c r="H361" i="1"/>
  <c r="I288" i="1"/>
  <c r="H288" i="1"/>
  <c r="I14" i="1"/>
  <c r="H14" i="1"/>
  <c r="H188" i="1"/>
  <c r="I188" i="1"/>
  <c r="I216" i="1"/>
  <c r="H216" i="1"/>
  <c r="I144" i="1"/>
  <c r="H144" i="1"/>
  <c r="I129" i="1"/>
  <c r="H129" i="1"/>
  <c r="H336" i="1"/>
  <c r="I336" i="1"/>
  <c r="H261" i="1"/>
  <c r="I261" i="1"/>
  <c r="H199" i="1"/>
  <c r="I199" i="1"/>
  <c r="I370" i="1"/>
  <c r="H370" i="1"/>
  <c r="H228" i="1"/>
  <c r="I228" i="1"/>
  <c r="H207" i="1"/>
  <c r="I207" i="1"/>
  <c r="H301" i="1"/>
  <c r="I301" i="1"/>
  <c r="I77" i="1"/>
  <c r="H77" i="1"/>
  <c r="H469" i="1"/>
  <c r="I469" i="1"/>
  <c r="I501" i="1"/>
  <c r="H501" i="1"/>
  <c r="I95" i="1"/>
  <c r="H95" i="1"/>
  <c r="H311" i="1"/>
  <c r="I311" i="1"/>
  <c r="H151" i="1"/>
  <c r="I151" i="1"/>
  <c r="H256" i="1"/>
  <c r="I256" i="1"/>
  <c r="H274" i="1"/>
  <c r="I274" i="1"/>
  <c r="I56" i="1"/>
  <c r="H56" i="1"/>
  <c r="I249" i="1"/>
  <c r="H249" i="1"/>
  <c r="H410" i="1"/>
  <c r="I410" i="1"/>
  <c r="I383" i="1"/>
  <c r="H383" i="1"/>
  <c r="I438" i="1"/>
  <c r="H438" i="1"/>
  <c r="H453" i="1"/>
  <c r="I453" i="1"/>
  <c r="H184" i="1"/>
  <c r="I184" i="1"/>
  <c r="H386" i="1"/>
  <c r="I386" i="1"/>
  <c r="H218" i="1"/>
  <c r="I218" i="1"/>
  <c r="I30" i="1"/>
  <c r="H30" i="1"/>
  <c r="I245" i="1"/>
  <c r="H245" i="1"/>
  <c r="I215" i="1"/>
  <c r="H215" i="1"/>
  <c r="H35" i="1"/>
  <c r="I35" i="1"/>
  <c r="H503" i="1"/>
  <c r="I503" i="1"/>
  <c r="H514" i="1"/>
  <c r="I514" i="1"/>
  <c r="H54" i="1"/>
  <c r="I54" i="1"/>
  <c r="H323" i="1"/>
  <c r="I323" i="1"/>
  <c r="I481" i="1"/>
  <c r="H481" i="1"/>
  <c r="H16" i="1"/>
  <c r="I16" i="1"/>
  <c r="H317" i="1"/>
  <c r="I317" i="1"/>
  <c r="H269" i="1"/>
  <c r="I269" i="1"/>
  <c r="H341" i="1"/>
  <c r="I341" i="1"/>
  <c r="H278" i="1"/>
  <c r="I278" i="1"/>
  <c r="H324" i="1"/>
  <c r="I324" i="1"/>
  <c r="H191" i="1"/>
  <c r="I191" i="1"/>
  <c r="H236" i="1"/>
  <c r="I236" i="1"/>
  <c r="H402" i="1"/>
  <c r="I402" i="1"/>
  <c r="I105" i="1"/>
  <c r="H105" i="1"/>
  <c r="H330" i="1"/>
  <c r="I330" i="1"/>
  <c r="I177" i="1"/>
  <c r="H177" i="1"/>
  <c r="I480" i="1"/>
  <c r="H480" i="1"/>
  <c r="H92" i="1"/>
  <c r="I92" i="1"/>
  <c r="I29" i="1"/>
  <c r="H29" i="1"/>
  <c r="Y30" i="1" l="1"/>
  <c r="W32" i="1"/>
  <c r="R16" i="1"/>
  <c r="S15" i="1"/>
  <c r="T15" i="1" s="1"/>
  <c r="R17" i="1" l="1"/>
  <c r="S16" i="1"/>
  <c r="T16" i="1" s="1"/>
  <c r="Y31" i="1"/>
  <c r="W33" i="1"/>
  <c r="Y32" i="1" l="1"/>
  <c r="W34" i="1"/>
  <c r="R18" i="1"/>
  <c r="S17" i="1"/>
  <c r="T17" i="1" s="1"/>
  <c r="Y33" i="1" l="1"/>
  <c r="W35" i="1"/>
  <c r="R19" i="1"/>
  <c r="S18" i="1"/>
  <c r="T18" i="1" s="1"/>
  <c r="R20" i="1" l="1"/>
  <c r="S19" i="1"/>
  <c r="T19" i="1" s="1"/>
  <c r="Y34" i="1"/>
  <c r="W36" i="1"/>
  <c r="Y35" i="1" l="1"/>
  <c r="W37" i="1"/>
  <c r="R21" i="1"/>
  <c r="S20" i="1"/>
  <c r="T20" i="1" s="1"/>
  <c r="R22" i="1" l="1"/>
  <c r="S21" i="1"/>
  <c r="T21" i="1" s="1"/>
  <c r="Y36" i="1"/>
  <c r="Z36" i="1" s="1"/>
  <c r="W38" i="1"/>
  <c r="Y37" i="1" l="1"/>
  <c r="Z37" i="1" s="1"/>
  <c r="AA37" i="1" s="1"/>
  <c r="W39" i="1"/>
  <c r="R23" i="1"/>
  <c r="S22" i="1"/>
  <c r="T22" i="1" s="1"/>
  <c r="R24" i="1" l="1"/>
  <c r="S23" i="1"/>
  <c r="T23" i="1" s="1"/>
  <c r="Y38" i="1"/>
  <c r="Z38" i="1" s="1"/>
  <c r="AA38" i="1" s="1"/>
  <c r="W40" i="1"/>
  <c r="Y39" i="1" l="1"/>
  <c r="Z39" i="1" s="1"/>
  <c r="AA39" i="1" s="1"/>
  <c r="W41" i="1"/>
  <c r="R25" i="1"/>
  <c r="S24" i="1"/>
  <c r="T24" i="1" s="1"/>
  <c r="Y40" i="1" l="1"/>
  <c r="Z40" i="1" s="1"/>
  <c r="AA40" i="1" s="1"/>
  <c r="W42" i="1"/>
  <c r="R26" i="1"/>
  <c r="S25" i="1"/>
  <c r="T25" i="1" s="1"/>
  <c r="R27" i="1" l="1"/>
  <c r="S26" i="1"/>
  <c r="T26" i="1" s="1"/>
  <c r="Y41" i="1"/>
  <c r="Z41" i="1" s="1"/>
  <c r="AA41" i="1" s="1"/>
  <c r="W43" i="1"/>
  <c r="Y42" i="1" l="1"/>
  <c r="Z42" i="1" s="1"/>
  <c r="AA42" i="1" s="1"/>
  <c r="W44" i="1"/>
  <c r="R28" i="1"/>
  <c r="S27" i="1"/>
  <c r="T27" i="1" s="1"/>
  <c r="Y43" i="1" l="1"/>
  <c r="Z43" i="1" s="1"/>
  <c r="AA43" i="1" s="1"/>
  <c r="W45" i="1"/>
  <c r="R29" i="1"/>
  <c r="S28" i="1"/>
  <c r="T28" i="1" s="1"/>
  <c r="R30" i="1" l="1"/>
  <c r="S29" i="1"/>
  <c r="T29" i="1" s="1"/>
  <c r="Y44" i="1"/>
  <c r="Z44" i="1" s="1"/>
  <c r="AA44" i="1" s="1"/>
  <c r="W46" i="1"/>
  <c r="Y45" i="1" l="1"/>
  <c r="Z45" i="1" s="1"/>
  <c r="AA45" i="1" s="1"/>
  <c r="W47" i="1"/>
  <c r="R31" i="1"/>
  <c r="S30" i="1"/>
  <c r="T30" i="1" s="1"/>
  <c r="R32" i="1" l="1"/>
  <c r="S31" i="1"/>
  <c r="T31" i="1" s="1"/>
  <c r="Y46" i="1"/>
  <c r="Z46" i="1" s="1"/>
  <c r="AA46" i="1" s="1"/>
  <c r="W48" i="1"/>
  <c r="Y47" i="1" l="1"/>
  <c r="Z47" i="1" s="1"/>
  <c r="AA47" i="1" s="1"/>
  <c r="W49" i="1"/>
  <c r="S32" i="1"/>
  <c r="T32" i="1" s="1"/>
  <c r="R33" i="1"/>
  <c r="R34" i="1" l="1"/>
  <c r="S33" i="1"/>
  <c r="T33" i="1" s="1"/>
  <c r="Y48" i="1"/>
  <c r="Z48" i="1" s="1"/>
  <c r="AA48" i="1" s="1"/>
  <c r="W50" i="1"/>
  <c r="Y49" i="1" l="1"/>
  <c r="Z49" i="1" s="1"/>
  <c r="AA49" i="1" s="1"/>
  <c r="W51" i="1"/>
  <c r="R35" i="1"/>
  <c r="S34" i="1"/>
  <c r="T34" i="1" s="1"/>
  <c r="R36" i="1" l="1"/>
  <c r="S35" i="1"/>
  <c r="T35" i="1" s="1"/>
  <c r="Y50" i="1"/>
  <c r="Z50" i="1" s="1"/>
  <c r="AA50" i="1" s="1"/>
  <c r="W52" i="1"/>
  <c r="Y51" i="1" l="1"/>
  <c r="Z51" i="1" s="1"/>
  <c r="AA51" i="1" s="1"/>
  <c r="W53" i="1"/>
  <c r="R37" i="1"/>
  <c r="S36" i="1"/>
  <c r="T36" i="1" s="1"/>
  <c r="Y52" i="1" l="1"/>
  <c r="Z52" i="1" s="1"/>
  <c r="AA52" i="1" s="1"/>
  <c r="W54" i="1"/>
  <c r="R38" i="1"/>
  <c r="S37" i="1"/>
  <c r="T37" i="1" s="1"/>
  <c r="Y53" i="1" l="1"/>
  <c r="Z53" i="1" s="1"/>
  <c r="AA53" i="1" s="1"/>
  <c r="W55" i="1"/>
  <c r="R39" i="1"/>
  <c r="S38" i="1"/>
  <c r="T38" i="1" s="1"/>
  <c r="Y54" i="1" l="1"/>
  <c r="Z54" i="1" s="1"/>
  <c r="AA54" i="1" s="1"/>
  <c r="W56" i="1"/>
  <c r="R40" i="1"/>
  <c r="S39" i="1"/>
  <c r="T39" i="1" s="1"/>
  <c r="R41" i="1" l="1"/>
  <c r="S40" i="1"/>
  <c r="T40" i="1" s="1"/>
  <c r="Y55" i="1"/>
  <c r="Z55" i="1" s="1"/>
  <c r="AA55" i="1" s="1"/>
  <c r="W57" i="1"/>
  <c r="Y56" i="1" l="1"/>
  <c r="Z56" i="1" s="1"/>
  <c r="AA56" i="1" s="1"/>
  <c r="W58" i="1"/>
  <c r="R42" i="1"/>
  <c r="S41" i="1"/>
  <c r="T41" i="1" s="1"/>
  <c r="R43" i="1" l="1"/>
  <c r="S42" i="1"/>
  <c r="T42" i="1" s="1"/>
  <c r="Y57" i="1"/>
  <c r="Z57" i="1" s="1"/>
  <c r="AA57" i="1" s="1"/>
  <c r="W59" i="1"/>
  <c r="Y58" i="1" l="1"/>
  <c r="Z58" i="1" s="1"/>
  <c r="AA58" i="1" s="1"/>
  <c r="W60" i="1"/>
  <c r="R44" i="1"/>
  <c r="S43" i="1"/>
  <c r="T43" i="1" s="1"/>
  <c r="R45" i="1" l="1"/>
  <c r="S44" i="1"/>
  <c r="T44" i="1" s="1"/>
  <c r="Y59" i="1"/>
  <c r="Z59" i="1" s="1"/>
  <c r="AA59" i="1" s="1"/>
  <c r="W61" i="1"/>
  <c r="Y60" i="1" l="1"/>
  <c r="Z60" i="1" s="1"/>
  <c r="AA60" i="1" s="1"/>
  <c r="W62" i="1"/>
  <c r="R46" i="1"/>
  <c r="S45" i="1"/>
  <c r="T45" i="1" s="1"/>
  <c r="R47" i="1" l="1"/>
  <c r="S46" i="1"/>
  <c r="T46" i="1" s="1"/>
  <c r="Y61" i="1"/>
  <c r="Z61" i="1" s="1"/>
  <c r="AA61" i="1" s="1"/>
  <c r="W63" i="1"/>
  <c r="Y62" i="1" l="1"/>
  <c r="Z62" i="1" s="1"/>
  <c r="AA62" i="1" s="1"/>
  <c r="W64" i="1"/>
  <c r="R48" i="1"/>
  <c r="S47" i="1"/>
  <c r="T47" i="1" s="1"/>
  <c r="R49" i="1" l="1"/>
  <c r="S48" i="1"/>
  <c r="T48" i="1" s="1"/>
  <c r="Y63" i="1"/>
  <c r="Z63" i="1" s="1"/>
  <c r="AA63" i="1" s="1"/>
  <c r="W65" i="1"/>
  <c r="Y64" i="1" l="1"/>
  <c r="Z64" i="1" s="1"/>
  <c r="AA64" i="1" s="1"/>
  <c r="W66" i="1"/>
  <c r="R50" i="1"/>
  <c r="S49" i="1"/>
  <c r="T49" i="1" s="1"/>
  <c r="R51" i="1" l="1"/>
  <c r="S50" i="1"/>
  <c r="T50" i="1" s="1"/>
  <c r="Y65" i="1"/>
  <c r="Z65" i="1" s="1"/>
  <c r="AA65" i="1" s="1"/>
  <c r="W67" i="1"/>
  <c r="Y66" i="1" l="1"/>
  <c r="Z66" i="1" s="1"/>
  <c r="AA66" i="1" s="1"/>
  <c r="W68" i="1"/>
  <c r="R52" i="1"/>
  <c r="S51" i="1"/>
  <c r="T51" i="1" s="1"/>
  <c r="R53" i="1" l="1"/>
  <c r="S52" i="1"/>
  <c r="T52" i="1" s="1"/>
  <c r="Y67" i="1"/>
  <c r="Z67" i="1" s="1"/>
  <c r="AA67" i="1" s="1"/>
  <c r="W69" i="1"/>
  <c r="Y68" i="1" l="1"/>
  <c r="Z68" i="1" s="1"/>
  <c r="AA68" i="1" s="1"/>
  <c r="W70" i="1"/>
  <c r="R54" i="1"/>
  <c r="S53" i="1"/>
  <c r="T53" i="1" s="1"/>
  <c r="S54" i="1" l="1"/>
  <c r="T54" i="1" s="1"/>
  <c r="R55" i="1"/>
  <c r="Y69" i="1"/>
  <c r="Z69" i="1" s="1"/>
  <c r="AA69" i="1" s="1"/>
  <c r="W71" i="1"/>
  <c r="Y70" i="1" l="1"/>
  <c r="Z70" i="1" s="1"/>
  <c r="AA70" i="1" s="1"/>
  <c r="W72" i="1"/>
  <c r="S55" i="1"/>
  <c r="T55" i="1" s="1"/>
  <c r="R56" i="1"/>
  <c r="S56" i="1" l="1"/>
  <c r="T56" i="1" s="1"/>
  <c r="R57" i="1"/>
  <c r="Y71" i="1"/>
  <c r="Z71" i="1" s="1"/>
  <c r="AA71" i="1" s="1"/>
  <c r="W73" i="1"/>
  <c r="Y72" i="1" l="1"/>
  <c r="Z72" i="1" s="1"/>
  <c r="AA72" i="1" s="1"/>
  <c r="W74" i="1"/>
  <c r="R58" i="1"/>
  <c r="S57" i="1"/>
  <c r="T57" i="1" s="1"/>
  <c r="R59" i="1" l="1"/>
  <c r="S58" i="1"/>
  <c r="T58" i="1" s="1"/>
  <c r="Y73" i="1"/>
  <c r="Z73" i="1" s="1"/>
  <c r="AA73" i="1" s="1"/>
  <c r="W75" i="1"/>
  <c r="Y74" i="1" l="1"/>
  <c r="Z74" i="1" s="1"/>
  <c r="AA74" i="1" s="1"/>
  <c r="W76" i="1"/>
  <c r="R60" i="1"/>
  <c r="S59" i="1"/>
  <c r="T59" i="1" s="1"/>
  <c r="R61" i="1" l="1"/>
  <c r="S60" i="1"/>
  <c r="T60" i="1" s="1"/>
  <c r="Y75" i="1"/>
  <c r="Z75" i="1" s="1"/>
  <c r="AA75" i="1" s="1"/>
  <c r="W77" i="1"/>
  <c r="Y76" i="1" l="1"/>
  <c r="Z76" i="1" s="1"/>
  <c r="AA76" i="1" s="1"/>
  <c r="W78" i="1"/>
  <c r="R62" i="1"/>
  <c r="S61" i="1"/>
  <c r="T61" i="1" s="1"/>
  <c r="R63" i="1" l="1"/>
  <c r="S62" i="1"/>
  <c r="T62" i="1" s="1"/>
  <c r="Y77" i="1"/>
  <c r="Z77" i="1" s="1"/>
  <c r="AA77" i="1" s="1"/>
  <c r="W79" i="1"/>
  <c r="Y78" i="1" l="1"/>
  <c r="Z78" i="1" s="1"/>
  <c r="AA78" i="1" s="1"/>
  <c r="W80" i="1"/>
  <c r="R64" i="1"/>
  <c r="S63" i="1"/>
  <c r="T63" i="1" s="1"/>
  <c r="R65" i="1" l="1"/>
  <c r="S64" i="1"/>
  <c r="T64" i="1" s="1"/>
  <c r="Y79" i="1"/>
  <c r="Z79" i="1" s="1"/>
  <c r="AA79" i="1" s="1"/>
  <c r="W81" i="1"/>
  <c r="Y80" i="1" l="1"/>
  <c r="Z80" i="1" s="1"/>
  <c r="AA80" i="1" s="1"/>
  <c r="W82" i="1"/>
  <c r="R66" i="1"/>
  <c r="S65" i="1"/>
  <c r="T65" i="1" s="1"/>
  <c r="R67" i="1" l="1"/>
  <c r="S66" i="1"/>
  <c r="T66" i="1" s="1"/>
  <c r="Y81" i="1"/>
  <c r="Z81" i="1" s="1"/>
  <c r="AA81" i="1" s="1"/>
  <c r="W83" i="1"/>
  <c r="Y82" i="1" l="1"/>
  <c r="Z82" i="1" s="1"/>
  <c r="AA82" i="1" s="1"/>
  <c r="W84" i="1"/>
  <c r="R68" i="1"/>
  <c r="S67" i="1"/>
  <c r="T67" i="1" s="1"/>
  <c r="S68" i="1" l="1"/>
  <c r="T68" i="1" s="1"/>
  <c r="R69" i="1"/>
  <c r="Y83" i="1"/>
  <c r="Z83" i="1" s="1"/>
  <c r="AA83" i="1" s="1"/>
  <c r="W85" i="1"/>
  <c r="Y84" i="1" l="1"/>
  <c r="Z84" i="1" s="1"/>
  <c r="AA84" i="1" s="1"/>
  <c r="W86" i="1"/>
  <c r="R70" i="1"/>
  <c r="S69" i="1"/>
  <c r="T69" i="1" s="1"/>
  <c r="R71" i="1" l="1"/>
  <c r="S70" i="1"/>
  <c r="T70" i="1" s="1"/>
  <c r="Y85" i="1"/>
  <c r="Z85" i="1" s="1"/>
  <c r="AA85" i="1" s="1"/>
  <c r="W87" i="1"/>
  <c r="Y86" i="1" l="1"/>
  <c r="Z86" i="1" s="1"/>
  <c r="AA86" i="1" s="1"/>
  <c r="W88" i="1"/>
  <c r="R72" i="1"/>
  <c r="S71" i="1"/>
  <c r="T71" i="1" s="1"/>
  <c r="R73" i="1" l="1"/>
  <c r="S72" i="1"/>
  <c r="T72" i="1" s="1"/>
  <c r="Y87" i="1"/>
  <c r="Z87" i="1" s="1"/>
  <c r="AA87" i="1" s="1"/>
  <c r="W89" i="1"/>
  <c r="Y88" i="1" l="1"/>
  <c r="W90" i="1"/>
  <c r="R74" i="1"/>
  <c r="S73" i="1"/>
  <c r="T73" i="1" s="1"/>
  <c r="R75" i="1" l="1"/>
  <c r="S74" i="1"/>
  <c r="T74" i="1" s="1"/>
  <c r="Y89" i="1"/>
  <c r="W91" i="1"/>
  <c r="Z88" i="1"/>
  <c r="AA88" i="1" s="1"/>
  <c r="Y90" i="1" l="1"/>
  <c r="W92" i="1"/>
  <c r="Z89" i="1"/>
  <c r="AA89" i="1" s="1"/>
  <c r="R76" i="1"/>
  <c r="S75" i="1"/>
  <c r="T75" i="1" s="1"/>
  <c r="R77" i="1" l="1"/>
  <c r="S76" i="1"/>
  <c r="T76" i="1" s="1"/>
  <c r="Y91" i="1"/>
  <c r="W93" i="1"/>
  <c r="Z90" i="1"/>
  <c r="AA90" i="1" s="1"/>
  <c r="Y92" i="1" l="1"/>
  <c r="W94" i="1"/>
  <c r="Z91" i="1"/>
  <c r="AA91" i="1" s="1"/>
  <c r="R78" i="1"/>
  <c r="S77" i="1"/>
  <c r="T77" i="1" s="1"/>
  <c r="S78" i="1" l="1"/>
  <c r="T78" i="1" s="1"/>
  <c r="R79" i="1"/>
  <c r="Y93" i="1"/>
  <c r="W95" i="1"/>
  <c r="Z92" i="1"/>
  <c r="AA92" i="1" s="1"/>
  <c r="Y94" i="1" l="1"/>
  <c r="W96" i="1"/>
  <c r="Z93" i="1"/>
  <c r="AA93" i="1" s="1"/>
  <c r="R80" i="1"/>
  <c r="S79" i="1"/>
  <c r="T79" i="1" s="1"/>
  <c r="R81" i="1" l="1"/>
  <c r="S80" i="1"/>
  <c r="T80" i="1" s="1"/>
  <c r="Y95" i="1"/>
  <c r="W97" i="1"/>
  <c r="Z94" i="1"/>
  <c r="AA94" i="1" s="1"/>
  <c r="Y96" i="1" l="1"/>
  <c r="W98" i="1"/>
  <c r="Z95" i="1"/>
  <c r="AA95" i="1" s="1"/>
  <c r="R82" i="1"/>
  <c r="S81" i="1"/>
  <c r="T81" i="1" s="1"/>
  <c r="R83" i="1" l="1"/>
  <c r="S82" i="1"/>
  <c r="T82" i="1" s="1"/>
  <c r="Y97" i="1"/>
  <c r="W99" i="1"/>
  <c r="Z96" i="1"/>
  <c r="AA96" i="1" s="1"/>
  <c r="Y98" i="1" l="1"/>
  <c r="W100" i="1"/>
  <c r="Z97" i="1"/>
  <c r="AA97" i="1" s="1"/>
  <c r="R84" i="1"/>
  <c r="S83" i="1"/>
  <c r="T83" i="1" s="1"/>
  <c r="R85" i="1" l="1"/>
  <c r="S84" i="1"/>
  <c r="T84" i="1" s="1"/>
  <c r="Y99" i="1"/>
  <c r="W101" i="1"/>
  <c r="Z98" i="1"/>
  <c r="AA98" i="1" s="1"/>
  <c r="Y100" i="1" l="1"/>
  <c r="W102" i="1"/>
  <c r="Z99" i="1"/>
  <c r="AA99" i="1" s="1"/>
  <c r="R86" i="1"/>
  <c r="S85" i="1"/>
  <c r="T85" i="1" s="1"/>
  <c r="R87" i="1" l="1"/>
  <c r="S86" i="1"/>
  <c r="T86" i="1" s="1"/>
  <c r="Y101" i="1"/>
  <c r="W103" i="1"/>
  <c r="Z100" i="1"/>
  <c r="AA100" i="1" s="1"/>
  <c r="Y102" i="1" l="1"/>
  <c r="W104" i="1"/>
  <c r="Z101" i="1"/>
  <c r="AA101" i="1" s="1"/>
  <c r="R88" i="1"/>
  <c r="S87" i="1"/>
  <c r="T87" i="1" s="1"/>
  <c r="R89" i="1" l="1"/>
  <c r="S88" i="1"/>
  <c r="T88" i="1" s="1"/>
  <c r="Y103" i="1"/>
  <c r="W105" i="1"/>
  <c r="Z102" i="1"/>
  <c r="AA102" i="1" s="1"/>
  <c r="Y104" i="1" l="1"/>
  <c r="W106" i="1"/>
  <c r="Z103" i="1"/>
  <c r="AA103" i="1" s="1"/>
  <c r="R90" i="1"/>
  <c r="S89" i="1"/>
  <c r="T89" i="1" s="1"/>
  <c r="R91" i="1" l="1"/>
  <c r="S90" i="1"/>
  <c r="T90" i="1" s="1"/>
  <c r="Y105" i="1"/>
  <c r="W107" i="1"/>
  <c r="Z104" i="1"/>
  <c r="AA104" i="1" s="1"/>
  <c r="Y106" i="1" l="1"/>
  <c r="W108" i="1"/>
  <c r="Z105" i="1"/>
  <c r="AA105" i="1" s="1"/>
  <c r="R92" i="1"/>
  <c r="S91" i="1"/>
  <c r="T91" i="1" s="1"/>
  <c r="R93" i="1" l="1"/>
  <c r="S92" i="1"/>
  <c r="T92" i="1" s="1"/>
  <c r="Y107" i="1"/>
  <c r="W109" i="1"/>
  <c r="Z106" i="1"/>
  <c r="AA106" i="1" s="1"/>
  <c r="Z107" i="1" l="1"/>
  <c r="AA107" i="1" s="1"/>
  <c r="Y108" i="1"/>
  <c r="W110" i="1"/>
  <c r="R94" i="1"/>
  <c r="S93" i="1"/>
  <c r="T93" i="1" s="1"/>
  <c r="Z108" i="1" l="1"/>
  <c r="AA108" i="1" s="1"/>
  <c r="S94" i="1"/>
  <c r="T94" i="1" s="1"/>
  <c r="R95" i="1"/>
  <c r="Y109" i="1"/>
  <c r="W111" i="1"/>
  <c r="Z109" i="1" l="1"/>
  <c r="AA109" i="1" s="1"/>
  <c r="Y110" i="1"/>
  <c r="W112" i="1"/>
  <c r="R96" i="1"/>
  <c r="S95" i="1"/>
  <c r="T95" i="1" s="1"/>
  <c r="Z110" i="1" l="1"/>
  <c r="AA110" i="1" s="1"/>
  <c r="R97" i="1"/>
  <c r="S96" i="1"/>
  <c r="T96" i="1" s="1"/>
  <c r="Y111" i="1"/>
  <c r="W113" i="1"/>
  <c r="Z111" i="1" l="1"/>
  <c r="AA111" i="1" s="1"/>
  <c r="Y112" i="1"/>
  <c r="W114" i="1"/>
  <c r="S97" i="1"/>
  <c r="T97" i="1" s="1"/>
  <c r="R98" i="1"/>
  <c r="Z112" i="1" l="1"/>
  <c r="AA112" i="1" s="1"/>
  <c r="R99" i="1"/>
  <c r="S98" i="1"/>
  <c r="T98" i="1" s="1"/>
  <c r="Y113" i="1"/>
  <c r="W115" i="1"/>
  <c r="Z113" i="1" l="1"/>
  <c r="AA113" i="1" s="1"/>
  <c r="Y114" i="1"/>
  <c r="W116" i="1"/>
  <c r="R100" i="1"/>
  <c r="S99" i="1"/>
  <c r="T99" i="1" s="1"/>
  <c r="Z114" i="1" l="1"/>
  <c r="AA114" i="1" s="1"/>
  <c r="Y115" i="1"/>
  <c r="W117" i="1"/>
  <c r="R101" i="1"/>
  <c r="S100" i="1"/>
  <c r="T100" i="1" s="1"/>
  <c r="Z115" i="1" l="1"/>
  <c r="AA115" i="1" s="1"/>
  <c r="Y116" i="1"/>
  <c r="W118" i="1"/>
  <c r="R102" i="1"/>
  <c r="S101" i="1"/>
  <c r="T101" i="1" s="1"/>
  <c r="Z116" i="1" l="1"/>
  <c r="AA116" i="1" s="1"/>
  <c r="R103" i="1"/>
  <c r="S102" i="1"/>
  <c r="T102" i="1" s="1"/>
  <c r="Y117" i="1"/>
  <c r="W119" i="1"/>
  <c r="Z117" i="1" l="1"/>
  <c r="AA117" i="1" s="1"/>
  <c r="Y118" i="1"/>
  <c r="W120" i="1"/>
  <c r="R104" i="1"/>
  <c r="S103" i="1"/>
  <c r="T103" i="1" s="1"/>
  <c r="Z118" i="1" l="1"/>
  <c r="AA118" i="1" s="1"/>
  <c r="R105" i="1"/>
  <c r="S104" i="1"/>
  <c r="T104" i="1" s="1"/>
  <c r="Y119" i="1"/>
  <c r="W121" i="1"/>
  <c r="Z119" i="1" l="1"/>
  <c r="AA119" i="1" s="1"/>
  <c r="Y120" i="1"/>
  <c r="W122" i="1"/>
  <c r="R106" i="1"/>
  <c r="S105" i="1"/>
  <c r="T105" i="1" s="1"/>
  <c r="Z120" i="1" l="1"/>
  <c r="AA120" i="1" s="1"/>
  <c r="R107" i="1"/>
  <c r="S106" i="1"/>
  <c r="T106" i="1" s="1"/>
  <c r="Y121" i="1"/>
  <c r="W123" i="1"/>
  <c r="Z121" i="1" l="1"/>
  <c r="AA121" i="1" s="1"/>
  <c r="Y122" i="1"/>
  <c r="W124" i="1"/>
  <c r="S107" i="1"/>
  <c r="T107" i="1" s="1"/>
  <c r="R108" i="1"/>
  <c r="R109" i="1" l="1"/>
  <c r="S108" i="1"/>
  <c r="T108" i="1" s="1"/>
  <c r="Y123" i="1"/>
  <c r="W125" i="1"/>
  <c r="Z122" i="1"/>
  <c r="AA122" i="1" s="1"/>
  <c r="Y124" i="1" l="1"/>
  <c r="W126" i="1"/>
  <c r="Z123" i="1"/>
  <c r="AA123" i="1" s="1"/>
  <c r="R110" i="1"/>
  <c r="S109" i="1"/>
  <c r="T109" i="1" s="1"/>
  <c r="R111" i="1" l="1"/>
  <c r="S110" i="1"/>
  <c r="T110" i="1" s="1"/>
  <c r="Y125" i="1"/>
  <c r="W127" i="1"/>
  <c r="Z124" i="1"/>
  <c r="AA124" i="1" s="1"/>
  <c r="Y126" i="1" l="1"/>
  <c r="W128" i="1"/>
  <c r="Z125" i="1"/>
  <c r="AA125" i="1" s="1"/>
  <c r="R112" i="1"/>
  <c r="S111" i="1"/>
  <c r="T111" i="1" s="1"/>
  <c r="R113" i="1" l="1"/>
  <c r="S112" i="1"/>
  <c r="T112" i="1" s="1"/>
  <c r="Y127" i="1"/>
  <c r="W129" i="1"/>
  <c r="Z126" i="1"/>
  <c r="AA126" i="1" s="1"/>
  <c r="Y128" i="1" l="1"/>
  <c r="W130" i="1"/>
  <c r="Z127" i="1"/>
  <c r="AA127" i="1" s="1"/>
  <c r="R114" i="1"/>
  <c r="S113" i="1"/>
  <c r="T113" i="1" s="1"/>
  <c r="R115" i="1" l="1"/>
  <c r="S114" i="1"/>
  <c r="T114" i="1" s="1"/>
  <c r="Y129" i="1"/>
  <c r="W131" i="1"/>
  <c r="Z128" i="1"/>
  <c r="AA128" i="1" s="1"/>
  <c r="Y130" i="1" l="1"/>
  <c r="W132" i="1"/>
  <c r="Z129" i="1"/>
  <c r="AA129" i="1" s="1"/>
  <c r="R116" i="1"/>
  <c r="S115" i="1"/>
  <c r="T115" i="1" s="1"/>
  <c r="R117" i="1" l="1"/>
  <c r="S116" i="1"/>
  <c r="T116" i="1" s="1"/>
  <c r="Y131" i="1"/>
  <c r="W133" i="1"/>
  <c r="Z130" i="1"/>
  <c r="AA130" i="1" s="1"/>
  <c r="Y132" i="1" l="1"/>
  <c r="W134" i="1"/>
  <c r="Z131" i="1"/>
  <c r="AA131" i="1" s="1"/>
  <c r="R118" i="1"/>
  <c r="S117" i="1"/>
  <c r="T117" i="1" s="1"/>
  <c r="R119" i="1" l="1"/>
  <c r="S118" i="1"/>
  <c r="T118" i="1" s="1"/>
  <c r="Y133" i="1"/>
  <c r="W135" i="1"/>
  <c r="Z132" i="1"/>
  <c r="AA132" i="1" s="1"/>
  <c r="Y134" i="1" l="1"/>
  <c r="W136" i="1"/>
  <c r="Z133" i="1"/>
  <c r="AA133" i="1" s="1"/>
  <c r="R120" i="1"/>
  <c r="S119" i="1"/>
  <c r="T119" i="1" s="1"/>
  <c r="S120" i="1" l="1"/>
  <c r="T120" i="1" s="1"/>
  <c r="R121" i="1"/>
  <c r="Y135" i="1"/>
  <c r="W137" i="1"/>
  <c r="Z134" i="1"/>
  <c r="AA134" i="1" s="1"/>
  <c r="Y136" i="1" l="1"/>
  <c r="W138" i="1"/>
  <c r="Z135" i="1"/>
  <c r="AA135" i="1" s="1"/>
  <c r="R122" i="1"/>
  <c r="S121" i="1"/>
  <c r="T121" i="1" s="1"/>
  <c r="R123" i="1" l="1"/>
  <c r="S122" i="1"/>
  <c r="T122" i="1" s="1"/>
  <c r="Y137" i="1"/>
  <c r="W139" i="1"/>
  <c r="Z136" i="1"/>
  <c r="AA136" i="1" s="1"/>
  <c r="Y138" i="1" l="1"/>
  <c r="W140" i="1"/>
  <c r="Z137" i="1"/>
  <c r="AA137" i="1" s="1"/>
  <c r="R124" i="1"/>
  <c r="S123" i="1"/>
  <c r="T123" i="1" s="1"/>
  <c r="R125" i="1" l="1"/>
  <c r="S124" i="1"/>
  <c r="T124" i="1" s="1"/>
  <c r="Y139" i="1"/>
  <c r="W141" i="1"/>
  <c r="Z138" i="1"/>
  <c r="AA138" i="1" s="1"/>
  <c r="Y140" i="1" l="1"/>
  <c r="W142" i="1"/>
  <c r="Z139" i="1"/>
  <c r="AA139" i="1" s="1"/>
  <c r="R126" i="1"/>
  <c r="S125" i="1"/>
  <c r="T125" i="1" s="1"/>
  <c r="S126" i="1" l="1"/>
  <c r="T126" i="1" s="1"/>
  <c r="R127" i="1"/>
  <c r="Y141" i="1"/>
  <c r="W143" i="1"/>
  <c r="Z140" i="1"/>
  <c r="AA140" i="1" s="1"/>
  <c r="Y142" i="1" l="1"/>
  <c r="W144" i="1"/>
  <c r="Z141" i="1"/>
  <c r="AA141" i="1" s="1"/>
  <c r="R128" i="1"/>
  <c r="S127" i="1"/>
  <c r="T127" i="1" s="1"/>
  <c r="R129" i="1" l="1"/>
  <c r="S128" i="1"/>
  <c r="T128" i="1" s="1"/>
  <c r="Y143" i="1"/>
  <c r="W145" i="1"/>
  <c r="Z142" i="1"/>
  <c r="AA142" i="1" s="1"/>
  <c r="Y144" i="1" l="1"/>
  <c r="W146" i="1"/>
  <c r="Z143" i="1"/>
  <c r="AA143" i="1" s="1"/>
  <c r="R130" i="1"/>
  <c r="S129" i="1"/>
  <c r="T129" i="1" s="1"/>
  <c r="R131" i="1" l="1"/>
  <c r="S130" i="1"/>
  <c r="T130" i="1" s="1"/>
  <c r="Y145" i="1"/>
  <c r="W147" i="1"/>
  <c r="Z144" i="1"/>
  <c r="AA144" i="1" s="1"/>
  <c r="Y146" i="1" l="1"/>
  <c r="W148" i="1"/>
  <c r="Z145" i="1"/>
  <c r="AA145" i="1" s="1"/>
  <c r="R132" i="1"/>
  <c r="S131" i="1"/>
  <c r="T131" i="1" s="1"/>
  <c r="R133" i="1" l="1"/>
  <c r="S132" i="1"/>
  <c r="T132" i="1" s="1"/>
  <c r="Y147" i="1"/>
  <c r="W149" i="1"/>
  <c r="Z146" i="1"/>
  <c r="AA146" i="1" s="1"/>
  <c r="Z147" i="1" l="1"/>
  <c r="AA147" i="1" s="1"/>
  <c r="Y148" i="1"/>
  <c r="W150" i="1"/>
  <c r="R134" i="1"/>
  <c r="S133" i="1"/>
  <c r="T133" i="1" s="1"/>
  <c r="Z148" i="1" l="1"/>
  <c r="AA148" i="1" s="1"/>
  <c r="R135" i="1"/>
  <c r="S134" i="1"/>
  <c r="T134" i="1" s="1"/>
  <c r="Y149" i="1"/>
  <c r="W151" i="1"/>
  <c r="Z149" i="1" l="1"/>
  <c r="AA149" i="1" s="1"/>
  <c r="Y150" i="1"/>
  <c r="W152" i="1"/>
  <c r="R136" i="1"/>
  <c r="S135" i="1"/>
  <c r="T135" i="1" s="1"/>
  <c r="Z150" i="1" l="1"/>
  <c r="AA150" i="1" s="1"/>
  <c r="Y151" i="1"/>
  <c r="W153" i="1"/>
  <c r="R137" i="1"/>
  <c r="S136" i="1"/>
  <c r="T136" i="1" s="1"/>
  <c r="Z151" i="1" l="1"/>
  <c r="AA151" i="1" s="1"/>
  <c r="R138" i="1"/>
  <c r="S137" i="1"/>
  <c r="T137" i="1" s="1"/>
  <c r="Y152" i="1"/>
  <c r="W154" i="1"/>
  <c r="Z152" i="1" l="1"/>
  <c r="AA152" i="1" s="1"/>
  <c r="Y153" i="1"/>
  <c r="W155" i="1"/>
  <c r="R139" i="1"/>
  <c r="S138" i="1"/>
  <c r="T138" i="1" s="1"/>
  <c r="Z153" i="1" l="1"/>
  <c r="AA153" i="1" s="1"/>
  <c r="R140" i="1"/>
  <c r="S139" i="1"/>
  <c r="T139" i="1" s="1"/>
  <c r="Y154" i="1"/>
  <c r="W156" i="1"/>
  <c r="Z154" i="1" l="1"/>
  <c r="AA154" i="1" s="1"/>
  <c r="Y155" i="1"/>
  <c r="Z155" i="1" s="1"/>
  <c r="AA155" i="1" s="1"/>
  <c r="W157" i="1"/>
  <c r="R141" i="1"/>
  <c r="S140" i="1"/>
  <c r="T140" i="1" s="1"/>
  <c r="S141" i="1" l="1"/>
  <c r="T141" i="1" s="1"/>
  <c r="R142" i="1"/>
  <c r="Y156" i="1"/>
  <c r="W158" i="1"/>
  <c r="Y157" i="1" l="1"/>
  <c r="W159" i="1"/>
  <c r="Z156" i="1"/>
  <c r="AA156" i="1" s="1"/>
  <c r="R143" i="1"/>
  <c r="S142" i="1"/>
  <c r="T142" i="1" s="1"/>
  <c r="R144" i="1" l="1"/>
  <c r="S143" i="1"/>
  <c r="T143" i="1" s="1"/>
  <c r="Y158" i="1"/>
  <c r="W160" i="1"/>
  <c r="Z157" i="1"/>
  <c r="AA157" i="1" s="1"/>
  <c r="Y159" i="1" l="1"/>
  <c r="W161" i="1"/>
  <c r="Z158" i="1"/>
  <c r="AA158" i="1" s="1"/>
  <c r="R145" i="1"/>
  <c r="S144" i="1"/>
  <c r="T144" i="1" s="1"/>
  <c r="R146" i="1" l="1"/>
  <c r="S145" i="1"/>
  <c r="T145" i="1" s="1"/>
  <c r="Y160" i="1"/>
  <c r="W162" i="1"/>
  <c r="Z159" i="1"/>
  <c r="AA159" i="1" s="1"/>
  <c r="Y161" i="1" l="1"/>
  <c r="W163" i="1"/>
  <c r="Z160" i="1"/>
  <c r="AA160" i="1" s="1"/>
  <c r="R147" i="1"/>
  <c r="S146" i="1"/>
  <c r="T146" i="1" s="1"/>
  <c r="R148" i="1" l="1"/>
  <c r="S147" i="1"/>
  <c r="T147" i="1" s="1"/>
  <c r="Y162" i="1"/>
  <c r="W164" i="1"/>
  <c r="Z161" i="1"/>
  <c r="AA161" i="1" s="1"/>
  <c r="Y163" i="1" l="1"/>
  <c r="W165" i="1"/>
  <c r="Z162" i="1"/>
  <c r="AA162" i="1" s="1"/>
  <c r="R149" i="1"/>
  <c r="S148" i="1"/>
  <c r="T148" i="1" s="1"/>
  <c r="S149" i="1" l="1"/>
  <c r="T149" i="1" s="1"/>
  <c r="R150" i="1"/>
  <c r="Y164" i="1"/>
  <c r="W166" i="1"/>
  <c r="Z163" i="1"/>
  <c r="AA163" i="1" s="1"/>
  <c r="Y165" i="1" l="1"/>
  <c r="W167" i="1"/>
  <c r="Z164" i="1"/>
  <c r="AA164" i="1" s="1"/>
  <c r="R151" i="1"/>
  <c r="S150" i="1"/>
  <c r="T150" i="1" s="1"/>
  <c r="R152" i="1" l="1"/>
  <c r="S151" i="1"/>
  <c r="T151" i="1" s="1"/>
  <c r="Y166" i="1"/>
  <c r="W168" i="1"/>
  <c r="Z165" i="1"/>
  <c r="AA165" i="1" s="1"/>
  <c r="Y167" i="1" l="1"/>
  <c r="W169" i="1"/>
  <c r="Z166" i="1"/>
  <c r="AA166" i="1" s="1"/>
  <c r="S152" i="1"/>
  <c r="T152" i="1" s="1"/>
  <c r="R153" i="1"/>
  <c r="R154" i="1" l="1"/>
  <c r="S153" i="1"/>
  <c r="T153" i="1" s="1"/>
  <c r="Y168" i="1"/>
  <c r="W170" i="1"/>
  <c r="Z167" i="1"/>
  <c r="AA167" i="1" s="1"/>
  <c r="Y169" i="1" l="1"/>
  <c r="W171" i="1"/>
  <c r="Z168" i="1"/>
  <c r="AA168" i="1" s="1"/>
  <c r="R155" i="1"/>
  <c r="S154" i="1"/>
  <c r="T154" i="1" s="1"/>
  <c r="R156" i="1" l="1"/>
  <c r="S155" i="1"/>
  <c r="T155" i="1" s="1"/>
  <c r="Y170" i="1"/>
  <c r="W172" i="1"/>
  <c r="Z169" i="1"/>
  <c r="AA169" i="1" s="1"/>
  <c r="Y171" i="1" l="1"/>
  <c r="W173" i="1"/>
  <c r="Z170" i="1"/>
  <c r="AA170" i="1" s="1"/>
  <c r="R157" i="1"/>
  <c r="S156" i="1"/>
  <c r="T156" i="1" s="1"/>
  <c r="R158" i="1" l="1"/>
  <c r="S157" i="1"/>
  <c r="T157" i="1" s="1"/>
  <c r="Y172" i="1"/>
  <c r="W174" i="1"/>
  <c r="Z171" i="1"/>
  <c r="AA171" i="1" s="1"/>
  <c r="Y173" i="1" l="1"/>
  <c r="W175" i="1"/>
  <c r="Z172" i="1"/>
  <c r="AA172" i="1" s="1"/>
  <c r="R159" i="1"/>
  <c r="S158" i="1"/>
  <c r="T158" i="1" s="1"/>
  <c r="R160" i="1" l="1"/>
  <c r="S159" i="1"/>
  <c r="T159" i="1" s="1"/>
  <c r="Y174" i="1"/>
  <c r="W176" i="1"/>
  <c r="Z173" i="1"/>
  <c r="AA173" i="1" s="1"/>
  <c r="Y175" i="1" l="1"/>
  <c r="W177" i="1"/>
  <c r="Z174" i="1"/>
  <c r="AA174" i="1" s="1"/>
  <c r="R161" i="1"/>
  <c r="S160" i="1"/>
  <c r="T160" i="1" s="1"/>
  <c r="R162" i="1" l="1"/>
  <c r="S161" i="1"/>
  <c r="T161" i="1" s="1"/>
  <c r="Y176" i="1"/>
  <c r="W178" i="1"/>
  <c r="Z175" i="1"/>
  <c r="AA175" i="1" s="1"/>
  <c r="Y177" i="1" l="1"/>
  <c r="W179" i="1"/>
  <c r="Z176" i="1"/>
  <c r="AA176" i="1" s="1"/>
  <c r="R163" i="1"/>
  <c r="S162" i="1"/>
  <c r="T162" i="1" s="1"/>
  <c r="S163" i="1" l="1"/>
  <c r="T163" i="1" s="1"/>
  <c r="R164" i="1"/>
  <c r="Y178" i="1"/>
  <c r="W180" i="1"/>
  <c r="Z177" i="1"/>
  <c r="AA177" i="1" s="1"/>
  <c r="Y179" i="1" l="1"/>
  <c r="W181" i="1"/>
  <c r="Z178" i="1"/>
  <c r="AA178" i="1" s="1"/>
  <c r="R165" i="1"/>
  <c r="S164" i="1"/>
  <c r="T164" i="1" s="1"/>
  <c r="R166" i="1" l="1"/>
  <c r="S165" i="1"/>
  <c r="T165" i="1" s="1"/>
  <c r="Y180" i="1"/>
  <c r="W182" i="1"/>
  <c r="Z179" i="1"/>
  <c r="AA179" i="1" s="1"/>
  <c r="Y181" i="1" l="1"/>
  <c r="W183" i="1"/>
  <c r="Z180" i="1"/>
  <c r="AA180" i="1" s="1"/>
  <c r="R167" i="1"/>
  <c r="S166" i="1"/>
  <c r="T166" i="1" s="1"/>
  <c r="R168" i="1" l="1"/>
  <c r="S167" i="1"/>
  <c r="T167" i="1" s="1"/>
  <c r="Y182" i="1"/>
  <c r="W184" i="1"/>
  <c r="Z181" i="1"/>
  <c r="AA181" i="1" s="1"/>
  <c r="Y183" i="1" l="1"/>
  <c r="W185" i="1"/>
  <c r="Z182" i="1"/>
  <c r="AA182" i="1" s="1"/>
  <c r="R169" i="1"/>
  <c r="S168" i="1"/>
  <c r="T168" i="1" s="1"/>
  <c r="R170" i="1" l="1"/>
  <c r="S169" i="1"/>
  <c r="T169" i="1" s="1"/>
  <c r="Y184" i="1"/>
  <c r="W186" i="1"/>
  <c r="Z183" i="1"/>
  <c r="AA183" i="1" s="1"/>
  <c r="Y185" i="1" l="1"/>
  <c r="W187" i="1"/>
  <c r="Z184" i="1"/>
  <c r="AA184" i="1" s="1"/>
  <c r="R171" i="1"/>
  <c r="S170" i="1"/>
  <c r="T170" i="1" s="1"/>
  <c r="R172" i="1" l="1"/>
  <c r="S171" i="1"/>
  <c r="T171" i="1" s="1"/>
  <c r="Y186" i="1"/>
  <c r="W188" i="1"/>
  <c r="Z185" i="1"/>
  <c r="AA185" i="1" s="1"/>
  <c r="Y187" i="1" l="1"/>
  <c r="W189" i="1"/>
  <c r="Z186" i="1"/>
  <c r="AA186" i="1" s="1"/>
  <c r="R173" i="1"/>
  <c r="S172" i="1"/>
  <c r="T172" i="1" s="1"/>
  <c r="R174" i="1" l="1"/>
  <c r="S173" i="1"/>
  <c r="T173" i="1" s="1"/>
  <c r="Y188" i="1"/>
  <c r="W190" i="1"/>
  <c r="Z187" i="1"/>
  <c r="AA187" i="1" s="1"/>
  <c r="Y189" i="1" l="1"/>
  <c r="W191" i="1"/>
  <c r="Z188" i="1"/>
  <c r="AA188" i="1" s="1"/>
  <c r="R175" i="1"/>
  <c r="S174" i="1"/>
  <c r="T174" i="1" s="1"/>
  <c r="R176" i="1" l="1"/>
  <c r="S175" i="1"/>
  <c r="T175" i="1" s="1"/>
  <c r="Y190" i="1"/>
  <c r="W192" i="1"/>
  <c r="Z189" i="1"/>
  <c r="AA189" i="1" s="1"/>
  <c r="Y191" i="1" l="1"/>
  <c r="W193" i="1"/>
  <c r="Z190" i="1"/>
  <c r="AA190" i="1" s="1"/>
  <c r="R177" i="1"/>
  <c r="S176" i="1"/>
  <c r="T176" i="1" s="1"/>
  <c r="R178" i="1" l="1"/>
  <c r="S177" i="1"/>
  <c r="T177" i="1" s="1"/>
  <c r="Y192" i="1"/>
  <c r="W194" i="1"/>
  <c r="Z191" i="1"/>
  <c r="AA191" i="1" s="1"/>
  <c r="Y193" i="1" l="1"/>
  <c r="W195" i="1"/>
  <c r="Z192" i="1"/>
  <c r="AA192" i="1" s="1"/>
  <c r="R179" i="1"/>
  <c r="S178" i="1"/>
  <c r="T178" i="1" s="1"/>
  <c r="R180" i="1" l="1"/>
  <c r="S179" i="1"/>
  <c r="T179" i="1" s="1"/>
  <c r="Y194" i="1"/>
  <c r="W196" i="1"/>
  <c r="Z193" i="1"/>
  <c r="AA193" i="1" s="1"/>
  <c r="Y195" i="1" l="1"/>
  <c r="W197" i="1"/>
  <c r="Z194" i="1"/>
  <c r="AA194" i="1" s="1"/>
  <c r="R181" i="1"/>
  <c r="S180" i="1"/>
  <c r="T180" i="1" s="1"/>
  <c r="R182" i="1" l="1"/>
  <c r="S181" i="1"/>
  <c r="T181" i="1" s="1"/>
  <c r="Y196" i="1"/>
  <c r="W198" i="1"/>
  <c r="Z195" i="1"/>
  <c r="AA195" i="1" s="1"/>
  <c r="Y197" i="1" l="1"/>
  <c r="W199" i="1"/>
  <c r="Z196" i="1"/>
  <c r="AA196" i="1" s="1"/>
  <c r="R183" i="1"/>
  <c r="S182" i="1"/>
  <c r="T182" i="1" s="1"/>
  <c r="R184" i="1" l="1"/>
  <c r="S183" i="1"/>
  <c r="T183" i="1" s="1"/>
  <c r="Y198" i="1"/>
  <c r="W200" i="1"/>
  <c r="Z197" i="1"/>
  <c r="AA197" i="1" s="1"/>
  <c r="Y199" i="1" l="1"/>
  <c r="W201" i="1"/>
  <c r="Z198" i="1"/>
  <c r="AA198" i="1" s="1"/>
  <c r="R185" i="1"/>
  <c r="S184" i="1"/>
  <c r="T184" i="1" s="1"/>
  <c r="S185" i="1" l="1"/>
  <c r="T185" i="1" s="1"/>
  <c r="R186" i="1"/>
  <c r="Y200" i="1"/>
  <c r="W202" i="1"/>
  <c r="Z199" i="1"/>
  <c r="AA199" i="1" s="1"/>
  <c r="Y201" i="1" l="1"/>
  <c r="W203" i="1"/>
  <c r="Z200" i="1"/>
  <c r="AA200" i="1" s="1"/>
  <c r="R187" i="1"/>
  <c r="S186" i="1"/>
  <c r="T186" i="1" s="1"/>
  <c r="R188" i="1" l="1"/>
  <c r="S187" i="1"/>
  <c r="T187" i="1" s="1"/>
  <c r="Y202" i="1"/>
  <c r="W204" i="1"/>
  <c r="Z201" i="1"/>
  <c r="AA201" i="1" s="1"/>
  <c r="Y203" i="1" l="1"/>
  <c r="W205" i="1"/>
  <c r="Z202" i="1"/>
  <c r="AA202" i="1" s="1"/>
  <c r="R189" i="1"/>
  <c r="S188" i="1"/>
  <c r="T188" i="1" s="1"/>
  <c r="R190" i="1" l="1"/>
  <c r="S189" i="1"/>
  <c r="T189" i="1" s="1"/>
  <c r="Y204" i="1"/>
  <c r="W206" i="1"/>
  <c r="Z203" i="1"/>
  <c r="AA203" i="1" s="1"/>
  <c r="Y205" i="1" l="1"/>
  <c r="W207" i="1"/>
  <c r="Z204" i="1"/>
  <c r="AA204" i="1" s="1"/>
  <c r="R191" i="1"/>
  <c r="S190" i="1"/>
  <c r="T190" i="1" s="1"/>
  <c r="R192" i="1" l="1"/>
  <c r="S191" i="1"/>
  <c r="T191" i="1" s="1"/>
  <c r="Y206" i="1"/>
  <c r="W208" i="1"/>
  <c r="Z205" i="1"/>
  <c r="AA205" i="1" s="1"/>
  <c r="Y207" i="1" l="1"/>
  <c r="W209" i="1"/>
  <c r="Z206" i="1"/>
  <c r="AA206" i="1" s="1"/>
  <c r="R193" i="1"/>
  <c r="S192" i="1"/>
  <c r="T192" i="1" s="1"/>
  <c r="Z207" i="1" l="1"/>
  <c r="AA207" i="1" s="1"/>
  <c r="R194" i="1"/>
  <c r="S193" i="1"/>
  <c r="T193" i="1" s="1"/>
  <c r="Y208" i="1"/>
  <c r="W210" i="1"/>
  <c r="Z208" i="1" l="1"/>
  <c r="AA208" i="1" s="1"/>
  <c r="Y209" i="1"/>
  <c r="W211" i="1"/>
  <c r="R195" i="1"/>
  <c r="S194" i="1"/>
  <c r="T194" i="1" s="1"/>
  <c r="Z209" i="1" l="1"/>
  <c r="AA209" i="1" s="1"/>
  <c r="R196" i="1"/>
  <c r="S195" i="1"/>
  <c r="T195" i="1" s="1"/>
  <c r="Y210" i="1"/>
  <c r="W212" i="1"/>
  <c r="Z210" i="1" l="1"/>
  <c r="AA210" i="1" s="1"/>
  <c r="Y211" i="1"/>
  <c r="W213" i="1"/>
  <c r="R197" i="1"/>
  <c r="S196" i="1"/>
  <c r="T196" i="1" s="1"/>
  <c r="Z211" i="1" l="1"/>
  <c r="AA211" i="1" s="1"/>
  <c r="R198" i="1"/>
  <c r="S197" i="1"/>
  <c r="T197" i="1" s="1"/>
  <c r="Y212" i="1"/>
  <c r="W214" i="1"/>
  <c r="Z212" i="1" l="1"/>
  <c r="AA212" i="1" s="1"/>
  <c r="Y213" i="1"/>
  <c r="W215" i="1"/>
  <c r="R199" i="1"/>
  <c r="S198" i="1"/>
  <c r="T198" i="1" s="1"/>
  <c r="Z213" i="1" l="1"/>
  <c r="AA213" i="1" s="1"/>
  <c r="Y214" i="1"/>
  <c r="W216" i="1"/>
  <c r="R200" i="1"/>
  <c r="S199" i="1"/>
  <c r="T199" i="1" s="1"/>
  <c r="Z214" i="1" l="1"/>
  <c r="AA214" i="1" s="1"/>
  <c r="S200" i="1"/>
  <c r="T200" i="1" s="1"/>
  <c r="R201" i="1"/>
  <c r="Y215" i="1"/>
  <c r="W217" i="1"/>
  <c r="Z215" i="1" l="1"/>
  <c r="AA215" i="1" s="1"/>
  <c r="Y216" i="1"/>
  <c r="W218" i="1"/>
  <c r="R202" i="1"/>
  <c r="S201" i="1"/>
  <c r="T201" i="1" s="1"/>
  <c r="Z216" i="1" l="1"/>
  <c r="AA216" i="1" s="1"/>
  <c r="R203" i="1"/>
  <c r="S202" i="1"/>
  <c r="T202" i="1" s="1"/>
  <c r="Y217" i="1"/>
  <c r="W219" i="1"/>
  <c r="Z217" i="1" l="1"/>
  <c r="AA217" i="1" s="1"/>
  <c r="Y218" i="1"/>
  <c r="W220" i="1"/>
  <c r="R204" i="1"/>
  <c r="S203" i="1"/>
  <c r="T203" i="1" s="1"/>
  <c r="Z218" i="1" l="1"/>
  <c r="AA218" i="1" s="1"/>
  <c r="Y219" i="1"/>
  <c r="W221" i="1"/>
  <c r="R205" i="1"/>
  <c r="S204" i="1"/>
  <c r="T204" i="1" s="1"/>
  <c r="R206" i="1" l="1"/>
  <c r="S205" i="1"/>
  <c r="T205" i="1" s="1"/>
  <c r="Y220" i="1"/>
  <c r="W222" i="1"/>
  <c r="Z219" i="1"/>
  <c r="AA219" i="1" s="1"/>
  <c r="Z220" i="1" l="1"/>
  <c r="AA220" i="1" s="1"/>
  <c r="Y221" i="1"/>
  <c r="W223" i="1"/>
  <c r="R207" i="1"/>
  <c r="S206" i="1"/>
  <c r="T206" i="1" s="1"/>
  <c r="Z221" i="1" l="1"/>
  <c r="AA221" i="1" s="1"/>
  <c r="R208" i="1"/>
  <c r="S207" i="1"/>
  <c r="T207" i="1" s="1"/>
  <c r="Y222" i="1"/>
  <c r="W224" i="1"/>
  <c r="Z222" i="1" l="1"/>
  <c r="AA222" i="1" s="1"/>
  <c r="Y223" i="1"/>
  <c r="W225" i="1"/>
  <c r="R209" i="1"/>
  <c r="S208" i="1"/>
  <c r="T208" i="1" s="1"/>
  <c r="Z223" i="1" l="1"/>
  <c r="AA223" i="1" s="1"/>
  <c r="R210" i="1"/>
  <c r="S209" i="1"/>
  <c r="T209" i="1" s="1"/>
  <c r="Y224" i="1"/>
  <c r="W226" i="1"/>
  <c r="Z224" i="1" l="1"/>
  <c r="AA224" i="1" s="1"/>
  <c r="Y225" i="1"/>
  <c r="W227" i="1"/>
  <c r="R211" i="1"/>
  <c r="S210" i="1"/>
  <c r="T210" i="1" s="1"/>
  <c r="Z225" i="1" l="1"/>
  <c r="AA225" i="1" s="1"/>
  <c r="R212" i="1"/>
  <c r="S211" i="1"/>
  <c r="T211" i="1" s="1"/>
  <c r="Y226" i="1"/>
  <c r="W228" i="1"/>
  <c r="Z226" i="1" l="1"/>
  <c r="AA226" i="1" s="1"/>
  <c r="Y227" i="1"/>
  <c r="W229" i="1"/>
  <c r="R213" i="1"/>
  <c r="S212" i="1"/>
  <c r="T212" i="1" s="1"/>
  <c r="Z227" i="1" l="1"/>
  <c r="AA227" i="1" s="1"/>
  <c r="R214" i="1"/>
  <c r="S213" i="1"/>
  <c r="T213" i="1" s="1"/>
  <c r="Y228" i="1"/>
  <c r="W230" i="1"/>
  <c r="Z228" i="1" l="1"/>
  <c r="AA228" i="1" s="1"/>
  <c r="Y229" i="1"/>
  <c r="W231" i="1"/>
  <c r="R215" i="1"/>
  <c r="S214" i="1"/>
  <c r="T214" i="1" s="1"/>
  <c r="Z229" i="1" l="1"/>
  <c r="AA229" i="1" s="1"/>
  <c r="R216" i="1"/>
  <c r="S215" i="1"/>
  <c r="T215" i="1" s="1"/>
  <c r="Y230" i="1"/>
  <c r="W232" i="1"/>
  <c r="Z230" i="1" l="1"/>
  <c r="AA230" i="1" s="1"/>
  <c r="Y231" i="1"/>
  <c r="W233" i="1"/>
  <c r="R217" i="1"/>
  <c r="S216" i="1"/>
  <c r="T216" i="1" s="1"/>
  <c r="Z231" i="1" l="1"/>
  <c r="AA231" i="1" s="1"/>
  <c r="R218" i="1"/>
  <c r="S217" i="1"/>
  <c r="T217" i="1" s="1"/>
  <c r="Y232" i="1"/>
  <c r="W234" i="1"/>
  <c r="Z232" i="1" l="1"/>
  <c r="AA232" i="1" s="1"/>
  <c r="Y233" i="1"/>
  <c r="Z233" i="1" s="1"/>
  <c r="AA233" i="1" s="1"/>
  <c r="W235" i="1"/>
  <c r="R219" i="1"/>
  <c r="S218" i="1"/>
  <c r="T218" i="1" s="1"/>
  <c r="R220" i="1" l="1"/>
  <c r="S219" i="1"/>
  <c r="T219" i="1" s="1"/>
  <c r="Y234" i="1"/>
  <c r="Z234" i="1" s="1"/>
  <c r="AA234" i="1" s="1"/>
  <c r="W236" i="1"/>
  <c r="Y235" i="1" l="1"/>
  <c r="Z235" i="1" s="1"/>
  <c r="AA235" i="1" s="1"/>
  <c r="W237" i="1"/>
  <c r="R221" i="1"/>
  <c r="S220" i="1"/>
  <c r="T220" i="1" s="1"/>
  <c r="Y236" i="1" l="1"/>
  <c r="Z236" i="1" s="1"/>
  <c r="AA236" i="1" s="1"/>
  <c r="W238" i="1"/>
  <c r="R222" i="1"/>
  <c r="S221" i="1"/>
  <c r="T221" i="1" s="1"/>
  <c r="R223" i="1" l="1"/>
  <c r="S222" i="1"/>
  <c r="T222" i="1" s="1"/>
  <c r="Y237" i="1"/>
  <c r="Z237" i="1" s="1"/>
  <c r="AA237" i="1" s="1"/>
  <c r="W239" i="1"/>
  <c r="Y238" i="1" l="1"/>
  <c r="Z238" i="1" s="1"/>
  <c r="AA238" i="1" s="1"/>
  <c r="W240" i="1"/>
  <c r="R224" i="1"/>
  <c r="S223" i="1"/>
  <c r="T223" i="1" s="1"/>
  <c r="S224" i="1" l="1"/>
  <c r="T224" i="1" s="1"/>
  <c r="R225" i="1"/>
  <c r="Y239" i="1"/>
  <c r="Z239" i="1" s="1"/>
  <c r="AA239" i="1" s="1"/>
  <c r="W241" i="1"/>
  <c r="Y240" i="1" l="1"/>
  <c r="Z240" i="1" s="1"/>
  <c r="AA240" i="1" s="1"/>
  <c r="W242" i="1"/>
  <c r="R226" i="1"/>
  <c r="S225" i="1"/>
  <c r="T225" i="1" s="1"/>
  <c r="R227" i="1" l="1"/>
  <c r="S226" i="1"/>
  <c r="T226" i="1" s="1"/>
  <c r="Y241" i="1"/>
  <c r="Z241" i="1" s="1"/>
  <c r="AA241" i="1" s="1"/>
  <c r="W243" i="1"/>
  <c r="Y242" i="1" l="1"/>
  <c r="Z242" i="1" s="1"/>
  <c r="AA242" i="1" s="1"/>
  <c r="W244" i="1"/>
  <c r="R228" i="1"/>
  <c r="S227" i="1"/>
  <c r="T227" i="1" s="1"/>
  <c r="R229" i="1" l="1"/>
  <c r="S228" i="1"/>
  <c r="T228" i="1" s="1"/>
  <c r="Y243" i="1"/>
  <c r="Z243" i="1" s="1"/>
  <c r="AA243" i="1" s="1"/>
  <c r="W245" i="1"/>
  <c r="Y244" i="1" l="1"/>
  <c r="Z244" i="1" s="1"/>
  <c r="AA244" i="1" s="1"/>
  <c r="W246" i="1"/>
  <c r="R230" i="1"/>
  <c r="S229" i="1"/>
  <c r="T229" i="1" s="1"/>
  <c r="R231" i="1" l="1"/>
  <c r="S230" i="1"/>
  <c r="T230" i="1" s="1"/>
  <c r="Y245" i="1"/>
  <c r="Z245" i="1" s="1"/>
  <c r="AA245" i="1" s="1"/>
  <c r="W247" i="1"/>
  <c r="Y246" i="1" l="1"/>
  <c r="Z246" i="1" s="1"/>
  <c r="AA246" i="1" s="1"/>
  <c r="W248" i="1"/>
  <c r="R232" i="1"/>
  <c r="S231" i="1"/>
  <c r="T231" i="1" s="1"/>
  <c r="R233" i="1" l="1"/>
  <c r="S232" i="1"/>
  <c r="T232" i="1" s="1"/>
  <c r="Y247" i="1"/>
  <c r="Z247" i="1" s="1"/>
  <c r="AA247" i="1" s="1"/>
  <c r="W249" i="1"/>
  <c r="Y248" i="1" l="1"/>
  <c r="Z248" i="1" s="1"/>
  <c r="AA248" i="1" s="1"/>
  <c r="W250" i="1"/>
  <c r="R234" i="1"/>
  <c r="S233" i="1"/>
  <c r="T233" i="1" s="1"/>
  <c r="R235" i="1" l="1"/>
  <c r="S234" i="1"/>
  <c r="T234" i="1" s="1"/>
  <c r="Y249" i="1"/>
  <c r="Z249" i="1" s="1"/>
  <c r="AA249" i="1" s="1"/>
  <c r="W251" i="1"/>
  <c r="Y250" i="1" l="1"/>
  <c r="Z250" i="1" s="1"/>
  <c r="AA250" i="1" s="1"/>
  <c r="W252" i="1"/>
  <c r="R236" i="1"/>
  <c r="S235" i="1"/>
  <c r="T235" i="1" s="1"/>
  <c r="R237" i="1" l="1"/>
  <c r="S236" i="1"/>
  <c r="T236" i="1" s="1"/>
  <c r="Y251" i="1"/>
  <c r="Z251" i="1" s="1"/>
  <c r="AA251" i="1" s="1"/>
  <c r="W253" i="1"/>
  <c r="Y252" i="1" l="1"/>
  <c r="Z252" i="1" s="1"/>
  <c r="AA252" i="1" s="1"/>
  <c r="W254" i="1"/>
  <c r="R238" i="1"/>
  <c r="S237" i="1"/>
  <c r="T237" i="1" s="1"/>
  <c r="R239" i="1" l="1"/>
  <c r="S238" i="1"/>
  <c r="T238" i="1" s="1"/>
  <c r="Y253" i="1"/>
  <c r="Z253" i="1" s="1"/>
  <c r="AA253" i="1" s="1"/>
  <c r="W255" i="1"/>
  <c r="Y254" i="1" l="1"/>
  <c r="Z254" i="1" s="1"/>
  <c r="AA254" i="1" s="1"/>
  <c r="W256" i="1"/>
  <c r="R240" i="1"/>
  <c r="S239" i="1"/>
  <c r="T239" i="1" s="1"/>
  <c r="R241" i="1" l="1"/>
  <c r="S240" i="1"/>
  <c r="T240" i="1" s="1"/>
  <c r="Y255" i="1"/>
  <c r="Z255" i="1" s="1"/>
  <c r="AA255" i="1" s="1"/>
  <c r="W257" i="1"/>
  <c r="Y256" i="1" l="1"/>
  <c r="Z256" i="1" s="1"/>
  <c r="AA256" i="1" s="1"/>
  <c r="W258" i="1"/>
  <c r="R242" i="1"/>
  <c r="S241" i="1"/>
  <c r="T241" i="1" s="1"/>
  <c r="R243" i="1" l="1"/>
  <c r="S242" i="1"/>
  <c r="T242" i="1" s="1"/>
  <c r="Y257" i="1"/>
  <c r="Z257" i="1" s="1"/>
  <c r="AA257" i="1" s="1"/>
  <c r="W259" i="1"/>
  <c r="Y258" i="1" l="1"/>
  <c r="Z258" i="1" s="1"/>
  <c r="AA258" i="1" s="1"/>
  <c r="W260" i="1"/>
  <c r="R244" i="1"/>
  <c r="S243" i="1"/>
  <c r="T243" i="1" s="1"/>
  <c r="R245" i="1" l="1"/>
  <c r="S244" i="1"/>
  <c r="T244" i="1" s="1"/>
  <c r="Y259" i="1"/>
  <c r="Z259" i="1" s="1"/>
  <c r="AA259" i="1" s="1"/>
  <c r="W261" i="1"/>
  <c r="Y260" i="1" l="1"/>
  <c r="Z260" i="1" s="1"/>
  <c r="AA260" i="1" s="1"/>
  <c r="W262" i="1"/>
  <c r="R246" i="1"/>
  <c r="S245" i="1"/>
  <c r="T245" i="1" s="1"/>
  <c r="R247" i="1" l="1"/>
  <c r="S246" i="1"/>
  <c r="T246" i="1" s="1"/>
  <c r="Y261" i="1"/>
  <c r="Z261" i="1" s="1"/>
  <c r="AA261" i="1" s="1"/>
  <c r="W263" i="1"/>
  <c r="Y262" i="1" l="1"/>
  <c r="Z262" i="1" s="1"/>
  <c r="AA262" i="1" s="1"/>
  <c r="W264" i="1"/>
  <c r="R248" i="1"/>
  <c r="S247" i="1"/>
  <c r="T247" i="1" s="1"/>
  <c r="R249" i="1" l="1"/>
  <c r="S248" i="1"/>
  <c r="T248" i="1" s="1"/>
  <c r="Y263" i="1"/>
  <c r="Z263" i="1" s="1"/>
  <c r="AA263" i="1" s="1"/>
  <c r="W265" i="1"/>
  <c r="Y264" i="1" l="1"/>
  <c r="Z264" i="1" s="1"/>
  <c r="AA264" i="1" s="1"/>
  <c r="W266" i="1"/>
  <c r="R250" i="1"/>
  <c r="S249" i="1"/>
  <c r="T249" i="1" s="1"/>
  <c r="R251" i="1" l="1"/>
  <c r="S250" i="1"/>
  <c r="T250" i="1" s="1"/>
  <c r="Y265" i="1"/>
  <c r="Z265" i="1" s="1"/>
  <c r="AA265" i="1" s="1"/>
  <c r="W267" i="1"/>
  <c r="Y266" i="1" l="1"/>
  <c r="Z266" i="1" s="1"/>
  <c r="AA266" i="1" s="1"/>
  <c r="W268" i="1"/>
  <c r="R252" i="1"/>
  <c r="S251" i="1"/>
  <c r="T251" i="1" s="1"/>
  <c r="R253" i="1" l="1"/>
  <c r="S252" i="1"/>
  <c r="T252" i="1" s="1"/>
  <c r="Y267" i="1"/>
  <c r="Z267" i="1" s="1"/>
  <c r="AA267" i="1" s="1"/>
  <c r="W269" i="1"/>
  <c r="Y268" i="1" l="1"/>
  <c r="Z268" i="1" s="1"/>
  <c r="AA268" i="1" s="1"/>
  <c r="W270" i="1"/>
  <c r="R254" i="1"/>
  <c r="S253" i="1"/>
  <c r="T253" i="1" s="1"/>
  <c r="R255" i="1" l="1"/>
  <c r="S254" i="1"/>
  <c r="T254" i="1" s="1"/>
  <c r="Y269" i="1"/>
  <c r="Z269" i="1" s="1"/>
  <c r="AA269" i="1" s="1"/>
  <c r="W271" i="1"/>
  <c r="Y270" i="1" l="1"/>
  <c r="Z270" i="1" s="1"/>
  <c r="AA270" i="1" s="1"/>
  <c r="W272" i="1"/>
  <c r="R256" i="1"/>
  <c r="S255" i="1"/>
  <c r="T255" i="1" s="1"/>
  <c r="R257" i="1" l="1"/>
  <c r="S256" i="1"/>
  <c r="T256" i="1" s="1"/>
  <c r="Y271" i="1"/>
  <c r="Z271" i="1" s="1"/>
  <c r="AA271" i="1" s="1"/>
  <c r="W273" i="1"/>
  <c r="Y272" i="1" l="1"/>
  <c r="Z272" i="1" s="1"/>
  <c r="AA272" i="1" s="1"/>
  <c r="W274" i="1"/>
  <c r="R258" i="1"/>
  <c r="S257" i="1"/>
  <c r="T257" i="1" s="1"/>
  <c r="R259" i="1" l="1"/>
  <c r="S258" i="1"/>
  <c r="T258" i="1" s="1"/>
  <c r="Y273" i="1"/>
  <c r="Z273" i="1" s="1"/>
  <c r="AA273" i="1" s="1"/>
  <c r="W275" i="1"/>
  <c r="Y274" i="1" l="1"/>
  <c r="Z274" i="1" s="1"/>
  <c r="AA274" i="1" s="1"/>
  <c r="W276" i="1"/>
  <c r="R260" i="1"/>
  <c r="S259" i="1"/>
  <c r="T259" i="1" s="1"/>
  <c r="R261" i="1" l="1"/>
  <c r="S260" i="1"/>
  <c r="T260" i="1" s="1"/>
  <c r="Y275" i="1"/>
  <c r="Z275" i="1" s="1"/>
  <c r="AA275" i="1" s="1"/>
  <c r="W277" i="1"/>
  <c r="Y276" i="1" l="1"/>
  <c r="Z276" i="1" s="1"/>
  <c r="AA276" i="1" s="1"/>
  <c r="W278" i="1"/>
  <c r="R262" i="1"/>
  <c r="S261" i="1"/>
  <c r="T261" i="1" s="1"/>
  <c r="R263" i="1" l="1"/>
  <c r="S262" i="1"/>
  <c r="T262" i="1" s="1"/>
  <c r="Y277" i="1"/>
  <c r="Z277" i="1" s="1"/>
  <c r="AA277" i="1" s="1"/>
  <c r="W279" i="1"/>
  <c r="Y278" i="1" l="1"/>
  <c r="Z278" i="1" s="1"/>
  <c r="AA278" i="1" s="1"/>
  <c r="W280" i="1"/>
  <c r="R264" i="1"/>
  <c r="S263" i="1"/>
  <c r="T263" i="1" s="1"/>
  <c r="R265" i="1" l="1"/>
  <c r="S264" i="1"/>
  <c r="T264" i="1" s="1"/>
  <c r="Y279" i="1"/>
  <c r="Z279" i="1" s="1"/>
  <c r="AA279" i="1" s="1"/>
  <c r="W281" i="1"/>
  <c r="Y280" i="1" l="1"/>
  <c r="Z280" i="1" s="1"/>
  <c r="AA280" i="1" s="1"/>
  <c r="W282" i="1"/>
  <c r="R266" i="1"/>
  <c r="S265" i="1"/>
  <c r="T265" i="1" s="1"/>
  <c r="Y281" i="1" l="1"/>
  <c r="Z281" i="1" s="1"/>
  <c r="AA281" i="1" s="1"/>
  <c r="W283" i="1"/>
  <c r="R267" i="1"/>
  <c r="S266" i="1"/>
  <c r="T266" i="1" s="1"/>
  <c r="R268" i="1" l="1"/>
  <c r="S267" i="1"/>
  <c r="T267" i="1" s="1"/>
  <c r="Y282" i="1"/>
  <c r="Z282" i="1" s="1"/>
  <c r="AA282" i="1" s="1"/>
  <c r="W284" i="1"/>
  <c r="Y283" i="1" l="1"/>
  <c r="Z283" i="1" s="1"/>
  <c r="AA283" i="1" s="1"/>
  <c r="W285" i="1"/>
  <c r="R269" i="1"/>
  <c r="S268" i="1"/>
  <c r="T268" i="1" s="1"/>
  <c r="R270" i="1" l="1"/>
  <c r="S269" i="1"/>
  <c r="T269" i="1" s="1"/>
  <c r="Y284" i="1"/>
  <c r="Z284" i="1" s="1"/>
  <c r="AA284" i="1" s="1"/>
  <c r="W286" i="1"/>
  <c r="Y285" i="1" l="1"/>
  <c r="Z285" i="1" s="1"/>
  <c r="AA285" i="1" s="1"/>
  <c r="W287" i="1"/>
  <c r="R271" i="1"/>
  <c r="S270" i="1"/>
  <c r="T270" i="1" s="1"/>
  <c r="R272" i="1" l="1"/>
  <c r="S271" i="1"/>
  <c r="T271" i="1" s="1"/>
  <c r="Y286" i="1"/>
  <c r="Z286" i="1" s="1"/>
  <c r="AA286" i="1" s="1"/>
  <c r="W288" i="1"/>
  <c r="Y287" i="1" l="1"/>
  <c r="Z287" i="1" s="1"/>
  <c r="AA287" i="1" s="1"/>
  <c r="W289" i="1"/>
  <c r="R273" i="1"/>
  <c r="S272" i="1"/>
  <c r="T272" i="1" s="1"/>
  <c r="Y288" i="1" l="1"/>
  <c r="Z288" i="1" s="1"/>
  <c r="AA288" i="1" s="1"/>
  <c r="W290" i="1"/>
  <c r="R274" i="1"/>
  <c r="S273" i="1"/>
  <c r="T273" i="1" s="1"/>
  <c r="R275" i="1" l="1"/>
  <c r="S274" i="1"/>
  <c r="T274" i="1" s="1"/>
  <c r="Y289" i="1"/>
  <c r="Z289" i="1" s="1"/>
  <c r="AA289" i="1" s="1"/>
  <c r="W291" i="1"/>
  <c r="Y290" i="1" l="1"/>
  <c r="Z290" i="1" s="1"/>
  <c r="AA290" i="1" s="1"/>
  <c r="W292" i="1"/>
  <c r="R276" i="1"/>
  <c r="S275" i="1"/>
  <c r="T275" i="1" s="1"/>
  <c r="R277" i="1" l="1"/>
  <c r="S276" i="1"/>
  <c r="T276" i="1" s="1"/>
  <c r="Y291" i="1"/>
  <c r="Z291" i="1" s="1"/>
  <c r="AA291" i="1" s="1"/>
  <c r="W293" i="1"/>
  <c r="Y292" i="1" l="1"/>
  <c r="Z292" i="1" s="1"/>
  <c r="AA292" i="1" s="1"/>
  <c r="W294" i="1"/>
  <c r="S277" i="1"/>
  <c r="T277" i="1" s="1"/>
  <c r="R278" i="1"/>
  <c r="R279" i="1" l="1"/>
  <c r="S278" i="1"/>
  <c r="T278" i="1" s="1"/>
  <c r="Y293" i="1"/>
  <c r="Z293" i="1" s="1"/>
  <c r="AA293" i="1" s="1"/>
  <c r="W295" i="1"/>
  <c r="Y294" i="1" l="1"/>
  <c r="Z294" i="1" s="1"/>
  <c r="AA294" i="1" s="1"/>
  <c r="W296" i="1"/>
  <c r="R280" i="1"/>
  <c r="S279" i="1"/>
  <c r="T279" i="1" s="1"/>
  <c r="R281" i="1" l="1"/>
  <c r="S280" i="1"/>
  <c r="T280" i="1" s="1"/>
  <c r="Y295" i="1"/>
  <c r="Z295" i="1" s="1"/>
  <c r="AA295" i="1" s="1"/>
  <c r="W297" i="1"/>
  <c r="Y296" i="1" l="1"/>
  <c r="Z296" i="1" s="1"/>
  <c r="AA296" i="1" s="1"/>
  <c r="W298" i="1"/>
  <c r="R282" i="1"/>
  <c r="S281" i="1"/>
  <c r="T281" i="1" s="1"/>
  <c r="R283" i="1" l="1"/>
  <c r="S282" i="1"/>
  <c r="T282" i="1" s="1"/>
  <c r="Y297" i="1"/>
  <c r="Z297" i="1" s="1"/>
  <c r="AA297" i="1" s="1"/>
  <c r="W299" i="1"/>
  <c r="Y298" i="1" l="1"/>
  <c r="Z298" i="1" s="1"/>
  <c r="AA298" i="1" s="1"/>
  <c r="W300" i="1"/>
  <c r="S283" i="1"/>
  <c r="T283" i="1" s="1"/>
  <c r="R284" i="1"/>
  <c r="R285" i="1" l="1"/>
  <c r="S284" i="1"/>
  <c r="T284" i="1" s="1"/>
  <c r="Y299" i="1"/>
  <c r="Z299" i="1" s="1"/>
  <c r="AA299" i="1" s="1"/>
  <c r="W301" i="1"/>
  <c r="Y300" i="1" l="1"/>
  <c r="W302" i="1"/>
  <c r="R286" i="1"/>
  <c r="S285" i="1"/>
  <c r="T285" i="1" s="1"/>
  <c r="R287" i="1" l="1"/>
  <c r="S286" i="1"/>
  <c r="T286" i="1" s="1"/>
  <c r="Y301" i="1"/>
  <c r="W303" i="1"/>
  <c r="Z300" i="1"/>
  <c r="AA300" i="1" s="1"/>
  <c r="Y302" i="1" l="1"/>
  <c r="W304" i="1"/>
  <c r="Z301" i="1"/>
  <c r="AA301" i="1" s="1"/>
  <c r="R288" i="1"/>
  <c r="S287" i="1"/>
  <c r="T287" i="1" s="1"/>
  <c r="R289" i="1" l="1"/>
  <c r="S288" i="1"/>
  <c r="T288" i="1" s="1"/>
  <c r="Y303" i="1"/>
  <c r="W305" i="1"/>
  <c r="Z302" i="1"/>
  <c r="AA302" i="1" s="1"/>
  <c r="Z303" i="1" l="1"/>
  <c r="AA303" i="1" s="1"/>
  <c r="Y304" i="1"/>
  <c r="W306" i="1"/>
  <c r="R290" i="1"/>
  <c r="S289" i="1"/>
  <c r="T289" i="1" s="1"/>
  <c r="Z304" i="1" l="1"/>
  <c r="AA304" i="1" s="1"/>
  <c r="Y305" i="1"/>
  <c r="W307" i="1"/>
  <c r="R291" i="1"/>
  <c r="S290" i="1"/>
  <c r="T290" i="1" s="1"/>
  <c r="R292" i="1" l="1"/>
  <c r="S291" i="1"/>
  <c r="T291" i="1" s="1"/>
  <c r="Y306" i="1"/>
  <c r="W308" i="1"/>
  <c r="Z305" i="1"/>
  <c r="AA305" i="1" s="1"/>
  <c r="Y307" i="1" l="1"/>
  <c r="W309" i="1"/>
  <c r="Z306" i="1"/>
  <c r="AA306" i="1" s="1"/>
  <c r="R293" i="1"/>
  <c r="S292" i="1"/>
  <c r="T292" i="1" s="1"/>
  <c r="R294" i="1" l="1"/>
  <c r="S293" i="1"/>
  <c r="T293" i="1" s="1"/>
  <c r="Y308" i="1"/>
  <c r="W310" i="1"/>
  <c r="Z307" i="1"/>
  <c r="AA307" i="1" s="1"/>
  <c r="Y309" i="1" l="1"/>
  <c r="W311" i="1"/>
  <c r="Z308" i="1"/>
  <c r="AA308" i="1" s="1"/>
  <c r="R295" i="1"/>
  <c r="S294" i="1"/>
  <c r="T294" i="1" s="1"/>
  <c r="R296" i="1" l="1"/>
  <c r="S295" i="1"/>
  <c r="T295" i="1" s="1"/>
  <c r="Y310" i="1"/>
  <c r="W312" i="1"/>
  <c r="Z309" i="1"/>
  <c r="AA309" i="1" s="1"/>
  <c r="Y311" i="1" l="1"/>
  <c r="W313" i="1"/>
  <c r="Z310" i="1"/>
  <c r="AA310" i="1" s="1"/>
  <c r="R297" i="1"/>
  <c r="S296" i="1"/>
  <c r="T296" i="1" s="1"/>
  <c r="R298" i="1" l="1"/>
  <c r="S297" i="1"/>
  <c r="T297" i="1" s="1"/>
  <c r="Y312" i="1"/>
  <c r="W314" i="1"/>
  <c r="Z311" i="1"/>
  <c r="AA311" i="1" s="1"/>
  <c r="Y313" i="1" l="1"/>
  <c r="W315" i="1"/>
  <c r="Z312" i="1"/>
  <c r="AA312" i="1" s="1"/>
  <c r="R299" i="1"/>
  <c r="S298" i="1"/>
  <c r="T298" i="1" s="1"/>
  <c r="R300" i="1" l="1"/>
  <c r="S299" i="1"/>
  <c r="T299" i="1" s="1"/>
  <c r="Y314" i="1"/>
  <c r="W316" i="1"/>
  <c r="Z313" i="1"/>
  <c r="AA313" i="1" s="1"/>
  <c r="Y315" i="1" l="1"/>
  <c r="W317" i="1"/>
  <c r="Z314" i="1"/>
  <c r="AA314" i="1" s="1"/>
  <c r="R301" i="1"/>
  <c r="S300" i="1"/>
  <c r="T300" i="1" s="1"/>
  <c r="R302" i="1" l="1"/>
  <c r="S301" i="1"/>
  <c r="T301" i="1" s="1"/>
  <c r="Y316" i="1"/>
  <c r="W318" i="1"/>
  <c r="Z315" i="1"/>
  <c r="AA315" i="1" s="1"/>
  <c r="Y317" i="1" l="1"/>
  <c r="W319" i="1"/>
  <c r="Z316" i="1"/>
  <c r="AA316" i="1" s="1"/>
  <c r="R303" i="1"/>
  <c r="S302" i="1"/>
  <c r="T302" i="1" s="1"/>
  <c r="R304" i="1" l="1"/>
  <c r="S303" i="1"/>
  <c r="T303" i="1" s="1"/>
  <c r="Y318" i="1"/>
  <c r="W320" i="1"/>
  <c r="Z317" i="1"/>
  <c r="AA317" i="1" s="1"/>
  <c r="Y319" i="1" l="1"/>
  <c r="W321" i="1"/>
  <c r="Z318" i="1"/>
  <c r="AA318" i="1" s="1"/>
  <c r="R305" i="1"/>
  <c r="S304" i="1"/>
  <c r="T304" i="1" s="1"/>
  <c r="S305" i="1" l="1"/>
  <c r="T305" i="1" s="1"/>
  <c r="R306" i="1"/>
  <c r="Y320" i="1"/>
  <c r="W322" i="1"/>
  <c r="Z319" i="1"/>
  <c r="AA319" i="1" s="1"/>
  <c r="Y321" i="1" l="1"/>
  <c r="W323" i="1"/>
  <c r="Z320" i="1"/>
  <c r="AA320" i="1" s="1"/>
  <c r="R307" i="1"/>
  <c r="S306" i="1"/>
  <c r="T306" i="1" s="1"/>
  <c r="R308" i="1" l="1"/>
  <c r="S307" i="1"/>
  <c r="T307" i="1" s="1"/>
  <c r="Y322" i="1"/>
  <c r="W324" i="1"/>
  <c r="Z321" i="1"/>
  <c r="AA321" i="1" s="1"/>
  <c r="Y323" i="1" l="1"/>
  <c r="W325" i="1"/>
  <c r="Z322" i="1"/>
  <c r="AA322" i="1" s="1"/>
  <c r="R309" i="1"/>
  <c r="S308" i="1"/>
  <c r="T308" i="1" s="1"/>
  <c r="S309" i="1" l="1"/>
  <c r="T309" i="1" s="1"/>
  <c r="R310" i="1"/>
  <c r="Y324" i="1"/>
  <c r="W326" i="1"/>
  <c r="Z323" i="1"/>
  <c r="AA323" i="1" s="1"/>
  <c r="Y325" i="1" l="1"/>
  <c r="W327" i="1"/>
  <c r="Z324" i="1"/>
  <c r="AA324" i="1" s="1"/>
  <c r="R311" i="1"/>
  <c r="S310" i="1"/>
  <c r="T310" i="1" s="1"/>
  <c r="R312" i="1" l="1"/>
  <c r="S311" i="1"/>
  <c r="T311" i="1" s="1"/>
  <c r="Y326" i="1"/>
  <c r="W328" i="1"/>
  <c r="Z325" i="1"/>
  <c r="AA325" i="1" s="1"/>
  <c r="Y327" i="1" l="1"/>
  <c r="W329" i="1"/>
  <c r="Z326" i="1"/>
  <c r="AA326" i="1" s="1"/>
  <c r="R313" i="1"/>
  <c r="S312" i="1"/>
  <c r="T312" i="1" s="1"/>
  <c r="R314" i="1" l="1"/>
  <c r="S313" i="1"/>
  <c r="T313" i="1" s="1"/>
  <c r="Y328" i="1"/>
  <c r="W330" i="1"/>
  <c r="Z327" i="1"/>
  <c r="AA327" i="1" s="1"/>
  <c r="Y329" i="1" l="1"/>
  <c r="W331" i="1"/>
  <c r="Z328" i="1"/>
  <c r="AA328" i="1" s="1"/>
  <c r="R315" i="1"/>
  <c r="S314" i="1"/>
  <c r="T314" i="1" s="1"/>
  <c r="R316" i="1" l="1"/>
  <c r="S315" i="1"/>
  <c r="T315" i="1" s="1"/>
  <c r="Y330" i="1"/>
  <c r="W332" i="1"/>
  <c r="Z329" i="1"/>
  <c r="AA329" i="1" s="1"/>
  <c r="Y331" i="1" l="1"/>
  <c r="W333" i="1"/>
  <c r="Z330" i="1"/>
  <c r="AA330" i="1" s="1"/>
  <c r="R317" i="1"/>
  <c r="S316" i="1"/>
  <c r="T316" i="1" s="1"/>
  <c r="R318" i="1" l="1"/>
  <c r="S317" i="1"/>
  <c r="T317" i="1" s="1"/>
  <c r="Y332" i="1"/>
  <c r="W334" i="1"/>
  <c r="Z331" i="1"/>
  <c r="AA331" i="1" s="1"/>
  <c r="Y333" i="1" l="1"/>
  <c r="W335" i="1"/>
  <c r="Z332" i="1"/>
  <c r="AA332" i="1" s="1"/>
  <c r="R319" i="1"/>
  <c r="S318" i="1"/>
  <c r="T318" i="1" s="1"/>
  <c r="R320" i="1" l="1"/>
  <c r="S319" i="1"/>
  <c r="T319" i="1" s="1"/>
  <c r="Y334" i="1"/>
  <c r="W336" i="1"/>
  <c r="Z333" i="1"/>
  <c r="AA333" i="1" s="1"/>
  <c r="Y335" i="1" l="1"/>
  <c r="W337" i="1"/>
  <c r="Z334" i="1"/>
  <c r="AA334" i="1" s="1"/>
  <c r="R321" i="1"/>
  <c r="S320" i="1"/>
  <c r="T320" i="1" s="1"/>
  <c r="R322" i="1" l="1"/>
  <c r="S321" i="1"/>
  <c r="T321" i="1" s="1"/>
  <c r="Y336" i="1"/>
  <c r="W338" i="1"/>
  <c r="Z335" i="1"/>
  <c r="AA335" i="1" s="1"/>
  <c r="Y337" i="1" l="1"/>
  <c r="W339" i="1"/>
  <c r="Z336" i="1"/>
  <c r="AA336" i="1" s="1"/>
  <c r="R323" i="1"/>
  <c r="S322" i="1"/>
  <c r="T322" i="1" s="1"/>
  <c r="R324" i="1" l="1"/>
  <c r="S323" i="1"/>
  <c r="T323" i="1" s="1"/>
  <c r="Y338" i="1"/>
  <c r="W340" i="1"/>
  <c r="Z337" i="1"/>
  <c r="AA337" i="1" s="1"/>
  <c r="Y339" i="1" l="1"/>
  <c r="W341" i="1"/>
  <c r="Z338" i="1"/>
  <c r="AA338" i="1" s="1"/>
  <c r="R325" i="1"/>
  <c r="S324" i="1"/>
  <c r="T324" i="1" s="1"/>
  <c r="R326" i="1" l="1"/>
  <c r="S325" i="1"/>
  <c r="T325" i="1" s="1"/>
  <c r="Y340" i="1"/>
  <c r="W342" i="1"/>
  <c r="Z339" i="1"/>
  <c r="AA339" i="1" s="1"/>
  <c r="Y341" i="1" l="1"/>
  <c r="W343" i="1"/>
  <c r="Z340" i="1"/>
  <c r="AA340" i="1" s="1"/>
  <c r="R327" i="1"/>
  <c r="S326" i="1"/>
  <c r="T326" i="1" s="1"/>
  <c r="R328" i="1" l="1"/>
  <c r="S327" i="1"/>
  <c r="T327" i="1" s="1"/>
  <c r="Y342" i="1"/>
  <c r="W344" i="1"/>
  <c r="Z341" i="1"/>
  <c r="AA341" i="1" s="1"/>
  <c r="S328" i="1" l="1"/>
  <c r="T328" i="1" s="1"/>
  <c r="R329" i="1"/>
  <c r="Y343" i="1"/>
  <c r="W345" i="1"/>
  <c r="Z342" i="1"/>
  <c r="AA342" i="1" s="1"/>
  <c r="Y344" i="1" l="1"/>
  <c r="W346" i="1"/>
  <c r="Z343" i="1"/>
  <c r="AA343" i="1" s="1"/>
  <c r="R330" i="1"/>
  <c r="S329" i="1"/>
  <c r="T329" i="1" s="1"/>
  <c r="Y345" i="1" l="1"/>
  <c r="W347" i="1"/>
  <c r="R331" i="1"/>
  <c r="S330" i="1"/>
  <c r="T330" i="1" s="1"/>
  <c r="Z344" i="1"/>
  <c r="AA344" i="1" s="1"/>
  <c r="Y346" i="1" l="1"/>
  <c r="W348" i="1"/>
  <c r="R332" i="1"/>
  <c r="S331" i="1"/>
  <c r="T331" i="1" s="1"/>
  <c r="Z345" i="1"/>
  <c r="AA345" i="1" s="1"/>
  <c r="R333" i="1" l="1"/>
  <c r="S332" i="1"/>
  <c r="T332" i="1" s="1"/>
  <c r="Y347" i="1"/>
  <c r="W349" i="1"/>
  <c r="Z346" i="1"/>
  <c r="AA346" i="1" s="1"/>
  <c r="Y348" i="1" l="1"/>
  <c r="W350" i="1"/>
  <c r="Z347" i="1"/>
  <c r="AA347" i="1" s="1"/>
  <c r="R334" i="1"/>
  <c r="S333" i="1"/>
  <c r="T333" i="1" s="1"/>
  <c r="R335" i="1" l="1"/>
  <c r="S334" i="1"/>
  <c r="T334" i="1" s="1"/>
  <c r="Y349" i="1"/>
  <c r="W351" i="1"/>
  <c r="Z348" i="1"/>
  <c r="AA348" i="1" s="1"/>
  <c r="Y350" i="1" l="1"/>
  <c r="W352" i="1"/>
  <c r="Z349" i="1"/>
  <c r="AA349" i="1" s="1"/>
  <c r="R336" i="1"/>
  <c r="S335" i="1"/>
  <c r="T335" i="1" s="1"/>
  <c r="R337" i="1" l="1"/>
  <c r="S336" i="1"/>
  <c r="T336" i="1" s="1"/>
  <c r="Y351" i="1"/>
  <c r="W353" i="1"/>
  <c r="Z350" i="1"/>
  <c r="AA350" i="1" s="1"/>
  <c r="Y352" i="1" l="1"/>
  <c r="W354" i="1"/>
  <c r="Z351" i="1"/>
  <c r="AA351" i="1" s="1"/>
  <c r="R338" i="1"/>
  <c r="S337" i="1"/>
  <c r="T337" i="1" s="1"/>
  <c r="R339" i="1" l="1"/>
  <c r="S338" i="1"/>
  <c r="T338" i="1" s="1"/>
  <c r="Y353" i="1"/>
  <c r="W355" i="1"/>
  <c r="Z352" i="1"/>
  <c r="AA352" i="1" s="1"/>
  <c r="Y354" i="1" l="1"/>
  <c r="W356" i="1"/>
  <c r="Z353" i="1"/>
  <c r="AA353" i="1" s="1"/>
  <c r="R340" i="1"/>
  <c r="S339" i="1"/>
  <c r="T339" i="1" s="1"/>
  <c r="R341" i="1" l="1"/>
  <c r="S340" i="1"/>
  <c r="T340" i="1" s="1"/>
  <c r="Y355" i="1"/>
  <c r="W357" i="1"/>
  <c r="Z354" i="1"/>
  <c r="AA354" i="1" s="1"/>
  <c r="Y356" i="1" l="1"/>
  <c r="W358" i="1"/>
  <c r="Z355" i="1"/>
  <c r="AA355" i="1" s="1"/>
  <c r="R342" i="1"/>
  <c r="S341" i="1"/>
  <c r="T341" i="1" s="1"/>
  <c r="R343" i="1" l="1"/>
  <c r="S342" i="1"/>
  <c r="T342" i="1" s="1"/>
  <c r="Y357" i="1"/>
  <c r="W359" i="1"/>
  <c r="Z356" i="1"/>
  <c r="AA356" i="1" s="1"/>
  <c r="Y358" i="1" l="1"/>
  <c r="W360" i="1"/>
  <c r="Z357" i="1"/>
  <c r="AA357" i="1" s="1"/>
  <c r="R344" i="1"/>
  <c r="S343" i="1"/>
  <c r="T343" i="1" s="1"/>
  <c r="R345" i="1" l="1"/>
  <c r="S344" i="1"/>
  <c r="T344" i="1" s="1"/>
  <c r="Y359" i="1"/>
  <c r="W361" i="1"/>
  <c r="Z358" i="1"/>
  <c r="AA358" i="1" s="1"/>
  <c r="Y360" i="1" l="1"/>
  <c r="W362" i="1"/>
  <c r="Z359" i="1"/>
  <c r="AA359" i="1" s="1"/>
  <c r="R346" i="1"/>
  <c r="S345" i="1"/>
  <c r="T345" i="1" s="1"/>
  <c r="R347" i="1" l="1"/>
  <c r="S346" i="1"/>
  <c r="T346" i="1" s="1"/>
  <c r="Y361" i="1"/>
  <c r="W363" i="1"/>
  <c r="Z360" i="1"/>
  <c r="AA360" i="1" s="1"/>
  <c r="Y362" i="1" l="1"/>
  <c r="W364" i="1"/>
  <c r="Z361" i="1"/>
  <c r="AA361" i="1" s="1"/>
  <c r="R348" i="1"/>
  <c r="S347" i="1"/>
  <c r="T347" i="1" s="1"/>
  <c r="R349" i="1" l="1"/>
  <c r="S348" i="1"/>
  <c r="T348" i="1" s="1"/>
  <c r="Y363" i="1"/>
  <c r="W365" i="1"/>
  <c r="Z362" i="1"/>
  <c r="AA362" i="1" s="1"/>
  <c r="Z363" i="1" l="1"/>
  <c r="AA363" i="1" s="1"/>
  <c r="Y364" i="1"/>
  <c r="W366" i="1"/>
  <c r="R350" i="1"/>
  <c r="S349" i="1"/>
  <c r="T349" i="1" s="1"/>
  <c r="Z364" i="1" l="1"/>
  <c r="AA364" i="1" s="1"/>
  <c r="R351" i="1"/>
  <c r="S350" i="1"/>
  <c r="T350" i="1" s="1"/>
  <c r="Y365" i="1"/>
  <c r="W367" i="1"/>
  <c r="Z365" i="1" l="1"/>
  <c r="AA365" i="1" s="1"/>
  <c r="Y366" i="1"/>
  <c r="W368" i="1"/>
  <c r="S351" i="1"/>
  <c r="T351" i="1" s="1"/>
  <c r="R352" i="1"/>
  <c r="Z366" i="1" l="1"/>
  <c r="AA366" i="1" s="1"/>
  <c r="R353" i="1"/>
  <c r="S352" i="1"/>
  <c r="T352" i="1" s="1"/>
  <c r="Y367" i="1"/>
  <c r="W369" i="1"/>
  <c r="Y368" i="1" l="1"/>
  <c r="W370" i="1"/>
  <c r="Z367" i="1"/>
  <c r="AA367" i="1" s="1"/>
  <c r="R354" i="1"/>
  <c r="S353" i="1"/>
  <c r="T353" i="1" s="1"/>
  <c r="R355" i="1" l="1"/>
  <c r="S354" i="1"/>
  <c r="T354" i="1" s="1"/>
  <c r="Y369" i="1"/>
  <c r="W371" i="1"/>
  <c r="Z368" i="1"/>
  <c r="AA368" i="1" s="1"/>
  <c r="Y370" i="1" l="1"/>
  <c r="W372" i="1"/>
  <c r="Z369" i="1"/>
  <c r="AA369" i="1" s="1"/>
  <c r="S355" i="1"/>
  <c r="T355" i="1" s="1"/>
  <c r="R356" i="1"/>
  <c r="R357" i="1" l="1"/>
  <c r="S356" i="1"/>
  <c r="T356" i="1" s="1"/>
  <c r="Y371" i="1"/>
  <c r="W373" i="1"/>
  <c r="Z370" i="1"/>
  <c r="AA370" i="1" s="1"/>
  <c r="Y372" i="1" l="1"/>
  <c r="W374" i="1"/>
  <c r="Z371" i="1"/>
  <c r="AA371" i="1" s="1"/>
  <c r="R358" i="1"/>
  <c r="S357" i="1"/>
  <c r="T357" i="1" s="1"/>
  <c r="R359" i="1" l="1"/>
  <c r="S358" i="1"/>
  <c r="T358" i="1" s="1"/>
  <c r="Y373" i="1"/>
  <c r="W375" i="1"/>
  <c r="Z372" i="1"/>
  <c r="AA372" i="1" s="1"/>
  <c r="Y374" i="1" l="1"/>
  <c r="W376" i="1"/>
  <c r="Z373" i="1"/>
  <c r="AA373" i="1" s="1"/>
  <c r="S359" i="1"/>
  <c r="T359" i="1" s="1"/>
  <c r="R360" i="1"/>
  <c r="R361" i="1" l="1"/>
  <c r="S360" i="1"/>
  <c r="T360" i="1" s="1"/>
  <c r="Y375" i="1"/>
  <c r="W377" i="1"/>
  <c r="Z374" i="1"/>
  <c r="AA374" i="1" s="1"/>
  <c r="Y376" i="1" l="1"/>
  <c r="W378" i="1"/>
  <c r="Z375" i="1"/>
  <c r="AA375" i="1" s="1"/>
  <c r="R362" i="1"/>
  <c r="S361" i="1"/>
  <c r="T361" i="1" s="1"/>
  <c r="R363" i="1" l="1"/>
  <c r="S362" i="1"/>
  <c r="T362" i="1" s="1"/>
  <c r="Y377" i="1"/>
  <c r="W379" i="1"/>
  <c r="Z376" i="1"/>
  <c r="AA376" i="1" s="1"/>
  <c r="Y378" i="1" l="1"/>
  <c r="W380" i="1"/>
  <c r="Z377" i="1"/>
  <c r="AA377" i="1" s="1"/>
  <c r="R364" i="1"/>
  <c r="S363" i="1"/>
  <c r="T363" i="1" s="1"/>
  <c r="R365" i="1" l="1"/>
  <c r="S364" i="1"/>
  <c r="T364" i="1" s="1"/>
  <c r="Y379" i="1"/>
  <c r="W381" i="1"/>
  <c r="Z378" i="1"/>
  <c r="AA378" i="1" s="1"/>
  <c r="Y380" i="1" l="1"/>
  <c r="W382" i="1"/>
  <c r="Z379" i="1"/>
  <c r="AA379" i="1" s="1"/>
  <c r="R366" i="1"/>
  <c r="S365" i="1"/>
  <c r="T365" i="1" s="1"/>
  <c r="R367" i="1" l="1"/>
  <c r="S366" i="1"/>
  <c r="T366" i="1" s="1"/>
  <c r="Y381" i="1"/>
  <c r="W383" i="1"/>
  <c r="Z380" i="1"/>
  <c r="AA380" i="1" s="1"/>
  <c r="Y382" i="1" l="1"/>
  <c r="W384" i="1"/>
  <c r="Z381" i="1"/>
  <c r="AA381" i="1" s="1"/>
  <c r="R368" i="1"/>
  <c r="S367" i="1"/>
  <c r="T367" i="1" s="1"/>
  <c r="R369" i="1" l="1"/>
  <c r="S368" i="1"/>
  <c r="T368" i="1" s="1"/>
  <c r="Y383" i="1"/>
  <c r="W385" i="1"/>
  <c r="Z382" i="1"/>
  <c r="AA382" i="1" s="1"/>
  <c r="Z383" i="1" l="1"/>
  <c r="AA383" i="1" s="1"/>
  <c r="Y384" i="1"/>
  <c r="W386" i="1"/>
  <c r="R370" i="1"/>
  <c r="S369" i="1"/>
  <c r="T369" i="1" s="1"/>
  <c r="Z384" i="1" l="1"/>
  <c r="AA384" i="1" s="1"/>
  <c r="Y385" i="1"/>
  <c r="W387" i="1"/>
  <c r="R371" i="1"/>
  <c r="S370" i="1"/>
  <c r="T370" i="1" s="1"/>
  <c r="Z385" i="1" l="1"/>
  <c r="AA385" i="1" s="1"/>
  <c r="R372" i="1"/>
  <c r="S371" i="1"/>
  <c r="T371" i="1" s="1"/>
  <c r="Y386" i="1"/>
  <c r="W388" i="1"/>
  <c r="Z386" i="1" l="1"/>
  <c r="AA386" i="1" s="1"/>
  <c r="Y387" i="1"/>
  <c r="W389" i="1"/>
  <c r="S372" i="1"/>
  <c r="T372" i="1" s="1"/>
  <c r="R373" i="1"/>
  <c r="Z387" i="1" l="1"/>
  <c r="AA387" i="1" s="1"/>
  <c r="R374" i="1"/>
  <c r="S373" i="1"/>
  <c r="T373" i="1" s="1"/>
  <c r="Y388" i="1"/>
  <c r="W390" i="1"/>
  <c r="Z388" i="1" l="1"/>
  <c r="AA388" i="1" s="1"/>
  <c r="Y389" i="1"/>
  <c r="W391" i="1"/>
  <c r="R375" i="1"/>
  <c r="S374" i="1"/>
  <c r="T374" i="1" s="1"/>
  <c r="Z389" i="1" l="1"/>
  <c r="AA389" i="1" s="1"/>
  <c r="R376" i="1"/>
  <c r="S375" i="1"/>
  <c r="T375" i="1" s="1"/>
  <c r="Y390" i="1"/>
  <c r="W392" i="1"/>
  <c r="Z390" i="1" l="1"/>
  <c r="AA390" i="1" s="1"/>
  <c r="Y391" i="1"/>
  <c r="W393" i="1"/>
  <c r="R377" i="1"/>
  <c r="S376" i="1"/>
  <c r="T376" i="1" s="1"/>
  <c r="Z391" i="1" l="1"/>
  <c r="AA391" i="1" s="1"/>
  <c r="S377" i="1"/>
  <c r="T377" i="1" s="1"/>
  <c r="R378" i="1"/>
  <c r="Y392" i="1"/>
  <c r="W394" i="1"/>
  <c r="Z392" i="1" l="1"/>
  <c r="AA392" i="1" s="1"/>
  <c r="Y393" i="1"/>
  <c r="W395" i="1"/>
  <c r="R379" i="1"/>
  <c r="S378" i="1"/>
  <c r="T378" i="1" s="1"/>
  <c r="Z393" i="1" l="1"/>
  <c r="AA393" i="1" s="1"/>
  <c r="R380" i="1"/>
  <c r="S379" i="1"/>
  <c r="T379" i="1" s="1"/>
  <c r="Y394" i="1"/>
  <c r="W396" i="1"/>
  <c r="Z394" i="1" l="1"/>
  <c r="AA394" i="1" s="1"/>
  <c r="Y395" i="1"/>
  <c r="W397" i="1"/>
  <c r="R381" i="1"/>
  <c r="S380" i="1"/>
  <c r="T380" i="1" s="1"/>
  <c r="Z395" i="1" l="1"/>
  <c r="AA395" i="1" s="1"/>
  <c r="R382" i="1"/>
  <c r="S381" i="1"/>
  <c r="T381" i="1" s="1"/>
  <c r="Y396" i="1"/>
  <c r="Z396" i="1" s="1"/>
  <c r="AA396" i="1" s="1"/>
  <c r="W398" i="1"/>
  <c r="Y397" i="1" l="1"/>
  <c r="Z397" i="1" s="1"/>
  <c r="AA397" i="1" s="1"/>
  <c r="W399" i="1"/>
  <c r="R383" i="1"/>
  <c r="S382" i="1"/>
  <c r="T382" i="1" s="1"/>
  <c r="R384" i="1" l="1"/>
  <c r="S383" i="1"/>
  <c r="T383" i="1" s="1"/>
  <c r="Y398" i="1"/>
  <c r="Z398" i="1" s="1"/>
  <c r="AA398" i="1" s="1"/>
  <c r="W400" i="1"/>
  <c r="Y399" i="1" l="1"/>
  <c r="Z399" i="1" s="1"/>
  <c r="AA399" i="1" s="1"/>
  <c r="W401" i="1"/>
  <c r="R385" i="1"/>
  <c r="S384" i="1"/>
  <c r="T384" i="1" s="1"/>
  <c r="R386" i="1" l="1"/>
  <c r="S385" i="1"/>
  <c r="T385" i="1" s="1"/>
  <c r="Y400" i="1"/>
  <c r="Z400" i="1" s="1"/>
  <c r="AA400" i="1" s="1"/>
  <c r="W402" i="1"/>
  <c r="Y401" i="1" l="1"/>
  <c r="Z401" i="1" s="1"/>
  <c r="AA401" i="1" s="1"/>
  <c r="W403" i="1"/>
  <c r="R387" i="1"/>
  <c r="S386" i="1"/>
  <c r="T386" i="1" s="1"/>
  <c r="R388" i="1" l="1"/>
  <c r="S387" i="1"/>
  <c r="T387" i="1" s="1"/>
  <c r="Y402" i="1"/>
  <c r="Z402" i="1" s="1"/>
  <c r="AA402" i="1" s="1"/>
  <c r="W404" i="1"/>
  <c r="Y403" i="1" l="1"/>
  <c r="Z403" i="1" s="1"/>
  <c r="AA403" i="1" s="1"/>
  <c r="W405" i="1"/>
  <c r="R389" i="1"/>
  <c r="S388" i="1"/>
  <c r="T388" i="1" s="1"/>
  <c r="R390" i="1" l="1"/>
  <c r="S389" i="1"/>
  <c r="T389" i="1" s="1"/>
  <c r="Y404" i="1"/>
  <c r="Z404" i="1" s="1"/>
  <c r="AA404" i="1" s="1"/>
  <c r="W406" i="1"/>
  <c r="Y405" i="1" l="1"/>
  <c r="Z405" i="1" s="1"/>
  <c r="AA405" i="1" s="1"/>
  <c r="W407" i="1"/>
  <c r="R391" i="1"/>
  <c r="S390" i="1"/>
  <c r="T390" i="1" s="1"/>
  <c r="S391" i="1" l="1"/>
  <c r="T391" i="1" s="1"/>
  <c r="R392" i="1"/>
  <c r="Y406" i="1"/>
  <c r="Z406" i="1" s="1"/>
  <c r="AA406" i="1" s="1"/>
  <c r="W408" i="1"/>
  <c r="Y407" i="1" l="1"/>
  <c r="Z407" i="1" s="1"/>
  <c r="AA407" i="1" s="1"/>
  <c r="W409" i="1"/>
  <c r="R393" i="1"/>
  <c r="S392" i="1"/>
  <c r="T392" i="1" s="1"/>
  <c r="R394" i="1" l="1"/>
  <c r="S393" i="1"/>
  <c r="T393" i="1" s="1"/>
  <c r="Y408" i="1"/>
  <c r="Z408" i="1" s="1"/>
  <c r="AA408" i="1" s="1"/>
  <c r="W410" i="1"/>
  <c r="Y409" i="1" l="1"/>
  <c r="Z409" i="1" s="1"/>
  <c r="AA409" i="1" s="1"/>
  <c r="W411" i="1"/>
  <c r="R395" i="1"/>
  <c r="S394" i="1"/>
  <c r="T394" i="1" s="1"/>
  <c r="R396" i="1" l="1"/>
  <c r="S395" i="1"/>
  <c r="T395" i="1" s="1"/>
  <c r="Y410" i="1"/>
  <c r="Z410" i="1" s="1"/>
  <c r="AA410" i="1" s="1"/>
  <c r="W412" i="1"/>
  <c r="Y411" i="1" l="1"/>
  <c r="Z411" i="1" s="1"/>
  <c r="AA411" i="1" s="1"/>
  <c r="W413" i="1"/>
  <c r="R397" i="1"/>
  <c r="S396" i="1"/>
  <c r="T396" i="1" s="1"/>
  <c r="R398" i="1" l="1"/>
  <c r="S397" i="1"/>
  <c r="T397" i="1" s="1"/>
  <c r="Y412" i="1"/>
  <c r="Z412" i="1" s="1"/>
  <c r="AA412" i="1" s="1"/>
  <c r="W414" i="1"/>
  <c r="Y413" i="1" l="1"/>
  <c r="Z413" i="1" s="1"/>
  <c r="AA413" i="1" s="1"/>
  <c r="W415" i="1"/>
  <c r="S398" i="1"/>
  <c r="T398" i="1" s="1"/>
  <c r="R399" i="1"/>
  <c r="R400" i="1" l="1"/>
  <c r="S399" i="1"/>
  <c r="T399" i="1" s="1"/>
  <c r="Y414" i="1"/>
  <c r="Z414" i="1" s="1"/>
  <c r="AA414" i="1" s="1"/>
  <c r="W416" i="1"/>
  <c r="Y415" i="1" l="1"/>
  <c r="Z415" i="1" s="1"/>
  <c r="AA415" i="1" s="1"/>
  <c r="W417" i="1"/>
  <c r="R401" i="1"/>
  <c r="S400" i="1"/>
  <c r="T400" i="1" s="1"/>
  <c r="R402" i="1" l="1"/>
  <c r="S401" i="1"/>
  <c r="T401" i="1" s="1"/>
  <c r="Y416" i="1"/>
  <c r="Z416" i="1" s="1"/>
  <c r="AA416" i="1" s="1"/>
  <c r="W418" i="1"/>
  <c r="Y417" i="1" l="1"/>
  <c r="Z417" i="1" s="1"/>
  <c r="AA417" i="1" s="1"/>
  <c r="W419" i="1"/>
  <c r="S402" i="1"/>
  <c r="T402" i="1" s="1"/>
  <c r="R403" i="1"/>
  <c r="R404" i="1" l="1"/>
  <c r="S403" i="1"/>
  <c r="T403" i="1" s="1"/>
  <c r="Y418" i="1"/>
  <c r="Z418" i="1" s="1"/>
  <c r="AA418" i="1" s="1"/>
  <c r="W420" i="1"/>
  <c r="Y419" i="1" l="1"/>
  <c r="W421" i="1"/>
  <c r="S404" i="1"/>
  <c r="T404" i="1" s="1"/>
  <c r="R405" i="1"/>
  <c r="S405" i="1" l="1"/>
  <c r="T405" i="1" s="1"/>
  <c r="R406" i="1"/>
  <c r="Y420" i="1"/>
  <c r="W422" i="1"/>
  <c r="Z419" i="1"/>
  <c r="AA419" i="1" s="1"/>
  <c r="Y421" i="1" l="1"/>
  <c r="W423" i="1"/>
  <c r="Z420" i="1"/>
  <c r="AA420" i="1" s="1"/>
  <c r="R407" i="1"/>
  <c r="S406" i="1"/>
  <c r="T406" i="1" s="1"/>
  <c r="R408" i="1" l="1"/>
  <c r="S407" i="1"/>
  <c r="T407" i="1" s="1"/>
  <c r="Y422" i="1"/>
  <c r="W424" i="1"/>
  <c r="Z421" i="1"/>
  <c r="AA421" i="1" s="1"/>
  <c r="Y423" i="1" l="1"/>
  <c r="W425" i="1"/>
  <c r="Z422" i="1"/>
  <c r="AA422" i="1" s="1"/>
  <c r="R409" i="1"/>
  <c r="S408" i="1"/>
  <c r="T408" i="1" s="1"/>
  <c r="R410" i="1" l="1"/>
  <c r="S409" i="1"/>
  <c r="T409" i="1" s="1"/>
  <c r="Y424" i="1"/>
  <c r="W426" i="1"/>
  <c r="Z423" i="1"/>
  <c r="AA423" i="1" s="1"/>
  <c r="Y425" i="1" l="1"/>
  <c r="W427" i="1"/>
  <c r="Z424" i="1"/>
  <c r="AA424" i="1" s="1"/>
  <c r="R411" i="1"/>
  <c r="S410" i="1"/>
  <c r="T410" i="1" s="1"/>
  <c r="Z425" i="1" l="1"/>
  <c r="AA425" i="1" s="1"/>
  <c r="R412" i="1"/>
  <c r="S411" i="1"/>
  <c r="T411" i="1" s="1"/>
  <c r="Y426" i="1"/>
  <c r="W428" i="1"/>
  <c r="Z426" i="1" l="1"/>
  <c r="AA426" i="1" s="1"/>
  <c r="Y427" i="1"/>
  <c r="W429" i="1"/>
  <c r="R413" i="1"/>
  <c r="S412" i="1"/>
  <c r="T412" i="1" s="1"/>
  <c r="Z427" i="1" l="1"/>
  <c r="AA427" i="1" s="1"/>
  <c r="R414" i="1"/>
  <c r="S413" i="1"/>
  <c r="T413" i="1" s="1"/>
  <c r="Y428" i="1"/>
  <c r="W430" i="1"/>
  <c r="Z428" i="1" l="1"/>
  <c r="AA428" i="1" s="1"/>
  <c r="Y429" i="1"/>
  <c r="W431" i="1"/>
  <c r="R415" i="1"/>
  <c r="S414" i="1"/>
  <c r="T414" i="1" s="1"/>
  <c r="Z429" i="1" l="1"/>
  <c r="AA429" i="1" s="1"/>
  <c r="R416" i="1"/>
  <c r="S415" i="1"/>
  <c r="T415" i="1" s="1"/>
  <c r="Y430" i="1"/>
  <c r="Z430" i="1" s="1"/>
  <c r="AA430" i="1" s="1"/>
  <c r="W432" i="1"/>
  <c r="Y431" i="1" l="1"/>
  <c r="Z431" i="1" s="1"/>
  <c r="AA431" i="1" s="1"/>
  <c r="W433" i="1"/>
  <c r="R417" i="1"/>
  <c r="S416" i="1"/>
  <c r="T416" i="1" s="1"/>
  <c r="R418" i="1" l="1"/>
  <c r="S417" i="1"/>
  <c r="T417" i="1" s="1"/>
  <c r="Y432" i="1"/>
  <c r="Z432" i="1" s="1"/>
  <c r="AA432" i="1" s="1"/>
  <c r="W434" i="1"/>
  <c r="Y433" i="1" l="1"/>
  <c r="W435" i="1"/>
  <c r="R419" i="1"/>
  <c r="S418" i="1"/>
  <c r="T418" i="1" s="1"/>
  <c r="R420" i="1" l="1"/>
  <c r="S419" i="1"/>
  <c r="T419" i="1" s="1"/>
  <c r="Y434" i="1"/>
  <c r="W436" i="1"/>
  <c r="Z433" i="1"/>
  <c r="AA433" i="1" s="1"/>
  <c r="Z434" i="1" l="1"/>
  <c r="AA434" i="1" s="1"/>
  <c r="Y435" i="1"/>
  <c r="W437" i="1"/>
  <c r="R421" i="1"/>
  <c r="S420" i="1"/>
  <c r="T420" i="1" s="1"/>
  <c r="Z435" i="1" l="1"/>
  <c r="AA435" i="1" s="1"/>
  <c r="R422" i="1"/>
  <c r="S421" i="1"/>
  <c r="T421" i="1" s="1"/>
  <c r="Y436" i="1"/>
  <c r="W438" i="1"/>
  <c r="Z436" i="1" l="1"/>
  <c r="AA436" i="1" s="1"/>
  <c r="Y437" i="1"/>
  <c r="W439" i="1"/>
  <c r="S422" i="1"/>
  <c r="T422" i="1" s="1"/>
  <c r="R423" i="1"/>
  <c r="Z437" i="1" l="1"/>
  <c r="AA437" i="1" s="1"/>
  <c r="R424" i="1"/>
  <c r="S423" i="1"/>
  <c r="T423" i="1" s="1"/>
  <c r="Y438" i="1"/>
  <c r="W440" i="1"/>
  <c r="Z438" i="1" l="1"/>
  <c r="AA438" i="1" s="1"/>
  <c r="Y439" i="1"/>
  <c r="W441" i="1"/>
  <c r="R425" i="1"/>
  <c r="S424" i="1"/>
  <c r="T424" i="1" s="1"/>
  <c r="Z439" i="1" l="1"/>
  <c r="AA439" i="1" s="1"/>
  <c r="R426" i="1"/>
  <c r="S425" i="1"/>
  <c r="T425" i="1" s="1"/>
  <c r="Y440" i="1"/>
  <c r="W442" i="1"/>
  <c r="Z440" i="1" l="1"/>
  <c r="AA440" i="1" s="1"/>
  <c r="Y441" i="1"/>
  <c r="W443" i="1"/>
  <c r="R427" i="1"/>
  <c r="S426" i="1"/>
  <c r="T426" i="1" s="1"/>
  <c r="Z441" i="1" l="1"/>
  <c r="AA441" i="1" s="1"/>
  <c r="R428" i="1"/>
  <c r="S427" i="1"/>
  <c r="T427" i="1" s="1"/>
  <c r="Y442" i="1"/>
  <c r="Z442" i="1" s="1"/>
  <c r="AA442" i="1" s="1"/>
  <c r="W444" i="1"/>
  <c r="Y443" i="1" l="1"/>
  <c r="Z443" i="1" s="1"/>
  <c r="AA443" i="1" s="1"/>
  <c r="W445" i="1"/>
  <c r="R429" i="1"/>
  <c r="S428" i="1"/>
  <c r="T428" i="1" s="1"/>
  <c r="R430" i="1" l="1"/>
  <c r="S429" i="1"/>
  <c r="T429" i="1" s="1"/>
  <c r="Y444" i="1"/>
  <c r="Z444" i="1" s="1"/>
  <c r="AA444" i="1" s="1"/>
  <c r="W446" i="1"/>
  <c r="Y445" i="1" l="1"/>
  <c r="Z445" i="1" s="1"/>
  <c r="AA445" i="1" s="1"/>
  <c r="W447" i="1"/>
  <c r="R431" i="1"/>
  <c r="S430" i="1"/>
  <c r="T430" i="1" s="1"/>
  <c r="R432" i="1" l="1"/>
  <c r="S431" i="1"/>
  <c r="T431" i="1" s="1"/>
  <c r="Y446" i="1"/>
  <c r="Z446" i="1" s="1"/>
  <c r="AA446" i="1" s="1"/>
  <c r="W448" i="1"/>
  <c r="Y447" i="1" l="1"/>
  <c r="Z447" i="1" s="1"/>
  <c r="AA447" i="1" s="1"/>
  <c r="W449" i="1"/>
  <c r="R433" i="1"/>
  <c r="S432" i="1"/>
  <c r="T432" i="1" s="1"/>
  <c r="R434" i="1" l="1"/>
  <c r="S433" i="1"/>
  <c r="T433" i="1" s="1"/>
  <c r="Y448" i="1"/>
  <c r="Z448" i="1" s="1"/>
  <c r="AA448" i="1" s="1"/>
  <c r="W450" i="1"/>
  <c r="Y449" i="1" l="1"/>
  <c r="Z449" i="1" s="1"/>
  <c r="AA449" i="1" s="1"/>
  <c r="W451" i="1"/>
  <c r="R435" i="1"/>
  <c r="S434" i="1"/>
  <c r="T434" i="1" s="1"/>
  <c r="R436" i="1" l="1"/>
  <c r="S435" i="1"/>
  <c r="T435" i="1" s="1"/>
  <c r="Y450" i="1"/>
  <c r="Z450" i="1" s="1"/>
  <c r="AA450" i="1" s="1"/>
  <c r="W452" i="1"/>
  <c r="Y451" i="1" l="1"/>
  <c r="Z451" i="1" s="1"/>
  <c r="AA451" i="1" s="1"/>
  <c r="W453" i="1"/>
  <c r="S436" i="1"/>
  <c r="T436" i="1" s="1"/>
  <c r="R437" i="1"/>
  <c r="R438" i="1" l="1"/>
  <c r="S437" i="1"/>
  <c r="T437" i="1" s="1"/>
  <c r="Y452" i="1"/>
  <c r="Z452" i="1" s="1"/>
  <c r="AA452" i="1" s="1"/>
  <c r="W454" i="1"/>
  <c r="Y453" i="1" l="1"/>
  <c r="Z453" i="1" s="1"/>
  <c r="AA453" i="1" s="1"/>
  <c r="W455" i="1"/>
  <c r="R439" i="1"/>
  <c r="S438" i="1"/>
  <c r="T438" i="1" s="1"/>
  <c r="R440" i="1" l="1"/>
  <c r="S439" i="1"/>
  <c r="T439" i="1" s="1"/>
  <c r="Y454" i="1"/>
  <c r="Z454" i="1" s="1"/>
  <c r="AA454" i="1" s="1"/>
  <c r="W456" i="1"/>
  <c r="Y455" i="1" l="1"/>
  <c r="Z455" i="1" s="1"/>
  <c r="AA455" i="1" s="1"/>
  <c r="W457" i="1"/>
  <c r="R441" i="1"/>
  <c r="S440" i="1"/>
  <c r="T440" i="1" s="1"/>
  <c r="R442" i="1" l="1"/>
  <c r="S441" i="1"/>
  <c r="T441" i="1" s="1"/>
  <c r="Y456" i="1"/>
  <c r="Z456" i="1" s="1"/>
  <c r="AA456" i="1" s="1"/>
  <c r="W458" i="1"/>
  <c r="Y457" i="1" l="1"/>
  <c r="Z457" i="1" s="1"/>
  <c r="AA457" i="1" s="1"/>
  <c r="W459" i="1"/>
  <c r="R443" i="1"/>
  <c r="S442" i="1"/>
  <c r="T442" i="1" s="1"/>
  <c r="R444" i="1" l="1"/>
  <c r="S443" i="1"/>
  <c r="T443" i="1" s="1"/>
  <c r="Y458" i="1"/>
  <c r="Z458" i="1" s="1"/>
  <c r="AA458" i="1" s="1"/>
  <c r="W460" i="1"/>
  <c r="Y459" i="1" l="1"/>
  <c r="W461" i="1"/>
  <c r="R445" i="1"/>
  <c r="S444" i="1"/>
  <c r="T444" i="1" s="1"/>
  <c r="R446" i="1" l="1"/>
  <c r="S445" i="1"/>
  <c r="T445" i="1" s="1"/>
  <c r="Y460" i="1"/>
  <c r="W462" i="1"/>
  <c r="Z459" i="1"/>
  <c r="AA459" i="1" s="1"/>
  <c r="Y461" i="1" l="1"/>
  <c r="W463" i="1"/>
  <c r="Z460" i="1"/>
  <c r="AA460" i="1" s="1"/>
  <c r="R447" i="1"/>
  <c r="S446" i="1"/>
  <c r="T446" i="1" s="1"/>
  <c r="R448" i="1" l="1"/>
  <c r="S447" i="1"/>
  <c r="T447" i="1" s="1"/>
  <c r="Y462" i="1"/>
  <c r="W464" i="1"/>
  <c r="Z461" i="1"/>
  <c r="AA461" i="1" s="1"/>
  <c r="Y463" i="1" l="1"/>
  <c r="W465" i="1"/>
  <c r="Z462" i="1"/>
  <c r="AA462" i="1" s="1"/>
  <c r="R449" i="1"/>
  <c r="S448" i="1"/>
  <c r="T448" i="1" s="1"/>
  <c r="R450" i="1" l="1"/>
  <c r="S449" i="1"/>
  <c r="T449" i="1" s="1"/>
  <c r="Y464" i="1"/>
  <c r="W466" i="1"/>
  <c r="Z463" i="1"/>
  <c r="AA463" i="1" s="1"/>
  <c r="Y465" i="1" l="1"/>
  <c r="W467" i="1"/>
  <c r="Z464" i="1"/>
  <c r="AA464" i="1" s="1"/>
  <c r="R451" i="1"/>
  <c r="S450" i="1"/>
  <c r="T450" i="1" s="1"/>
  <c r="R452" i="1" l="1"/>
  <c r="S451" i="1"/>
  <c r="T451" i="1" s="1"/>
  <c r="Y466" i="1"/>
  <c r="W468" i="1"/>
  <c r="Z465" i="1"/>
  <c r="AA465" i="1" s="1"/>
  <c r="Y467" i="1" l="1"/>
  <c r="W469" i="1"/>
  <c r="Z466" i="1"/>
  <c r="AA466" i="1" s="1"/>
  <c r="R453" i="1"/>
  <c r="S452" i="1"/>
  <c r="T452" i="1" s="1"/>
  <c r="R454" i="1" l="1"/>
  <c r="S453" i="1"/>
  <c r="T453" i="1" s="1"/>
  <c r="Y468" i="1"/>
  <c r="W470" i="1"/>
  <c r="Z467" i="1"/>
  <c r="AA467" i="1" s="1"/>
  <c r="Z468" i="1" l="1"/>
  <c r="AA468" i="1" s="1"/>
  <c r="Y469" i="1"/>
  <c r="W471" i="1"/>
  <c r="R455" i="1"/>
  <c r="S454" i="1"/>
  <c r="T454" i="1" s="1"/>
  <c r="Z469" i="1" l="1"/>
  <c r="AA469" i="1" s="1"/>
  <c r="S455" i="1"/>
  <c r="T455" i="1" s="1"/>
  <c r="R456" i="1"/>
  <c r="Y470" i="1"/>
  <c r="W472" i="1"/>
  <c r="Z470" i="1" l="1"/>
  <c r="AA470" i="1" s="1"/>
  <c r="Y471" i="1"/>
  <c r="W473" i="1"/>
  <c r="R457" i="1"/>
  <c r="S456" i="1"/>
  <c r="T456" i="1" s="1"/>
  <c r="Z471" i="1" l="1"/>
  <c r="AA471" i="1" s="1"/>
  <c r="Y472" i="1"/>
  <c r="W474" i="1"/>
  <c r="R458" i="1"/>
  <c r="S457" i="1"/>
  <c r="T457" i="1" s="1"/>
  <c r="Z472" i="1" l="1"/>
  <c r="AA472" i="1" s="1"/>
  <c r="R459" i="1"/>
  <c r="S458" i="1"/>
  <c r="T458" i="1" s="1"/>
  <c r="Y473" i="1"/>
  <c r="W475" i="1"/>
  <c r="Z473" i="1" l="1"/>
  <c r="AA473" i="1" s="1"/>
  <c r="Y474" i="1"/>
  <c r="W476" i="1"/>
  <c r="R460" i="1"/>
  <c r="S459" i="1"/>
  <c r="T459" i="1" s="1"/>
  <c r="Z474" i="1" l="1"/>
  <c r="AA474" i="1" s="1"/>
  <c r="R461" i="1"/>
  <c r="S460" i="1"/>
  <c r="T460" i="1" s="1"/>
  <c r="Y475" i="1"/>
  <c r="W477" i="1"/>
  <c r="Z475" i="1" l="1"/>
  <c r="AA475" i="1" s="1"/>
  <c r="Y476" i="1"/>
  <c r="W478" i="1"/>
  <c r="R462" i="1"/>
  <c r="S461" i="1"/>
  <c r="T461" i="1" s="1"/>
  <c r="Z476" i="1" l="1"/>
  <c r="AA476" i="1" s="1"/>
  <c r="R463" i="1"/>
  <c r="S462" i="1"/>
  <c r="T462" i="1" s="1"/>
  <c r="Y477" i="1"/>
  <c r="Z477" i="1" s="1"/>
  <c r="AA477" i="1" s="1"/>
  <c r="W479" i="1"/>
  <c r="Y478" i="1" l="1"/>
  <c r="Z478" i="1" s="1"/>
  <c r="AA478" i="1" s="1"/>
  <c r="W480" i="1"/>
  <c r="R464" i="1"/>
  <c r="S463" i="1"/>
  <c r="T463" i="1" s="1"/>
  <c r="S464" i="1" l="1"/>
  <c r="T464" i="1" s="1"/>
  <c r="R465" i="1"/>
  <c r="Y479" i="1"/>
  <c r="Z479" i="1" s="1"/>
  <c r="AA479" i="1" s="1"/>
  <c r="W481" i="1"/>
  <c r="Y480" i="1" l="1"/>
  <c r="Z480" i="1" s="1"/>
  <c r="AA480" i="1" s="1"/>
  <c r="W482" i="1"/>
  <c r="R466" i="1"/>
  <c r="S465" i="1"/>
  <c r="T465" i="1" s="1"/>
  <c r="R467" i="1" l="1"/>
  <c r="S466" i="1"/>
  <c r="T466" i="1" s="1"/>
  <c r="Y481" i="1"/>
  <c r="Z481" i="1" s="1"/>
  <c r="AA481" i="1" s="1"/>
  <c r="W483" i="1"/>
  <c r="Y482" i="1" l="1"/>
  <c r="Z482" i="1" s="1"/>
  <c r="AA482" i="1" s="1"/>
  <c r="W484" i="1"/>
  <c r="R468" i="1"/>
  <c r="S467" i="1"/>
  <c r="T467" i="1" s="1"/>
  <c r="R469" i="1" l="1"/>
  <c r="S468" i="1"/>
  <c r="T468" i="1" s="1"/>
  <c r="Y483" i="1"/>
  <c r="Z483" i="1" s="1"/>
  <c r="AA483" i="1" s="1"/>
  <c r="W485" i="1"/>
  <c r="Y484" i="1" l="1"/>
  <c r="Z484" i="1" s="1"/>
  <c r="AA484" i="1" s="1"/>
  <c r="W486" i="1"/>
  <c r="R470" i="1"/>
  <c r="S469" i="1"/>
  <c r="T469" i="1" s="1"/>
  <c r="R471" i="1" l="1"/>
  <c r="S470" i="1"/>
  <c r="T470" i="1" s="1"/>
  <c r="Y485" i="1"/>
  <c r="W487" i="1"/>
  <c r="Y486" i="1" l="1"/>
  <c r="W488" i="1"/>
  <c r="Z485" i="1"/>
  <c r="AA485" i="1" s="1"/>
  <c r="R472" i="1"/>
  <c r="S471" i="1"/>
  <c r="T471" i="1" s="1"/>
  <c r="R473" i="1" l="1"/>
  <c r="S472" i="1"/>
  <c r="T472" i="1" s="1"/>
  <c r="Y487" i="1"/>
  <c r="W489" i="1"/>
  <c r="Z486" i="1"/>
  <c r="AA486" i="1" s="1"/>
  <c r="Y488" i="1" l="1"/>
  <c r="W490" i="1"/>
  <c r="Z487" i="1"/>
  <c r="AA487" i="1" s="1"/>
  <c r="R474" i="1"/>
  <c r="S473" i="1"/>
  <c r="T473" i="1" s="1"/>
  <c r="R475" i="1" l="1"/>
  <c r="S474" i="1"/>
  <c r="T474" i="1" s="1"/>
  <c r="Y489" i="1"/>
  <c r="W491" i="1"/>
  <c r="Z488" i="1"/>
  <c r="AA488" i="1" s="1"/>
  <c r="Y490" i="1" l="1"/>
  <c r="W492" i="1"/>
  <c r="Z489" i="1"/>
  <c r="AA489" i="1" s="1"/>
  <c r="R476" i="1"/>
  <c r="S475" i="1"/>
  <c r="T475" i="1" s="1"/>
  <c r="Y491" i="1" l="1"/>
  <c r="W493" i="1"/>
  <c r="R477" i="1"/>
  <c r="S476" i="1"/>
  <c r="T476" i="1" s="1"/>
  <c r="Z490" i="1"/>
  <c r="AA490" i="1" s="1"/>
  <c r="R478" i="1" l="1"/>
  <c r="S477" i="1"/>
  <c r="T477" i="1" s="1"/>
  <c r="Y492" i="1"/>
  <c r="W494" i="1"/>
  <c r="Z491" i="1"/>
  <c r="AA491" i="1" s="1"/>
  <c r="Y493" i="1" l="1"/>
  <c r="W495" i="1"/>
  <c r="Z492" i="1"/>
  <c r="AA492" i="1" s="1"/>
  <c r="S478" i="1"/>
  <c r="T478" i="1" s="1"/>
  <c r="R479" i="1"/>
  <c r="R480" i="1" l="1"/>
  <c r="S479" i="1"/>
  <c r="T479" i="1" s="1"/>
  <c r="Y494" i="1"/>
  <c r="W496" i="1"/>
  <c r="Z493" i="1"/>
  <c r="AA493" i="1" s="1"/>
  <c r="Y495" i="1" l="1"/>
  <c r="W497" i="1"/>
  <c r="Z494" i="1"/>
  <c r="AA494" i="1" s="1"/>
  <c r="R481" i="1"/>
  <c r="S480" i="1"/>
  <c r="T480" i="1" s="1"/>
  <c r="R482" i="1" l="1"/>
  <c r="S481" i="1"/>
  <c r="T481" i="1" s="1"/>
  <c r="Y496" i="1"/>
  <c r="W498" i="1"/>
  <c r="Z495" i="1"/>
  <c r="AA495" i="1" s="1"/>
  <c r="Z496" i="1" l="1"/>
  <c r="AA496" i="1" s="1"/>
  <c r="Y497" i="1"/>
  <c r="W499" i="1"/>
  <c r="R483" i="1"/>
  <c r="S482" i="1"/>
  <c r="T482" i="1" s="1"/>
  <c r="Z497" i="1" l="1"/>
  <c r="AA497" i="1" s="1"/>
  <c r="Y498" i="1"/>
  <c r="W500" i="1"/>
  <c r="R484" i="1"/>
  <c r="S483" i="1"/>
  <c r="T483" i="1" s="1"/>
  <c r="Z498" i="1" l="1"/>
  <c r="AA498" i="1" s="1"/>
  <c r="Y499" i="1"/>
  <c r="W501" i="1"/>
  <c r="R485" i="1"/>
  <c r="S484" i="1"/>
  <c r="T484" i="1" s="1"/>
  <c r="Z499" i="1" l="1"/>
  <c r="AA499" i="1" s="1"/>
  <c r="R486" i="1"/>
  <c r="S485" i="1"/>
  <c r="T485" i="1" s="1"/>
  <c r="Y500" i="1"/>
  <c r="W502" i="1"/>
  <c r="Z500" i="1" l="1"/>
  <c r="AA500" i="1" s="1"/>
  <c r="Y501" i="1"/>
  <c r="W503" i="1"/>
  <c r="R487" i="1"/>
  <c r="S486" i="1"/>
  <c r="T486" i="1" s="1"/>
  <c r="Z501" i="1" l="1"/>
  <c r="AA501" i="1" s="1"/>
  <c r="Y502" i="1"/>
  <c r="W504" i="1"/>
  <c r="R488" i="1"/>
  <c r="S487" i="1"/>
  <c r="T487" i="1" s="1"/>
  <c r="Z502" i="1" l="1"/>
  <c r="AA502" i="1" s="1"/>
  <c r="S488" i="1"/>
  <c r="T488" i="1" s="1"/>
  <c r="R489" i="1"/>
  <c r="Y503" i="1"/>
  <c r="W505" i="1"/>
  <c r="Z503" i="1" l="1"/>
  <c r="AA503" i="1" s="1"/>
  <c r="Y504" i="1"/>
  <c r="W506" i="1"/>
  <c r="S489" i="1"/>
  <c r="T489" i="1" s="1"/>
  <c r="R490" i="1"/>
  <c r="Z504" i="1" l="1"/>
  <c r="AA504" i="1" s="1"/>
  <c r="R491" i="1"/>
  <c r="S490" i="1"/>
  <c r="T490" i="1" s="1"/>
  <c r="Y505" i="1"/>
  <c r="W507" i="1"/>
  <c r="Z505" i="1" l="1"/>
  <c r="AA505" i="1" s="1"/>
  <c r="Y506" i="1"/>
  <c r="Z506" i="1" s="1"/>
  <c r="AA506" i="1" s="1"/>
  <c r="W508" i="1"/>
  <c r="R492" i="1"/>
  <c r="S491" i="1"/>
  <c r="T491" i="1" s="1"/>
  <c r="R493" i="1" l="1"/>
  <c r="S492" i="1"/>
  <c r="T492" i="1" s="1"/>
  <c r="Y507" i="1"/>
  <c r="Z507" i="1" s="1"/>
  <c r="AA507" i="1" s="1"/>
  <c r="W509" i="1"/>
  <c r="Y508" i="1" l="1"/>
  <c r="Z508" i="1" s="1"/>
  <c r="AA508" i="1" s="1"/>
  <c r="W510" i="1"/>
  <c r="R494" i="1"/>
  <c r="S493" i="1"/>
  <c r="T493" i="1" s="1"/>
  <c r="R495" i="1" l="1"/>
  <c r="S494" i="1"/>
  <c r="T494" i="1" s="1"/>
  <c r="Y509" i="1"/>
  <c r="Z509" i="1" s="1"/>
  <c r="AA509" i="1" s="1"/>
  <c r="W511" i="1"/>
  <c r="Y510" i="1" l="1"/>
  <c r="Z510" i="1" s="1"/>
  <c r="AA510" i="1" s="1"/>
  <c r="W512" i="1"/>
  <c r="R496" i="1"/>
  <c r="S495" i="1"/>
  <c r="T495" i="1" s="1"/>
  <c r="R497" i="1" l="1"/>
  <c r="S496" i="1"/>
  <c r="T496" i="1" s="1"/>
  <c r="Y511" i="1"/>
  <c r="Z511" i="1" s="1"/>
  <c r="AA511" i="1" s="1"/>
  <c r="W513" i="1"/>
  <c r="Y512" i="1" l="1"/>
  <c r="W514" i="1"/>
  <c r="R498" i="1"/>
  <c r="S497" i="1"/>
  <c r="T497" i="1" s="1"/>
  <c r="Y513" i="1" l="1"/>
  <c r="W515" i="1"/>
  <c r="R499" i="1"/>
  <c r="S498" i="1"/>
  <c r="T498" i="1" s="1"/>
  <c r="Z512" i="1"/>
  <c r="Z513" i="1" l="1"/>
  <c r="Y514" i="1"/>
  <c r="Z514" i="1" s="1"/>
  <c r="AA514" i="1" s="1"/>
  <c r="W516" i="1"/>
  <c r="AA512" i="1"/>
  <c r="AA513" i="1"/>
  <c r="R500" i="1"/>
  <c r="S499" i="1"/>
  <c r="T499" i="1" s="1"/>
  <c r="Y515" i="1" l="1"/>
  <c r="Z515" i="1" s="1"/>
  <c r="W517" i="1"/>
  <c r="AA515" i="1"/>
  <c r="R501" i="1"/>
  <c r="S500" i="1"/>
  <c r="T500" i="1" s="1"/>
  <c r="Y516" i="1" l="1"/>
  <c r="Z516" i="1" s="1"/>
  <c r="W518" i="1"/>
  <c r="AA516" i="1"/>
  <c r="R502" i="1"/>
  <c r="S501" i="1"/>
  <c r="T501" i="1" s="1"/>
  <c r="Y517" i="1" l="1"/>
  <c r="Z517" i="1" s="1"/>
  <c r="W519" i="1"/>
  <c r="AA517" i="1"/>
  <c r="R503" i="1"/>
  <c r="S502" i="1"/>
  <c r="T502" i="1" s="1"/>
  <c r="Y518" i="1" l="1"/>
  <c r="Z518" i="1" s="1"/>
  <c r="W520" i="1"/>
  <c r="AA518" i="1"/>
  <c r="R504" i="1"/>
  <c r="S503" i="1"/>
  <c r="T503" i="1" s="1"/>
  <c r="Y519" i="1" l="1"/>
  <c r="Z519" i="1" s="1"/>
  <c r="W521" i="1"/>
  <c r="AA519" i="1"/>
  <c r="R505" i="1"/>
  <c r="S504" i="1"/>
  <c r="T504" i="1" s="1"/>
  <c r="Y520" i="1" l="1"/>
  <c r="Z520" i="1" s="1"/>
  <c r="W522" i="1"/>
  <c r="AA520" i="1"/>
  <c r="R506" i="1"/>
  <c r="S505" i="1"/>
  <c r="T505" i="1" s="1"/>
  <c r="Y521" i="1" l="1"/>
  <c r="Z521" i="1" s="1"/>
  <c r="W523" i="1"/>
  <c r="Y522" i="1" s="1"/>
  <c r="Z522" i="1" s="1"/>
  <c r="AA521" i="1"/>
  <c r="R507" i="1"/>
  <c r="S506" i="1"/>
  <c r="T506" i="1" s="1"/>
  <c r="AA522" i="1" l="1"/>
  <c r="Z523" i="1"/>
  <c r="AA523" i="1" s="1"/>
  <c r="R508" i="1"/>
  <c r="S507" i="1"/>
  <c r="T507" i="1" s="1"/>
  <c r="R509" i="1" l="1"/>
  <c r="S508" i="1"/>
  <c r="T508" i="1" s="1"/>
  <c r="R510" i="1" l="1"/>
  <c r="S509" i="1"/>
  <c r="T509" i="1" s="1"/>
  <c r="R511" i="1" l="1"/>
  <c r="S510" i="1"/>
  <c r="T510" i="1" s="1"/>
  <c r="R512" i="1" l="1"/>
  <c r="S511" i="1"/>
  <c r="T511" i="1" s="1"/>
  <c r="R513" i="1" l="1"/>
  <c r="S512" i="1"/>
  <c r="T512" i="1" s="1"/>
  <c r="R514" i="1" l="1"/>
  <c r="S513" i="1"/>
  <c r="T513" i="1" s="1"/>
  <c r="S514" i="1" l="1"/>
  <c r="T514" i="1" s="1"/>
  <c r="R515" i="1"/>
  <c r="R516" i="1" l="1"/>
  <c r="S515" i="1"/>
  <c r="T515" i="1" s="1"/>
  <c r="R517" i="1" l="1"/>
  <c r="S516" i="1"/>
  <c r="T516" i="1" s="1"/>
  <c r="R518" i="1" l="1"/>
  <c r="S517" i="1"/>
  <c r="T517" i="1" s="1"/>
  <c r="R519" i="1" l="1"/>
  <c r="S518" i="1"/>
  <c r="T518" i="1" s="1"/>
  <c r="S519" i="1" l="1"/>
  <c r="T519" i="1" s="1"/>
  <c r="R520" i="1"/>
  <c r="R521" i="1" l="1"/>
  <c r="S520" i="1"/>
  <c r="T520" i="1" s="1"/>
  <c r="R522" i="1" l="1"/>
  <c r="S521" i="1"/>
  <c r="T521" i="1" s="1"/>
  <c r="S522" i="1" l="1"/>
  <c r="T522" i="1" s="1"/>
  <c r="R523" i="1"/>
  <c r="S523" i="1" s="1"/>
  <c r="T523" i="1" s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3E304CFF-0887-4802-B54D-931E6F5E9716}" keepAlive="1" name="Query - Weekly" description="Connection to the 'Weekly' query in the workbook." type="5" refreshedVersion="8" background="1" saveData="1">
    <dbPr connection="Provider=Microsoft.Mashup.OleDb.1;Data Source=$Workbook$;Location=Weekly;Extended Properties=&quot;&quot;" command="SELECT * FROM [Weekly]"/>
  </connection>
</connections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2">
    <metadataType name="XLDAPR" minSupportedVersion="120000" copy="1" pasteAll="1" pasteValues="1" merge="1" splitFirst="1" rowColShift="1" clearFormats="1" clearComments="1" assign="1" coerce="1" cellMeta="1"/>
    <metadataType name="XLRICHVALUE" minSupportedVersion="120000" copy="1" pasteAll="1" pasteValues="1" merge="1" splitFirst="1" rowColShift="1" clearFormats="1" clearComments="1" assign="1" coerce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futureMetadata name="XLRICHVALUE" count="1453">
    <bk>
      <extLst>
        <ext uri="{3e2802c4-a4d2-4d8b-9148-e3be6c30e623}">
          <xlrd:rvb i="0"/>
        </ext>
      </extLst>
    </bk>
    <bk>
      <extLst>
        <ext uri="{3e2802c4-a4d2-4d8b-9148-e3be6c30e623}">
          <xlrd:rvb i="1"/>
        </ext>
      </extLst>
    </bk>
    <bk>
      <extLst>
        <ext uri="{3e2802c4-a4d2-4d8b-9148-e3be6c30e623}">
          <xlrd:rvb i="2"/>
        </ext>
      </extLst>
    </bk>
    <bk>
      <extLst>
        <ext uri="{3e2802c4-a4d2-4d8b-9148-e3be6c30e623}">
          <xlrd:rvb i="3"/>
        </ext>
      </extLst>
    </bk>
    <bk>
      <extLst>
        <ext uri="{3e2802c4-a4d2-4d8b-9148-e3be6c30e623}">
          <xlrd:rvb i="4"/>
        </ext>
      </extLst>
    </bk>
    <bk>
      <extLst>
        <ext uri="{3e2802c4-a4d2-4d8b-9148-e3be6c30e623}">
          <xlrd:rvb i="5"/>
        </ext>
      </extLst>
    </bk>
    <bk>
      <extLst>
        <ext uri="{3e2802c4-a4d2-4d8b-9148-e3be6c30e623}">
          <xlrd:rvb i="6"/>
        </ext>
      </extLst>
    </bk>
    <bk>
      <extLst>
        <ext uri="{3e2802c4-a4d2-4d8b-9148-e3be6c30e623}">
          <xlrd:rvb i="7"/>
        </ext>
      </extLst>
    </bk>
    <bk>
      <extLst>
        <ext uri="{3e2802c4-a4d2-4d8b-9148-e3be6c30e623}">
          <xlrd:rvb i="8"/>
        </ext>
      </extLst>
    </bk>
    <bk>
      <extLst>
        <ext uri="{3e2802c4-a4d2-4d8b-9148-e3be6c30e623}">
          <xlrd:rvb i="9"/>
        </ext>
      </extLst>
    </bk>
    <bk>
      <extLst>
        <ext uri="{3e2802c4-a4d2-4d8b-9148-e3be6c30e623}">
          <xlrd:rvb i="10"/>
        </ext>
      </extLst>
    </bk>
    <bk>
      <extLst>
        <ext uri="{3e2802c4-a4d2-4d8b-9148-e3be6c30e623}">
          <xlrd:rvb i="11"/>
        </ext>
      </extLst>
    </bk>
    <bk>
      <extLst>
        <ext uri="{3e2802c4-a4d2-4d8b-9148-e3be6c30e623}">
          <xlrd:rvb i="12"/>
        </ext>
      </extLst>
    </bk>
    <bk>
      <extLst>
        <ext uri="{3e2802c4-a4d2-4d8b-9148-e3be6c30e623}">
          <xlrd:rvb i="13"/>
        </ext>
      </extLst>
    </bk>
    <bk>
      <extLst>
        <ext uri="{3e2802c4-a4d2-4d8b-9148-e3be6c30e623}">
          <xlrd:rvb i="14"/>
        </ext>
      </extLst>
    </bk>
    <bk>
      <extLst>
        <ext uri="{3e2802c4-a4d2-4d8b-9148-e3be6c30e623}">
          <xlrd:rvb i="15"/>
        </ext>
      </extLst>
    </bk>
    <bk>
      <extLst>
        <ext uri="{3e2802c4-a4d2-4d8b-9148-e3be6c30e623}">
          <xlrd:rvb i="16"/>
        </ext>
      </extLst>
    </bk>
    <bk>
      <extLst>
        <ext uri="{3e2802c4-a4d2-4d8b-9148-e3be6c30e623}">
          <xlrd:rvb i="17"/>
        </ext>
      </extLst>
    </bk>
    <bk>
      <extLst>
        <ext uri="{3e2802c4-a4d2-4d8b-9148-e3be6c30e623}">
          <xlrd:rvb i="18"/>
        </ext>
      </extLst>
    </bk>
    <bk>
      <extLst>
        <ext uri="{3e2802c4-a4d2-4d8b-9148-e3be6c30e623}">
          <xlrd:rvb i="19"/>
        </ext>
      </extLst>
    </bk>
    <bk>
      <extLst>
        <ext uri="{3e2802c4-a4d2-4d8b-9148-e3be6c30e623}">
          <xlrd:rvb i="20"/>
        </ext>
      </extLst>
    </bk>
    <bk>
      <extLst>
        <ext uri="{3e2802c4-a4d2-4d8b-9148-e3be6c30e623}">
          <xlrd:rvb i="21"/>
        </ext>
      </extLst>
    </bk>
    <bk>
      <extLst>
        <ext uri="{3e2802c4-a4d2-4d8b-9148-e3be6c30e623}">
          <xlrd:rvb i="22"/>
        </ext>
      </extLst>
    </bk>
    <bk>
      <extLst>
        <ext uri="{3e2802c4-a4d2-4d8b-9148-e3be6c30e623}">
          <xlrd:rvb i="23"/>
        </ext>
      </extLst>
    </bk>
    <bk>
      <extLst>
        <ext uri="{3e2802c4-a4d2-4d8b-9148-e3be6c30e623}">
          <xlrd:rvb i="24"/>
        </ext>
      </extLst>
    </bk>
    <bk>
      <extLst>
        <ext uri="{3e2802c4-a4d2-4d8b-9148-e3be6c30e623}">
          <xlrd:rvb i="25"/>
        </ext>
      </extLst>
    </bk>
    <bk>
      <extLst>
        <ext uri="{3e2802c4-a4d2-4d8b-9148-e3be6c30e623}">
          <xlrd:rvb i="26"/>
        </ext>
      </extLst>
    </bk>
    <bk>
      <extLst>
        <ext uri="{3e2802c4-a4d2-4d8b-9148-e3be6c30e623}">
          <xlrd:rvb i="27"/>
        </ext>
      </extLst>
    </bk>
    <bk>
      <extLst>
        <ext uri="{3e2802c4-a4d2-4d8b-9148-e3be6c30e623}">
          <xlrd:rvb i="28"/>
        </ext>
      </extLst>
    </bk>
    <bk>
      <extLst>
        <ext uri="{3e2802c4-a4d2-4d8b-9148-e3be6c30e623}">
          <xlrd:rvb i="29"/>
        </ext>
      </extLst>
    </bk>
    <bk>
      <extLst>
        <ext uri="{3e2802c4-a4d2-4d8b-9148-e3be6c30e623}">
          <xlrd:rvb i="30"/>
        </ext>
      </extLst>
    </bk>
    <bk>
      <extLst>
        <ext uri="{3e2802c4-a4d2-4d8b-9148-e3be6c30e623}">
          <xlrd:rvb i="31"/>
        </ext>
      </extLst>
    </bk>
    <bk>
      <extLst>
        <ext uri="{3e2802c4-a4d2-4d8b-9148-e3be6c30e623}">
          <xlrd:rvb i="32"/>
        </ext>
      </extLst>
    </bk>
    <bk>
      <extLst>
        <ext uri="{3e2802c4-a4d2-4d8b-9148-e3be6c30e623}">
          <xlrd:rvb i="33"/>
        </ext>
      </extLst>
    </bk>
    <bk>
      <extLst>
        <ext uri="{3e2802c4-a4d2-4d8b-9148-e3be6c30e623}">
          <xlrd:rvb i="34"/>
        </ext>
      </extLst>
    </bk>
    <bk>
      <extLst>
        <ext uri="{3e2802c4-a4d2-4d8b-9148-e3be6c30e623}">
          <xlrd:rvb i="35"/>
        </ext>
      </extLst>
    </bk>
    <bk>
      <extLst>
        <ext uri="{3e2802c4-a4d2-4d8b-9148-e3be6c30e623}">
          <xlrd:rvb i="36"/>
        </ext>
      </extLst>
    </bk>
    <bk>
      <extLst>
        <ext uri="{3e2802c4-a4d2-4d8b-9148-e3be6c30e623}">
          <xlrd:rvb i="37"/>
        </ext>
      </extLst>
    </bk>
    <bk>
      <extLst>
        <ext uri="{3e2802c4-a4d2-4d8b-9148-e3be6c30e623}">
          <xlrd:rvb i="38"/>
        </ext>
      </extLst>
    </bk>
    <bk>
      <extLst>
        <ext uri="{3e2802c4-a4d2-4d8b-9148-e3be6c30e623}">
          <xlrd:rvb i="39"/>
        </ext>
      </extLst>
    </bk>
    <bk>
      <extLst>
        <ext uri="{3e2802c4-a4d2-4d8b-9148-e3be6c30e623}">
          <xlrd:rvb i="40"/>
        </ext>
      </extLst>
    </bk>
    <bk>
      <extLst>
        <ext uri="{3e2802c4-a4d2-4d8b-9148-e3be6c30e623}">
          <xlrd:rvb i="41"/>
        </ext>
      </extLst>
    </bk>
    <bk>
      <extLst>
        <ext uri="{3e2802c4-a4d2-4d8b-9148-e3be6c30e623}">
          <xlrd:rvb i="42"/>
        </ext>
      </extLst>
    </bk>
    <bk>
      <extLst>
        <ext uri="{3e2802c4-a4d2-4d8b-9148-e3be6c30e623}">
          <xlrd:rvb i="43"/>
        </ext>
      </extLst>
    </bk>
    <bk>
      <extLst>
        <ext uri="{3e2802c4-a4d2-4d8b-9148-e3be6c30e623}">
          <xlrd:rvb i="44"/>
        </ext>
      </extLst>
    </bk>
    <bk>
      <extLst>
        <ext uri="{3e2802c4-a4d2-4d8b-9148-e3be6c30e623}">
          <xlrd:rvb i="45"/>
        </ext>
      </extLst>
    </bk>
    <bk>
      <extLst>
        <ext uri="{3e2802c4-a4d2-4d8b-9148-e3be6c30e623}">
          <xlrd:rvb i="46"/>
        </ext>
      </extLst>
    </bk>
    <bk>
      <extLst>
        <ext uri="{3e2802c4-a4d2-4d8b-9148-e3be6c30e623}">
          <xlrd:rvb i="47"/>
        </ext>
      </extLst>
    </bk>
    <bk>
      <extLst>
        <ext uri="{3e2802c4-a4d2-4d8b-9148-e3be6c30e623}">
          <xlrd:rvb i="48"/>
        </ext>
      </extLst>
    </bk>
    <bk>
      <extLst>
        <ext uri="{3e2802c4-a4d2-4d8b-9148-e3be6c30e623}">
          <xlrd:rvb i="49"/>
        </ext>
      </extLst>
    </bk>
    <bk>
      <extLst>
        <ext uri="{3e2802c4-a4d2-4d8b-9148-e3be6c30e623}">
          <xlrd:rvb i="50"/>
        </ext>
      </extLst>
    </bk>
    <bk>
      <extLst>
        <ext uri="{3e2802c4-a4d2-4d8b-9148-e3be6c30e623}">
          <xlrd:rvb i="51"/>
        </ext>
      </extLst>
    </bk>
    <bk>
      <extLst>
        <ext uri="{3e2802c4-a4d2-4d8b-9148-e3be6c30e623}">
          <xlrd:rvb i="52"/>
        </ext>
      </extLst>
    </bk>
    <bk>
      <extLst>
        <ext uri="{3e2802c4-a4d2-4d8b-9148-e3be6c30e623}">
          <xlrd:rvb i="53"/>
        </ext>
      </extLst>
    </bk>
    <bk>
      <extLst>
        <ext uri="{3e2802c4-a4d2-4d8b-9148-e3be6c30e623}">
          <xlrd:rvb i="54"/>
        </ext>
      </extLst>
    </bk>
    <bk>
      <extLst>
        <ext uri="{3e2802c4-a4d2-4d8b-9148-e3be6c30e623}">
          <xlrd:rvb i="55"/>
        </ext>
      </extLst>
    </bk>
    <bk>
      <extLst>
        <ext uri="{3e2802c4-a4d2-4d8b-9148-e3be6c30e623}">
          <xlrd:rvb i="56"/>
        </ext>
      </extLst>
    </bk>
    <bk>
      <extLst>
        <ext uri="{3e2802c4-a4d2-4d8b-9148-e3be6c30e623}">
          <xlrd:rvb i="57"/>
        </ext>
      </extLst>
    </bk>
    <bk>
      <extLst>
        <ext uri="{3e2802c4-a4d2-4d8b-9148-e3be6c30e623}">
          <xlrd:rvb i="58"/>
        </ext>
      </extLst>
    </bk>
    <bk>
      <extLst>
        <ext uri="{3e2802c4-a4d2-4d8b-9148-e3be6c30e623}">
          <xlrd:rvb i="59"/>
        </ext>
      </extLst>
    </bk>
    <bk>
      <extLst>
        <ext uri="{3e2802c4-a4d2-4d8b-9148-e3be6c30e623}">
          <xlrd:rvb i="60"/>
        </ext>
      </extLst>
    </bk>
    <bk>
      <extLst>
        <ext uri="{3e2802c4-a4d2-4d8b-9148-e3be6c30e623}">
          <xlrd:rvb i="61"/>
        </ext>
      </extLst>
    </bk>
    <bk>
      <extLst>
        <ext uri="{3e2802c4-a4d2-4d8b-9148-e3be6c30e623}">
          <xlrd:rvb i="62"/>
        </ext>
      </extLst>
    </bk>
    <bk>
      <extLst>
        <ext uri="{3e2802c4-a4d2-4d8b-9148-e3be6c30e623}">
          <xlrd:rvb i="63"/>
        </ext>
      </extLst>
    </bk>
    <bk>
      <extLst>
        <ext uri="{3e2802c4-a4d2-4d8b-9148-e3be6c30e623}">
          <xlrd:rvb i="64"/>
        </ext>
      </extLst>
    </bk>
    <bk>
      <extLst>
        <ext uri="{3e2802c4-a4d2-4d8b-9148-e3be6c30e623}">
          <xlrd:rvb i="65"/>
        </ext>
      </extLst>
    </bk>
    <bk>
      <extLst>
        <ext uri="{3e2802c4-a4d2-4d8b-9148-e3be6c30e623}">
          <xlrd:rvb i="66"/>
        </ext>
      </extLst>
    </bk>
    <bk>
      <extLst>
        <ext uri="{3e2802c4-a4d2-4d8b-9148-e3be6c30e623}">
          <xlrd:rvb i="67"/>
        </ext>
      </extLst>
    </bk>
    <bk>
      <extLst>
        <ext uri="{3e2802c4-a4d2-4d8b-9148-e3be6c30e623}">
          <xlrd:rvb i="68"/>
        </ext>
      </extLst>
    </bk>
    <bk>
      <extLst>
        <ext uri="{3e2802c4-a4d2-4d8b-9148-e3be6c30e623}">
          <xlrd:rvb i="69"/>
        </ext>
      </extLst>
    </bk>
    <bk>
      <extLst>
        <ext uri="{3e2802c4-a4d2-4d8b-9148-e3be6c30e623}">
          <xlrd:rvb i="70"/>
        </ext>
      </extLst>
    </bk>
    <bk>
      <extLst>
        <ext uri="{3e2802c4-a4d2-4d8b-9148-e3be6c30e623}">
          <xlrd:rvb i="71"/>
        </ext>
      </extLst>
    </bk>
    <bk>
      <extLst>
        <ext uri="{3e2802c4-a4d2-4d8b-9148-e3be6c30e623}">
          <xlrd:rvb i="72"/>
        </ext>
      </extLst>
    </bk>
    <bk>
      <extLst>
        <ext uri="{3e2802c4-a4d2-4d8b-9148-e3be6c30e623}">
          <xlrd:rvb i="73"/>
        </ext>
      </extLst>
    </bk>
    <bk>
      <extLst>
        <ext uri="{3e2802c4-a4d2-4d8b-9148-e3be6c30e623}">
          <xlrd:rvb i="74"/>
        </ext>
      </extLst>
    </bk>
    <bk>
      <extLst>
        <ext uri="{3e2802c4-a4d2-4d8b-9148-e3be6c30e623}">
          <xlrd:rvb i="75"/>
        </ext>
      </extLst>
    </bk>
    <bk>
      <extLst>
        <ext uri="{3e2802c4-a4d2-4d8b-9148-e3be6c30e623}">
          <xlrd:rvb i="76"/>
        </ext>
      </extLst>
    </bk>
    <bk>
      <extLst>
        <ext uri="{3e2802c4-a4d2-4d8b-9148-e3be6c30e623}">
          <xlrd:rvb i="77"/>
        </ext>
      </extLst>
    </bk>
    <bk>
      <extLst>
        <ext uri="{3e2802c4-a4d2-4d8b-9148-e3be6c30e623}">
          <xlrd:rvb i="78"/>
        </ext>
      </extLst>
    </bk>
    <bk>
      <extLst>
        <ext uri="{3e2802c4-a4d2-4d8b-9148-e3be6c30e623}">
          <xlrd:rvb i="79"/>
        </ext>
      </extLst>
    </bk>
    <bk>
      <extLst>
        <ext uri="{3e2802c4-a4d2-4d8b-9148-e3be6c30e623}">
          <xlrd:rvb i="80"/>
        </ext>
      </extLst>
    </bk>
    <bk>
      <extLst>
        <ext uri="{3e2802c4-a4d2-4d8b-9148-e3be6c30e623}">
          <xlrd:rvb i="81"/>
        </ext>
      </extLst>
    </bk>
    <bk>
      <extLst>
        <ext uri="{3e2802c4-a4d2-4d8b-9148-e3be6c30e623}">
          <xlrd:rvb i="82"/>
        </ext>
      </extLst>
    </bk>
    <bk>
      <extLst>
        <ext uri="{3e2802c4-a4d2-4d8b-9148-e3be6c30e623}">
          <xlrd:rvb i="83"/>
        </ext>
      </extLst>
    </bk>
    <bk>
      <extLst>
        <ext uri="{3e2802c4-a4d2-4d8b-9148-e3be6c30e623}">
          <xlrd:rvb i="84"/>
        </ext>
      </extLst>
    </bk>
    <bk>
      <extLst>
        <ext uri="{3e2802c4-a4d2-4d8b-9148-e3be6c30e623}">
          <xlrd:rvb i="85"/>
        </ext>
      </extLst>
    </bk>
    <bk>
      <extLst>
        <ext uri="{3e2802c4-a4d2-4d8b-9148-e3be6c30e623}">
          <xlrd:rvb i="86"/>
        </ext>
      </extLst>
    </bk>
    <bk>
      <extLst>
        <ext uri="{3e2802c4-a4d2-4d8b-9148-e3be6c30e623}">
          <xlrd:rvb i="87"/>
        </ext>
      </extLst>
    </bk>
    <bk>
      <extLst>
        <ext uri="{3e2802c4-a4d2-4d8b-9148-e3be6c30e623}">
          <xlrd:rvb i="88"/>
        </ext>
      </extLst>
    </bk>
    <bk>
      <extLst>
        <ext uri="{3e2802c4-a4d2-4d8b-9148-e3be6c30e623}">
          <xlrd:rvb i="89"/>
        </ext>
      </extLst>
    </bk>
    <bk>
      <extLst>
        <ext uri="{3e2802c4-a4d2-4d8b-9148-e3be6c30e623}">
          <xlrd:rvb i="90"/>
        </ext>
      </extLst>
    </bk>
    <bk>
      <extLst>
        <ext uri="{3e2802c4-a4d2-4d8b-9148-e3be6c30e623}">
          <xlrd:rvb i="91"/>
        </ext>
      </extLst>
    </bk>
    <bk>
      <extLst>
        <ext uri="{3e2802c4-a4d2-4d8b-9148-e3be6c30e623}">
          <xlrd:rvb i="92"/>
        </ext>
      </extLst>
    </bk>
    <bk>
      <extLst>
        <ext uri="{3e2802c4-a4d2-4d8b-9148-e3be6c30e623}">
          <xlrd:rvb i="93"/>
        </ext>
      </extLst>
    </bk>
    <bk>
      <extLst>
        <ext uri="{3e2802c4-a4d2-4d8b-9148-e3be6c30e623}">
          <xlrd:rvb i="94"/>
        </ext>
      </extLst>
    </bk>
    <bk>
      <extLst>
        <ext uri="{3e2802c4-a4d2-4d8b-9148-e3be6c30e623}">
          <xlrd:rvb i="95"/>
        </ext>
      </extLst>
    </bk>
    <bk>
      <extLst>
        <ext uri="{3e2802c4-a4d2-4d8b-9148-e3be6c30e623}">
          <xlrd:rvb i="96"/>
        </ext>
      </extLst>
    </bk>
    <bk>
      <extLst>
        <ext uri="{3e2802c4-a4d2-4d8b-9148-e3be6c30e623}">
          <xlrd:rvb i="97"/>
        </ext>
      </extLst>
    </bk>
    <bk>
      <extLst>
        <ext uri="{3e2802c4-a4d2-4d8b-9148-e3be6c30e623}">
          <xlrd:rvb i="98"/>
        </ext>
      </extLst>
    </bk>
    <bk>
      <extLst>
        <ext uri="{3e2802c4-a4d2-4d8b-9148-e3be6c30e623}">
          <xlrd:rvb i="99"/>
        </ext>
      </extLst>
    </bk>
    <bk>
      <extLst>
        <ext uri="{3e2802c4-a4d2-4d8b-9148-e3be6c30e623}">
          <xlrd:rvb i="100"/>
        </ext>
      </extLst>
    </bk>
    <bk>
      <extLst>
        <ext uri="{3e2802c4-a4d2-4d8b-9148-e3be6c30e623}">
          <xlrd:rvb i="101"/>
        </ext>
      </extLst>
    </bk>
    <bk>
      <extLst>
        <ext uri="{3e2802c4-a4d2-4d8b-9148-e3be6c30e623}">
          <xlrd:rvb i="102"/>
        </ext>
      </extLst>
    </bk>
    <bk>
      <extLst>
        <ext uri="{3e2802c4-a4d2-4d8b-9148-e3be6c30e623}">
          <xlrd:rvb i="103"/>
        </ext>
      </extLst>
    </bk>
    <bk>
      <extLst>
        <ext uri="{3e2802c4-a4d2-4d8b-9148-e3be6c30e623}">
          <xlrd:rvb i="104"/>
        </ext>
      </extLst>
    </bk>
    <bk>
      <extLst>
        <ext uri="{3e2802c4-a4d2-4d8b-9148-e3be6c30e623}">
          <xlrd:rvb i="105"/>
        </ext>
      </extLst>
    </bk>
    <bk>
      <extLst>
        <ext uri="{3e2802c4-a4d2-4d8b-9148-e3be6c30e623}">
          <xlrd:rvb i="106"/>
        </ext>
      </extLst>
    </bk>
    <bk>
      <extLst>
        <ext uri="{3e2802c4-a4d2-4d8b-9148-e3be6c30e623}">
          <xlrd:rvb i="107"/>
        </ext>
      </extLst>
    </bk>
    <bk>
      <extLst>
        <ext uri="{3e2802c4-a4d2-4d8b-9148-e3be6c30e623}">
          <xlrd:rvb i="108"/>
        </ext>
      </extLst>
    </bk>
    <bk>
      <extLst>
        <ext uri="{3e2802c4-a4d2-4d8b-9148-e3be6c30e623}">
          <xlrd:rvb i="109"/>
        </ext>
      </extLst>
    </bk>
    <bk>
      <extLst>
        <ext uri="{3e2802c4-a4d2-4d8b-9148-e3be6c30e623}">
          <xlrd:rvb i="110"/>
        </ext>
      </extLst>
    </bk>
    <bk>
      <extLst>
        <ext uri="{3e2802c4-a4d2-4d8b-9148-e3be6c30e623}">
          <xlrd:rvb i="111"/>
        </ext>
      </extLst>
    </bk>
    <bk>
      <extLst>
        <ext uri="{3e2802c4-a4d2-4d8b-9148-e3be6c30e623}">
          <xlrd:rvb i="112"/>
        </ext>
      </extLst>
    </bk>
    <bk>
      <extLst>
        <ext uri="{3e2802c4-a4d2-4d8b-9148-e3be6c30e623}">
          <xlrd:rvb i="113"/>
        </ext>
      </extLst>
    </bk>
    <bk>
      <extLst>
        <ext uri="{3e2802c4-a4d2-4d8b-9148-e3be6c30e623}">
          <xlrd:rvb i="114"/>
        </ext>
      </extLst>
    </bk>
    <bk>
      <extLst>
        <ext uri="{3e2802c4-a4d2-4d8b-9148-e3be6c30e623}">
          <xlrd:rvb i="115"/>
        </ext>
      </extLst>
    </bk>
    <bk>
      <extLst>
        <ext uri="{3e2802c4-a4d2-4d8b-9148-e3be6c30e623}">
          <xlrd:rvb i="116"/>
        </ext>
      </extLst>
    </bk>
    <bk>
      <extLst>
        <ext uri="{3e2802c4-a4d2-4d8b-9148-e3be6c30e623}">
          <xlrd:rvb i="117"/>
        </ext>
      </extLst>
    </bk>
    <bk>
      <extLst>
        <ext uri="{3e2802c4-a4d2-4d8b-9148-e3be6c30e623}">
          <xlrd:rvb i="118"/>
        </ext>
      </extLst>
    </bk>
    <bk>
      <extLst>
        <ext uri="{3e2802c4-a4d2-4d8b-9148-e3be6c30e623}">
          <xlrd:rvb i="119"/>
        </ext>
      </extLst>
    </bk>
    <bk>
      <extLst>
        <ext uri="{3e2802c4-a4d2-4d8b-9148-e3be6c30e623}">
          <xlrd:rvb i="120"/>
        </ext>
      </extLst>
    </bk>
    <bk>
      <extLst>
        <ext uri="{3e2802c4-a4d2-4d8b-9148-e3be6c30e623}">
          <xlrd:rvb i="121"/>
        </ext>
      </extLst>
    </bk>
    <bk>
      <extLst>
        <ext uri="{3e2802c4-a4d2-4d8b-9148-e3be6c30e623}">
          <xlrd:rvb i="122"/>
        </ext>
      </extLst>
    </bk>
    <bk>
      <extLst>
        <ext uri="{3e2802c4-a4d2-4d8b-9148-e3be6c30e623}">
          <xlrd:rvb i="123"/>
        </ext>
      </extLst>
    </bk>
    <bk>
      <extLst>
        <ext uri="{3e2802c4-a4d2-4d8b-9148-e3be6c30e623}">
          <xlrd:rvb i="124"/>
        </ext>
      </extLst>
    </bk>
    <bk>
      <extLst>
        <ext uri="{3e2802c4-a4d2-4d8b-9148-e3be6c30e623}">
          <xlrd:rvb i="125"/>
        </ext>
      </extLst>
    </bk>
    <bk>
      <extLst>
        <ext uri="{3e2802c4-a4d2-4d8b-9148-e3be6c30e623}">
          <xlrd:rvb i="126"/>
        </ext>
      </extLst>
    </bk>
    <bk>
      <extLst>
        <ext uri="{3e2802c4-a4d2-4d8b-9148-e3be6c30e623}">
          <xlrd:rvb i="127"/>
        </ext>
      </extLst>
    </bk>
    <bk>
      <extLst>
        <ext uri="{3e2802c4-a4d2-4d8b-9148-e3be6c30e623}">
          <xlrd:rvb i="128"/>
        </ext>
      </extLst>
    </bk>
    <bk>
      <extLst>
        <ext uri="{3e2802c4-a4d2-4d8b-9148-e3be6c30e623}">
          <xlrd:rvb i="129"/>
        </ext>
      </extLst>
    </bk>
    <bk>
      <extLst>
        <ext uri="{3e2802c4-a4d2-4d8b-9148-e3be6c30e623}">
          <xlrd:rvb i="130"/>
        </ext>
      </extLst>
    </bk>
    <bk>
      <extLst>
        <ext uri="{3e2802c4-a4d2-4d8b-9148-e3be6c30e623}">
          <xlrd:rvb i="131"/>
        </ext>
      </extLst>
    </bk>
    <bk>
      <extLst>
        <ext uri="{3e2802c4-a4d2-4d8b-9148-e3be6c30e623}">
          <xlrd:rvb i="132"/>
        </ext>
      </extLst>
    </bk>
    <bk>
      <extLst>
        <ext uri="{3e2802c4-a4d2-4d8b-9148-e3be6c30e623}">
          <xlrd:rvb i="133"/>
        </ext>
      </extLst>
    </bk>
    <bk>
      <extLst>
        <ext uri="{3e2802c4-a4d2-4d8b-9148-e3be6c30e623}">
          <xlrd:rvb i="134"/>
        </ext>
      </extLst>
    </bk>
    <bk>
      <extLst>
        <ext uri="{3e2802c4-a4d2-4d8b-9148-e3be6c30e623}">
          <xlrd:rvb i="135"/>
        </ext>
      </extLst>
    </bk>
    <bk>
      <extLst>
        <ext uri="{3e2802c4-a4d2-4d8b-9148-e3be6c30e623}">
          <xlrd:rvb i="136"/>
        </ext>
      </extLst>
    </bk>
    <bk>
      <extLst>
        <ext uri="{3e2802c4-a4d2-4d8b-9148-e3be6c30e623}">
          <xlrd:rvb i="137"/>
        </ext>
      </extLst>
    </bk>
    <bk>
      <extLst>
        <ext uri="{3e2802c4-a4d2-4d8b-9148-e3be6c30e623}">
          <xlrd:rvb i="138"/>
        </ext>
      </extLst>
    </bk>
    <bk>
      <extLst>
        <ext uri="{3e2802c4-a4d2-4d8b-9148-e3be6c30e623}">
          <xlrd:rvb i="139"/>
        </ext>
      </extLst>
    </bk>
    <bk>
      <extLst>
        <ext uri="{3e2802c4-a4d2-4d8b-9148-e3be6c30e623}">
          <xlrd:rvb i="140"/>
        </ext>
      </extLst>
    </bk>
    <bk>
      <extLst>
        <ext uri="{3e2802c4-a4d2-4d8b-9148-e3be6c30e623}">
          <xlrd:rvb i="141"/>
        </ext>
      </extLst>
    </bk>
    <bk>
      <extLst>
        <ext uri="{3e2802c4-a4d2-4d8b-9148-e3be6c30e623}">
          <xlrd:rvb i="142"/>
        </ext>
      </extLst>
    </bk>
    <bk>
      <extLst>
        <ext uri="{3e2802c4-a4d2-4d8b-9148-e3be6c30e623}">
          <xlrd:rvb i="143"/>
        </ext>
      </extLst>
    </bk>
    <bk>
      <extLst>
        <ext uri="{3e2802c4-a4d2-4d8b-9148-e3be6c30e623}">
          <xlrd:rvb i="144"/>
        </ext>
      </extLst>
    </bk>
    <bk>
      <extLst>
        <ext uri="{3e2802c4-a4d2-4d8b-9148-e3be6c30e623}">
          <xlrd:rvb i="145"/>
        </ext>
      </extLst>
    </bk>
    <bk>
      <extLst>
        <ext uri="{3e2802c4-a4d2-4d8b-9148-e3be6c30e623}">
          <xlrd:rvb i="146"/>
        </ext>
      </extLst>
    </bk>
    <bk>
      <extLst>
        <ext uri="{3e2802c4-a4d2-4d8b-9148-e3be6c30e623}">
          <xlrd:rvb i="147"/>
        </ext>
      </extLst>
    </bk>
    <bk>
      <extLst>
        <ext uri="{3e2802c4-a4d2-4d8b-9148-e3be6c30e623}">
          <xlrd:rvb i="148"/>
        </ext>
      </extLst>
    </bk>
    <bk>
      <extLst>
        <ext uri="{3e2802c4-a4d2-4d8b-9148-e3be6c30e623}">
          <xlrd:rvb i="149"/>
        </ext>
      </extLst>
    </bk>
    <bk>
      <extLst>
        <ext uri="{3e2802c4-a4d2-4d8b-9148-e3be6c30e623}">
          <xlrd:rvb i="150"/>
        </ext>
      </extLst>
    </bk>
    <bk>
      <extLst>
        <ext uri="{3e2802c4-a4d2-4d8b-9148-e3be6c30e623}">
          <xlrd:rvb i="151"/>
        </ext>
      </extLst>
    </bk>
    <bk>
      <extLst>
        <ext uri="{3e2802c4-a4d2-4d8b-9148-e3be6c30e623}">
          <xlrd:rvb i="152"/>
        </ext>
      </extLst>
    </bk>
    <bk>
      <extLst>
        <ext uri="{3e2802c4-a4d2-4d8b-9148-e3be6c30e623}">
          <xlrd:rvb i="153"/>
        </ext>
      </extLst>
    </bk>
    <bk>
      <extLst>
        <ext uri="{3e2802c4-a4d2-4d8b-9148-e3be6c30e623}">
          <xlrd:rvb i="154"/>
        </ext>
      </extLst>
    </bk>
    <bk>
      <extLst>
        <ext uri="{3e2802c4-a4d2-4d8b-9148-e3be6c30e623}">
          <xlrd:rvb i="155"/>
        </ext>
      </extLst>
    </bk>
    <bk>
      <extLst>
        <ext uri="{3e2802c4-a4d2-4d8b-9148-e3be6c30e623}">
          <xlrd:rvb i="156"/>
        </ext>
      </extLst>
    </bk>
    <bk>
      <extLst>
        <ext uri="{3e2802c4-a4d2-4d8b-9148-e3be6c30e623}">
          <xlrd:rvb i="157"/>
        </ext>
      </extLst>
    </bk>
    <bk>
      <extLst>
        <ext uri="{3e2802c4-a4d2-4d8b-9148-e3be6c30e623}">
          <xlrd:rvb i="158"/>
        </ext>
      </extLst>
    </bk>
    <bk>
      <extLst>
        <ext uri="{3e2802c4-a4d2-4d8b-9148-e3be6c30e623}">
          <xlrd:rvb i="159"/>
        </ext>
      </extLst>
    </bk>
    <bk>
      <extLst>
        <ext uri="{3e2802c4-a4d2-4d8b-9148-e3be6c30e623}">
          <xlrd:rvb i="160"/>
        </ext>
      </extLst>
    </bk>
    <bk>
      <extLst>
        <ext uri="{3e2802c4-a4d2-4d8b-9148-e3be6c30e623}">
          <xlrd:rvb i="161"/>
        </ext>
      </extLst>
    </bk>
    <bk>
      <extLst>
        <ext uri="{3e2802c4-a4d2-4d8b-9148-e3be6c30e623}">
          <xlrd:rvb i="162"/>
        </ext>
      </extLst>
    </bk>
    <bk>
      <extLst>
        <ext uri="{3e2802c4-a4d2-4d8b-9148-e3be6c30e623}">
          <xlrd:rvb i="163"/>
        </ext>
      </extLst>
    </bk>
    <bk>
      <extLst>
        <ext uri="{3e2802c4-a4d2-4d8b-9148-e3be6c30e623}">
          <xlrd:rvb i="164"/>
        </ext>
      </extLst>
    </bk>
    <bk>
      <extLst>
        <ext uri="{3e2802c4-a4d2-4d8b-9148-e3be6c30e623}">
          <xlrd:rvb i="165"/>
        </ext>
      </extLst>
    </bk>
    <bk>
      <extLst>
        <ext uri="{3e2802c4-a4d2-4d8b-9148-e3be6c30e623}">
          <xlrd:rvb i="166"/>
        </ext>
      </extLst>
    </bk>
    <bk>
      <extLst>
        <ext uri="{3e2802c4-a4d2-4d8b-9148-e3be6c30e623}">
          <xlrd:rvb i="167"/>
        </ext>
      </extLst>
    </bk>
    <bk>
      <extLst>
        <ext uri="{3e2802c4-a4d2-4d8b-9148-e3be6c30e623}">
          <xlrd:rvb i="168"/>
        </ext>
      </extLst>
    </bk>
    <bk>
      <extLst>
        <ext uri="{3e2802c4-a4d2-4d8b-9148-e3be6c30e623}">
          <xlrd:rvb i="169"/>
        </ext>
      </extLst>
    </bk>
    <bk>
      <extLst>
        <ext uri="{3e2802c4-a4d2-4d8b-9148-e3be6c30e623}">
          <xlrd:rvb i="170"/>
        </ext>
      </extLst>
    </bk>
    <bk>
      <extLst>
        <ext uri="{3e2802c4-a4d2-4d8b-9148-e3be6c30e623}">
          <xlrd:rvb i="171"/>
        </ext>
      </extLst>
    </bk>
    <bk>
      <extLst>
        <ext uri="{3e2802c4-a4d2-4d8b-9148-e3be6c30e623}">
          <xlrd:rvb i="172"/>
        </ext>
      </extLst>
    </bk>
    <bk>
      <extLst>
        <ext uri="{3e2802c4-a4d2-4d8b-9148-e3be6c30e623}">
          <xlrd:rvb i="173"/>
        </ext>
      </extLst>
    </bk>
    <bk>
      <extLst>
        <ext uri="{3e2802c4-a4d2-4d8b-9148-e3be6c30e623}">
          <xlrd:rvb i="174"/>
        </ext>
      </extLst>
    </bk>
    <bk>
      <extLst>
        <ext uri="{3e2802c4-a4d2-4d8b-9148-e3be6c30e623}">
          <xlrd:rvb i="175"/>
        </ext>
      </extLst>
    </bk>
    <bk>
      <extLst>
        <ext uri="{3e2802c4-a4d2-4d8b-9148-e3be6c30e623}">
          <xlrd:rvb i="176"/>
        </ext>
      </extLst>
    </bk>
    <bk>
      <extLst>
        <ext uri="{3e2802c4-a4d2-4d8b-9148-e3be6c30e623}">
          <xlrd:rvb i="177"/>
        </ext>
      </extLst>
    </bk>
    <bk>
      <extLst>
        <ext uri="{3e2802c4-a4d2-4d8b-9148-e3be6c30e623}">
          <xlrd:rvb i="178"/>
        </ext>
      </extLst>
    </bk>
    <bk>
      <extLst>
        <ext uri="{3e2802c4-a4d2-4d8b-9148-e3be6c30e623}">
          <xlrd:rvb i="179"/>
        </ext>
      </extLst>
    </bk>
    <bk>
      <extLst>
        <ext uri="{3e2802c4-a4d2-4d8b-9148-e3be6c30e623}">
          <xlrd:rvb i="180"/>
        </ext>
      </extLst>
    </bk>
    <bk>
      <extLst>
        <ext uri="{3e2802c4-a4d2-4d8b-9148-e3be6c30e623}">
          <xlrd:rvb i="181"/>
        </ext>
      </extLst>
    </bk>
    <bk>
      <extLst>
        <ext uri="{3e2802c4-a4d2-4d8b-9148-e3be6c30e623}">
          <xlrd:rvb i="182"/>
        </ext>
      </extLst>
    </bk>
    <bk>
      <extLst>
        <ext uri="{3e2802c4-a4d2-4d8b-9148-e3be6c30e623}">
          <xlrd:rvb i="183"/>
        </ext>
      </extLst>
    </bk>
    <bk>
      <extLst>
        <ext uri="{3e2802c4-a4d2-4d8b-9148-e3be6c30e623}">
          <xlrd:rvb i="184"/>
        </ext>
      </extLst>
    </bk>
    <bk>
      <extLst>
        <ext uri="{3e2802c4-a4d2-4d8b-9148-e3be6c30e623}">
          <xlrd:rvb i="185"/>
        </ext>
      </extLst>
    </bk>
    <bk>
      <extLst>
        <ext uri="{3e2802c4-a4d2-4d8b-9148-e3be6c30e623}">
          <xlrd:rvb i="186"/>
        </ext>
      </extLst>
    </bk>
    <bk>
      <extLst>
        <ext uri="{3e2802c4-a4d2-4d8b-9148-e3be6c30e623}">
          <xlrd:rvb i="187"/>
        </ext>
      </extLst>
    </bk>
    <bk>
      <extLst>
        <ext uri="{3e2802c4-a4d2-4d8b-9148-e3be6c30e623}">
          <xlrd:rvb i="188"/>
        </ext>
      </extLst>
    </bk>
    <bk>
      <extLst>
        <ext uri="{3e2802c4-a4d2-4d8b-9148-e3be6c30e623}">
          <xlrd:rvb i="189"/>
        </ext>
      </extLst>
    </bk>
    <bk>
      <extLst>
        <ext uri="{3e2802c4-a4d2-4d8b-9148-e3be6c30e623}">
          <xlrd:rvb i="190"/>
        </ext>
      </extLst>
    </bk>
    <bk>
      <extLst>
        <ext uri="{3e2802c4-a4d2-4d8b-9148-e3be6c30e623}">
          <xlrd:rvb i="191"/>
        </ext>
      </extLst>
    </bk>
    <bk>
      <extLst>
        <ext uri="{3e2802c4-a4d2-4d8b-9148-e3be6c30e623}">
          <xlrd:rvb i="192"/>
        </ext>
      </extLst>
    </bk>
    <bk>
      <extLst>
        <ext uri="{3e2802c4-a4d2-4d8b-9148-e3be6c30e623}">
          <xlrd:rvb i="193"/>
        </ext>
      </extLst>
    </bk>
    <bk>
      <extLst>
        <ext uri="{3e2802c4-a4d2-4d8b-9148-e3be6c30e623}">
          <xlrd:rvb i="194"/>
        </ext>
      </extLst>
    </bk>
    <bk>
      <extLst>
        <ext uri="{3e2802c4-a4d2-4d8b-9148-e3be6c30e623}">
          <xlrd:rvb i="195"/>
        </ext>
      </extLst>
    </bk>
    <bk>
      <extLst>
        <ext uri="{3e2802c4-a4d2-4d8b-9148-e3be6c30e623}">
          <xlrd:rvb i="196"/>
        </ext>
      </extLst>
    </bk>
    <bk>
      <extLst>
        <ext uri="{3e2802c4-a4d2-4d8b-9148-e3be6c30e623}">
          <xlrd:rvb i="197"/>
        </ext>
      </extLst>
    </bk>
    <bk>
      <extLst>
        <ext uri="{3e2802c4-a4d2-4d8b-9148-e3be6c30e623}">
          <xlrd:rvb i="198"/>
        </ext>
      </extLst>
    </bk>
    <bk>
      <extLst>
        <ext uri="{3e2802c4-a4d2-4d8b-9148-e3be6c30e623}">
          <xlrd:rvb i="199"/>
        </ext>
      </extLst>
    </bk>
    <bk>
      <extLst>
        <ext uri="{3e2802c4-a4d2-4d8b-9148-e3be6c30e623}">
          <xlrd:rvb i="200"/>
        </ext>
      </extLst>
    </bk>
    <bk>
      <extLst>
        <ext uri="{3e2802c4-a4d2-4d8b-9148-e3be6c30e623}">
          <xlrd:rvb i="201"/>
        </ext>
      </extLst>
    </bk>
    <bk>
      <extLst>
        <ext uri="{3e2802c4-a4d2-4d8b-9148-e3be6c30e623}">
          <xlrd:rvb i="202"/>
        </ext>
      </extLst>
    </bk>
    <bk>
      <extLst>
        <ext uri="{3e2802c4-a4d2-4d8b-9148-e3be6c30e623}">
          <xlrd:rvb i="203"/>
        </ext>
      </extLst>
    </bk>
    <bk>
      <extLst>
        <ext uri="{3e2802c4-a4d2-4d8b-9148-e3be6c30e623}">
          <xlrd:rvb i="204"/>
        </ext>
      </extLst>
    </bk>
    <bk>
      <extLst>
        <ext uri="{3e2802c4-a4d2-4d8b-9148-e3be6c30e623}">
          <xlrd:rvb i="205"/>
        </ext>
      </extLst>
    </bk>
    <bk>
      <extLst>
        <ext uri="{3e2802c4-a4d2-4d8b-9148-e3be6c30e623}">
          <xlrd:rvb i="206"/>
        </ext>
      </extLst>
    </bk>
    <bk>
      <extLst>
        <ext uri="{3e2802c4-a4d2-4d8b-9148-e3be6c30e623}">
          <xlrd:rvb i="207"/>
        </ext>
      </extLst>
    </bk>
    <bk>
      <extLst>
        <ext uri="{3e2802c4-a4d2-4d8b-9148-e3be6c30e623}">
          <xlrd:rvb i="208"/>
        </ext>
      </extLst>
    </bk>
    <bk>
      <extLst>
        <ext uri="{3e2802c4-a4d2-4d8b-9148-e3be6c30e623}">
          <xlrd:rvb i="209"/>
        </ext>
      </extLst>
    </bk>
    <bk>
      <extLst>
        <ext uri="{3e2802c4-a4d2-4d8b-9148-e3be6c30e623}">
          <xlrd:rvb i="210"/>
        </ext>
      </extLst>
    </bk>
    <bk>
      <extLst>
        <ext uri="{3e2802c4-a4d2-4d8b-9148-e3be6c30e623}">
          <xlrd:rvb i="211"/>
        </ext>
      </extLst>
    </bk>
    <bk>
      <extLst>
        <ext uri="{3e2802c4-a4d2-4d8b-9148-e3be6c30e623}">
          <xlrd:rvb i="212"/>
        </ext>
      </extLst>
    </bk>
    <bk>
      <extLst>
        <ext uri="{3e2802c4-a4d2-4d8b-9148-e3be6c30e623}">
          <xlrd:rvb i="213"/>
        </ext>
      </extLst>
    </bk>
    <bk>
      <extLst>
        <ext uri="{3e2802c4-a4d2-4d8b-9148-e3be6c30e623}">
          <xlrd:rvb i="214"/>
        </ext>
      </extLst>
    </bk>
    <bk>
      <extLst>
        <ext uri="{3e2802c4-a4d2-4d8b-9148-e3be6c30e623}">
          <xlrd:rvb i="215"/>
        </ext>
      </extLst>
    </bk>
    <bk>
      <extLst>
        <ext uri="{3e2802c4-a4d2-4d8b-9148-e3be6c30e623}">
          <xlrd:rvb i="216"/>
        </ext>
      </extLst>
    </bk>
    <bk>
      <extLst>
        <ext uri="{3e2802c4-a4d2-4d8b-9148-e3be6c30e623}">
          <xlrd:rvb i="217"/>
        </ext>
      </extLst>
    </bk>
    <bk>
      <extLst>
        <ext uri="{3e2802c4-a4d2-4d8b-9148-e3be6c30e623}">
          <xlrd:rvb i="218"/>
        </ext>
      </extLst>
    </bk>
    <bk>
      <extLst>
        <ext uri="{3e2802c4-a4d2-4d8b-9148-e3be6c30e623}">
          <xlrd:rvb i="219"/>
        </ext>
      </extLst>
    </bk>
    <bk>
      <extLst>
        <ext uri="{3e2802c4-a4d2-4d8b-9148-e3be6c30e623}">
          <xlrd:rvb i="220"/>
        </ext>
      </extLst>
    </bk>
    <bk>
      <extLst>
        <ext uri="{3e2802c4-a4d2-4d8b-9148-e3be6c30e623}">
          <xlrd:rvb i="221"/>
        </ext>
      </extLst>
    </bk>
    <bk>
      <extLst>
        <ext uri="{3e2802c4-a4d2-4d8b-9148-e3be6c30e623}">
          <xlrd:rvb i="222"/>
        </ext>
      </extLst>
    </bk>
    <bk>
      <extLst>
        <ext uri="{3e2802c4-a4d2-4d8b-9148-e3be6c30e623}">
          <xlrd:rvb i="223"/>
        </ext>
      </extLst>
    </bk>
    <bk>
      <extLst>
        <ext uri="{3e2802c4-a4d2-4d8b-9148-e3be6c30e623}">
          <xlrd:rvb i="224"/>
        </ext>
      </extLst>
    </bk>
    <bk>
      <extLst>
        <ext uri="{3e2802c4-a4d2-4d8b-9148-e3be6c30e623}">
          <xlrd:rvb i="225"/>
        </ext>
      </extLst>
    </bk>
    <bk>
      <extLst>
        <ext uri="{3e2802c4-a4d2-4d8b-9148-e3be6c30e623}">
          <xlrd:rvb i="226"/>
        </ext>
      </extLst>
    </bk>
    <bk>
      <extLst>
        <ext uri="{3e2802c4-a4d2-4d8b-9148-e3be6c30e623}">
          <xlrd:rvb i="227"/>
        </ext>
      </extLst>
    </bk>
    <bk>
      <extLst>
        <ext uri="{3e2802c4-a4d2-4d8b-9148-e3be6c30e623}">
          <xlrd:rvb i="228"/>
        </ext>
      </extLst>
    </bk>
    <bk>
      <extLst>
        <ext uri="{3e2802c4-a4d2-4d8b-9148-e3be6c30e623}">
          <xlrd:rvb i="229"/>
        </ext>
      </extLst>
    </bk>
    <bk>
      <extLst>
        <ext uri="{3e2802c4-a4d2-4d8b-9148-e3be6c30e623}">
          <xlrd:rvb i="230"/>
        </ext>
      </extLst>
    </bk>
    <bk>
      <extLst>
        <ext uri="{3e2802c4-a4d2-4d8b-9148-e3be6c30e623}">
          <xlrd:rvb i="231"/>
        </ext>
      </extLst>
    </bk>
    <bk>
      <extLst>
        <ext uri="{3e2802c4-a4d2-4d8b-9148-e3be6c30e623}">
          <xlrd:rvb i="232"/>
        </ext>
      </extLst>
    </bk>
    <bk>
      <extLst>
        <ext uri="{3e2802c4-a4d2-4d8b-9148-e3be6c30e623}">
          <xlrd:rvb i="233"/>
        </ext>
      </extLst>
    </bk>
    <bk>
      <extLst>
        <ext uri="{3e2802c4-a4d2-4d8b-9148-e3be6c30e623}">
          <xlrd:rvb i="234"/>
        </ext>
      </extLst>
    </bk>
    <bk>
      <extLst>
        <ext uri="{3e2802c4-a4d2-4d8b-9148-e3be6c30e623}">
          <xlrd:rvb i="235"/>
        </ext>
      </extLst>
    </bk>
    <bk>
      <extLst>
        <ext uri="{3e2802c4-a4d2-4d8b-9148-e3be6c30e623}">
          <xlrd:rvb i="236"/>
        </ext>
      </extLst>
    </bk>
    <bk>
      <extLst>
        <ext uri="{3e2802c4-a4d2-4d8b-9148-e3be6c30e623}">
          <xlrd:rvb i="237"/>
        </ext>
      </extLst>
    </bk>
    <bk>
      <extLst>
        <ext uri="{3e2802c4-a4d2-4d8b-9148-e3be6c30e623}">
          <xlrd:rvb i="238"/>
        </ext>
      </extLst>
    </bk>
    <bk>
      <extLst>
        <ext uri="{3e2802c4-a4d2-4d8b-9148-e3be6c30e623}">
          <xlrd:rvb i="239"/>
        </ext>
      </extLst>
    </bk>
    <bk>
      <extLst>
        <ext uri="{3e2802c4-a4d2-4d8b-9148-e3be6c30e623}">
          <xlrd:rvb i="240"/>
        </ext>
      </extLst>
    </bk>
    <bk>
      <extLst>
        <ext uri="{3e2802c4-a4d2-4d8b-9148-e3be6c30e623}">
          <xlrd:rvb i="241"/>
        </ext>
      </extLst>
    </bk>
    <bk>
      <extLst>
        <ext uri="{3e2802c4-a4d2-4d8b-9148-e3be6c30e623}">
          <xlrd:rvb i="242"/>
        </ext>
      </extLst>
    </bk>
    <bk>
      <extLst>
        <ext uri="{3e2802c4-a4d2-4d8b-9148-e3be6c30e623}">
          <xlrd:rvb i="243"/>
        </ext>
      </extLst>
    </bk>
    <bk>
      <extLst>
        <ext uri="{3e2802c4-a4d2-4d8b-9148-e3be6c30e623}">
          <xlrd:rvb i="244"/>
        </ext>
      </extLst>
    </bk>
    <bk>
      <extLst>
        <ext uri="{3e2802c4-a4d2-4d8b-9148-e3be6c30e623}">
          <xlrd:rvb i="245"/>
        </ext>
      </extLst>
    </bk>
    <bk>
      <extLst>
        <ext uri="{3e2802c4-a4d2-4d8b-9148-e3be6c30e623}">
          <xlrd:rvb i="246"/>
        </ext>
      </extLst>
    </bk>
    <bk>
      <extLst>
        <ext uri="{3e2802c4-a4d2-4d8b-9148-e3be6c30e623}">
          <xlrd:rvb i="247"/>
        </ext>
      </extLst>
    </bk>
    <bk>
      <extLst>
        <ext uri="{3e2802c4-a4d2-4d8b-9148-e3be6c30e623}">
          <xlrd:rvb i="248"/>
        </ext>
      </extLst>
    </bk>
    <bk>
      <extLst>
        <ext uri="{3e2802c4-a4d2-4d8b-9148-e3be6c30e623}">
          <xlrd:rvb i="249"/>
        </ext>
      </extLst>
    </bk>
    <bk>
      <extLst>
        <ext uri="{3e2802c4-a4d2-4d8b-9148-e3be6c30e623}">
          <xlrd:rvb i="250"/>
        </ext>
      </extLst>
    </bk>
    <bk>
      <extLst>
        <ext uri="{3e2802c4-a4d2-4d8b-9148-e3be6c30e623}">
          <xlrd:rvb i="251"/>
        </ext>
      </extLst>
    </bk>
    <bk>
      <extLst>
        <ext uri="{3e2802c4-a4d2-4d8b-9148-e3be6c30e623}">
          <xlrd:rvb i="252"/>
        </ext>
      </extLst>
    </bk>
    <bk>
      <extLst>
        <ext uri="{3e2802c4-a4d2-4d8b-9148-e3be6c30e623}">
          <xlrd:rvb i="253"/>
        </ext>
      </extLst>
    </bk>
    <bk>
      <extLst>
        <ext uri="{3e2802c4-a4d2-4d8b-9148-e3be6c30e623}">
          <xlrd:rvb i="254"/>
        </ext>
      </extLst>
    </bk>
    <bk>
      <extLst>
        <ext uri="{3e2802c4-a4d2-4d8b-9148-e3be6c30e623}">
          <xlrd:rvb i="255"/>
        </ext>
      </extLst>
    </bk>
    <bk>
      <extLst>
        <ext uri="{3e2802c4-a4d2-4d8b-9148-e3be6c30e623}">
          <xlrd:rvb i="256"/>
        </ext>
      </extLst>
    </bk>
    <bk>
      <extLst>
        <ext uri="{3e2802c4-a4d2-4d8b-9148-e3be6c30e623}">
          <xlrd:rvb i="257"/>
        </ext>
      </extLst>
    </bk>
    <bk>
      <extLst>
        <ext uri="{3e2802c4-a4d2-4d8b-9148-e3be6c30e623}">
          <xlrd:rvb i="258"/>
        </ext>
      </extLst>
    </bk>
    <bk>
      <extLst>
        <ext uri="{3e2802c4-a4d2-4d8b-9148-e3be6c30e623}">
          <xlrd:rvb i="259"/>
        </ext>
      </extLst>
    </bk>
    <bk>
      <extLst>
        <ext uri="{3e2802c4-a4d2-4d8b-9148-e3be6c30e623}">
          <xlrd:rvb i="260"/>
        </ext>
      </extLst>
    </bk>
    <bk>
      <extLst>
        <ext uri="{3e2802c4-a4d2-4d8b-9148-e3be6c30e623}">
          <xlrd:rvb i="261"/>
        </ext>
      </extLst>
    </bk>
    <bk>
      <extLst>
        <ext uri="{3e2802c4-a4d2-4d8b-9148-e3be6c30e623}">
          <xlrd:rvb i="262"/>
        </ext>
      </extLst>
    </bk>
    <bk>
      <extLst>
        <ext uri="{3e2802c4-a4d2-4d8b-9148-e3be6c30e623}">
          <xlrd:rvb i="263"/>
        </ext>
      </extLst>
    </bk>
    <bk>
      <extLst>
        <ext uri="{3e2802c4-a4d2-4d8b-9148-e3be6c30e623}">
          <xlrd:rvb i="264"/>
        </ext>
      </extLst>
    </bk>
    <bk>
      <extLst>
        <ext uri="{3e2802c4-a4d2-4d8b-9148-e3be6c30e623}">
          <xlrd:rvb i="265"/>
        </ext>
      </extLst>
    </bk>
    <bk>
      <extLst>
        <ext uri="{3e2802c4-a4d2-4d8b-9148-e3be6c30e623}">
          <xlrd:rvb i="266"/>
        </ext>
      </extLst>
    </bk>
    <bk>
      <extLst>
        <ext uri="{3e2802c4-a4d2-4d8b-9148-e3be6c30e623}">
          <xlrd:rvb i="267"/>
        </ext>
      </extLst>
    </bk>
    <bk>
      <extLst>
        <ext uri="{3e2802c4-a4d2-4d8b-9148-e3be6c30e623}">
          <xlrd:rvb i="268"/>
        </ext>
      </extLst>
    </bk>
    <bk>
      <extLst>
        <ext uri="{3e2802c4-a4d2-4d8b-9148-e3be6c30e623}">
          <xlrd:rvb i="269"/>
        </ext>
      </extLst>
    </bk>
    <bk>
      <extLst>
        <ext uri="{3e2802c4-a4d2-4d8b-9148-e3be6c30e623}">
          <xlrd:rvb i="270"/>
        </ext>
      </extLst>
    </bk>
    <bk>
      <extLst>
        <ext uri="{3e2802c4-a4d2-4d8b-9148-e3be6c30e623}">
          <xlrd:rvb i="271"/>
        </ext>
      </extLst>
    </bk>
    <bk>
      <extLst>
        <ext uri="{3e2802c4-a4d2-4d8b-9148-e3be6c30e623}">
          <xlrd:rvb i="272"/>
        </ext>
      </extLst>
    </bk>
    <bk>
      <extLst>
        <ext uri="{3e2802c4-a4d2-4d8b-9148-e3be6c30e623}">
          <xlrd:rvb i="273"/>
        </ext>
      </extLst>
    </bk>
    <bk>
      <extLst>
        <ext uri="{3e2802c4-a4d2-4d8b-9148-e3be6c30e623}">
          <xlrd:rvb i="274"/>
        </ext>
      </extLst>
    </bk>
    <bk>
      <extLst>
        <ext uri="{3e2802c4-a4d2-4d8b-9148-e3be6c30e623}">
          <xlrd:rvb i="275"/>
        </ext>
      </extLst>
    </bk>
    <bk>
      <extLst>
        <ext uri="{3e2802c4-a4d2-4d8b-9148-e3be6c30e623}">
          <xlrd:rvb i="276"/>
        </ext>
      </extLst>
    </bk>
    <bk>
      <extLst>
        <ext uri="{3e2802c4-a4d2-4d8b-9148-e3be6c30e623}">
          <xlrd:rvb i="277"/>
        </ext>
      </extLst>
    </bk>
    <bk>
      <extLst>
        <ext uri="{3e2802c4-a4d2-4d8b-9148-e3be6c30e623}">
          <xlrd:rvb i="278"/>
        </ext>
      </extLst>
    </bk>
    <bk>
      <extLst>
        <ext uri="{3e2802c4-a4d2-4d8b-9148-e3be6c30e623}">
          <xlrd:rvb i="279"/>
        </ext>
      </extLst>
    </bk>
    <bk>
      <extLst>
        <ext uri="{3e2802c4-a4d2-4d8b-9148-e3be6c30e623}">
          <xlrd:rvb i="280"/>
        </ext>
      </extLst>
    </bk>
    <bk>
      <extLst>
        <ext uri="{3e2802c4-a4d2-4d8b-9148-e3be6c30e623}">
          <xlrd:rvb i="281"/>
        </ext>
      </extLst>
    </bk>
    <bk>
      <extLst>
        <ext uri="{3e2802c4-a4d2-4d8b-9148-e3be6c30e623}">
          <xlrd:rvb i="282"/>
        </ext>
      </extLst>
    </bk>
    <bk>
      <extLst>
        <ext uri="{3e2802c4-a4d2-4d8b-9148-e3be6c30e623}">
          <xlrd:rvb i="283"/>
        </ext>
      </extLst>
    </bk>
    <bk>
      <extLst>
        <ext uri="{3e2802c4-a4d2-4d8b-9148-e3be6c30e623}">
          <xlrd:rvb i="284"/>
        </ext>
      </extLst>
    </bk>
    <bk>
      <extLst>
        <ext uri="{3e2802c4-a4d2-4d8b-9148-e3be6c30e623}">
          <xlrd:rvb i="285"/>
        </ext>
      </extLst>
    </bk>
    <bk>
      <extLst>
        <ext uri="{3e2802c4-a4d2-4d8b-9148-e3be6c30e623}">
          <xlrd:rvb i="286"/>
        </ext>
      </extLst>
    </bk>
    <bk>
      <extLst>
        <ext uri="{3e2802c4-a4d2-4d8b-9148-e3be6c30e623}">
          <xlrd:rvb i="287"/>
        </ext>
      </extLst>
    </bk>
    <bk>
      <extLst>
        <ext uri="{3e2802c4-a4d2-4d8b-9148-e3be6c30e623}">
          <xlrd:rvb i="288"/>
        </ext>
      </extLst>
    </bk>
    <bk>
      <extLst>
        <ext uri="{3e2802c4-a4d2-4d8b-9148-e3be6c30e623}">
          <xlrd:rvb i="289"/>
        </ext>
      </extLst>
    </bk>
    <bk>
      <extLst>
        <ext uri="{3e2802c4-a4d2-4d8b-9148-e3be6c30e623}">
          <xlrd:rvb i="290"/>
        </ext>
      </extLst>
    </bk>
    <bk>
      <extLst>
        <ext uri="{3e2802c4-a4d2-4d8b-9148-e3be6c30e623}">
          <xlrd:rvb i="291"/>
        </ext>
      </extLst>
    </bk>
    <bk>
      <extLst>
        <ext uri="{3e2802c4-a4d2-4d8b-9148-e3be6c30e623}">
          <xlrd:rvb i="292"/>
        </ext>
      </extLst>
    </bk>
    <bk>
      <extLst>
        <ext uri="{3e2802c4-a4d2-4d8b-9148-e3be6c30e623}">
          <xlrd:rvb i="293"/>
        </ext>
      </extLst>
    </bk>
    <bk>
      <extLst>
        <ext uri="{3e2802c4-a4d2-4d8b-9148-e3be6c30e623}">
          <xlrd:rvb i="294"/>
        </ext>
      </extLst>
    </bk>
    <bk>
      <extLst>
        <ext uri="{3e2802c4-a4d2-4d8b-9148-e3be6c30e623}">
          <xlrd:rvb i="295"/>
        </ext>
      </extLst>
    </bk>
    <bk>
      <extLst>
        <ext uri="{3e2802c4-a4d2-4d8b-9148-e3be6c30e623}">
          <xlrd:rvb i="296"/>
        </ext>
      </extLst>
    </bk>
    <bk>
      <extLst>
        <ext uri="{3e2802c4-a4d2-4d8b-9148-e3be6c30e623}">
          <xlrd:rvb i="297"/>
        </ext>
      </extLst>
    </bk>
    <bk>
      <extLst>
        <ext uri="{3e2802c4-a4d2-4d8b-9148-e3be6c30e623}">
          <xlrd:rvb i="298"/>
        </ext>
      </extLst>
    </bk>
    <bk>
      <extLst>
        <ext uri="{3e2802c4-a4d2-4d8b-9148-e3be6c30e623}">
          <xlrd:rvb i="299"/>
        </ext>
      </extLst>
    </bk>
    <bk>
      <extLst>
        <ext uri="{3e2802c4-a4d2-4d8b-9148-e3be6c30e623}">
          <xlrd:rvb i="300"/>
        </ext>
      </extLst>
    </bk>
    <bk>
      <extLst>
        <ext uri="{3e2802c4-a4d2-4d8b-9148-e3be6c30e623}">
          <xlrd:rvb i="301"/>
        </ext>
      </extLst>
    </bk>
    <bk>
      <extLst>
        <ext uri="{3e2802c4-a4d2-4d8b-9148-e3be6c30e623}">
          <xlrd:rvb i="302"/>
        </ext>
      </extLst>
    </bk>
    <bk>
      <extLst>
        <ext uri="{3e2802c4-a4d2-4d8b-9148-e3be6c30e623}">
          <xlrd:rvb i="303"/>
        </ext>
      </extLst>
    </bk>
    <bk>
      <extLst>
        <ext uri="{3e2802c4-a4d2-4d8b-9148-e3be6c30e623}">
          <xlrd:rvb i="304"/>
        </ext>
      </extLst>
    </bk>
    <bk>
      <extLst>
        <ext uri="{3e2802c4-a4d2-4d8b-9148-e3be6c30e623}">
          <xlrd:rvb i="305"/>
        </ext>
      </extLst>
    </bk>
    <bk>
      <extLst>
        <ext uri="{3e2802c4-a4d2-4d8b-9148-e3be6c30e623}">
          <xlrd:rvb i="306"/>
        </ext>
      </extLst>
    </bk>
    <bk>
      <extLst>
        <ext uri="{3e2802c4-a4d2-4d8b-9148-e3be6c30e623}">
          <xlrd:rvb i="307"/>
        </ext>
      </extLst>
    </bk>
    <bk>
      <extLst>
        <ext uri="{3e2802c4-a4d2-4d8b-9148-e3be6c30e623}">
          <xlrd:rvb i="308"/>
        </ext>
      </extLst>
    </bk>
    <bk>
      <extLst>
        <ext uri="{3e2802c4-a4d2-4d8b-9148-e3be6c30e623}">
          <xlrd:rvb i="309"/>
        </ext>
      </extLst>
    </bk>
    <bk>
      <extLst>
        <ext uri="{3e2802c4-a4d2-4d8b-9148-e3be6c30e623}">
          <xlrd:rvb i="310"/>
        </ext>
      </extLst>
    </bk>
    <bk>
      <extLst>
        <ext uri="{3e2802c4-a4d2-4d8b-9148-e3be6c30e623}">
          <xlrd:rvb i="311"/>
        </ext>
      </extLst>
    </bk>
    <bk>
      <extLst>
        <ext uri="{3e2802c4-a4d2-4d8b-9148-e3be6c30e623}">
          <xlrd:rvb i="312"/>
        </ext>
      </extLst>
    </bk>
    <bk>
      <extLst>
        <ext uri="{3e2802c4-a4d2-4d8b-9148-e3be6c30e623}">
          <xlrd:rvb i="313"/>
        </ext>
      </extLst>
    </bk>
    <bk>
      <extLst>
        <ext uri="{3e2802c4-a4d2-4d8b-9148-e3be6c30e623}">
          <xlrd:rvb i="314"/>
        </ext>
      </extLst>
    </bk>
    <bk>
      <extLst>
        <ext uri="{3e2802c4-a4d2-4d8b-9148-e3be6c30e623}">
          <xlrd:rvb i="315"/>
        </ext>
      </extLst>
    </bk>
    <bk>
      <extLst>
        <ext uri="{3e2802c4-a4d2-4d8b-9148-e3be6c30e623}">
          <xlrd:rvb i="316"/>
        </ext>
      </extLst>
    </bk>
    <bk>
      <extLst>
        <ext uri="{3e2802c4-a4d2-4d8b-9148-e3be6c30e623}">
          <xlrd:rvb i="317"/>
        </ext>
      </extLst>
    </bk>
    <bk>
      <extLst>
        <ext uri="{3e2802c4-a4d2-4d8b-9148-e3be6c30e623}">
          <xlrd:rvb i="318"/>
        </ext>
      </extLst>
    </bk>
    <bk>
      <extLst>
        <ext uri="{3e2802c4-a4d2-4d8b-9148-e3be6c30e623}">
          <xlrd:rvb i="319"/>
        </ext>
      </extLst>
    </bk>
    <bk>
      <extLst>
        <ext uri="{3e2802c4-a4d2-4d8b-9148-e3be6c30e623}">
          <xlrd:rvb i="320"/>
        </ext>
      </extLst>
    </bk>
    <bk>
      <extLst>
        <ext uri="{3e2802c4-a4d2-4d8b-9148-e3be6c30e623}">
          <xlrd:rvb i="321"/>
        </ext>
      </extLst>
    </bk>
    <bk>
      <extLst>
        <ext uri="{3e2802c4-a4d2-4d8b-9148-e3be6c30e623}">
          <xlrd:rvb i="322"/>
        </ext>
      </extLst>
    </bk>
    <bk>
      <extLst>
        <ext uri="{3e2802c4-a4d2-4d8b-9148-e3be6c30e623}">
          <xlrd:rvb i="323"/>
        </ext>
      </extLst>
    </bk>
    <bk>
      <extLst>
        <ext uri="{3e2802c4-a4d2-4d8b-9148-e3be6c30e623}">
          <xlrd:rvb i="324"/>
        </ext>
      </extLst>
    </bk>
    <bk>
      <extLst>
        <ext uri="{3e2802c4-a4d2-4d8b-9148-e3be6c30e623}">
          <xlrd:rvb i="325"/>
        </ext>
      </extLst>
    </bk>
    <bk>
      <extLst>
        <ext uri="{3e2802c4-a4d2-4d8b-9148-e3be6c30e623}">
          <xlrd:rvb i="326"/>
        </ext>
      </extLst>
    </bk>
    <bk>
      <extLst>
        <ext uri="{3e2802c4-a4d2-4d8b-9148-e3be6c30e623}">
          <xlrd:rvb i="327"/>
        </ext>
      </extLst>
    </bk>
    <bk>
      <extLst>
        <ext uri="{3e2802c4-a4d2-4d8b-9148-e3be6c30e623}">
          <xlrd:rvb i="328"/>
        </ext>
      </extLst>
    </bk>
    <bk>
      <extLst>
        <ext uri="{3e2802c4-a4d2-4d8b-9148-e3be6c30e623}">
          <xlrd:rvb i="329"/>
        </ext>
      </extLst>
    </bk>
    <bk>
      <extLst>
        <ext uri="{3e2802c4-a4d2-4d8b-9148-e3be6c30e623}">
          <xlrd:rvb i="330"/>
        </ext>
      </extLst>
    </bk>
    <bk>
      <extLst>
        <ext uri="{3e2802c4-a4d2-4d8b-9148-e3be6c30e623}">
          <xlrd:rvb i="331"/>
        </ext>
      </extLst>
    </bk>
    <bk>
      <extLst>
        <ext uri="{3e2802c4-a4d2-4d8b-9148-e3be6c30e623}">
          <xlrd:rvb i="332"/>
        </ext>
      </extLst>
    </bk>
    <bk>
      <extLst>
        <ext uri="{3e2802c4-a4d2-4d8b-9148-e3be6c30e623}">
          <xlrd:rvb i="333"/>
        </ext>
      </extLst>
    </bk>
    <bk>
      <extLst>
        <ext uri="{3e2802c4-a4d2-4d8b-9148-e3be6c30e623}">
          <xlrd:rvb i="334"/>
        </ext>
      </extLst>
    </bk>
    <bk>
      <extLst>
        <ext uri="{3e2802c4-a4d2-4d8b-9148-e3be6c30e623}">
          <xlrd:rvb i="335"/>
        </ext>
      </extLst>
    </bk>
    <bk>
      <extLst>
        <ext uri="{3e2802c4-a4d2-4d8b-9148-e3be6c30e623}">
          <xlrd:rvb i="336"/>
        </ext>
      </extLst>
    </bk>
    <bk>
      <extLst>
        <ext uri="{3e2802c4-a4d2-4d8b-9148-e3be6c30e623}">
          <xlrd:rvb i="337"/>
        </ext>
      </extLst>
    </bk>
    <bk>
      <extLst>
        <ext uri="{3e2802c4-a4d2-4d8b-9148-e3be6c30e623}">
          <xlrd:rvb i="338"/>
        </ext>
      </extLst>
    </bk>
    <bk>
      <extLst>
        <ext uri="{3e2802c4-a4d2-4d8b-9148-e3be6c30e623}">
          <xlrd:rvb i="339"/>
        </ext>
      </extLst>
    </bk>
    <bk>
      <extLst>
        <ext uri="{3e2802c4-a4d2-4d8b-9148-e3be6c30e623}">
          <xlrd:rvb i="340"/>
        </ext>
      </extLst>
    </bk>
    <bk>
      <extLst>
        <ext uri="{3e2802c4-a4d2-4d8b-9148-e3be6c30e623}">
          <xlrd:rvb i="341"/>
        </ext>
      </extLst>
    </bk>
    <bk>
      <extLst>
        <ext uri="{3e2802c4-a4d2-4d8b-9148-e3be6c30e623}">
          <xlrd:rvb i="342"/>
        </ext>
      </extLst>
    </bk>
    <bk>
      <extLst>
        <ext uri="{3e2802c4-a4d2-4d8b-9148-e3be6c30e623}">
          <xlrd:rvb i="343"/>
        </ext>
      </extLst>
    </bk>
    <bk>
      <extLst>
        <ext uri="{3e2802c4-a4d2-4d8b-9148-e3be6c30e623}">
          <xlrd:rvb i="344"/>
        </ext>
      </extLst>
    </bk>
    <bk>
      <extLst>
        <ext uri="{3e2802c4-a4d2-4d8b-9148-e3be6c30e623}">
          <xlrd:rvb i="345"/>
        </ext>
      </extLst>
    </bk>
    <bk>
      <extLst>
        <ext uri="{3e2802c4-a4d2-4d8b-9148-e3be6c30e623}">
          <xlrd:rvb i="346"/>
        </ext>
      </extLst>
    </bk>
    <bk>
      <extLst>
        <ext uri="{3e2802c4-a4d2-4d8b-9148-e3be6c30e623}">
          <xlrd:rvb i="347"/>
        </ext>
      </extLst>
    </bk>
    <bk>
      <extLst>
        <ext uri="{3e2802c4-a4d2-4d8b-9148-e3be6c30e623}">
          <xlrd:rvb i="348"/>
        </ext>
      </extLst>
    </bk>
    <bk>
      <extLst>
        <ext uri="{3e2802c4-a4d2-4d8b-9148-e3be6c30e623}">
          <xlrd:rvb i="349"/>
        </ext>
      </extLst>
    </bk>
    <bk>
      <extLst>
        <ext uri="{3e2802c4-a4d2-4d8b-9148-e3be6c30e623}">
          <xlrd:rvb i="350"/>
        </ext>
      </extLst>
    </bk>
    <bk>
      <extLst>
        <ext uri="{3e2802c4-a4d2-4d8b-9148-e3be6c30e623}">
          <xlrd:rvb i="351"/>
        </ext>
      </extLst>
    </bk>
    <bk>
      <extLst>
        <ext uri="{3e2802c4-a4d2-4d8b-9148-e3be6c30e623}">
          <xlrd:rvb i="352"/>
        </ext>
      </extLst>
    </bk>
    <bk>
      <extLst>
        <ext uri="{3e2802c4-a4d2-4d8b-9148-e3be6c30e623}">
          <xlrd:rvb i="353"/>
        </ext>
      </extLst>
    </bk>
    <bk>
      <extLst>
        <ext uri="{3e2802c4-a4d2-4d8b-9148-e3be6c30e623}">
          <xlrd:rvb i="354"/>
        </ext>
      </extLst>
    </bk>
    <bk>
      <extLst>
        <ext uri="{3e2802c4-a4d2-4d8b-9148-e3be6c30e623}">
          <xlrd:rvb i="355"/>
        </ext>
      </extLst>
    </bk>
    <bk>
      <extLst>
        <ext uri="{3e2802c4-a4d2-4d8b-9148-e3be6c30e623}">
          <xlrd:rvb i="356"/>
        </ext>
      </extLst>
    </bk>
    <bk>
      <extLst>
        <ext uri="{3e2802c4-a4d2-4d8b-9148-e3be6c30e623}">
          <xlrd:rvb i="357"/>
        </ext>
      </extLst>
    </bk>
    <bk>
      <extLst>
        <ext uri="{3e2802c4-a4d2-4d8b-9148-e3be6c30e623}">
          <xlrd:rvb i="358"/>
        </ext>
      </extLst>
    </bk>
    <bk>
      <extLst>
        <ext uri="{3e2802c4-a4d2-4d8b-9148-e3be6c30e623}">
          <xlrd:rvb i="359"/>
        </ext>
      </extLst>
    </bk>
    <bk>
      <extLst>
        <ext uri="{3e2802c4-a4d2-4d8b-9148-e3be6c30e623}">
          <xlrd:rvb i="360"/>
        </ext>
      </extLst>
    </bk>
    <bk>
      <extLst>
        <ext uri="{3e2802c4-a4d2-4d8b-9148-e3be6c30e623}">
          <xlrd:rvb i="361"/>
        </ext>
      </extLst>
    </bk>
    <bk>
      <extLst>
        <ext uri="{3e2802c4-a4d2-4d8b-9148-e3be6c30e623}">
          <xlrd:rvb i="362"/>
        </ext>
      </extLst>
    </bk>
    <bk>
      <extLst>
        <ext uri="{3e2802c4-a4d2-4d8b-9148-e3be6c30e623}">
          <xlrd:rvb i="363"/>
        </ext>
      </extLst>
    </bk>
    <bk>
      <extLst>
        <ext uri="{3e2802c4-a4d2-4d8b-9148-e3be6c30e623}">
          <xlrd:rvb i="364"/>
        </ext>
      </extLst>
    </bk>
    <bk>
      <extLst>
        <ext uri="{3e2802c4-a4d2-4d8b-9148-e3be6c30e623}">
          <xlrd:rvb i="365"/>
        </ext>
      </extLst>
    </bk>
    <bk>
      <extLst>
        <ext uri="{3e2802c4-a4d2-4d8b-9148-e3be6c30e623}">
          <xlrd:rvb i="366"/>
        </ext>
      </extLst>
    </bk>
    <bk>
      <extLst>
        <ext uri="{3e2802c4-a4d2-4d8b-9148-e3be6c30e623}">
          <xlrd:rvb i="367"/>
        </ext>
      </extLst>
    </bk>
    <bk>
      <extLst>
        <ext uri="{3e2802c4-a4d2-4d8b-9148-e3be6c30e623}">
          <xlrd:rvb i="368"/>
        </ext>
      </extLst>
    </bk>
    <bk>
      <extLst>
        <ext uri="{3e2802c4-a4d2-4d8b-9148-e3be6c30e623}">
          <xlrd:rvb i="369"/>
        </ext>
      </extLst>
    </bk>
    <bk>
      <extLst>
        <ext uri="{3e2802c4-a4d2-4d8b-9148-e3be6c30e623}">
          <xlrd:rvb i="370"/>
        </ext>
      </extLst>
    </bk>
    <bk>
      <extLst>
        <ext uri="{3e2802c4-a4d2-4d8b-9148-e3be6c30e623}">
          <xlrd:rvb i="371"/>
        </ext>
      </extLst>
    </bk>
    <bk>
      <extLst>
        <ext uri="{3e2802c4-a4d2-4d8b-9148-e3be6c30e623}">
          <xlrd:rvb i="372"/>
        </ext>
      </extLst>
    </bk>
    <bk>
      <extLst>
        <ext uri="{3e2802c4-a4d2-4d8b-9148-e3be6c30e623}">
          <xlrd:rvb i="373"/>
        </ext>
      </extLst>
    </bk>
    <bk>
      <extLst>
        <ext uri="{3e2802c4-a4d2-4d8b-9148-e3be6c30e623}">
          <xlrd:rvb i="374"/>
        </ext>
      </extLst>
    </bk>
    <bk>
      <extLst>
        <ext uri="{3e2802c4-a4d2-4d8b-9148-e3be6c30e623}">
          <xlrd:rvb i="375"/>
        </ext>
      </extLst>
    </bk>
    <bk>
      <extLst>
        <ext uri="{3e2802c4-a4d2-4d8b-9148-e3be6c30e623}">
          <xlrd:rvb i="376"/>
        </ext>
      </extLst>
    </bk>
    <bk>
      <extLst>
        <ext uri="{3e2802c4-a4d2-4d8b-9148-e3be6c30e623}">
          <xlrd:rvb i="377"/>
        </ext>
      </extLst>
    </bk>
    <bk>
      <extLst>
        <ext uri="{3e2802c4-a4d2-4d8b-9148-e3be6c30e623}">
          <xlrd:rvb i="378"/>
        </ext>
      </extLst>
    </bk>
    <bk>
      <extLst>
        <ext uri="{3e2802c4-a4d2-4d8b-9148-e3be6c30e623}">
          <xlrd:rvb i="379"/>
        </ext>
      </extLst>
    </bk>
    <bk>
      <extLst>
        <ext uri="{3e2802c4-a4d2-4d8b-9148-e3be6c30e623}">
          <xlrd:rvb i="380"/>
        </ext>
      </extLst>
    </bk>
    <bk>
      <extLst>
        <ext uri="{3e2802c4-a4d2-4d8b-9148-e3be6c30e623}">
          <xlrd:rvb i="381"/>
        </ext>
      </extLst>
    </bk>
    <bk>
      <extLst>
        <ext uri="{3e2802c4-a4d2-4d8b-9148-e3be6c30e623}">
          <xlrd:rvb i="382"/>
        </ext>
      </extLst>
    </bk>
    <bk>
      <extLst>
        <ext uri="{3e2802c4-a4d2-4d8b-9148-e3be6c30e623}">
          <xlrd:rvb i="383"/>
        </ext>
      </extLst>
    </bk>
    <bk>
      <extLst>
        <ext uri="{3e2802c4-a4d2-4d8b-9148-e3be6c30e623}">
          <xlrd:rvb i="384"/>
        </ext>
      </extLst>
    </bk>
    <bk>
      <extLst>
        <ext uri="{3e2802c4-a4d2-4d8b-9148-e3be6c30e623}">
          <xlrd:rvb i="385"/>
        </ext>
      </extLst>
    </bk>
    <bk>
      <extLst>
        <ext uri="{3e2802c4-a4d2-4d8b-9148-e3be6c30e623}">
          <xlrd:rvb i="386"/>
        </ext>
      </extLst>
    </bk>
    <bk>
      <extLst>
        <ext uri="{3e2802c4-a4d2-4d8b-9148-e3be6c30e623}">
          <xlrd:rvb i="387"/>
        </ext>
      </extLst>
    </bk>
    <bk>
      <extLst>
        <ext uri="{3e2802c4-a4d2-4d8b-9148-e3be6c30e623}">
          <xlrd:rvb i="388"/>
        </ext>
      </extLst>
    </bk>
    <bk>
      <extLst>
        <ext uri="{3e2802c4-a4d2-4d8b-9148-e3be6c30e623}">
          <xlrd:rvb i="389"/>
        </ext>
      </extLst>
    </bk>
    <bk>
      <extLst>
        <ext uri="{3e2802c4-a4d2-4d8b-9148-e3be6c30e623}">
          <xlrd:rvb i="390"/>
        </ext>
      </extLst>
    </bk>
    <bk>
      <extLst>
        <ext uri="{3e2802c4-a4d2-4d8b-9148-e3be6c30e623}">
          <xlrd:rvb i="391"/>
        </ext>
      </extLst>
    </bk>
    <bk>
      <extLst>
        <ext uri="{3e2802c4-a4d2-4d8b-9148-e3be6c30e623}">
          <xlrd:rvb i="392"/>
        </ext>
      </extLst>
    </bk>
    <bk>
      <extLst>
        <ext uri="{3e2802c4-a4d2-4d8b-9148-e3be6c30e623}">
          <xlrd:rvb i="393"/>
        </ext>
      </extLst>
    </bk>
    <bk>
      <extLst>
        <ext uri="{3e2802c4-a4d2-4d8b-9148-e3be6c30e623}">
          <xlrd:rvb i="394"/>
        </ext>
      </extLst>
    </bk>
    <bk>
      <extLst>
        <ext uri="{3e2802c4-a4d2-4d8b-9148-e3be6c30e623}">
          <xlrd:rvb i="395"/>
        </ext>
      </extLst>
    </bk>
    <bk>
      <extLst>
        <ext uri="{3e2802c4-a4d2-4d8b-9148-e3be6c30e623}">
          <xlrd:rvb i="396"/>
        </ext>
      </extLst>
    </bk>
    <bk>
      <extLst>
        <ext uri="{3e2802c4-a4d2-4d8b-9148-e3be6c30e623}">
          <xlrd:rvb i="397"/>
        </ext>
      </extLst>
    </bk>
    <bk>
      <extLst>
        <ext uri="{3e2802c4-a4d2-4d8b-9148-e3be6c30e623}">
          <xlrd:rvb i="398"/>
        </ext>
      </extLst>
    </bk>
    <bk>
      <extLst>
        <ext uri="{3e2802c4-a4d2-4d8b-9148-e3be6c30e623}">
          <xlrd:rvb i="399"/>
        </ext>
      </extLst>
    </bk>
    <bk>
      <extLst>
        <ext uri="{3e2802c4-a4d2-4d8b-9148-e3be6c30e623}">
          <xlrd:rvb i="400"/>
        </ext>
      </extLst>
    </bk>
    <bk>
      <extLst>
        <ext uri="{3e2802c4-a4d2-4d8b-9148-e3be6c30e623}">
          <xlrd:rvb i="401"/>
        </ext>
      </extLst>
    </bk>
    <bk>
      <extLst>
        <ext uri="{3e2802c4-a4d2-4d8b-9148-e3be6c30e623}">
          <xlrd:rvb i="402"/>
        </ext>
      </extLst>
    </bk>
    <bk>
      <extLst>
        <ext uri="{3e2802c4-a4d2-4d8b-9148-e3be6c30e623}">
          <xlrd:rvb i="403"/>
        </ext>
      </extLst>
    </bk>
    <bk>
      <extLst>
        <ext uri="{3e2802c4-a4d2-4d8b-9148-e3be6c30e623}">
          <xlrd:rvb i="404"/>
        </ext>
      </extLst>
    </bk>
    <bk>
      <extLst>
        <ext uri="{3e2802c4-a4d2-4d8b-9148-e3be6c30e623}">
          <xlrd:rvb i="405"/>
        </ext>
      </extLst>
    </bk>
    <bk>
      <extLst>
        <ext uri="{3e2802c4-a4d2-4d8b-9148-e3be6c30e623}">
          <xlrd:rvb i="406"/>
        </ext>
      </extLst>
    </bk>
    <bk>
      <extLst>
        <ext uri="{3e2802c4-a4d2-4d8b-9148-e3be6c30e623}">
          <xlrd:rvb i="407"/>
        </ext>
      </extLst>
    </bk>
    <bk>
      <extLst>
        <ext uri="{3e2802c4-a4d2-4d8b-9148-e3be6c30e623}">
          <xlrd:rvb i="408"/>
        </ext>
      </extLst>
    </bk>
    <bk>
      <extLst>
        <ext uri="{3e2802c4-a4d2-4d8b-9148-e3be6c30e623}">
          <xlrd:rvb i="409"/>
        </ext>
      </extLst>
    </bk>
    <bk>
      <extLst>
        <ext uri="{3e2802c4-a4d2-4d8b-9148-e3be6c30e623}">
          <xlrd:rvb i="410"/>
        </ext>
      </extLst>
    </bk>
    <bk>
      <extLst>
        <ext uri="{3e2802c4-a4d2-4d8b-9148-e3be6c30e623}">
          <xlrd:rvb i="411"/>
        </ext>
      </extLst>
    </bk>
    <bk>
      <extLst>
        <ext uri="{3e2802c4-a4d2-4d8b-9148-e3be6c30e623}">
          <xlrd:rvb i="412"/>
        </ext>
      </extLst>
    </bk>
    <bk>
      <extLst>
        <ext uri="{3e2802c4-a4d2-4d8b-9148-e3be6c30e623}">
          <xlrd:rvb i="413"/>
        </ext>
      </extLst>
    </bk>
    <bk>
      <extLst>
        <ext uri="{3e2802c4-a4d2-4d8b-9148-e3be6c30e623}">
          <xlrd:rvb i="414"/>
        </ext>
      </extLst>
    </bk>
    <bk>
      <extLst>
        <ext uri="{3e2802c4-a4d2-4d8b-9148-e3be6c30e623}">
          <xlrd:rvb i="415"/>
        </ext>
      </extLst>
    </bk>
    <bk>
      <extLst>
        <ext uri="{3e2802c4-a4d2-4d8b-9148-e3be6c30e623}">
          <xlrd:rvb i="416"/>
        </ext>
      </extLst>
    </bk>
    <bk>
      <extLst>
        <ext uri="{3e2802c4-a4d2-4d8b-9148-e3be6c30e623}">
          <xlrd:rvb i="417"/>
        </ext>
      </extLst>
    </bk>
    <bk>
      <extLst>
        <ext uri="{3e2802c4-a4d2-4d8b-9148-e3be6c30e623}">
          <xlrd:rvb i="418"/>
        </ext>
      </extLst>
    </bk>
    <bk>
      <extLst>
        <ext uri="{3e2802c4-a4d2-4d8b-9148-e3be6c30e623}">
          <xlrd:rvb i="419"/>
        </ext>
      </extLst>
    </bk>
    <bk>
      <extLst>
        <ext uri="{3e2802c4-a4d2-4d8b-9148-e3be6c30e623}">
          <xlrd:rvb i="420"/>
        </ext>
      </extLst>
    </bk>
    <bk>
      <extLst>
        <ext uri="{3e2802c4-a4d2-4d8b-9148-e3be6c30e623}">
          <xlrd:rvb i="421"/>
        </ext>
      </extLst>
    </bk>
    <bk>
      <extLst>
        <ext uri="{3e2802c4-a4d2-4d8b-9148-e3be6c30e623}">
          <xlrd:rvb i="422"/>
        </ext>
      </extLst>
    </bk>
    <bk>
      <extLst>
        <ext uri="{3e2802c4-a4d2-4d8b-9148-e3be6c30e623}">
          <xlrd:rvb i="423"/>
        </ext>
      </extLst>
    </bk>
    <bk>
      <extLst>
        <ext uri="{3e2802c4-a4d2-4d8b-9148-e3be6c30e623}">
          <xlrd:rvb i="424"/>
        </ext>
      </extLst>
    </bk>
    <bk>
      <extLst>
        <ext uri="{3e2802c4-a4d2-4d8b-9148-e3be6c30e623}">
          <xlrd:rvb i="425"/>
        </ext>
      </extLst>
    </bk>
    <bk>
      <extLst>
        <ext uri="{3e2802c4-a4d2-4d8b-9148-e3be6c30e623}">
          <xlrd:rvb i="426"/>
        </ext>
      </extLst>
    </bk>
    <bk>
      <extLst>
        <ext uri="{3e2802c4-a4d2-4d8b-9148-e3be6c30e623}">
          <xlrd:rvb i="427"/>
        </ext>
      </extLst>
    </bk>
    <bk>
      <extLst>
        <ext uri="{3e2802c4-a4d2-4d8b-9148-e3be6c30e623}">
          <xlrd:rvb i="428"/>
        </ext>
      </extLst>
    </bk>
    <bk>
      <extLst>
        <ext uri="{3e2802c4-a4d2-4d8b-9148-e3be6c30e623}">
          <xlrd:rvb i="429"/>
        </ext>
      </extLst>
    </bk>
    <bk>
      <extLst>
        <ext uri="{3e2802c4-a4d2-4d8b-9148-e3be6c30e623}">
          <xlrd:rvb i="430"/>
        </ext>
      </extLst>
    </bk>
    <bk>
      <extLst>
        <ext uri="{3e2802c4-a4d2-4d8b-9148-e3be6c30e623}">
          <xlrd:rvb i="431"/>
        </ext>
      </extLst>
    </bk>
    <bk>
      <extLst>
        <ext uri="{3e2802c4-a4d2-4d8b-9148-e3be6c30e623}">
          <xlrd:rvb i="432"/>
        </ext>
      </extLst>
    </bk>
    <bk>
      <extLst>
        <ext uri="{3e2802c4-a4d2-4d8b-9148-e3be6c30e623}">
          <xlrd:rvb i="433"/>
        </ext>
      </extLst>
    </bk>
    <bk>
      <extLst>
        <ext uri="{3e2802c4-a4d2-4d8b-9148-e3be6c30e623}">
          <xlrd:rvb i="434"/>
        </ext>
      </extLst>
    </bk>
    <bk>
      <extLst>
        <ext uri="{3e2802c4-a4d2-4d8b-9148-e3be6c30e623}">
          <xlrd:rvb i="435"/>
        </ext>
      </extLst>
    </bk>
    <bk>
      <extLst>
        <ext uri="{3e2802c4-a4d2-4d8b-9148-e3be6c30e623}">
          <xlrd:rvb i="436"/>
        </ext>
      </extLst>
    </bk>
    <bk>
      <extLst>
        <ext uri="{3e2802c4-a4d2-4d8b-9148-e3be6c30e623}">
          <xlrd:rvb i="437"/>
        </ext>
      </extLst>
    </bk>
    <bk>
      <extLst>
        <ext uri="{3e2802c4-a4d2-4d8b-9148-e3be6c30e623}">
          <xlrd:rvb i="438"/>
        </ext>
      </extLst>
    </bk>
    <bk>
      <extLst>
        <ext uri="{3e2802c4-a4d2-4d8b-9148-e3be6c30e623}">
          <xlrd:rvb i="439"/>
        </ext>
      </extLst>
    </bk>
    <bk>
      <extLst>
        <ext uri="{3e2802c4-a4d2-4d8b-9148-e3be6c30e623}">
          <xlrd:rvb i="440"/>
        </ext>
      </extLst>
    </bk>
    <bk>
      <extLst>
        <ext uri="{3e2802c4-a4d2-4d8b-9148-e3be6c30e623}">
          <xlrd:rvb i="441"/>
        </ext>
      </extLst>
    </bk>
    <bk>
      <extLst>
        <ext uri="{3e2802c4-a4d2-4d8b-9148-e3be6c30e623}">
          <xlrd:rvb i="442"/>
        </ext>
      </extLst>
    </bk>
    <bk>
      <extLst>
        <ext uri="{3e2802c4-a4d2-4d8b-9148-e3be6c30e623}">
          <xlrd:rvb i="443"/>
        </ext>
      </extLst>
    </bk>
    <bk>
      <extLst>
        <ext uri="{3e2802c4-a4d2-4d8b-9148-e3be6c30e623}">
          <xlrd:rvb i="444"/>
        </ext>
      </extLst>
    </bk>
    <bk>
      <extLst>
        <ext uri="{3e2802c4-a4d2-4d8b-9148-e3be6c30e623}">
          <xlrd:rvb i="445"/>
        </ext>
      </extLst>
    </bk>
    <bk>
      <extLst>
        <ext uri="{3e2802c4-a4d2-4d8b-9148-e3be6c30e623}">
          <xlrd:rvb i="446"/>
        </ext>
      </extLst>
    </bk>
    <bk>
      <extLst>
        <ext uri="{3e2802c4-a4d2-4d8b-9148-e3be6c30e623}">
          <xlrd:rvb i="447"/>
        </ext>
      </extLst>
    </bk>
    <bk>
      <extLst>
        <ext uri="{3e2802c4-a4d2-4d8b-9148-e3be6c30e623}">
          <xlrd:rvb i="448"/>
        </ext>
      </extLst>
    </bk>
    <bk>
      <extLst>
        <ext uri="{3e2802c4-a4d2-4d8b-9148-e3be6c30e623}">
          <xlrd:rvb i="449"/>
        </ext>
      </extLst>
    </bk>
    <bk>
      <extLst>
        <ext uri="{3e2802c4-a4d2-4d8b-9148-e3be6c30e623}">
          <xlrd:rvb i="450"/>
        </ext>
      </extLst>
    </bk>
    <bk>
      <extLst>
        <ext uri="{3e2802c4-a4d2-4d8b-9148-e3be6c30e623}">
          <xlrd:rvb i="451"/>
        </ext>
      </extLst>
    </bk>
    <bk>
      <extLst>
        <ext uri="{3e2802c4-a4d2-4d8b-9148-e3be6c30e623}">
          <xlrd:rvb i="452"/>
        </ext>
      </extLst>
    </bk>
    <bk>
      <extLst>
        <ext uri="{3e2802c4-a4d2-4d8b-9148-e3be6c30e623}">
          <xlrd:rvb i="453"/>
        </ext>
      </extLst>
    </bk>
    <bk>
      <extLst>
        <ext uri="{3e2802c4-a4d2-4d8b-9148-e3be6c30e623}">
          <xlrd:rvb i="454"/>
        </ext>
      </extLst>
    </bk>
    <bk>
      <extLst>
        <ext uri="{3e2802c4-a4d2-4d8b-9148-e3be6c30e623}">
          <xlrd:rvb i="455"/>
        </ext>
      </extLst>
    </bk>
    <bk>
      <extLst>
        <ext uri="{3e2802c4-a4d2-4d8b-9148-e3be6c30e623}">
          <xlrd:rvb i="456"/>
        </ext>
      </extLst>
    </bk>
    <bk>
      <extLst>
        <ext uri="{3e2802c4-a4d2-4d8b-9148-e3be6c30e623}">
          <xlrd:rvb i="457"/>
        </ext>
      </extLst>
    </bk>
    <bk>
      <extLst>
        <ext uri="{3e2802c4-a4d2-4d8b-9148-e3be6c30e623}">
          <xlrd:rvb i="458"/>
        </ext>
      </extLst>
    </bk>
    <bk>
      <extLst>
        <ext uri="{3e2802c4-a4d2-4d8b-9148-e3be6c30e623}">
          <xlrd:rvb i="459"/>
        </ext>
      </extLst>
    </bk>
    <bk>
      <extLst>
        <ext uri="{3e2802c4-a4d2-4d8b-9148-e3be6c30e623}">
          <xlrd:rvb i="460"/>
        </ext>
      </extLst>
    </bk>
    <bk>
      <extLst>
        <ext uri="{3e2802c4-a4d2-4d8b-9148-e3be6c30e623}">
          <xlrd:rvb i="461"/>
        </ext>
      </extLst>
    </bk>
    <bk>
      <extLst>
        <ext uri="{3e2802c4-a4d2-4d8b-9148-e3be6c30e623}">
          <xlrd:rvb i="462"/>
        </ext>
      </extLst>
    </bk>
    <bk>
      <extLst>
        <ext uri="{3e2802c4-a4d2-4d8b-9148-e3be6c30e623}">
          <xlrd:rvb i="463"/>
        </ext>
      </extLst>
    </bk>
    <bk>
      <extLst>
        <ext uri="{3e2802c4-a4d2-4d8b-9148-e3be6c30e623}">
          <xlrd:rvb i="464"/>
        </ext>
      </extLst>
    </bk>
    <bk>
      <extLst>
        <ext uri="{3e2802c4-a4d2-4d8b-9148-e3be6c30e623}">
          <xlrd:rvb i="465"/>
        </ext>
      </extLst>
    </bk>
    <bk>
      <extLst>
        <ext uri="{3e2802c4-a4d2-4d8b-9148-e3be6c30e623}">
          <xlrd:rvb i="466"/>
        </ext>
      </extLst>
    </bk>
    <bk>
      <extLst>
        <ext uri="{3e2802c4-a4d2-4d8b-9148-e3be6c30e623}">
          <xlrd:rvb i="467"/>
        </ext>
      </extLst>
    </bk>
    <bk>
      <extLst>
        <ext uri="{3e2802c4-a4d2-4d8b-9148-e3be6c30e623}">
          <xlrd:rvb i="468"/>
        </ext>
      </extLst>
    </bk>
    <bk>
      <extLst>
        <ext uri="{3e2802c4-a4d2-4d8b-9148-e3be6c30e623}">
          <xlrd:rvb i="469"/>
        </ext>
      </extLst>
    </bk>
    <bk>
      <extLst>
        <ext uri="{3e2802c4-a4d2-4d8b-9148-e3be6c30e623}">
          <xlrd:rvb i="470"/>
        </ext>
      </extLst>
    </bk>
    <bk>
      <extLst>
        <ext uri="{3e2802c4-a4d2-4d8b-9148-e3be6c30e623}">
          <xlrd:rvb i="471"/>
        </ext>
      </extLst>
    </bk>
    <bk>
      <extLst>
        <ext uri="{3e2802c4-a4d2-4d8b-9148-e3be6c30e623}">
          <xlrd:rvb i="472"/>
        </ext>
      </extLst>
    </bk>
    <bk>
      <extLst>
        <ext uri="{3e2802c4-a4d2-4d8b-9148-e3be6c30e623}">
          <xlrd:rvb i="473"/>
        </ext>
      </extLst>
    </bk>
    <bk>
      <extLst>
        <ext uri="{3e2802c4-a4d2-4d8b-9148-e3be6c30e623}">
          <xlrd:rvb i="474"/>
        </ext>
      </extLst>
    </bk>
    <bk>
      <extLst>
        <ext uri="{3e2802c4-a4d2-4d8b-9148-e3be6c30e623}">
          <xlrd:rvb i="475"/>
        </ext>
      </extLst>
    </bk>
    <bk>
      <extLst>
        <ext uri="{3e2802c4-a4d2-4d8b-9148-e3be6c30e623}">
          <xlrd:rvb i="476"/>
        </ext>
      </extLst>
    </bk>
    <bk>
      <extLst>
        <ext uri="{3e2802c4-a4d2-4d8b-9148-e3be6c30e623}">
          <xlrd:rvb i="477"/>
        </ext>
      </extLst>
    </bk>
    <bk>
      <extLst>
        <ext uri="{3e2802c4-a4d2-4d8b-9148-e3be6c30e623}">
          <xlrd:rvb i="478"/>
        </ext>
      </extLst>
    </bk>
    <bk>
      <extLst>
        <ext uri="{3e2802c4-a4d2-4d8b-9148-e3be6c30e623}">
          <xlrd:rvb i="479"/>
        </ext>
      </extLst>
    </bk>
    <bk>
      <extLst>
        <ext uri="{3e2802c4-a4d2-4d8b-9148-e3be6c30e623}">
          <xlrd:rvb i="480"/>
        </ext>
      </extLst>
    </bk>
    <bk>
      <extLst>
        <ext uri="{3e2802c4-a4d2-4d8b-9148-e3be6c30e623}">
          <xlrd:rvb i="481"/>
        </ext>
      </extLst>
    </bk>
    <bk>
      <extLst>
        <ext uri="{3e2802c4-a4d2-4d8b-9148-e3be6c30e623}">
          <xlrd:rvb i="482"/>
        </ext>
      </extLst>
    </bk>
    <bk>
      <extLst>
        <ext uri="{3e2802c4-a4d2-4d8b-9148-e3be6c30e623}">
          <xlrd:rvb i="483"/>
        </ext>
      </extLst>
    </bk>
    <bk>
      <extLst>
        <ext uri="{3e2802c4-a4d2-4d8b-9148-e3be6c30e623}">
          <xlrd:rvb i="484"/>
        </ext>
      </extLst>
    </bk>
    <bk>
      <extLst>
        <ext uri="{3e2802c4-a4d2-4d8b-9148-e3be6c30e623}">
          <xlrd:rvb i="485"/>
        </ext>
      </extLst>
    </bk>
    <bk>
      <extLst>
        <ext uri="{3e2802c4-a4d2-4d8b-9148-e3be6c30e623}">
          <xlrd:rvb i="486"/>
        </ext>
      </extLst>
    </bk>
    <bk>
      <extLst>
        <ext uri="{3e2802c4-a4d2-4d8b-9148-e3be6c30e623}">
          <xlrd:rvb i="487"/>
        </ext>
      </extLst>
    </bk>
    <bk>
      <extLst>
        <ext uri="{3e2802c4-a4d2-4d8b-9148-e3be6c30e623}">
          <xlrd:rvb i="488"/>
        </ext>
      </extLst>
    </bk>
    <bk>
      <extLst>
        <ext uri="{3e2802c4-a4d2-4d8b-9148-e3be6c30e623}">
          <xlrd:rvb i="489"/>
        </ext>
      </extLst>
    </bk>
    <bk>
      <extLst>
        <ext uri="{3e2802c4-a4d2-4d8b-9148-e3be6c30e623}">
          <xlrd:rvb i="490"/>
        </ext>
      </extLst>
    </bk>
    <bk>
      <extLst>
        <ext uri="{3e2802c4-a4d2-4d8b-9148-e3be6c30e623}">
          <xlrd:rvb i="491"/>
        </ext>
      </extLst>
    </bk>
    <bk>
      <extLst>
        <ext uri="{3e2802c4-a4d2-4d8b-9148-e3be6c30e623}">
          <xlrd:rvb i="492"/>
        </ext>
      </extLst>
    </bk>
    <bk>
      <extLst>
        <ext uri="{3e2802c4-a4d2-4d8b-9148-e3be6c30e623}">
          <xlrd:rvb i="493"/>
        </ext>
      </extLst>
    </bk>
    <bk>
      <extLst>
        <ext uri="{3e2802c4-a4d2-4d8b-9148-e3be6c30e623}">
          <xlrd:rvb i="494"/>
        </ext>
      </extLst>
    </bk>
    <bk>
      <extLst>
        <ext uri="{3e2802c4-a4d2-4d8b-9148-e3be6c30e623}">
          <xlrd:rvb i="495"/>
        </ext>
      </extLst>
    </bk>
    <bk>
      <extLst>
        <ext uri="{3e2802c4-a4d2-4d8b-9148-e3be6c30e623}">
          <xlrd:rvb i="496"/>
        </ext>
      </extLst>
    </bk>
    <bk>
      <extLst>
        <ext uri="{3e2802c4-a4d2-4d8b-9148-e3be6c30e623}">
          <xlrd:rvb i="497"/>
        </ext>
      </extLst>
    </bk>
    <bk>
      <extLst>
        <ext uri="{3e2802c4-a4d2-4d8b-9148-e3be6c30e623}">
          <xlrd:rvb i="498"/>
        </ext>
      </extLst>
    </bk>
    <bk>
      <extLst>
        <ext uri="{3e2802c4-a4d2-4d8b-9148-e3be6c30e623}">
          <xlrd:rvb i="499"/>
        </ext>
      </extLst>
    </bk>
    <bk>
      <extLst>
        <ext uri="{3e2802c4-a4d2-4d8b-9148-e3be6c30e623}">
          <xlrd:rvb i="500"/>
        </ext>
      </extLst>
    </bk>
    <bk>
      <extLst>
        <ext uri="{3e2802c4-a4d2-4d8b-9148-e3be6c30e623}">
          <xlrd:rvb i="501"/>
        </ext>
      </extLst>
    </bk>
    <bk>
      <extLst>
        <ext uri="{3e2802c4-a4d2-4d8b-9148-e3be6c30e623}">
          <xlrd:rvb i="502"/>
        </ext>
      </extLst>
    </bk>
    <bk>
      <extLst>
        <ext uri="{3e2802c4-a4d2-4d8b-9148-e3be6c30e623}">
          <xlrd:rvb i="503"/>
        </ext>
      </extLst>
    </bk>
    <bk>
      <extLst>
        <ext uri="{3e2802c4-a4d2-4d8b-9148-e3be6c30e623}">
          <xlrd:rvb i="504"/>
        </ext>
      </extLst>
    </bk>
    <bk>
      <extLst>
        <ext uri="{3e2802c4-a4d2-4d8b-9148-e3be6c30e623}">
          <xlrd:rvb i="505"/>
        </ext>
      </extLst>
    </bk>
    <bk>
      <extLst>
        <ext uri="{3e2802c4-a4d2-4d8b-9148-e3be6c30e623}">
          <xlrd:rvb i="506"/>
        </ext>
      </extLst>
    </bk>
    <bk>
      <extLst>
        <ext uri="{3e2802c4-a4d2-4d8b-9148-e3be6c30e623}">
          <xlrd:rvb i="507"/>
        </ext>
      </extLst>
    </bk>
    <bk>
      <extLst>
        <ext uri="{3e2802c4-a4d2-4d8b-9148-e3be6c30e623}">
          <xlrd:rvb i="508"/>
        </ext>
      </extLst>
    </bk>
    <bk>
      <extLst>
        <ext uri="{3e2802c4-a4d2-4d8b-9148-e3be6c30e623}">
          <xlrd:rvb i="509"/>
        </ext>
      </extLst>
    </bk>
    <bk>
      <extLst>
        <ext uri="{3e2802c4-a4d2-4d8b-9148-e3be6c30e623}">
          <xlrd:rvb i="510"/>
        </ext>
      </extLst>
    </bk>
    <bk>
      <extLst>
        <ext uri="{3e2802c4-a4d2-4d8b-9148-e3be6c30e623}">
          <xlrd:rvb i="511"/>
        </ext>
      </extLst>
    </bk>
    <bk>
      <extLst>
        <ext uri="{3e2802c4-a4d2-4d8b-9148-e3be6c30e623}">
          <xlrd:rvb i="512"/>
        </ext>
      </extLst>
    </bk>
    <bk>
      <extLst>
        <ext uri="{3e2802c4-a4d2-4d8b-9148-e3be6c30e623}">
          <xlrd:rvb i="513"/>
        </ext>
      </extLst>
    </bk>
    <bk>
      <extLst>
        <ext uri="{3e2802c4-a4d2-4d8b-9148-e3be6c30e623}">
          <xlrd:rvb i="514"/>
        </ext>
      </extLst>
    </bk>
    <bk>
      <extLst>
        <ext uri="{3e2802c4-a4d2-4d8b-9148-e3be6c30e623}">
          <xlrd:rvb i="515"/>
        </ext>
      </extLst>
    </bk>
    <bk>
      <extLst>
        <ext uri="{3e2802c4-a4d2-4d8b-9148-e3be6c30e623}">
          <xlrd:rvb i="516"/>
        </ext>
      </extLst>
    </bk>
    <bk>
      <extLst>
        <ext uri="{3e2802c4-a4d2-4d8b-9148-e3be6c30e623}">
          <xlrd:rvb i="517"/>
        </ext>
      </extLst>
    </bk>
    <bk>
      <extLst>
        <ext uri="{3e2802c4-a4d2-4d8b-9148-e3be6c30e623}">
          <xlrd:rvb i="518"/>
        </ext>
      </extLst>
    </bk>
    <bk>
      <extLst>
        <ext uri="{3e2802c4-a4d2-4d8b-9148-e3be6c30e623}">
          <xlrd:rvb i="519"/>
        </ext>
      </extLst>
    </bk>
    <bk>
      <extLst>
        <ext uri="{3e2802c4-a4d2-4d8b-9148-e3be6c30e623}">
          <xlrd:rvb i="520"/>
        </ext>
      </extLst>
    </bk>
    <bk>
      <extLst>
        <ext uri="{3e2802c4-a4d2-4d8b-9148-e3be6c30e623}">
          <xlrd:rvb i="521"/>
        </ext>
      </extLst>
    </bk>
    <bk>
      <extLst>
        <ext uri="{3e2802c4-a4d2-4d8b-9148-e3be6c30e623}">
          <xlrd:rvb i="522"/>
        </ext>
      </extLst>
    </bk>
    <bk>
      <extLst>
        <ext uri="{3e2802c4-a4d2-4d8b-9148-e3be6c30e623}">
          <xlrd:rvb i="523"/>
        </ext>
      </extLst>
    </bk>
    <bk>
      <extLst>
        <ext uri="{3e2802c4-a4d2-4d8b-9148-e3be6c30e623}">
          <xlrd:rvb i="524"/>
        </ext>
      </extLst>
    </bk>
    <bk>
      <extLst>
        <ext uri="{3e2802c4-a4d2-4d8b-9148-e3be6c30e623}">
          <xlrd:rvb i="525"/>
        </ext>
      </extLst>
    </bk>
    <bk>
      <extLst>
        <ext uri="{3e2802c4-a4d2-4d8b-9148-e3be6c30e623}">
          <xlrd:rvb i="526"/>
        </ext>
      </extLst>
    </bk>
    <bk>
      <extLst>
        <ext uri="{3e2802c4-a4d2-4d8b-9148-e3be6c30e623}">
          <xlrd:rvb i="527"/>
        </ext>
      </extLst>
    </bk>
    <bk>
      <extLst>
        <ext uri="{3e2802c4-a4d2-4d8b-9148-e3be6c30e623}">
          <xlrd:rvb i="528"/>
        </ext>
      </extLst>
    </bk>
    <bk>
      <extLst>
        <ext uri="{3e2802c4-a4d2-4d8b-9148-e3be6c30e623}">
          <xlrd:rvb i="529"/>
        </ext>
      </extLst>
    </bk>
    <bk>
      <extLst>
        <ext uri="{3e2802c4-a4d2-4d8b-9148-e3be6c30e623}">
          <xlrd:rvb i="530"/>
        </ext>
      </extLst>
    </bk>
    <bk>
      <extLst>
        <ext uri="{3e2802c4-a4d2-4d8b-9148-e3be6c30e623}">
          <xlrd:rvb i="531"/>
        </ext>
      </extLst>
    </bk>
    <bk>
      <extLst>
        <ext uri="{3e2802c4-a4d2-4d8b-9148-e3be6c30e623}">
          <xlrd:rvb i="532"/>
        </ext>
      </extLst>
    </bk>
    <bk>
      <extLst>
        <ext uri="{3e2802c4-a4d2-4d8b-9148-e3be6c30e623}">
          <xlrd:rvb i="533"/>
        </ext>
      </extLst>
    </bk>
    <bk>
      <extLst>
        <ext uri="{3e2802c4-a4d2-4d8b-9148-e3be6c30e623}">
          <xlrd:rvb i="534"/>
        </ext>
      </extLst>
    </bk>
    <bk>
      <extLst>
        <ext uri="{3e2802c4-a4d2-4d8b-9148-e3be6c30e623}">
          <xlrd:rvb i="535"/>
        </ext>
      </extLst>
    </bk>
    <bk>
      <extLst>
        <ext uri="{3e2802c4-a4d2-4d8b-9148-e3be6c30e623}">
          <xlrd:rvb i="536"/>
        </ext>
      </extLst>
    </bk>
    <bk>
      <extLst>
        <ext uri="{3e2802c4-a4d2-4d8b-9148-e3be6c30e623}">
          <xlrd:rvb i="537"/>
        </ext>
      </extLst>
    </bk>
    <bk>
      <extLst>
        <ext uri="{3e2802c4-a4d2-4d8b-9148-e3be6c30e623}">
          <xlrd:rvb i="538"/>
        </ext>
      </extLst>
    </bk>
    <bk>
      <extLst>
        <ext uri="{3e2802c4-a4d2-4d8b-9148-e3be6c30e623}">
          <xlrd:rvb i="539"/>
        </ext>
      </extLst>
    </bk>
    <bk>
      <extLst>
        <ext uri="{3e2802c4-a4d2-4d8b-9148-e3be6c30e623}">
          <xlrd:rvb i="540"/>
        </ext>
      </extLst>
    </bk>
    <bk>
      <extLst>
        <ext uri="{3e2802c4-a4d2-4d8b-9148-e3be6c30e623}">
          <xlrd:rvb i="541"/>
        </ext>
      </extLst>
    </bk>
    <bk>
      <extLst>
        <ext uri="{3e2802c4-a4d2-4d8b-9148-e3be6c30e623}">
          <xlrd:rvb i="542"/>
        </ext>
      </extLst>
    </bk>
    <bk>
      <extLst>
        <ext uri="{3e2802c4-a4d2-4d8b-9148-e3be6c30e623}">
          <xlrd:rvb i="543"/>
        </ext>
      </extLst>
    </bk>
    <bk>
      <extLst>
        <ext uri="{3e2802c4-a4d2-4d8b-9148-e3be6c30e623}">
          <xlrd:rvb i="544"/>
        </ext>
      </extLst>
    </bk>
    <bk>
      <extLst>
        <ext uri="{3e2802c4-a4d2-4d8b-9148-e3be6c30e623}">
          <xlrd:rvb i="545"/>
        </ext>
      </extLst>
    </bk>
    <bk>
      <extLst>
        <ext uri="{3e2802c4-a4d2-4d8b-9148-e3be6c30e623}">
          <xlrd:rvb i="546"/>
        </ext>
      </extLst>
    </bk>
    <bk>
      <extLst>
        <ext uri="{3e2802c4-a4d2-4d8b-9148-e3be6c30e623}">
          <xlrd:rvb i="547"/>
        </ext>
      </extLst>
    </bk>
    <bk>
      <extLst>
        <ext uri="{3e2802c4-a4d2-4d8b-9148-e3be6c30e623}">
          <xlrd:rvb i="548"/>
        </ext>
      </extLst>
    </bk>
    <bk>
      <extLst>
        <ext uri="{3e2802c4-a4d2-4d8b-9148-e3be6c30e623}">
          <xlrd:rvb i="549"/>
        </ext>
      </extLst>
    </bk>
    <bk>
      <extLst>
        <ext uri="{3e2802c4-a4d2-4d8b-9148-e3be6c30e623}">
          <xlrd:rvb i="550"/>
        </ext>
      </extLst>
    </bk>
    <bk>
      <extLst>
        <ext uri="{3e2802c4-a4d2-4d8b-9148-e3be6c30e623}">
          <xlrd:rvb i="551"/>
        </ext>
      </extLst>
    </bk>
    <bk>
      <extLst>
        <ext uri="{3e2802c4-a4d2-4d8b-9148-e3be6c30e623}">
          <xlrd:rvb i="552"/>
        </ext>
      </extLst>
    </bk>
    <bk>
      <extLst>
        <ext uri="{3e2802c4-a4d2-4d8b-9148-e3be6c30e623}">
          <xlrd:rvb i="553"/>
        </ext>
      </extLst>
    </bk>
    <bk>
      <extLst>
        <ext uri="{3e2802c4-a4d2-4d8b-9148-e3be6c30e623}">
          <xlrd:rvb i="554"/>
        </ext>
      </extLst>
    </bk>
    <bk>
      <extLst>
        <ext uri="{3e2802c4-a4d2-4d8b-9148-e3be6c30e623}">
          <xlrd:rvb i="555"/>
        </ext>
      </extLst>
    </bk>
    <bk>
      <extLst>
        <ext uri="{3e2802c4-a4d2-4d8b-9148-e3be6c30e623}">
          <xlrd:rvb i="556"/>
        </ext>
      </extLst>
    </bk>
    <bk>
      <extLst>
        <ext uri="{3e2802c4-a4d2-4d8b-9148-e3be6c30e623}">
          <xlrd:rvb i="557"/>
        </ext>
      </extLst>
    </bk>
    <bk>
      <extLst>
        <ext uri="{3e2802c4-a4d2-4d8b-9148-e3be6c30e623}">
          <xlrd:rvb i="558"/>
        </ext>
      </extLst>
    </bk>
    <bk>
      <extLst>
        <ext uri="{3e2802c4-a4d2-4d8b-9148-e3be6c30e623}">
          <xlrd:rvb i="559"/>
        </ext>
      </extLst>
    </bk>
    <bk>
      <extLst>
        <ext uri="{3e2802c4-a4d2-4d8b-9148-e3be6c30e623}">
          <xlrd:rvb i="560"/>
        </ext>
      </extLst>
    </bk>
    <bk>
      <extLst>
        <ext uri="{3e2802c4-a4d2-4d8b-9148-e3be6c30e623}">
          <xlrd:rvb i="561"/>
        </ext>
      </extLst>
    </bk>
    <bk>
      <extLst>
        <ext uri="{3e2802c4-a4d2-4d8b-9148-e3be6c30e623}">
          <xlrd:rvb i="562"/>
        </ext>
      </extLst>
    </bk>
    <bk>
      <extLst>
        <ext uri="{3e2802c4-a4d2-4d8b-9148-e3be6c30e623}">
          <xlrd:rvb i="563"/>
        </ext>
      </extLst>
    </bk>
    <bk>
      <extLst>
        <ext uri="{3e2802c4-a4d2-4d8b-9148-e3be6c30e623}">
          <xlrd:rvb i="564"/>
        </ext>
      </extLst>
    </bk>
    <bk>
      <extLst>
        <ext uri="{3e2802c4-a4d2-4d8b-9148-e3be6c30e623}">
          <xlrd:rvb i="565"/>
        </ext>
      </extLst>
    </bk>
    <bk>
      <extLst>
        <ext uri="{3e2802c4-a4d2-4d8b-9148-e3be6c30e623}">
          <xlrd:rvb i="566"/>
        </ext>
      </extLst>
    </bk>
    <bk>
      <extLst>
        <ext uri="{3e2802c4-a4d2-4d8b-9148-e3be6c30e623}">
          <xlrd:rvb i="567"/>
        </ext>
      </extLst>
    </bk>
    <bk>
      <extLst>
        <ext uri="{3e2802c4-a4d2-4d8b-9148-e3be6c30e623}">
          <xlrd:rvb i="568"/>
        </ext>
      </extLst>
    </bk>
    <bk>
      <extLst>
        <ext uri="{3e2802c4-a4d2-4d8b-9148-e3be6c30e623}">
          <xlrd:rvb i="569"/>
        </ext>
      </extLst>
    </bk>
    <bk>
      <extLst>
        <ext uri="{3e2802c4-a4d2-4d8b-9148-e3be6c30e623}">
          <xlrd:rvb i="570"/>
        </ext>
      </extLst>
    </bk>
    <bk>
      <extLst>
        <ext uri="{3e2802c4-a4d2-4d8b-9148-e3be6c30e623}">
          <xlrd:rvb i="571"/>
        </ext>
      </extLst>
    </bk>
    <bk>
      <extLst>
        <ext uri="{3e2802c4-a4d2-4d8b-9148-e3be6c30e623}">
          <xlrd:rvb i="572"/>
        </ext>
      </extLst>
    </bk>
    <bk>
      <extLst>
        <ext uri="{3e2802c4-a4d2-4d8b-9148-e3be6c30e623}">
          <xlrd:rvb i="573"/>
        </ext>
      </extLst>
    </bk>
    <bk>
      <extLst>
        <ext uri="{3e2802c4-a4d2-4d8b-9148-e3be6c30e623}">
          <xlrd:rvb i="574"/>
        </ext>
      </extLst>
    </bk>
    <bk>
      <extLst>
        <ext uri="{3e2802c4-a4d2-4d8b-9148-e3be6c30e623}">
          <xlrd:rvb i="575"/>
        </ext>
      </extLst>
    </bk>
    <bk>
      <extLst>
        <ext uri="{3e2802c4-a4d2-4d8b-9148-e3be6c30e623}">
          <xlrd:rvb i="576"/>
        </ext>
      </extLst>
    </bk>
    <bk>
      <extLst>
        <ext uri="{3e2802c4-a4d2-4d8b-9148-e3be6c30e623}">
          <xlrd:rvb i="577"/>
        </ext>
      </extLst>
    </bk>
    <bk>
      <extLst>
        <ext uri="{3e2802c4-a4d2-4d8b-9148-e3be6c30e623}">
          <xlrd:rvb i="578"/>
        </ext>
      </extLst>
    </bk>
    <bk>
      <extLst>
        <ext uri="{3e2802c4-a4d2-4d8b-9148-e3be6c30e623}">
          <xlrd:rvb i="579"/>
        </ext>
      </extLst>
    </bk>
    <bk>
      <extLst>
        <ext uri="{3e2802c4-a4d2-4d8b-9148-e3be6c30e623}">
          <xlrd:rvb i="580"/>
        </ext>
      </extLst>
    </bk>
    <bk>
      <extLst>
        <ext uri="{3e2802c4-a4d2-4d8b-9148-e3be6c30e623}">
          <xlrd:rvb i="581"/>
        </ext>
      </extLst>
    </bk>
    <bk>
      <extLst>
        <ext uri="{3e2802c4-a4d2-4d8b-9148-e3be6c30e623}">
          <xlrd:rvb i="582"/>
        </ext>
      </extLst>
    </bk>
    <bk>
      <extLst>
        <ext uri="{3e2802c4-a4d2-4d8b-9148-e3be6c30e623}">
          <xlrd:rvb i="583"/>
        </ext>
      </extLst>
    </bk>
    <bk>
      <extLst>
        <ext uri="{3e2802c4-a4d2-4d8b-9148-e3be6c30e623}">
          <xlrd:rvb i="584"/>
        </ext>
      </extLst>
    </bk>
    <bk>
      <extLst>
        <ext uri="{3e2802c4-a4d2-4d8b-9148-e3be6c30e623}">
          <xlrd:rvb i="585"/>
        </ext>
      </extLst>
    </bk>
    <bk>
      <extLst>
        <ext uri="{3e2802c4-a4d2-4d8b-9148-e3be6c30e623}">
          <xlrd:rvb i="586"/>
        </ext>
      </extLst>
    </bk>
    <bk>
      <extLst>
        <ext uri="{3e2802c4-a4d2-4d8b-9148-e3be6c30e623}">
          <xlrd:rvb i="587"/>
        </ext>
      </extLst>
    </bk>
    <bk>
      <extLst>
        <ext uri="{3e2802c4-a4d2-4d8b-9148-e3be6c30e623}">
          <xlrd:rvb i="588"/>
        </ext>
      </extLst>
    </bk>
    <bk>
      <extLst>
        <ext uri="{3e2802c4-a4d2-4d8b-9148-e3be6c30e623}">
          <xlrd:rvb i="589"/>
        </ext>
      </extLst>
    </bk>
    <bk>
      <extLst>
        <ext uri="{3e2802c4-a4d2-4d8b-9148-e3be6c30e623}">
          <xlrd:rvb i="590"/>
        </ext>
      </extLst>
    </bk>
    <bk>
      <extLst>
        <ext uri="{3e2802c4-a4d2-4d8b-9148-e3be6c30e623}">
          <xlrd:rvb i="591"/>
        </ext>
      </extLst>
    </bk>
    <bk>
      <extLst>
        <ext uri="{3e2802c4-a4d2-4d8b-9148-e3be6c30e623}">
          <xlrd:rvb i="592"/>
        </ext>
      </extLst>
    </bk>
    <bk>
      <extLst>
        <ext uri="{3e2802c4-a4d2-4d8b-9148-e3be6c30e623}">
          <xlrd:rvb i="593"/>
        </ext>
      </extLst>
    </bk>
    <bk>
      <extLst>
        <ext uri="{3e2802c4-a4d2-4d8b-9148-e3be6c30e623}">
          <xlrd:rvb i="594"/>
        </ext>
      </extLst>
    </bk>
    <bk>
      <extLst>
        <ext uri="{3e2802c4-a4d2-4d8b-9148-e3be6c30e623}">
          <xlrd:rvb i="595"/>
        </ext>
      </extLst>
    </bk>
    <bk>
      <extLst>
        <ext uri="{3e2802c4-a4d2-4d8b-9148-e3be6c30e623}">
          <xlrd:rvb i="596"/>
        </ext>
      </extLst>
    </bk>
    <bk>
      <extLst>
        <ext uri="{3e2802c4-a4d2-4d8b-9148-e3be6c30e623}">
          <xlrd:rvb i="597"/>
        </ext>
      </extLst>
    </bk>
    <bk>
      <extLst>
        <ext uri="{3e2802c4-a4d2-4d8b-9148-e3be6c30e623}">
          <xlrd:rvb i="598"/>
        </ext>
      </extLst>
    </bk>
    <bk>
      <extLst>
        <ext uri="{3e2802c4-a4d2-4d8b-9148-e3be6c30e623}">
          <xlrd:rvb i="599"/>
        </ext>
      </extLst>
    </bk>
    <bk>
      <extLst>
        <ext uri="{3e2802c4-a4d2-4d8b-9148-e3be6c30e623}">
          <xlrd:rvb i="600"/>
        </ext>
      </extLst>
    </bk>
    <bk>
      <extLst>
        <ext uri="{3e2802c4-a4d2-4d8b-9148-e3be6c30e623}">
          <xlrd:rvb i="601"/>
        </ext>
      </extLst>
    </bk>
    <bk>
      <extLst>
        <ext uri="{3e2802c4-a4d2-4d8b-9148-e3be6c30e623}">
          <xlrd:rvb i="602"/>
        </ext>
      </extLst>
    </bk>
    <bk>
      <extLst>
        <ext uri="{3e2802c4-a4d2-4d8b-9148-e3be6c30e623}">
          <xlrd:rvb i="603"/>
        </ext>
      </extLst>
    </bk>
    <bk>
      <extLst>
        <ext uri="{3e2802c4-a4d2-4d8b-9148-e3be6c30e623}">
          <xlrd:rvb i="604"/>
        </ext>
      </extLst>
    </bk>
    <bk>
      <extLst>
        <ext uri="{3e2802c4-a4d2-4d8b-9148-e3be6c30e623}">
          <xlrd:rvb i="605"/>
        </ext>
      </extLst>
    </bk>
    <bk>
      <extLst>
        <ext uri="{3e2802c4-a4d2-4d8b-9148-e3be6c30e623}">
          <xlrd:rvb i="606"/>
        </ext>
      </extLst>
    </bk>
    <bk>
      <extLst>
        <ext uri="{3e2802c4-a4d2-4d8b-9148-e3be6c30e623}">
          <xlrd:rvb i="607"/>
        </ext>
      </extLst>
    </bk>
    <bk>
      <extLst>
        <ext uri="{3e2802c4-a4d2-4d8b-9148-e3be6c30e623}">
          <xlrd:rvb i="608"/>
        </ext>
      </extLst>
    </bk>
    <bk>
      <extLst>
        <ext uri="{3e2802c4-a4d2-4d8b-9148-e3be6c30e623}">
          <xlrd:rvb i="609"/>
        </ext>
      </extLst>
    </bk>
    <bk>
      <extLst>
        <ext uri="{3e2802c4-a4d2-4d8b-9148-e3be6c30e623}">
          <xlrd:rvb i="610"/>
        </ext>
      </extLst>
    </bk>
    <bk>
      <extLst>
        <ext uri="{3e2802c4-a4d2-4d8b-9148-e3be6c30e623}">
          <xlrd:rvb i="611"/>
        </ext>
      </extLst>
    </bk>
    <bk>
      <extLst>
        <ext uri="{3e2802c4-a4d2-4d8b-9148-e3be6c30e623}">
          <xlrd:rvb i="612"/>
        </ext>
      </extLst>
    </bk>
    <bk>
      <extLst>
        <ext uri="{3e2802c4-a4d2-4d8b-9148-e3be6c30e623}">
          <xlrd:rvb i="613"/>
        </ext>
      </extLst>
    </bk>
    <bk>
      <extLst>
        <ext uri="{3e2802c4-a4d2-4d8b-9148-e3be6c30e623}">
          <xlrd:rvb i="614"/>
        </ext>
      </extLst>
    </bk>
    <bk>
      <extLst>
        <ext uri="{3e2802c4-a4d2-4d8b-9148-e3be6c30e623}">
          <xlrd:rvb i="615"/>
        </ext>
      </extLst>
    </bk>
    <bk>
      <extLst>
        <ext uri="{3e2802c4-a4d2-4d8b-9148-e3be6c30e623}">
          <xlrd:rvb i="616"/>
        </ext>
      </extLst>
    </bk>
    <bk>
      <extLst>
        <ext uri="{3e2802c4-a4d2-4d8b-9148-e3be6c30e623}">
          <xlrd:rvb i="617"/>
        </ext>
      </extLst>
    </bk>
    <bk>
      <extLst>
        <ext uri="{3e2802c4-a4d2-4d8b-9148-e3be6c30e623}">
          <xlrd:rvb i="618"/>
        </ext>
      </extLst>
    </bk>
    <bk>
      <extLst>
        <ext uri="{3e2802c4-a4d2-4d8b-9148-e3be6c30e623}">
          <xlrd:rvb i="619"/>
        </ext>
      </extLst>
    </bk>
    <bk>
      <extLst>
        <ext uri="{3e2802c4-a4d2-4d8b-9148-e3be6c30e623}">
          <xlrd:rvb i="620"/>
        </ext>
      </extLst>
    </bk>
    <bk>
      <extLst>
        <ext uri="{3e2802c4-a4d2-4d8b-9148-e3be6c30e623}">
          <xlrd:rvb i="621"/>
        </ext>
      </extLst>
    </bk>
    <bk>
      <extLst>
        <ext uri="{3e2802c4-a4d2-4d8b-9148-e3be6c30e623}">
          <xlrd:rvb i="622"/>
        </ext>
      </extLst>
    </bk>
    <bk>
      <extLst>
        <ext uri="{3e2802c4-a4d2-4d8b-9148-e3be6c30e623}">
          <xlrd:rvb i="623"/>
        </ext>
      </extLst>
    </bk>
    <bk>
      <extLst>
        <ext uri="{3e2802c4-a4d2-4d8b-9148-e3be6c30e623}">
          <xlrd:rvb i="624"/>
        </ext>
      </extLst>
    </bk>
    <bk>
      <extLst>
        <ext uri="{3e2802c4-a4d2-4d8b-9148-e3be6c30e623}">
          <xlrd:rvb i="625"/>
        </ext>
      </extLst>
    </bk>
    <bk>
      <extLst>
        <ext uri="{3e2802c4-a4d2-4d8b-9148-e3be6c30e623}">
          <xlrd:rvb i="626"/>
        </ext>
      </extLst>
    </bk>
    <bk>
      <extLst>
        <ext uri="{3e2802c4-a4d2-4d8b-9148-e3be6c30e623}">
          <xlrd:rvb i="627"/>
        </ext>
      </extLst>
    </bk>
    <bk>
      <extLst>
        <ext uri="{3e2802c4-a4d2-4d8b-9148-e3be6c30e623}">
          <xlrd:rvb i="628"/>
        </ext>
      </extLst>
    </bk>
    <bk>
      <extLst>
        <ext uri="{3e2802c4-a4d2-4d8b-9148-e3be6c30e623}">
          <xlrd:rvb i="629"/>
        </ext>
      </extLst>
    </bk>
    <bk>
      <extLst>
        <ext uri="{3e2802c4-a4d2-4d8b-9148-e3be6c30e623}">
          <xlrd:rvb i="630"/>
        </ext>
      </extLst>
    </bk>
    <bk>
      <extLst>
        <ext uri="{3e2802c4-a4d2-4d8b-9148-e3be6c30e623}">
          <xlrd:rvb i="631"/>
        </ext>
      </extLst>
    </bk>
    <bk>
      <extLst>
        <ext uri="{3e2802c4-a4d2-4d8b-9148-e3be6c30e623}">
          <xlrd:rvb i="632"/>
        </ext>
      </extLst>
    </bk>
    <bk>
      <extLst>
        <ext uri="{3e2802c4-a4d2-4d8b-9148-e3be6c30e623}">
          <xlrd:rvb i="633"/>
        </ext>
      </extLst>
    </bk>
    <bk>
      <extLst>
        <ext uri="{3e2802c4-a4d2-4d8b-9148-e3be6c30e623}">
          <xlrd:rvb i="634"/>
        </ext>
      </extLst>
    </bk>
    <bk>
      <extLst>
        <ext uri="{3e2802c4-a4d2-4d8b-9148-e3be6c30e623}">
          <xlrd:rvb i="635"/>
        </ext>
      </extLst>
    </bk>
    <bk>
      <extLst>
        <ext uri="{3e2802c4-a4d2-4d8b-9148-e3be6c30e623}">
          <xlrd:rvb i="636"/>
        </ext>
      </extLst>
    </bk>
    <bk>
      <extLst>
        <ext uri="{3e2802c4-a4d2-4d8b-9148-e3be6c30e623}">
          <xlrd:rvb i="637"/>
        </ext>
      </extLst>
    </bk>
    <bk>
      <extLst>
        <ext uri="{3e2802c4-a4d2-4d8b-9148-e3be6c30e623}">
          <xlrd:rvb i="638"/>
        </ext>
      </extLst>
    </bk>
    <bk>
      <extLst>
        <ext uri="{3e2802c4-a4d2-4d8b-9148-e3be6c30e623}">
          <xlrd:rvb i="639"/>
        </ext>
      </extLst>
    </bk>
    <bk>
      <extLst>
        <ext uri="{3e2802c4-a4d2-4d8b-9148-e3be6c30e623}">
          <xlrd:rvb i="640"/>
        </ext>
      </extLst>
    </bk>
    <bk>
      <extLst>
        <ext uri="{3e2802c4-a4d2-4d8b-9148-e3be6c30e623}">
          <xlrd:rvb i="641"/>
        </ext>
      </extLst>
    </bk>
    <bk>
      <extLst>
        <ext uri="{3e2802c4-a4d2-4d8b-9148-e3be6c30e623}">
          <xlrd:rvb i="642"/>
        </ext>
      </extLst>
    </bk>
    <bk>
      <extLst>
        <ext uri="{3e2802c4-a4d2-4d8b-9148-e3be6c30e623}">
          <xlrd:rvb i="643"/>
        </ext>
      </extLst>
    </bk>
    <bk>
      <extLst>
        <ext uri="{3e2802c4-a4d2-4d8b-9148-e3be6c30e623}">
          <xlrd:rvb i="644"/>
        </ext>
      </extLst>
    </bk>
    <bk>
      <extLst>
        <ext uri="{3e2802c4-a4d2-4d8b-9148-e3be6c30e623}">
          <xlrd:rvb i="645"/>
        </ext>
      </extLst>
    </bk>
    <bk>
      <extLst>
        <ext uri="{3e2802c4-a4d2-4d8b-9148-e3be6c30e623}">
          <xlrd:rvb i="646"/>
        </ext>
      </extLst>
    </bk>
    <bk>
      <extLst>
        <ext uri="{3e2802c4-a4d2-4d8b-9148-e3be6c30e623}">
          <xlrd:rvb i="647"/>
        </ext>
      </extLst>
    </bk>
    <bk>
      <extLst>
        <ext uri="{3e2802c4-a4d2-4d8b-9148-e3be6c30e623}">
          <xlrd:rvb i="648"/>
        </ext>
      </extLst>
    </bk>
    <bk>
      <extLst>
        <ext uri="{3e2802c4-a4d2-4d8b-9148-e3be6c30e623}">
          <xlrd:rvb i="649"/>
        </ext>
      </extLst>
    </bk>
    <bk>
      <extLst>
        <ext uri="{3e2802c4-a4d2-4d8b-9148-e3be6c30e623}">
          <xlrd:rvb i="650"/>
        </ext>
      </extLst>
    </bk>
    <bk>
      <extLst>
        <ext uri="{3e2802c4-a4d2-4d8b-9148-e3be6c30e623}">
          <xlrd:rvb i="651"/>
        </ext>
      </extLst>
    </bk>
    <bk>
      <extLst>
        <ext uri="{3e2802c4-a4d2-4d8b-9148-e3be6c30e623}">
          <xlrd:rvb i="652"/>
        </ext>
      </extLst>
    </bk>
    <bk>
      <extLst>
        <ext uri="{3e2802c4-a4d2-4d8b-9148-e3be6c30e623}">
          <xlrd:rvb i="653"/>
        </ext>
      </extLst>
    </bk>
    <bk>
      <extLst>
        <ext uri="{3e2802c4-a4d2-4d8b-9148-e3be6c30e623}">
          <xlrd:rvb i="654"/>
        </ext>
      </extLst>
    </bk>
    <bk>
      <extLst>
        <ext uri="{3e2802c4-a4d2-4d8b-9148-e3be6c30e623}">
          <xlrd:rvb i="655"/>
        </ext>
      </extLst>
    </bk>
    <bk>
      <extLst>
        <ext uri="{3e2802c4-a4d2-4d8b-9148-e3be6c30e623}">
          <xlrd:rvb i="656"/>
        </ext>
      </extLst>
    </bk>
    <bk>
      <extLst>
        <ext uri="{3e2802c4-a4d2-4d8b-9148-e3be6c30e623}">
          <xlrd:rvb i="657"/>
        </ext>
      </extLst>
    </bk>
    <bk>
      <extLst>
        <ext uri="{3e2802c4-a4d2-4d8b-9148-e3be6c30e623}">
          <xlrd:rvb i="658"/>
        </ext>
      </extLst>
    </bk>
    <bk>
      <extLst>
        <ext uri="{3e2802c4-a4d2-4d8b-9148-e3be6c30e623}">
          <xlrd:rvb i="659"/>
        </ext>
      </extLst>
    </bk>
    <bk>
      <extLst>
        <ext uri="{3e2802c4-a4d2-4d8b-9148-e3be6c30e623}">
          <xlrd:rvb i="660"/>
        </ext>
      </extLst>
    </bk>
    <bk>
      <extLst>
        <ext uri="{3e2802c4-a4d2-4d8b-9148-e3be6c30e623}">
          <xlrd:rvb i="661"/>
        </ext>
      </extLst>
    </bk>
    <bk>
      <extLst>
        <ext uri="{3e2802c4-a4d2-4d8b-9148-e3be6c30e623}">
          <xlrd:rvb i="662"/>
        </ext>
      </extLst>
    </bk>
    <bk>
      <extLst>
        <ext uri="{3e2802c4-a4d2-4d8b-9148-e3be6c30e623}">
          <xlrd:rvb i="663"/>
        </ext>
      </extLst>
    </bk>
    <bk>
      <extLst>
        <ext uri="{3e2802c4-a4d2-4d8b-9148-e3be6c30e623}">
          <xlrd:rvb i="664"/>
        </ext>
      </extLst>
    </bk>
    <bk>
      <extLst>
        <ext uri="{3e2802c4-a4d2-4d8b-9148-e3be6c30e623}">
          <xlrd:rvb i="665"/>
        </ext>
      </extLst>
    </bk>
    <bk>
      <extLst>
        <ext uri="{3e2802c4-a4d2-4d8b-9148-e3be6c30e623}">
          <xlrd:rvb i="666"/>
        </ext>
      </extLst>
    </bk>
    <bk>
      <extLst>
        <ext uri="{3e2802c4-a4d2-4d8b-9148-e3be6c30e623}">
          <xlrd:rvb i="667"/>
        </ext>
      </extLst>
    </bk>
    <bk>
      <extLst>
        <ext uri="{3e2802c4-a4d2-4d8b-9148-e3be6c30e623}">
          <xlrd:rvb i="668"/>
        </ext>
      </extLst>
    </bk>
    <bk>
      <extLst>
        <ext uri="{3e2802c4-a4d2-4d8b-9148-e3be6c30e623}">
          <xlrd:rvb i="669"/>
        </ext>
      </extLst>
    </bk>
    <bk>
      <extLst>
        <ext uri="{3e2802c4-a4d2-4d8b-9148-e3be6c30e623}">
          <xlrd:rvb i="670"/>
        </ext>
      </extLst>
    </bk>
    <bk>
      <extLst>
        <ext uri="{3e2802c4-a4d2-4d8b-9148-e3be6c30e623}">
          <xlrd:rvb i="671"/>
        </ext>
      </extLst>
    </bk>
    <bk>
      <extLst>
        <ext uri="{3e2802c4-a4d2-4d8b-9148-e3be6c30e623}">
          <xlrd:rvb i="672"/>
        </ext>
      </extLst>
    </bk>
    <bk>
      <extLst>
        <ext uri="{3e2802c4-a4d2-4d8b-9148-e3be6c30e623}">
          <xlrd:rvb i="673"/>
        </ext>
      </extLst>
    </bk>
    <bk>
      <extLst>
        <ext uri="{3e2802c4-a4d2-4d8b-9148-e3be6c30e623}">
          <xlrd:rvb i="674"/>
        </ext>
      </extLst>
    </bk>
    <bk>
      <extLst>
        <ext uri="{3e2802c4-a4d2-4d8b-9148-e3be6c30e623}">
          <xlrd:rvb i="675"/>
        </ext>
      </extLst>
    </bk>
    <bk>
      <extLst>
        <ext uri="{3e2802c4-a4d2-4d8b-9148-e3be6c30e623}">
          <xlrd:rvb i="676"/>
        </ext>
      </extLst>
    </bk>
    <bk>
      <extLst>
        <ext uri="{3e2802c4-a4d2-4d8b-9148-e3be6c30e623}">
          <xlrd:rvb i="677"/>
        </ext>
      </extLst>
    </bk>
    <bk>
      <extLst>
        <ext uri="{3e2802c4-a4d2-4d8b-9148-e3be6c30e623}">
          <xlrd:rvb i="678"/>
        </ext>
      </extLst>
    </bk>
    <bk>
      <extLst>
        <ext uri="{3e2802c4-a4d2-4d8b-9148-e3be6c30e623}">
          <xlrd:rvb i="679"/>
        </ext>
      </extLst>
    </bk>
    <bk>
      <extLst>
        <ext uri="{3e2802c4-a4d2-4d8b-9148-e3be6c30e623}">
          <xlrd:rvb i="680"/>
        </ext>
      </extLst>
    </bk>
    <bk>
      <extLst>
        <ext uri="{3e2802c4-a4d2-4d8b-9148-e3be6c30e623}">
          <xlrd:rvb i="681"/>
        </ext>
      </extLst>
    </bk>
    <bk>
      <extLst>
        <ext uri="{3e2802c4-a4d2-4d8b-9148-e3be6c30e623}">
          <xlrd:rvb i="682"/>
        </ext>
      </extLst>
    </bk>
    <bk>
      <extLst>
        <ext uri="{3e2802c4-a4d2-4d8b-9148-e3be6c30e623}">
          <xlrd:rvb i="683"/>
        </ext>
      </extLst>
    </bk>
    <bk>
      <extLst>
        <ext uri="{3e2802c4-a4d2-4d8b-9148-e3be6c30e623}">
          <xlrd:rvb i="684"/>
        </ext>
      </extLst>
    </bk>
    <bk>
      <extLst>
        <ext uri="{3e2802c4-a4d2-4d8b-9148-e3be6c30e623}">
          <xlrd:rvb i="685"/>
        </ext>
      </extLst>
    </bk>
    <bk>
      <extLst>
        <ext uri="{3e2802c4-a4d2-4d8b-9148-e3be6c30e623}">
          <xlrd:rvb i="686"/>
        </ext>
      </extLst>
    </bk>
    <bk>
      <extLst>
        <ext uri="{3e2802c4-a4d2-4d8b-9148-e3be6c30e623}">
          <xlrd:rvb i="687"/>
        </ext>
      </extLst>
    </bk>
    <bk>
      <extLst>
        <ext uri="{3e2802c4-a4d2-4d8b-9148-e3be6c30e623}">
          <xlrd:rvb i="688"/>
        </ext>
      </extLst>
    </bk>
    <bk>
      <extLst>
        <ext uri="{3e2802c4-a4d2-4d8b-9148-e3be6c30e623}">
          <xlrd:rvb i="689"/>
        </ext>
      </extLst>
    </bk>
    <bk>
      <extLst>
        <ext uri="{3e2802c4-a4d2-4d8b-9148-e3be6c30e623}">
          <xlrd:rvb i="690"/>
        </ext>
      </extLst>
    </bk>
    <bk>
      <extLst>
        <ext uri="{3e2802c4-a4d2-4d8b-9148-e3be6c30e623}">
          <xlrd:rvb i="691"/>
        </ext>
      </extLst>
    </bk>
    <bk>
      <extLst>
        <ext uri="{3e2802c4-a4d2-4d8b-9148-e3be6c30e623}">
          <xlrd:rvb i="692"/>
        </ext>
      </extLst>
    </bk>
    <bk>
      <extLst>
        <ext uri="{3e2802c4-a4d2-4d8b-9148-e3be6c30e623}">
          <xlrd:rvb i="693"/>
        </ext>
      </extLst>
    </bk>
    <bk>
      <extLst>
        <ext uri="{3e2802c4-a4d2-4d8b-9148-e3be6c30e623}">
          <xlrd:rvb i="694"/>
        </ext>
      </extLst>
    </bk>
    <bk>
      <extLst>
        <ext uri="{3e2802c4-a4d2-4d8b-9148-e3be6c30e623}">
          <xlrd:rvb i="695"/>
        </ext>
      </extLst>
    </bk>
    <bk>
      <extLst>
        <ext uri="{3e2802c4-a4d2-4d8b-9148-e3be6c30e623}">
          <xlrd:rvb i="696"/>
        </ext>
      </extLst>
    </bk>
    <bk>
      <extLst>
        <ext uri="{3e2802c4-a4d2-4d8b-9148-e3be6c30e623}">
          <xlrd:rvb i="697"/>
        </ext>
      </extLst>
    </bk>
    <bk>
      <extLst>
        <ext uri="{3e2802c4-a4d2-4d8b-9148-e3be6c30e623}">
          <xlrd:rvb i="698"/>
        </ext>
      </extLst>
    </bk>
    <bk>
      <extLst>
        <ext uri="{3e2802c4-a4d2-4d8b-9148-e3be6c30e623}">
          <xlrd:rvb i="699"/>
        </ext>
      </extLst>
    </bk>
    <bk>
      <extLst>
        <ext uri="{3e2802c4-a4d2-4d8b-9148-e3be6c30e623}">
          <xlrd:rvb i="700"/>
        </ext>
      </extLst>
    </bk>
    <bk>
      <extLst>
        <ext uri="{3e2802c4-a4d2-4d8b-9148-e3be6c30e623}">
          <xlrd:rvb i="701"/>
        </ext>
      </extLst>
    </bk>
    <bk>
      <extLst>
        <ext uri="{3e2802c4-a4d2-4d8b-9148-e3be6c30e623}">
          <xlrd:rvb i="702"/>
        </ext>
      </extLst>
    </bk>
    <bk>
      <extLst>
        <ext uri="{3e2802c4-a4d2-4d8b-9148-e3be6c30e623}">
          <xlrd:rvb i="703"/>
        </ext>
      </extLst>
    </bk>
    <bk>
      <extLst>
        <ext uri="{3e2802c4-a4d2-4d8b-9148-e3be6c30e623}">
          <xlrd:rvb i="704"/>
        </ext>
      </extLst>
    </bk>
    <bk>
      <extLst>
        <ext uri="{3e2802c4-a4d2-4d8b-9148-e3be6c30e623}">
          <xlrd:rvb i="705"/>
        </ext>
      </extLst>
    </bk>
    <bk>
      <extLst>
        <ext uri="{3e2802c4-a4d2-4d8b-9148-e3be6c30e623}">
          <xlrd:rvb i="706"/>
        </ext>
      </extLst>
    </bk>
    <bk>
      <extLst>
        <ext uri="{3e2802c4-a4d2-4d8b-9148-e3be6c30e623}">
          <xlrd:rvb i="707"/>
        </ext>
      </extLst>
    </bk>
    <bk>
      <extLst>
        <ext uri="{3e2802c4-a4d2-4d8b-9148-e3be6c30e623}">
          <xlrd:rvb i="708"/>
        </ext>
      </extLst>
    </bk>
    <bk>
      <extLst>
        <ext uri="{3e2802c4-a4d2-4d8b-9148-e3be6c30e623}">
          <xlrd:rvb i="709"/>
        </ext>
      </extLst>
    </bk>
    <bk>
      <extLst>
        <ext uri="{3e2802c4-a4d2-4d8b-9148-e3be6c30e623}">
          <xlrd:rvb i="710"/>
        </ext>
      </extLst>
    </bk>
    <bk>
      <extLst>
        <ext uri="{3e2802c4-a4d2-4d8b-9148-e3be6c30e623}">
          <xlrd:rvb i="711"/>
        </ext>
      </extLst>
    </bk>
    <bk>
      <extLst>
        <ext uri="{3e2802c4-a4d2-4d8b-9148-e3be6c30e623}">
          <xlrd:rvb i="712"/>
        </ext>
      </extLst>
    </bk>
    <bk>
      <extLst>
        <ext uri="{3e2802c4-a4d2-4d8b-9148-e3be6c30e623}">
          <xlrd:rvb i="713"/>
        </ext>
      </extLst>
    </bk>
    <bk>
      <extLst>
        <ext uri="{3e2802c4-a4d2-4d8b-9148-e3be6c30e623}">
          <xlrd:rvb i="714"/>
        </ext>
      </extLst>
    </bk>
    <bk>
      <extLst>
        <ext uri="{3e2802c4-a4d2-4d8b-9148-e3be6c30e623}">
          <xlrd:rvb i="715"/>
        </ext>
      </extLst>
    </bk>
    <bk>
      <extLst>
        <ext uri="{3e2802c4-a4d2-4d8b-9148-e3be6c30e623}">
          <xlrd:rvb i="716"/>
        </ext>
      </extLst>
    </bk>
    <bk>
      <extLst>
        <ext uri="{3e2802c4-a4d2-4d8b-9148-e3be6c30e623}">
          <xlrd:rvb i="717"/>
        </ext>
      </extLst>
    </bk>
    <bk>
      <extLst>
        <ext uri="{3e2802c4-a4d2-4d8b-9148-e3be6c30e623}">
          <xlrd:rvb i="718"/>
        </ext>
      </extLst>
    </bk>
    <bk>
      <extLst>
        <ext uri="{3e2802c4-a4d2-4d8b-9148-e3be6c30e623}">
          <xlrd:rvb i="719"/>
        </ext>
      </extLst>
    </bk>
    <bk>
      <extLst>
        <ext uri="{3e2802c4-a4d2-4d8b-9148-e3be6c30e623}">
          <xlrd:rvb i="720"/>
        </ext>
      </extLst>
    </bk>
    <bk>
      <extLst>
        <ext uri="{3e2802c4-a4d2-4d8b-9148-e3be6c30e623}">
          <xlrd:rvb i="721"/>
        </ext>
      </extLst>
    </bk>
    <bk>
      <extLst>
        <ext uri="{3e2802c4-a4d2-4d8b-9148-e3be6c30e623}">
          <xlrd:rvb i="722"/>
        </ext>
      </extLst>
    </bk>
    <bk>
      <extLst>
        <ext uri="{3e2802c4-a4d2-4d8b-9148-e3be6c30e623}">
          <xlrd:rvb i="723"/>
        </ext>
      </extLst>
    </bk>
    <bk>
      <extLst>
        <ext uri="{3e2802c4-a4d2-4d8b-9148-e3be6c30e623}">
          <xlrd:rvb i="724"/>
        </ext>
      </extLst>
    </bk>
    <bk>
      <extLst>
        <ext uri="{3e2802c4-a4d2-4d8b-9148-e3be6c30e623}">
          <xlrd:rvb i="725"/>
        </ext>
      </extLst>
    </bk>
    <bk>
      <extLst>
        <ext uri="{3e2802c4-a4d2-4d8b-9148-e3be6c30e623}">
          <xlrd:rvb i="726"/>
        </ext>
      </extLst>
    </bk>
    <bk>
      <extLst>
        <ext uri="{3e2802c4-a4d2-4d8b-9148-e3be6c30e623}">
          <xlrd:rvb i="727"/>
        </ext>
      </extLst>
    </bk>
    <bk>
      <extLst>
        <ext uri="{3e2802c4-a4d2-4d8b-9148-e3be6c30e623}">
          <xlrd:rvb i="728"/>
        </ext>
      </extLst>
    </bk>
    <bk>
      <extLst>
        <ext uri="{3e2802c4-a4d2-4d8b-9148-e3be6c30e623}">
          <xlrd:rvb i="729"/>
        </ext>
      </extLst>
    </bk>
    <bk>
      <extLst>
        <ext uri="{3e2802c4-a4d2-4d8b-9148-e3be6c30e623}">
          <xlrd:rvb i="730"/>
        </ext>
      </extLst>
    </bk>
    <bk>
      <extLst>
        <ext uri="{3e2802c4-a4d2-4d8b-9148-e3be6c30e623}">
          <xlrd:rvb i="731"/>
        </ext>
      </extLst>
    </bk>
    <bk>
      <extLst>
        <ext uri="{3e2802c4-a4d2-4d8b-9148-e3be6c30e623}">
          <xlrd:rvb i="732"/>
        </ext>
      </extLst>
    </bk>
    <bk>
      <extLst>
        <ext uri="{3e2802c4-a4d2-4d8b-9148-e3be6c30e623}">
          <xlrd:rvb i="733"/>
        </ext>
      </extLst>
    </bk>
    <bk>
      <extLst>
        <ext uri="{3e2802c4-a4d2-4d8b-9148-e3be6c30e623}">
          <xlrd:rvb i="734"/>
        </ext>
      </extLst>
    </bk>
    <bk>
      <extLst>
        <ext uri="{3e2802c4-a4d2-4d8b-9148-e3be6c30e623}">
          <xlrd:rvb i="735"/>
        </ext>
      </extLst>
    </bk>
    <bk>
      <extLst>
        <ext uri="{3e2802c4-a4d2-4d8b-9148-e3be6c30e623}">
          <xlrd:rvb i="736"/>
        </ext>
      </extLst>
    </bk>
    <bk>
      <extLst>
        <ext uri="{3e2802c4-a4d2-4d8b-9148-e3be6c30e623}">
          <xlrd:rvb i="737"/>
        </ext>
      </extLst>
    </bk>
    <bk>
      <extLst>
        <ext uri="{3e2802c4-a4d2-4d8b-9148-e3be6c30e623}">
          <xlrd:rvb i="738"/>
        </ext>
      </extLst>
    </bk>
    <bk>
      <extLst>
        <ext uri="{3e2802c4-a4d2-4d8b-9148-e3be6c30e623}">
          <xlrd:rvb i="739"/>
        </ext>
      </extLst>
    </bk>
    <bk>
      <extLst>
        <ext uri="{3e2802c4-a4d2-4d8b-9148-e3be6c30e623}">
          <xlrd:rvb i="740"/>
        </ext>
      </extLst>
    </bk>
    <bk>
      <extLst>
        <ext uri="{3e2802c4-a4d2-4d8b-9148-e3be6c30e623}">
          <xlrd:rvb i="741"/>
        </ext>
      </extLst>
    </bk>
    <bk>
      <extLst>
        <ext uri="{3e2802c4-a4d2-4d8b-9148-e3be6c30e623}">
          <xlrd:rvb i="742"/>
        </ext>
      </extLst>
    </bk>
    <bk>
      <extLst>
        <ext uri="{3e2802c4-a4d2-4d8b-9148-e3be6c30e623}">
          <xlrd:rvb i="743"/>
        </ext>
      </extLst>
    </bk>
    <bk>
      <extLst>
        <ext uri="{3e2802c4-a4d2-4d8b-9148-e3be6c30e623}">
          <xlrd:rvb i="744"/>
        </ext>
      </extLst>
    </bk>
    <bk>
      <extLst>
        <ext uri="{3e2802c4-a4d2-4d8b-9148-e3be6c30e623}">
          <xlrd:rvb i="745"/>
        </ext>
      </extLst>
    </bk>
    <bk>
      <extLst>
        <ext uri="{3e2802c4-a4d2-4d8b-9148-e3be6c30e623}">
          <xlrd:rvb i="746"/>
        </ext>
      </extLst>
    </bk>
    <bk>
      <extLst>
        <ext uri="{3e2802c4-a4d2-4d8b-9148-e3be6c30e623}">
          <xlrd:rvb i="747"/>
        </ext>
      </extLst>
    </bk>
    <bk>
      <extLst>
        <ext uri="{3e2802c4-a4d2-4d8b-9148-e3be6c30e623}">
          <xlrd:rvb i="748"/>
        </ext>
      </extLst>
    </bk>
    <bk>
      <extLst>
        <ext uri="{3e2802c4-a4d2-4d8b-9148-e3be6c30e623}">
          <xlrd:rvb i="749"/>
        </ext>
      </extLst>
    </bk>
    <bk>
      <extLst>
        <ext uri="{3e2802c4-a4d2-4d8b-9148-e3be6c30e623}">
          <xlrd:rvb i="750"/>
        </ext>
      </extLst>
    </bk>
    <bk>
      <extLst>
        <ext uri="{3e2802c4-a4d2-4d8b-9148-e3be6c30e623}">
          <xlrd:rvb i="751"/>
        </ext>
      </extLst>
    </bk>
    <bk>
      <extLst>
        <ext uri="{3e2802c4-a4d2-4d8b-9148-e3be6c30e623}">
          <xlrd:rvb i="752"/>
        </ext>
      </extLst>
    </bk>
    <bk>
      <extLst>
        <ext uri="{3e2802c4-a4d2-4d8b-9148-e3be6c30e623}">
          <xlrd:rvb i="753"/>
        </ext>
      </extLst>
    </bk>
    <bk>
      <extLst>
        <ext uri="{3e2802c4-a4d2-4d8b-9148-e3be6c30e623}">
          <xlrd:rvb i="754"/>
        </ext>
      </extLst>
    </bk>
    <bk>
      <extLst>
        <ext uri="{3e2802c4-a4d2-4d8b-9148-e3be6c30e623}">
          <xlrd:rvb i="755"/>
        </ext>
      </extLst>
    </bk>
    <bk>
      <extLst>
        <ext uri="{3e2802c4-a4d2-4d8b-9148-e3be6c30e623}">
          <xlrd:rvb i="756"/>
        </ext>
      </extLst>
    </bk>
    <bk>
      <extLst>
        <ext uri="{3e2802c4-a4d2-4d8b-9148-e3be6c30e623}">
          <xlrd:rvb i="757"/>
        </ext>
      </extLst>
    </bk>
    <bk>
      <extLst>
        <ext uri="{3e2802c4-a4d2-4d8b-9148-e3be6c30e623}">
          <xlrd:rvb i="758"/>
        </ext>
      </extLst>
    </bk>
    <bk>
      <extLst>
        <ext uri="{3e2802c4-a4d2-4d8b-9148-e3be6c30e623}">
          <xlrd:rvb i="759"/>
        </ext>
      </extLst>
    </bk>
    <bk>
      <extLst>
        <ext uri="{3e2802c4-a4d2-4d8b-9148-e3be6c30e623}">
          <xlrd:rvb i="760"/>
        </ext>
      </extLst>
    </bk>
    <bk>
      <extLst>
        <ext uri="{3e2802c4-a4d2-4d8b-9148-e3be6c30e623}">
          <xlrd:rvb i="761"/>
        </ext>
      </extLst>
    </bk>
    <bk>
      <extLst>
        <ext uri="{3e2802c4-a4d2-4d8b-9148-e3be6c30e623}">
          <xlrd:rvb i="762"/>
        </ext>
      </extLst>
    </bk>
    <bk>
      <extLst>
        <ext uri="{3e2802c4-a4d2-4d8b-9148-e3be6c30e623}">
          <xlrd:rvb i="763"/>
        </ext>
      </extLst>
    </bk>
    <bk>
      <extLst>
        <ext uri="{3e2802c4-a4d2-4d8b-9148-e3be6c30e623}">
          <xlrd:rvb i="764"/>
        </ext>
      </extLst>
    </bk>
    <bk>
      <extLst>
        <ext uri="{3e2802c4-a4d2-4d8b-9148-e3be6c30e623}">
          <xlrd:rvb i="765"/>
        </ext>
      </extLst>
    </bk>
    <bk>
      <extLst>
        <ext uri="{3e2802c4-a4d2-4d8b-9148-e3be6c30e623}">
          <xlrd:rvb i="766"/>
        </ext>
      </extLst>
    </bk>
    <bk>
      <extLst>
        <ext uri="{3e2802c4-a4d2-4d8b-9148-e3be6c30e623}">
          <xlrd:rvb i="767"/>
        </ext>
      </extLst>
    </bk>
    <bk>
      <extLst>
        <ext uri="{3e2802c4-a4d2-4d8b-9148-e3be6c30e623}">
          <xlrd:rvb i="768"/>
        </ext>
      </extLst>
    </bk>
    <bk>
      <extLst>
        <ext uri="{3e2802c4-a4d2-4d8b-9148-e3be6c30e623}">
          <xlrd:rvb i="769"/>
        </ext>
      </extLst>
    </bk>
    <bk>
      <extLst>
        <ext uri="{3e2802c4-a4d2-4d8b-9148-e3be6c30e623}">
          <xlrd:rvb i="770"/>
        </ext>
      </extLst>
    </bk>
    <bk>
      <extLst>
        <ext uri="{3e2802c4-a4d2-4d8b-9148-e3be6c30e623}">
          <xlrd:rvb i="771"/>
        </ext>
      </extLst>
    </bk>
    <bk>
      <extLst>
        <ext uri="{3e2802c4-a4d2-4d8b-9148-e3be6c30e623}">
          <xlrd:rvb i="772"/>
        </ext>
      </extLst>
    </bk>
    <bk>
      <extLst>
        <ext uri="{3e2802c4-a4d2-4d8b-9148-e3be6c30e623}">
          <xlrd:rvb i="773"/>
        </ext>
      </extLst>
    </bk>
    <bk>
      <extLst>
        <ext uri="{3e2802c4-a4d2-4d8b-9148-e3be6c30e623}">
          <xlrd:rvb i="774"/>
        </ext>
      </extLst>
    </bk>
    <bk>
      <extLst>
        <ext uri="{3e2802c4-a4d2-4d8b-9148-e3be6c30e623}">
          <xlrd:rvb i="775"/>
        </ext>
      </extLst>
    </bk>
    <bk>
      <extLst>
        <ext uri="{3e2802c4-a4d2-4d8b-9148-e3be6c30e623}">
          <xlrd:rvb i="776"/>
        </ext>
      </extLst>
    </bk>
    <bk>
      <extLst>
        <ext uri="{3e2802c4-a4d2-4d8b-9148-e3be6c30e623}">
          <xlrd:rvb i="777"/>
        </ext>
      </extLst>
    </bk>
    <bk>
      <extLst>
        <ext uri="{3e2802c4-a4d2-4d8b-9148-e3be6c30e623}">
          <xlrd:rvb i="778"/>
        </ext>
      </extLst>
    </bk>
    <bk>
      <extLst>
        <ext uri="{3e2802c4-a4d2-4d8b-9148-e3be6c30e623}">
          <xlrd:rvb i="779"/>
        </ext>
      </extLst>
    </bk>
    <bk>
      <extLst>
        <ext uri="{3e2802c4-a4d2-4d8b-9148-e3be6c30e623}">
          <xlrd:rvb i="780"/>
        </ext>
      </extLst>
    </bk>
    <bk>
      <extLst>
        <ext uri="{3e2802c4-a4d2-4d8b-9148-e3be6c30e623}">
          <xlrd:rvb i="781"/>
        </ext>
      </extLst>
    </bk>
    <bk>
      <extLst>
        <ext uri="{3e2802c4-a4d2-4d8b-9148-e3be6c30e623}">
          <xlrd:rvb i="782"/>
        </ext>
      </extLst>
    </bk>
    <bk>
      <extLst>
        <ext uri="{3e2802c4-a4d2-4d8b-9148-e3be6c30e623}">
          <xlrd:rvb i="783"/>
        </ext>
      </extLst>
    </bk>
    <bk>
      <extLst>
        <ext uri="{3e2802c4-a4d2-4d8b-9148-e3be6c30e623}">
          <xlrd:rvb i="784"/>
        </ext>
      </extLst>
    </bk>
    <bk>
      <extLst>
        <ext uri="{3e2802c4-a4d2-4d8b-9148-e3be6c30e623}">
          <xlrd:rvb i="785"/>
        </ext>
      </extLst>
    </bk>
    <bk>
      <extLst>
        <ext uri="{3e2802c4-a4d2-4d8b-9148-e3be6c30e623}">
          <xlrd:rvb i="786"/>
        </ext>
      </extLst>
    </bk>
    <bk>
      <extLst>
        <ext uri="{3e2802c4-a4d2-4d8b-9148-e3be6c30e623}">
          <xlrd:rvb i="787"/>
        </ext>
      </extLst>
    </bk>
    <bk>
      <extLst>
        <ext uri="{3e2802c4-a4d2-4d8b-9148-e3be6c30e623}">
          <xlrd:rvb i="788"/>
        </ext>
      </extLst>
    </bk>
    <bk>
      <extLst>
        <ext uri="{3e2802c4-a4d2-4d8b-9148-e3be6c30e623}">
          <xlrd:rvb i="789"/>
        </ext>
      </extLst>
    </bk>
    <bk>
      <extLst>
        <ext uri="{3e2802c4-a4d2-4d8b-9148-e3be6c30e623}">
          <xlrd:rvb i="790"/>
        </ext>
      </extLst>
    </bk>
    <bk>
      <extLst>
        <ext uri="{3e2802c4-a4d2-4d8b-9148-e3be6c30e623}">
          <xlrd:rvb i="791"/>
        </ext>
      </extLst>
    </bk>
    <bk>
      <extLst>
        <ext uri="{3e2802c4-a4d2-4d8b-9148-e3be6c30e623}">
          <xlrd:rvb i="792"/>
        </ext>
      </extLst>
    </bk>
    <bk>
      <extLst>
        <ext uri="{3e2802c4-a4d2-4d8b-9148-e3be6c30e623}">
          <xlrd:rvb i="793"/>
        </ext>
      </extLst>
    </bk>
    <bk>
      <extLst>
        <ext uri="{3e2802c4-a4d2-4d8b-9148-e3be6c30e623}">
          <xlrd:rvb i="794"/>
        </ext>
      </extLst>
    </bk>
    <bk>
      <extLst>
        <ext uri="{3e2802c4-a4d2-4d8b-9148-e3be6c30e623}">
          <xlrd:rvb i="795"/>
        </ext>
      </extLst>
    </bk>
    <bk>
      <extLst>
        <ext uri="{3e2802c4-a4d2-4d8b-9148-e3be6c30e623}">
          <xlrd:rvb i="796"/>
        </ext>
      </extLst>
    </bk>
    <bk>
      <extLst>
        <ext uri="{3e2802c4-a4d2-4d8b-9148-e3be6c30e623}">
          <xlrd:rvb i="797"/>
        </ext>
      </extLst>
    </bk>
    <bk>
      <extLst>
        <ext uri="{3e2802c4-a4d2-4d8b-9148-e3be6c30e623}">
          <xlrd:rvb i="798"/>
        </ext>
      </extLst>
    </bk>
    <bk>
      <extLst>
        <ext uri="{3e2802c4-a4d2-4d8b-9148-e3be6c30e623}">
          <xlrd:rvb i="799"/>
        </ext>
      </extLst>
    </bk>
    <bk>
      <extLst>
        <ext uri="{3e2802c4-a4d2-4d8b-9148-e3be6c30e623}">
          <xlrd:rvb i="800"/>
        </ext>
      </extLst>
    </bk>
    <bk>
      <extLst>
        <ext uri="{3e2802c4-a4d2-4d8b-9148-e3be6c30e623}">
          <xlrd:rvb i="801"/>
        </ext>
      </extLst>
    </bk>
    <bk>
      <extLst>
        <ext uri="{3e2802c4-a4d2-4d8b-9148-e3be6c30e623}">
          <xlrd:rvb i="802"/>
        </ext>
      </extLst>
    </bk>
    <bk>
      <extLst>
        <ext uri="{3e2802c4-a4d2-4d8b-9148-e3be6c30e623}">
          <xlrd:rvb i="803"/>
        </ext>
      </extLst>
    </bk>
    <bk>
      <extLst>
        <ext uri="{3e2802c4-a4d2-4d8b-9148-e3be6c30e623}">
          <xlrd:rvb i="804"/>
        </ext>
      </extLst>
    </bk>
    <bk>
      <extLst>
        <ext uri="{3e2802c4-a4d2-4d8b-9148-e3be6c30e623}">
          <xlrd:rvb i="805"/>
        </ext>
      </extLst>
    </bk>
    <bk>
      <extLst>
        <ext uri="{3e2802c4-a4d2-4d8b-9148-e3be6c30e623}">
          <xlrd:rvb i="806"/>
        </ext>
      </extLst>
    </bk>
    <bk>
      <extLst>
        <ext uri="{3e2802c4-a4d2-4d8b-9148-e3be6c30e623}">
          <xlrd:rvb i="807"/>
        </ext>
      </extLst>
    </bk>
    <bk>
      <extLst>
        <ext uri="{3e2802c4-a4d2-4d8b-9148-e3be6c30e623}">
          <xlrd:rvb i="808"/>
        </ext>
      </extLst>
    </bk>
    <bk>
      <extLst>
        <ext uri="{3e2802c4-a4d2-4d8b-9148-e3be6c30e623}">
          <xlrd:rvb i="809"/>
        </ext>
      </extLst>
    </bk>
    <bk>
      <extLst>
        <ext uri="{3e2802c4-a4d2-4d8b-9148-e3be6c30e623}">
          <xlrd:rvb i="810"/>
        </ext>
      </extLst>
    </bk>
    <bk>
      <extLst>
        <ext uri="{3e2802c4-a4d2-4d8b-9148-e3be6c30e623}">
          <xlrd:rvb i="811"/>
        </ext>
      </extLst>
    </bk>
    <bk>
      <extLst>
        <ext uri="{3e2802c4-a4d2-4d8b-9148-e3be6c30e623}">
          <xlrd:rvb i="812"/>
        </ext>
      </extLst>
    </bk>
    <bk>
      <extLst>
        <ext uri="{3e2802c4-a4d2-4d8b-9148-e3be6c30e623}">
          <xlrd:rvb i="813"/>
        </ext>
      </extLst>
    </bk>
    <bk>
      <extLst>
        <ext uri="{3e2802c4-a4d2-4d8b-9148-e3be6c30e623}">
          <xlrd:rvb i="814"/>
        </ext>
      </extLst>
    </bk>
    <bk>
      <extLst>
        <ext uri="{3e2802c4-a4d2-4d8b-9148-e3be6c30e623}">
          <xlrd:rvb i="815"/>
        </ext>
      </extLst>
    </bk>
    <bk>
      <extLst>
        <ext uri="{3e2802c4-a4d2-4d8b-9148-e3be6c30e623}">
          <xlrd:rvb i="816"/>
        </ext>
      </extLst>
    </bk>
    <bk>
      <extLst>
        <ext uri="{3e2802c4-a4d2-4d8b-9148-e3be6c30e623}">
          <xlrd:rvb i="817"/>
        </ext>
      </extLst>
    </bk>
    <bk>
      <extLst>
        <ext uri="{3e2802c4-a4d2-4d8b-9148-e3be6c30e623}">
          <xlrd:rvb i="818"/>
        </ext>
      </extLst>
    </bk>
    <bk>
      <extLst>
        <ext uri="{3e2802c4-a4d2-4d8b-9148-e3be6c30e623}">
          <xlrd:rvb i="819"/>
        </ext>
      </extLst>
    </bk>
    <bk>
      <extLst>
        <ext uri="{3e2802c4-a4d2-4d8b-9148-e3be6c30e623}">
          <xlrd:rvb i="820"/>
        </ext>
      </extLst>
    </bk>
    <bk>
      <extLst>
        <ext uri="{3e2802c4-a4d2-4d8b-9148-e3be6c30e623}">
          <xlrd:rvb i="821"/>
        </ext>
      </extLst>
    </bk>
    <bk>
      <extLst>
        <ext uri="{3e2802c4-a4d2-4d8b-9148-e3be6c30e623}">
          <xlrd:rvb i="822"/>
        </ext>
      </extLst>
    </bk>
    <bk>
      <extLst>
        <ext uri="{3e2802c4-a4d2-4d8b-9148-e3be6c30e623}">
          <xlrd:rvb i="823"/>
        </ext>
      </extLst>
    </bk>
    <bk>
      <extLst>
        <ext uri="{3e2802c4-a4d2-4d8b-9148-e3be6c30e623}">
          <xlrd:rvb i="824"/>
        </ext>
      </extLst>
    </bk>
    <bk>
      <extLst>
        <ext uri="{3e2802c4-a4d2-4d8b-9148-e3be6c30e623}">
          <xlrd:rvb i="825"/>
        </ext>
      </extLst>
    </bk>
    <bk>
      <extLst>
        <ext uri="{3e2802c4-a4d2-4d8b-9148-e3be6c30e623}">
          <xlrd:rvb i="826"/>
        </ext>
      </extLst>
    </bk>
    <bk>
      <extLst>
        <ext uri="{3e2802c4-a4d2-4d8b-9148-e3be6c30e623}">
          <xlrd:rvb i="827"/>
        </ext>
      </extLst>
    </bk>
    <bk>
      <extLst>
        <ext uri="{3e2802c4-a4d2-4d8b-9148-e3be6c30e623}">
          <xlrd:rvb i="828"/>
        </ext>
      </extLst>
    </bk>
    <bk>
      <extLst>
        <ext uri="{3e2802c4-a4d2-4d8b-9148-e3be6c30e623}">
          <xlrd:rvb i="829"/>
        </ext>
      </extLst>
    </bk>
    <bk>
      <extLst>
        <ext uri="{3e2802c4-a4d2-4d8b-9148-e3be6c30e623}">
          <xlrd:rvb i="830"/>
        </ext>
      </extLst>
    </bk>
    <bk>
      <extLst>
        <ext uri="{3e2802c4-a4d2-4d8b-9148-e3be6c30e623}">
          <xlrd:rvb i="831"/>
        </ext>
      </extLst>
    </bk>
    <bk>
      <extLst>
        <ext uri="{3e2802c4-a4d2-4d8b-9148-e3be6c30e623}">
          <xlrd:rvb i="832"/>
        </ext>
      </extLst>
    </bk>
    <bk>
      <extLst>
        <ext uri="{3e2802c4-a4d2-4d8b-9148-e3be6c30e623}">
          <xlrd:rvb i="833"/>
        </ext>
      </extLst>
    </bk>
    <bk>
      <extLst>
        <ext uri="{3e2802c4-a4d2-4d8b-9148-e3be6c30e623}">
          <xlrd:rvb i="834"/>
        </ext>
      </extLst>
    </bk>
    <bk>
      <extLst>
        <ext uri="{3e2802c4-a4d2-4d8b-9148-e3be6c30e623}">
          <xlrd:rvb i="835"/>
        </ext>
      </extLst>
    </bk>
    <bk>
      <extLst>
        <ext uri="{3e2802c4-a4d2-4d8b-9148-e3be6c30e623}">
          <xlrd:rvb i="836"/>
        </ext>
      </extLst>
    </bk>
    <bk>
      <extLst>
        <ext uri="{3e2802c4-a4d2-4d8b-9148-e3be6c30e623}">
          <xlrd:rvb i="837"/>
        </ext>
      </extLst>
    </bk>
    <bk>
      <extLst>
        <ext uri="{3e2802c4-a4d2-4d8b-9148-e3be6c30e623}">
          <xlrd:rvb i="838"/>
        </ext>
      </extLst>
    </bk>
    <bk>
      <extLst>
        <ext uri="{3e2802c4-a4d2-4d8b-9148-e3be6c30e623}">
          <xlrd:rvb i="839"/>
        </ext>
      </extLst>
    </bk>
    <bk>
      <extLst>
        <ext uri="{3e2802c4-a4d2-4d8b-9148-e3be6c30e623}">
          <xlrd:rvb i="840"/>
        </ext>
      </extLst>
    </bk>
    <bk>
      <extLst>
        <ext uri="{3e2802c4-a4d2-4d8b-9148-e3be6c30e623}">
          <xlrd:rvb i="841"/>
        </ext>
      </extLst>
    </bk>
    <bk>
      <extLst>
        <ext uri="{3e2802c4-a4d2-4d8b-9148-e3be6c30e623}">
          <xlrd:rvb i="842"/>
        </ext>
      </extLst>
    </bk>
    <bk>
      <extLst>
        <ext uri="{3e2802c4-a4d2-4d8b-9148-e3be6c30e623}">
          <xlrd:rvb i="843"/>
        </ext>
      </extLst>
    </bk>
    <bk>
      <extLst>
        <ext uri="{3e2802c4-a4d2-4d8b-9148-e3be6c30e623}">
          <xlrd:rvb i="844"/>
        </ext>
      </extLst>
    </bk>
    <bk>
      <extLst>
        <ext uri="{3e2802c4-a4d2-4d8b-9148-e3be6c30e623}">
          <xlrd:rvb i="845"/>
        </ext>
      </extLst>
    </bk>
    <bk>
      <extLst>
        <ext uri="{3e2802c4-a4d2-4d8b-9148-e3be6c30e623}">
          <xlrd:rvb i="846"/>
        </ext>
      </extLst>
    </bk>
    <bk>
      <extLst>
        <ext uri="{3e2802c4-a4d2-4d8b-9148-e3be6c30e623}">
          <xlrd:rvb i="847"/>
        </ext>
      </extLst>
    </bk>
    <bk>
      <extLst>
        <ext uri="{3e2802c4-a4d2-4d8b-9148-e3be6c30e623}">
          <xlrd:rvb i="848"/>
        </ext>
      </extLst>
    </bk>
    <bk>
      <extLst>
        <ext uri="{3e2802c4-a4d2-4d8b-9148-e3be6c30e623}">
          <xlrd:rvb i="849"/>
        </ext>
      </extLst>
    </bk>
    <bk>
      <extLst>
        <ext uri="{3e2802c4-a4d2-4d8b-9148-e3be6c30e623}">
          <xlrd:rvb i="850"/>
        </ext>
      </extLst>
    </bk>
    <bk>
      <extLst>
        <ext uri="{3e2802c4-a4d2-4d8b-9148-e3be6c30e623}">
          <xlrd:rvb i="851"/>
        </ext>
      </extLst>
    </bk>
    <bk>
      <extLst>
        <ext uri="{3e2802c4-a4d2-4d8b-9148-e3be6c30e623}">
          <xlrd:rvb i="852"/>
        </ext>
      </extLst>
    </bk>
    <bk>
      <extLst>
        <ext uri="{3e2802c4-a4d2-4d8b-9148-e3be6c30e623}">
          <xlrd:rvb i="853"/>
        </ext>
      </extLst>
    </bk>
    <bk>
      <extLst>
        <ext uri="{3e2802c4-a4d2-4d8b-9148-e3be6c30e623}">
          <xlrd:rvb i="854"/>
        </ext>
      </extLst>
    </bk>
    <bk>
      <extLst>
        <ext uri="{3e2802c4-a4d2-4d8b-9148-e3be6c30e623}">
          <xlrd:rvb i="855"/>
        </ext>
      </extLst>
    </bk>
    <bk>
      <extLst>
        <ext uri="{3e2802c4-a4d2-4d8b-9148-e3be6c30e623}">
          <xlrd:rvb i="856"/>
        </ext>
      </extLst>
    </bk>
    <bk>
      <extLst>
        <ext uri="{3e2802c4-a4d2-4d8b-9148-e3be6c30e623}">
          <xlrd:rvb i="857"/>
        </ext>
      </extLst>
    </bk>
    <bk>
      <extLst>
        <ext uri="{3e2802c4-a4d2-4d8b-9148-e3be6c30e623}">
          <xlrd:rvb i="858"/>
        </ext>
      </extLst>
    </bk>
    <bk>
      <extLst>
        <ext uri="{3e2802c4-a4d2-4d8b-9148-e3be6c30e623}">
          <xlrd:rvb i="859"/>
        </ext>
      </extLst>
    </bk>
    <bk>
      <extLst>
        <ext uri="{3e2802c4-a4d2-4d8b-9148-e3be6c30e623}">
          <xlrd:rvb i="860"/>
        </ext>
      </extLst>
    </bk>
    <bk>
      <extLst>
        <ext uri="{3e2802c4-a4d2-4d8b-9148-e3be6c30e623}">
          <xlrd:rvb i="861"/>
        </ext>
      </extLst>
    </bk>
    <bk>
      <extLst>
        <ext uri="{3e2802c4-a4d2-4d8b-9148-e3be6c30e623}">
          <xlrd:rvb i="862"/>
        </ext>
      </extLst>
    </bk>
    <bk>
      <extLst>
        <ext uri="{3e2802c4-a4d2-4d8b-9148-e3be6c30e623}">
          <xlrd:rvb i="863"/>
        </ext>
      </extLst>
    </bk>
    <bk>
      <extLst>
        <ext uri="{3e2802c4-a4d2-4d8b-9148-e3be6c30e623}">
          <xlrd:rvb i="864"/>
        </ext>
      </extLst>
    </bk>
    <bk>
      <extLst>
        <ext uri="{3e2802c4-a4d2-4d8b-9148-e3be6c30e623}">
          <xlrd:rvb i="865"/>
        </ext>
      </extLst>
    </bk>
    <bk>
      <extLst>
        <ext uri="{3e2802c4-a4d2-4d8b-9148-e3be6c30e623}">
          <xlrd:rvb i="866"/>
        </ext>
      </extLst>
    </bk>
    <bk>
      <extLst>
        <ext uri="{3e2802c4-a4d2-4d8b-9148-e3be6c30e623}">
          <xlrd:rvb i="867"/>
        </ext>
      </extLst>
    </bk>
    <bk>
      <extLst>
        <ext uri="{3e2802c4-a4d2-4d8b-9148-e3be6c30e623}">
          <xlrd:rvb i="868"/>
        </ext>
      </extLst>
    </bk>
    <bk>
      <extLst>
        <ext uri="{3e2802c4-a4d2-4d8b-9148-e3be6c30e623}">
          <xlrd:rvb i="869"/>
        </ext>
      </extLst>
    </bk>
    <bk>
      <extLst>
        <ext uri="{3e2802c4-a4d2-4d8b-9148-e3be6c30e623}">
          <xlrd:rvb i="870"/>
        </ext>
      </extLst>
    </bk>
    <bk>
      <extLst>
        <ext uri="{3e2802c4-a4d2-4d8b-9148-e3be6c30e623}">
          <xlrd:rvb i="871"/>
        </ext>
      </extLst>
    </bk>
    <bk>
      <extLst>
        <ext uri="{3e2802c4-a4d2-4d8b-9148-e3be6c30e623}">
          <xlrd:rvb i="872"/>
        </ext>
      </extLst>
    </bk>
    <bk>
      <extLst>
        <ext uri="{3e2802c4-a4d2-4d8b-9148-e3be6c30e623}">
          <xlrd:rvb i="873"/>
        </ext>
      </extLst>
    </bk>
    <bk>
      <extLst>
        <ext uri="{3e2802c4-a4d2-4d8b-9148-e3be6c30e623}">
          <xlrd:rvb i="874"/>
        </ext>
      </extLst>
    </bk>
    <bk>
      <extLst>
        <ext uri="{3e2802c4-a4d2-4d8b-9148-e3be6c30e623}">
          <xlrd:rvb i="875"/>
        </ext>
      </extLst>
    </bk>
    <bk>
      <extLst>
        <ext uri="{3e2802c4-a4d2-4d8b-9148-e3be6c30e623}">
          <xlrd:rvb i="876"/>
        </ext>
      </extLst>
    </bk>
    <bk>
      <extLst>
        <ext uri="{3e2802c4-a4d2-4d8b-9148-e3be6c30e623}">
          <xlrd:rvb i="877"/>
        </ext>
      </extLst>
    </bk>
    <bk>
      <extLst>
        <ext uri="{3e2802c4-a4d2-4d8b-9148-e3be6c30e623}">
          <xlrd:rvb i="878"/>
        </ext>
      </extLst>
    </bk>
    <bk>
      <extLst>
        <ext uri="{3e2802c4-a4d2-4d8b-9148-e3be6c30e623}">
          <xlrd:rvb i="879"/>
        </ext>
      </extLst>
    </bk>
    <bk>
      <extLst>
        <ext uri="{3e2802c4-a4d2-4d8b-9148-e3be6c30e623}">
          <xlrd:rvb i="880"/>
        </ext>
      </extLst>
    </bk>
    <bk>
      <extLst>
        <ext uri="{3e2802c4-a4d2-4d8b-9148-e3be6c30e623}">
          <xlrd:rvb i="881"/>
        </ext>
      </extLst>
    </bk>
    <bk>
      <extLst>
        <ext uri="{3e2802c4-a4d2-4d8b-9148-e3be6c30e623}">
          <xlrd:rvb i="882"/>
        </ext>
      </extLst>
    </bk>
    <bk>
      <extLst>
        <ext uri="{3e2802c4-a4d2-4d8b-9148-e3be6c30e623}">
          <xlrd:rvb i="883"/>
        </ext>
      </extLst>
    </bk>
    <bk>
      <extLst>
        <ext uri="{3e2802c4-a4d2-4d8b-9148-e3be6c30e623}">
          <xlrd:rvb i="884"/>
        </ext>
      </extLst>
    </bk>
    <bk>
      <extLst>
        <ext uri="{3e2802c4-a4d2-4d8b-9148-e3be6c30e623}">
          <xlrd:rvb i="885"/>
        </ext>
      </extLst>
    </bk>
    <bk>
      <extLst>
        <ext uri="{3e2802c4-a4d2-4d8b-9148-e3be6c30e623}">
          <xlrd:rvb i="886"/>
        </ext>
      </extLst>
    </bk>
    <bk>
      <extLst>
        <ext uri="{3e2802c4-a4d2-4d8b-9148-e3be6c30e623}">
          <xlrd:rvb i="887"/>
        </ext>
      </extLst>
    </bk>
    <bk>
      <extLst>
        <ext uri="{3e2802c4-a4d2-4d8b-9148-e3be6c30e623}">
          <xlrd:rvb i="888"/>
        </ext>
      </extLst>
    </bk>
    <bk>
      <extLst>
        <ext uri="{3e2802c4-a4d2-4d8b-9148-e3be6c30e623}">
          <xlrd:rvb i="889"/>
        </ext>
      </extLst>
    </bk>
    <bk>
      <extLst>
        <ext uri="{3e2802c4-a4d2-4d8b-9148-e3be6c30e623}">
          <xlrd:rvb i="890"/>
        </ext>
      </extLst>
    </bk>
    <bk>
      <extLst>
        <ext uri="{3e2802c4-a4d2-4d8b-9148-e3be6c30e623}">
          <xlrd:rvb i="891"/>
        </ext>
      </extLst>
    </bk>
    <bk>
      <extLst>
        <ext uri="{3e2802c4-a4d2-4d8b-9148-e3be6c30e623}">
          <xlrd:rvb i="892"/>
        </ext>
      </extLst>
    </bk>
    <bk>
      <extLst>
        <ext uri="{3e2802c4-a4d2-4d8b-9148-e3be6c30e623}">
          <xlrd:rvb i="893"/>
        </ext>
      </extLst>
    </bk>
    <bk>
      <extLst>
        <ext uri="{3e2802c4-a4d2-4d8b-9148-e3be6c30e623}">
          <xlrd:rvb i="894"/>
        </ext>
      </extLst>
    </bk>
    <bk>
      <extLst>
        <ext uri="{3e2802c4-a4d2-4d8b-9148-e3be6c30e623}">
          <xlrd:rvb i="895"/>
        </ext>
      </extLst>
    </bk>
    <bk>
      <extLst>
        <ext uri="{3e2802c4-a4d2-4d8b-9148-e3be6c30e623}">
          <xlrd:rvb i="896"/>
        </ext>
      </extLst>
    </bk>
    <bk>
      <extLst>
        <ext uri="{3e2802c4-a4d2-4d8b-9148-e3be6c30e623}">
          <xlrd:rvb i="897"/>
        </ext>
      </extLst>
    </bk>
    <bk>
      <extLst>
        <ext uri="{3e2802c4-a4d2-4d8b-9148-e3be6c30e623}">
          <xlrd:rvb i="898"/>
        </ext>
      </extLst>
    </bk>
    <bk>
      <extLst>
        <ext uri="{3e2802c4-a4d2-4d8b-9148-e3be6c30e623}">
          <xlrd:rvb i="899"/>
        </ext>
      </extLst>
    </bk>
    <bk>
      <extLst>
        <ext uri="{3e2802c4-a4d2-4d8b-9148-e3be6c30e623}">
          <xlrd:rvb i="900"/>
        </ext>
      </extLst>
    </bk>
    <bk>
      <extLst>
        <ext uri="{3e2802c4-a4d2-4d8b-9148-e3be6c30e623}">
          <xlrd:rvb i="901"/>
        </ext>
      </extLst>
    </bk>
    <bk>
      <extLst>
        <ext uri="{3e2802c4-a4d2-4d8b-9148-e3be6c30e623}">
          <xlrd:rvb i="902"/>
        </ext>
      </extLst>
    </bk>
    <bk>
      <extLst>
        <ext uri="{3e2802c4-a4d2-4d8b-9148-e3be6c30e623}">
          <xlrd:rvb i="903"/>
        </ext>
      </extLst>
    </bk>
    <bk>
      <extLst>
        <ext uri="{3e2802c4-a4d2-4d8b-9148-e3be6c30e623}">
          <xlrd:rvb i="904"/>
        </ext>
      </extLst>
    </bk>
    <bk>
      <extLst>
        <ext uri="{3e2802c4-a4d2-4d8b-9148-e3be6c30e623}">
          <xlrd:rvb i="905"/>
        </ext>
      </extLst>
    </bk>
    <bk>
      <extLst>
        <ext uri="{3e2802c4-a4d2-4d8b-9148-e3be6c30e623}">
          <xlrd:rvb i="906"/>
        </ext>
      </extLst>
    </bk>
    <bk>
      <extLst>
        <ext uri="{3e2802c4-a4d2-4d8b-9148-e3be6c30e623}">
          <xlrd:rvb i="907"/>
        </ext>
      </extLst>
    </bk>
    <bk>
      <extLst>
        <ext uri="{3e2802c4-a4d2-4d8b-9148-e3be6c30e623}">
          <xlrd:rvb i="908"/>
        </ext>
      </extLst>
    </bk>
    <bk>
      <extLst>
        <ext uri="{3e2802c4-a4d2-4d8b-9148-e3be6c30e623}">
          <xlrd:rvb i="909"/>
        </ext>
      </extLst>
    </bk>
    <bk>
      <extLst>
        <ext uri="{3e2802c4-a4d2-4d8b-9148-e3be6c30e623}">
          <xlrd:rvb i="910"/>
        </ext>
      </extLst>
    </bk>
    <bk>
      <extLst>
        <ext uri="{3e2802c4-a4d2-4d8b-9148-e3be6c30e623}">
          <xlrd:rvb i="911"/>
        </ext>
      </extLst>
    </bk>
    <bk>
      <extLst>
        <ext uri="{3e2802c4-a4d2-4d8b-9148-e3be6c30e623}">
          <xlrd:rvb i="912"/>
        </ext>
      </extLst>
    </bk>
    <bk>
      <extLst>
        <ext uri="{3e2802c4-a4d2-4d8b-9148-e3be6c30e623}">
          <xlrd:rvb i="913"/>
        </ext>
      </extLst>
    </bk>
    <bk>
      <extLst>
        <ext uri="{3e2802c4-a4d2-4d8b-9148-e3be6c30e623}">
          <xlrd:rvb i="914"/>
        </ext>
      </extLst>
    </bk>
    <bk>
      <extLst>
        <ext uri="{3e2802c4-a4d2-4d8b-9148-e3be6c30e623}">
          <xlrd:rvb i="915"/>
        </ext>
      </extLst>
    </bk>
    <bk>
      <extLst>
        <ext uri="{3e2802c4-a4d2-4d8b-9148-e3be6c30e623}">
          <xlrd:rvb i="916"/>
        </ext>
      </extLst>
    </bk>
    <bk>
      <extLst>
        <ext uri="{3e2802c4-a4d2-4d8b-9148-e3be6c30e623}">
          <xlrd:rvb i="917"/>
        </ext>
      </extLst>
    </bk>
    <bk>
      <extLst>
        <ext uri="{3e2802c4-a4d2-4d8b-9148-e3be6c30e623}">
          <xlrd:rvb i="918"/>
        </ext>
      </extLst>
    </bk>
    <bk>
      <extLst>
        <ext uri="{3e2802c4-a4d2-4d8b-9148-e3be6c30e623}">
          <xlrd:rvb i="919"/>
        </ext>
      </extLst>
    </bk>
    <bk>
      <extLst>
        <ext uri="{3e2802c4-a4d2-4d8b-9148-e3be6c30e623}">
          <xlrd:rvb i="920"/>
        </ext>
      </extLst>
    </bk>
    <bk>
      <extLst>
        <ext uri="{3e2802c4-a4d2-4d8b-9148-e3be6c30e623}">
          <xlrd:rvb i="921"/>
        </ext>
      </extLst>
    </bk>
    <bk>
      <extLst>
        <ext uri="{3e2802c4-a4d2-4d8b-9148-e3be6c30e623}">
          <xlrd:rvb i="922"/>
        </ext>
      </extLst>
    </bk>
    <bk>
      <extLst>
        <ext uri="{3e2802c4-a4d2-4d8b-9148-e3be6c30e623}">
          <xlrd:rvb i="923"/>
        </ext>
      </extLst>
    </bk>
    <bk>
      <extLst>
        <ext uri="{3e2802c4-a4d2-4d8b-9148-e3be6c30e623}">
          <xlrd:rvb i="924"/>
        </ext>
      </extLst>
    </bk>
    <bk>
      <extLst>
        <ext uri="{3e2802c4-a4d2-4d8b-9148-e3be6c30e623}">
          <xlrd:rvb i="925"/>
        </ext>
      </extLst>
    </bk>
    <bk>
      <extLst>
        <ext uri="{3e2802c4-a4d2-4d8b-9148-e3be6c30e623}">
          <xlrd:rvb i="926"/>
        </ext>
      </extLst>
    </bk>
    <bk>
      <extLst>
        <ext uri="{3e2802c4-a4d2-4d8b-9148-e3be6c30e623}">
          <xlrd:rvb i="927"/>
        </ext>
      </extLst>
    </bk>
    <bk>
      <extLst>
        <ext uri="{3e2802c4-a4d2-4d8b-9148-e3be6c30e623}">
          <xlrd:rvb i="928"/>
        </ext>
      </extLst>
    </bk>
    <bk>
      <extLst>
        <ext uri="{3e2802c4-a4d2-4d8b-9148-e3be6c30e623}">
          <xlrd:rvb i="929"/>
        </ext>
      </extLst>
    </bk>
    <bk>
      <extLst>
        <ext uri="{3e2802c4-a4d2-4d8b-9148-e3be6c30e623}">
          <xlrd:rvb i="930"/>
        </ext>
      </extLst>
    </bk>
    <bk>
      <extLst>
        <ext uri="{3e2802c4-a4d2-4d8b-9148-e3be6c30e623}">
          <xlrd:rvb i="931"/>
        </ext>
      </extLst>
    </bk>
    <bk>
      <extLst>
        <ext uri="{3e2802c4-a4d2-4d8b-9148-e3be6c30e623}">
          <xlrd:rvb i="932"/>
        </ext>
      </extLst>
    </bk>
    <bk>
      <extLst>
        <ext uri="{3e2802c4-a4d2-4d8b-9148-e3be6c30e623}">
          <xlrd:rvb i="933"/>
        </ext>
      </extLst>
    </bk>
    <bk>
      <extLst>
        <ext uri="{3e2802c4-a4d2-4d8b-9148-e3be6c30e623}">
          <xlrd:rvb i="934"/>
        </ext>
      </extLst>
    </bk>
    <bk>
      <extLst>
        <ext uri="{3e2802c4-a4d2-4d8b-9148-e3be6c30e623}">
          <xlrd:rvb i="935"/>
        </ext>
      </extLst>
    </bk>
    <bk>
      <extLst>
        <ext uri="{3e2802c4-a4d2-4d8b-9148-e3be6c30e623}">
          <xlrd:rvb i="936"/>
        </ext>
      </extLst>
    </bk>
    <bk>
      <extLst>
        <ext uri="{3e2802c4-a4d2-4d8b-9148-e3be6c30e623}">
          <xlrd:rvb i="937"/>
        </ext>
      </extLst>
    </bk>
    <bk>
      <extLst>
        <ext uri="{3e2802c4-a4d2-4d8b-9148-e3be6c30e623}">
          <xlrd:rvb i="938"/>
        </ext>
      </extLst>
    </bk>
    <bk>
      <extLst>
        <ext uri="{3e2802c4-a4d2-4d8b-9148-e3be6c30e623}">
          <xlrd:rvb i="939"/>
        </ext>
      </extLst>
    </bk>
    <bk>
      <extLst>
        <ext uri="{3e2802c4-a4d2-4d8b-9148-e3be6c30e623}">
          <xlrd:rvb i="940"/>
        </ext>
      </extLst>
    </bk>
    <bk>
      <extLst>
        <ext uri="{3e2802c4-a4d2-4d8b-9148-e3be6c30e623}">
          <xlrd:rvb i="941"/>
        </ext>
      </extLst>
    </bk>
    <bk>
      <extLst>
        <ext uri="{3e2802c4-a4d2-4d8b-9148-e3be6c30e623}">
          <xlrd:rvb i="942"/>
        </ext>
      </extLst>
    </bk>
    <bk>
      <extLst>
        <ext uri="{3e2802c4-a4d2-4d8b-9148-e3be6c30e623}">
          <xlrd:rvb i="943"/>
        </ext>
      </extLst>
    </bk>
    <bk>
      <extLst>
        <ext uri="{3e2802c4-a4d2-4d8b-9148-e3be6c30e623}">
          <xlrd:rvb i="944"/>
        </ext>
      </extLst>
    </bk>
    <bk>
      <extLst>
        <ext uri="{3e2802c4-a4d2-4d8b-9148-e3be6c30e623}">
          <xlrd:rvb i="945"/>
        </ext>
      </extLst>
    </bk>
    <bk>
      <extLst>
        <ext uri="{3e2802c4-a4d2-4d8b-9148-e3be6c30e623}">
          <xlrd:rvb i="946"/>
        </ext>
      </extLst>
    </bk>
    <bk>
      <extLst>
        <ext uri="{3e2802c4-a4d2-4d8b-9148-e3be6c30e623}">
          <xlrd:rvb i="947"/>
        </ext>
      </extLst>
    </bk>
    <bk>
      <extLst>
        <ext uri="{3e2802c4-a4d2-4d8b-9148-e3be6c30e623}">
          <xlrd:rvb i="948"/>
        </ext>
      </extLst>
    </bk>
    <bk>
      <extLst>
        <ext uri="{3e2802c4-a4d2-4d8b-9148-e3be6c30e623}">
          <xlrd:rvb i="949"/>
        </ext>
      </extLst>
    </bk>
    <bk>
      <extLst>
        <ext uri="{3e2802c4-a4d2-4d8b-9148-e3be6c30e623}">
          <xlrd:rvb i="950"/>
        </ext>
      </extLst>
    </bk>
    <bk>
      <extLst>
        <ext uri="{3e2802c4-a4d2-4d8b-9148-e3be6c30e623}">
          <xlrd:rvb i="951"/>
        </ext>
      </extLst>
    </bk>
    <bk>
      <extLst>
        <ext uri="{3e2802c4-a4d2-4d8b-9148-e3be6c30e623}">
          <xlrd:rvb i="952"/>
        </ext>
      </extLst>
    </bk>
    <bk>
      <extLst>
        <ext uri="{3e2802c4-a4d2-4d8b-9148-e3be6c30e623}">
          <xlrd:rvb i="953"/>
        </ext>
      </extLst>
    </bk>
    <bk>
      <extLst>
        <ext uri="{3e2802c4-a4d2-4d8b-9148-e3be6c30e623}">
          <xlrd:rvb i="954"/>
        </ext>
      </extLst>
    </bk>
    <bk>
      <extLst>
        <ext uri="{3e2802c4-a4d2-4d8b-9148-e3be6c30e623}">
          <xlrd:rvb i="955"/>
        </ext>
      </extLst>
    </bk>
    <bk>
      <extLst>
        <ext uri="{3e2802c4-a4d2-4d8b-9148-e3be6c30e623}">
          <xlrd:rvb i="956"/>
        </ext>
      </extLst>
    </bk>
    <bk>
      <extLst>
        <ext uri="{3e2802c4-a4d2-4d8b-9148-e3be6c30e623}">
          <xlrd:rvb i="957"/>
        </ext>
      </extLst>
    </bk>
    <bk>
      <extLst>
        <ext uri="{3e2802c4-a4d2-4d8b-9148-e3be6c30e623}">
          <xlrd:rvb i="958"/>
        </ext>
      </extLst>
    </bk>
    <bk>
      <extLst>
        <ext uri="{3e2802c4-a4d2-4d8b-9148-e3be6c30e623}">
          <xlrd:rvb i="959"/>
        </ext>
      </extLst>
    </bk>
    <bk>
      <extLst>
        <ext uri="{3e2802c4-a4d2-4d8b-9148-e3be6c30e623}">
          <xlrd:rvb i="960"/>
        </ext>
      </extLst>
    </bk>
    <bk>
      <extLst>
        <ext uri="{3e2802c4-a4d2-4d8b-9148-e3be6c30e623}">
          <xlrd:rvb i="961"/>
        </ext>
      </extLst>
    </bk>
    <bk>
      <extLst>
        <ext uri="{3e2802c4-a4d2-4d8b-9148-e3be6c30e623}">
          <xlrd:rvb i="962"/>
        </ext>
      </extLst>
    </bk>
    <bk>
      <extLst>
        <ext uri="{3e2802c4-a4d2-4d8b-9148-e3be6c30e623}">
          <xlrd:rvb i="963"/>
        </ext>
      </extLst>
    </bk>
    <bk>
      <extLst>
        <ext uri="{3e2802c4-a4d2-4d8b-9148-e3be6c30e623}">
          <xlrd:rvb i="964"/>
        </ext>
      </extLst>
    </bk>
    <bk>
      <extLst>
        <ext uri="{3e2802c4-a4d2-4d8b-9148-e3be6c30e623}">
          <xlrd:rvb i="965"/>
        </ext>
      </extLst>
    </bk>
    <bk>
      <extLst>
        <ext uri="{3e2802c4-a4d2-4d8b-9148-e3be6c30e623}">
          <xlrd:rvb i="966"/>
        </ext>
      </extLst>
    </bk>
    <bk>
      <extLst>
        <ext uri="{3e2802c4-a4d2-4d8b-9148-e3be6c30e623}">
          <xlrd:rvb i="967"/>
        </ext>
      </extLst>
    </bk>
    <bk>
      <extLst>
        <ext uri="{3e2802c4-a4d2-4d8b-9148-e3be6c30e623}">
          <xlrd:rvb i="968"/>
        </ext>
      </extLst>
    </bk>
    <bk>
      <extLst>
        <ext uri="{3e2802c4-a4d2-4d8b-9148-e3be6c30e623}">
          <xlrd:rvb i="969"/>
        </ext>
      </extLst>
    </bk>
    <bk>
      <extLst>
        <ext uri="{3e2802c4-a4d2-4d8b-9148-e3be6c30e623}">
          <xlrd:rvb i="970"/>
        </ext>
      </extLst>
    </bk>
    <bk>
      <extLst>
        <ext uri="{3e2802c4-a4d2-4d8b-9148-e3be6c30e623}">
          <xlrd:rvb i="971"/>
        </ext>
      </extLst>
    </bk>
    <bk>
      <extLst>
        <ext uri="{3e2802c4-a4d2-4d8b-9148-e3be6c30e623}">
          <xlrd:rvb i="972"/>
        </ext>
      </extLst>
    </bk>
    <bk>
      <extLst>
        <ext uri="{3e2802c4-a4d2-4d8b-9148-e3be6c30e623}">
          <xlrd:rvb i="973"/>
        </ext>
      </extLst>
    </bk>
    <bk>
      <extLst>
        <ext uri="{3e2802c4-a4d2-4d8b-9148-e3be6c30e623}">
          <xlrd:rvb i="974"/>
        </ext>
      </extLst>
    </bk>
    <bk>
      <extLst>
        <ext uri="{3e2802c4-a4d2-4d8b-9148-e3be6c30e623}">
          <xlrd:rvb i="975"/>
        </ext>
      </extLst>
    </bk>
    <bk>
      <extLst>
        <ext uri="{3e2802c4-a4d2-4d8b-9148-e3be6c30e623}">
          <xlrd:rvb i="976"/>
        </ext>
      </extLst>
    </bk>
    <bk>
      <extLst>
        <ext uri="{3e2802c4-a4d2-4d8b-9148-e3be6c30e623}">
          <xlrd:rvb i="977"/>
        </ext>
      </extLst>
    </bk>
    <bk>
      <extLst>
        <ext uri="{3e2802c4-a4d2-4d8b-9148-e3be6c30e623}">
          <xlrd:rvb i="978"/>
        </ext>
      </extLst>
    </bk>
    <bk>
      <extLst>
        <ext uri="{3e2802c4-a4d2-4d8b-9148-e3be6c30e623}">
          <xlrd:rvb i="979"/>
        </ext>
      </extLst>
    </bk>
    <bk>
      <extLst>
        <ext uri="{3e2802c4-a4d2-4d8b-9148-e3be6c30e623}">
          <xlrd:rvb i="980"/>
        </ext>
      </extLst>
    </bk>
    <bk>
      <extLst>
        <ext uri="{3e2802c4-a4d2-4d8b-9148-e3be6c30e623}">
          <xlrd:rvb i="981"/>
        </ext>
      </extLst>
    </bk>
    <bk>
      <extLst>
        <ext uri="{3e2802c4-a4d2-4d8b-9148-e3be6c30e623}">
          <xlrd:rvb i="982"/>
        </ext>
      </extLst>
    </bk>
    <bk>
      <extLst>
        <ext uri="{3e2802c4-a4d2-4d8b-9148-e3be6c30e623}">
          <xlrd:rvb i="983"/>
        </ext>
      </extLst>
    </bk>
    <bk>
      <extLst>
        <ext uri="{3e2802c4-a4d2-4d8b-9148-e3be6c30e623}">
          <xlrd:rvb i="984"/>
        </ext>
      </extLst>
    </bk>
    <bk>
      <extLst>
        <ext uri="{3e2802c4-a4d2-4d8b-9148-e3be6c30e623}">
          <xlrd:rvb i="985"/>
        </ext>
      </extLst>
    </bk>
    <bk>
      <extLst>
        <ext uri="{3e2802c4-a4d2-4d8b-9148-e3be6c30e623}">
          <xlrd:rvb i="986"/>
        </ext>
      </extLst>
    </bk>
    <bk>
      <extLst>
        <ext uri="{3e2802c4-a4d2-4d8b-9148-e3be6c30e623}">
          <xlrd:rvb i="987"/>
        </ext>
      </extLst>
    </bk>
    <bk>
      <extLst>
        <ext uri="{3e2802c4-a4d2-4d8b-9148-e3be6c30e623}">
          <xlrd:rvb i="988"/>
        </ext>
      </extLst>
    </bk>
    <bk>
      <extLst>
        <ext uri="{3e2802c4-a4d2-4d8b-9148-e3be6c30e623}">
          <xlrd:rvb i="989"/>
        </ext>
      </extLst>
    </bk>
    <bk>
      <extLst>
        <ext uri="{3e2802c4-a4d2-4d8b-9148-e3be6c30e623}">
          <xlrd:rvb i="990"/>
        </ext>
      </extLst>
    </bk>
    <bk>
      <extLst>
        <ext uri="{3e2802c4-a4d2-4d8b-9148-e3be6c30e623}">
          <xlrd:rvb i="991"/>
        </ext>
      </extLst>
    </bk>
    <bk>
      <extLst>
        <ext uri="{3e2802c4-a4d2-4d8b-9148-e3be6c30e623}">
          <xlrd:rvb i="992"/>
        </ext>
      </extLst>
    </bk>
    <bk>
      <extLst>
        <ext uri="{3e2802c4-a4d2-4d8b-9148-e3be6c30e623}">
          <xlrd:rvb i="993"/>
        </ext>
      </extLst>
    </bk>
    <bk>
      <extLst>
        <ext uri="{3e2802c4-a4d2-4d8b-9148-e3be6c30e623}">
          <xlrd:rvb i="994"/>
        </ext>
      </extLst>
    </bk>
    <bk>
      <extLst>
        <ext uri="{3e2802c4-a4d2-4d8b-9148-e3be6c30e623}">
          <xlrd:rvb i="995"/>
        </ext>
      </extLst>
    </bk>
    <bk>
      <extLst>
        <ext uri="{3e2802c4-a4d2-4d8b-9148-e3be6c30e623}">
          <xlrd:rvb i="996"/>
        </ext>
      </extLst>
    </bk>
    <bk>
      <extLst>
        <ext uri="{3e2802c4-a4d2-4d8b-9148-e3be6c30e623}">
          <xlrd:rvb i="997"/>
        </ext>
      </extLst>
    </bk>
    <bk>
      <extLst>
        <ext uri="{3e2802c4-a4d2-4d8b-9148-e3be6c30e623}">
          <xlrd:rvb i="998"/>
        </ext>
      </extLst>
    </bk>
    <bk>
      <extLst>
        <ext uri="{3e2802c4-a4d2-4d8b-9148-e3be6c30e623}">
          <xlrd:rvb i="999"/>
        </ext>
      </extLst>
    </bk>
    <bk>
      <extLst>
        <ext uri="{3e2802c4-a4d2-4d8b-9148-e3be6c30e623}">
          <xlrd:rvb i="1000"/>
        </ext>
      </extLst>
    </bk>
    <bk>
      <extLst>
        <ext uri="{3e2802c4-a4d2-4d8b-9148-e3be6c30e623}">
          <xlrd:rvb i="1001"/>
        </ext>
      </extLst>
    </bk>
    <bk>
      <extLst>
        <ext uri="{3e2802c4-a4d2-4d8b-9148-e3be6c30e623}">
          <xlrd:rvb i="1002"/>
        </ext>
      </extLst>
    </bk>
    <bk>
      <extLst>
        <ext uri="{3e2802c4-a4d2-4d8b-9148-e3be6c30e623}">
          <xlrd:rvb i="1003"/>
        </ext>
      </extLst>
    </bk>
    <bk>
      <extLst>
        <ext uri="{3e2802c4-a4d2-4d8b-9148-e3be6c30e623}">
          <xlrd:rvb i="1004"/>
        </ext>
      </extLst>
    </bk>
    <bk>
      <extLst>
        <ext uri="{3e2802c4-a4d2-4d8b-9148-e3be6c30e623}">
          <xlrd:rvb i="1005"/>
        </ext>
      </extLst>
    </bk>
    <bk>
      <extLst>
        <ext uri="{3e2802c4-a4d2-4d8b-9148-e3be6c30e623}">
          <xlrd:rvb i="1006"/>
        </ext>
      </extLst>
    </bk>
    <bk>
      <extLst>
        <ext uri="{3e2802c4-a4d2-4d8b-9148-e3be6c30e623}">
          <xlrd:rvb i="1007"/>
        </ext>
      </extLst>
    </bk>
    <bk>
      <extLst>
        <ext uri="{3e2802c4-a4d2-4d8b-9148-e3be6c30e623}">
          <xlrd:rvb i="1008"/>
        </ext>
      </extLst>
    </bk>
    <bk>
      <extLst>
        <ext uri="{3e2802c4-a4d2-4d8b-9148-e3be6c30e623}">
          <xlrd:rvb i="1009"/>
        </ext>
      </extLst>
    </bk>
    <bk>
      <extLst>
        <ext uri="{3e2802c4-a4d2-4d8b-9148-e3be6c30e623}">
          <xlrd:rvb i="1010"/>
        </ext>
      </extLst>
    </bk>
    <bk>
      <extLst>
        <ext uri="{3e2802c4-a4d2-4d8b-9148-e3be6c30e623}">
          <xlrd:rvb i="1011"/>
        </ext>
      </extLst>
    </bk>
    <bk>
      <extLst>
        <ext uri="{3e2802c4-a4d2-4d8b-9148-e3be6c30e623}">
          <xlrd:rvb i="1012"/>
        </ext>
      </extLst>
    </bk>
    <bk>
      <extLst>
        <ext uri="{3e2802c4-a4d2-4d8b-9148-e3be6c30e623}">
          <xlrd:rvb i="1013"/>
        </ext>
      </extLst>
    </bk>
    <bk>
      <extLst>
        <ext uri="{3e2802c4-a4d2-4d8b-9148-e3be6c30e623}">
          <xlrd:rvb i="1014"/>
        </ext>
      </extLst>
    </bk>
    <bk>
      <extLst>
        <ext uri="{3e2802c4-a4d2-4d8b-9148-e3be6c30e623}">
          <xlrd:rvb i="1015"/>
        </ext>
      </extLst>
    </bk>
    <bk>
      <extLst>
        <ext uri="{3e2802c4-a4d2-4d8b-9148-e3be6c30e623}">
          <xlrd:rvb i="1016"/>
        </ext>
      </extLst>
    </bk>
    <bk>
      <extLst>
        <ext uri="{3e2802c4-a4d2-4d8b-9148-e3be6c30e623}">
          <xlrd:rvb i="1017"/>
        </ext>
      </extLst>
    </bk>
    <bk>
      <extLst>
        <ext uri="{3e2802c4-a4d2-4d8b-9148-e3be6c30e623}">
          <xlrd:rvb i="1018"/>
        </ext>
      </extLst>
    </bk>
    <bk>
      <extLst>
        <ext uri="{3e2802c4-a4d2-4d8b-9148-e3be6c30e623}">
          <xlrd:rvb i="1019"/>
        </ext>
      </extLst>
    </bk>
    <bk>
      <extLst>
        <ext uri="{3e2802c4-a4d2-4d8b-9148-e3be6c30e623}">
          <xlrd:rvb i="1020"/>
        </ext>
      </extLst>
    </bk>
    <bk>
      <extLst>
        <ext uri="{3e2802c4-a4d2-4d8b-9148-e3be6c30e623}">
          <xlrd:rvb i="1021"/>
        </ext>
      </extLst>
    </bk>
    <bk>
      <extLst>
        <ext uri="{3e2802c4-a4d2-4d8b-9148-e3be6c30e623}">
          <xlrd:rvb i="1022"/>
        </ext>
      </extLst>
    </bk>
    <bk>
      <extLst>
        <ext uri="{3e2802c4-a4d2-4d8b-9148-e3be6c30e623}">
          <xlrd:rvb i="1023"/>
        </ext>
      </extLst>
    </bk>
    <bk>
      <extLst>
        <ext uri="{3e2802c4-a4d2-4d8b-9148-e3be6c30e623}">
          <xlrd:rvb i="1024"/>
        </ext>
      </extLst>
    </bk>
    <bk>
      <extLst>
        <ext uri="{3e2802c4-a4d2-4d8b-9148-e3be6c30e623}">
          <xlrd:rvb i="1025"/>
        </ext>
      </extLst>
    </bk>
    <bk>
      <extLst>
        <ext uri="{3e2802c4-a4d2-4d8b-9148-e3be6c30e623}">
          <xlrd:rvb i="1026"/>
        </ext>
      </extLst>
    </bk>
    <bk>
      <extLst>
        <ext uri="{3e2802c4-a4d2-4d8b-9148-e3be6c30e623}">
          <xlrd:rvb i="1027"/>
        </ext>
      </extLst>
    </bk>
    <bk>
      <extLst>
        <ext uri="{3e2802c4-a4d2-4d8b-9148-e3be6c30e623}">
          <xlrd:rvb i="1028"/>
        </ext>
      </extLst>
    </bk>
    <bk>
      <extLst>
        <ext uri="{3e2802c4-a4d2-4d8b-9148-e3be6c30e623}">
          <xlrd:rvb i="1029"/>
        </ext>
      </extLst>
    </bk>
    <bk>
      <extLst>
        <ext uri="{3e2802c4-a4d2-4d8b-9148-e3be6c30e623}">
          <xlrd:rvb i="1030"/>
        </ext>
      </extLst>
    </bk>
    <bk>
      <extLst>
        <ext uri="{3e2802c4-a4d2-4d8b-9148-e3be6c30e623}">
          <xlrd:rvb i="1031"/>
        </ext>
      </extLst>
    </bk>
    <bk>
      <extLst>
        <ext uri="{3e2802c4-a4d2-4d8b-9148-e3be6c30e623}">
          <xlrd:rvb i="1032"/>
        </ext>
      </extLst>
    </bk>
    <bk>
      <extLst>
        <ext uri="{3e2802c4-a4d2-4d8b-9148-e3be6c30e623}">
          <xlrd:rvb i="1033"/>
        </ext>
      </extLst>
    </bk>
    <bk>
      <extLst>
        <ext uri="{3e2802c4-a4d2-4d8b-9148-e3be6c30e623}">
          <xlrd:rvb i="1034"/>
        </ext>
      </extLst>
    </bk>
    <bk>
      <extLst>
        <ext uri="{3e2802c4-a4d2-4d8b-9148-e3be6c30e623}">
          <xlrd:rvb i="1035"/>
        </ext>
      </extLst>
    </bk>
    <bk>
      <extLst>
        <ext uri="{3e2802c4-a4d2-4d8b-9148-e3be6c30e623}">
          <xlrd:rvb i="1036"/>
        </ext>
      </extLst>
    </bk>
    <bk>
      <extLst>
        <ext uri="{3e2802c4-a4d2-4d8b-9148-e3be6c30e623}">
          <xlrd:rvb i="1037"/>
        </ext>
      </extLst>
    </bk>
    <bk>
      <extLst>
        <ext uri="{3e2802c4-a4d2-4d8b-9148-e3be6c30e623}">
          <xlrd:rvb i="1038"/>
        </ext>
      </extLst>
    </bk>
    <bk>
      <extLst>
        <ext uri="{3e2802c4-a4d2-4d8b-9148-e3be6c30e623}">
          <xlrd:rvb i="1039"/>
        </ext>
      </extLst>
    </bk>
    <bk>
      <extLst>
        <ext uri="{3e2802c4-a4d2-4d8b-9148-e3be6c30e623}">
          <xlrd:rvb i="1040"/>
        </ext>
      </extLst>
    </bk>
    <bk>
      <extLst>
        <ext uri="{3e2802c4-a4d2-4d8b-9148-e3be6c30e623}">
          <xlrd:rvb i="1041"/>
        </ext>
      </extLst>
    </bk>
    <bk>
      <extLst>
        <ext uri="{3e2802c4-a4d2-4d8b-9148-e3be6c30e623}">
          <xlrd:rvb i="1042"/>
        </ext>
      </extLst>
    </bk>
    <bk>
      <extLst>
        <ext uri="{3e2802c4-a4d2-4d8b-9148-e3be6c30e623}">
          <xlrd:rvb i="1043"/>
        </ext>
      </extLst>
    </bk>
    <bk>
      <extLst>
        <ext uri="{3e2802c4-a4d2-4d8b-9148-e3be6c30e623}">
          <xlrd:rvb i="1044"/>
        </ext>
      </extLst>
    </bk>
    <bk>
      <extLst>
        <ext uri="{3e2802c4-a4d2-4d8b-9148-e3be6c30e623}">
          <xlrd:rvb i="1045"/>
        </ext>
      </extLst>
    </bk>
    <bk>
      <extLst>
        <ext uri="{3e2802c4-a4d2-4d8b-9148-e3be6c30e623}">
          <xlrd:rvb i="1046"/>
        </ext>
      </extLst>
    </bk>
    <bk>
      <extLst>
        <ext uri="{3e2802c4-a4d2-4d8b-9148-e3be6c30e623}">
          <xlrd:rvb i="1047"/>
        </ext>
      </extLst>
    </bk>
    <bk>
      <extLst>
        <ext uri="{3e2802c4-a4d2-4d8b-9148-e3be6c30e623}">
          <xlrd:rvb i="1048"/>
        </ext>
      </extLst>
    </bk>
    <bk>
      <extLst>
        <ext uri="{3e2802c4-a4d2-4d8b-9148-e3be6c30e623}">
          <xlrd:rvb i="1049"/>
        </ext>
      </extLst>
    </bk>
    <bk>
      <extLst>
        <ext uri="{3e2802c4-a4d2-4d8b-9148-e3be6c30e623}">
          <xlrd:rvb i="1050"/>
        </ext>
      </extLst>
    </bk>
    <bk>
      <extLst>
        <ext uri="{3e2802c4-a4d2-4d8b-9148-e3be6c30e623}">
          <xlrd:rvb i="1051"/>
        </ext>
      </extLst>
    </bk>
    <bk>
      <extLst>
        <ext uri="{3e2802c4-a4d2-4d8b-9148-e3be6c30e623}">
          <xlrd:rvb i="1052"/>
        </ext>
      </extLst>
    </bk>
    <bk>
      <extLst>
        <ext uri="{3e2802c4-a4d2-4d8b-9148-e3be6c30e623}">
          <xlrd:rvb i="1053"/>
        </ext>
      </extLst>
    </bk>
    <bk>
      <extLst>
        <ext uri="{3e2802c4-a4d2-4d8b-9148-e3be6c30e623}">
          <xlrd:rvb i="1054"/>
        </ext>
      </extLst>
    </bk>
    <bk>
      <extLst>
        <ext uri="{3e2802c4-a4d2-4d8b-9148-e3be6c30e623}">
          <xlrd:rvb i="1055"/>
        </ext>
      </extLst>
    </bk>
    <bk>
      <extLst>
        <ext uri="{3e2802c4-a4d2-4d8b-9148-e3be6c30e623}">
          <xlrd:rvb i="1056"/>
        </ext>
      </extLst>
    </bk>
    <bk>
      <extLst>
        <ext uri="{3e2802c4-a4d2-4d8b-9148-e3be6c30e623}">
          <xlrd:rvb i="1057"/>
        </ext>
      </extLst>
    </bk>
    <bk>
      <extLst>
        <ext uri="{3e2802c4-a4d2-4d8b-9148-e3be6c30e623}">
          <xlrd:rvb i="1058"/>
        </ext>
      </extLst>
    </bk>
    <bk>
      <extLst>
        <ext uri="{3e2802c4-a4d2-4d8b-9148-e3be6c30e623}">
          <xlrd:rvb i="1059"/>
        </ext>
      </extLst>
    </bk>
    <bk>
      <extLst>
        <ext uri="{3e2802c4-a4d2-4d8b-9148-e3be6c30e623}">
          <xlrd:rvb i="1060"/>
        </ext>
      </extLst>
    </bk>
    <bk>
      <extLst>
        <ext uri="{3e2802c4-a4d2-4d8b-9148-e3be6c30e623}">
          <xlrd:rvb i="1061"/>
        </ext>
      </extLst>
    </bk>
    <bk>
      <extLst>
        <ext uri="{3e2802c4-a4d2-4d8b-9148-e3be6c30e623}">
          <xlrd:rvb i="1062"/>
        </ext>
      </extLst>
    </bk>
    <bk>
      <extLst>
        <ext uri="{3e2802c4-a4d2-4d8b-9148-e3be6c30e623}">
          <xlrd:rvb i="1063"/>
        </ext>
      </extLst>
    </bk>
    <bk>
      <extLst>
        <ext uri="{3e2802c4-a4d2-4d8b-9148-e3be6c30e623}">
          <xlrd:rvb i="1064"/>
        </ext>
      </extLst>
    </bk>
    <bk>
      <extLst>
        <ext uri="{3e2802c4-a4d2-4d8b-9148-e3be6c30e623}">
          <xlrd:rvb i="1065"/>
        </ext>
      </extLst>
    </bk>
    <bk>
      <extLst>
        <ext uri="{3e2802c4-a4d2-4d8b-9148-e3be6c30e623}">
          <xlrd:rvb i="1066"/>
        </ext>
      </extLst>
    </bk>
    <bk>
      <extLst>
        <ext uri="{3e2802c4-a4d2-4d8b-9148-e3be6c30e623}">
          <xlrd:rvb i="1067"/>
        </ext>
      </extLst>
    </bk>
    <bk>
      <extLst>
        <ext uri="{3e2802c4-a4d2-4d8b-9148-e3be6c30e623}">
          <xlrd:rvb i="1068"/>
        </ext>
      </extLst>
    </bk>
    <bk>
      <extLst>
        <ext uri="{3e2802c4-a4d2-4d8b-9148-e3be6c30e623}">
          <xlrd:rvb i="1069"/>
        </ext>
      </extLst>
    </bk>
    <bk>
      <extLst>
        <ext uri="{3e2802c4-a4d2-4d8b-9148-e3be6c30e623}">
          <xlrd:rvb i="1070"/>
        </ext>
      </extLst>
    </bk>
    <bk>
      <extLst>
        <ext uri="{3e2802c4-a4d2-4d8b-9148-e3be6c30e623}">
          <xlrd:rvb i="1071"/>
        </ext>
      </extLst>
    </bk>
    <bk>
      <extLst>
        <ext uri="{3e2802c4-a4d2-4d8b-9148-e3be6c30e623}">
          <xlrd:rvb i="1072"/>
        </ext>
      </extLst>
    </bk>
    <bk>
      <extLst>
        <ext uri="{3e2802c4-a4d2-4d8b-9148-e3be6c30e623}">
          <xlrd:rvb i="1073"/>
        </ext>
      </extLst>
    </bk>
    <bk>
      <extLst>
        <ext uri="{3e2802c4-a4d2-4d8b-9148-e3be6c30e623}">
          <xlrd:rvb i="1074"/>
        </ext>
      </extLst>
    </bk>
    <bk>
      <extLst>
        <ext uri="{3e2802c4-a4d2-4d8b-9148-e3be6c30e623}">
          <xlrd:rvb i="1075"/>
        </ext>
      </extLst>
    </bk>
    <bk>
      <extLst>
        <ext uri="{3e2802c4-a4d2-4d8b-9148-e3be6c30e623}">
          <xlrd:rvb i="1076"/>
        </ext>
      </extLst>
    </bk>
    <bk>
      <extLst>
        <ext uri="{3e2802c4-a4d2-4d8b-9148-e3be6c30e623}">
          <xlrd:rvb i="1077"/>
        </ext>
      </extLst>
    </bk>
    <bk>
      <extLst>
        <ext uri="{3e2802c4-a4d2-4d8b-9148-e3be6c30e623}">
          <xlrd:rvb i="1078"/>
        </ext>
      </extLst>
    </bk>
    <bk>
      <extLst>
        <ext uri="{3e2802c4-a4d2-4d8b-9148-e3be6c30e623}">
          <xlrd:rvb i="1079"/>
        </ext>
      </extLst>
    </bk>
    <bk>
      <extLst>
        <ext uri="{3e2802c4-a4d2-4d8b-9148-e3be6c30e623}">
          <xlrd:rvb i="1080"/>
        </ext>
      </extLst>
    </bk>
    <bk>
      <extLst>
        <ext uri="{3e2802c4-a4d2-4d8b-9148-e3be6c30e623}">
          <xlrd:rvb i="1081"/>
        </ext>
      </extLst>
    </bk>
    <bk>
      <extLst>
        <ext uri="{3e2802c4-a4d2-4d8b-9148-e3be6c30e623}">
          <xlrd:rvb i="1082"/>
        </ext>
      </extLst>
    </bk>
    <bk>
      <extLst>
        <ext uri="{3e2802c4-a4d2-4d8b-9148-e3be6c30e623}">
          <xlrd:rvb i="1083"/>
        </ext>
      </extLst>
    </bk>
    <bk>
      <extLst>
        <ext uri="{3e2802c4-a4d2-4d8b-9148-e3be6c30e623}">
          <xlrd:rvb i="1084"/>
        </ext>
      </extLst>
    </bk>
    <bk>
      <extLst>
        <ext uri="{3e2802c4-a4d2-4d8b-9148-e3be6c30e623}">
          <xlrd:rvb i="1085"/>
        </ext>
      </extLst>
    </bk>
    <bk>
      <extLst>
        <ext uri="{3e2802c4-a4d2-4d8b-9148-e3be6c30e623}">
          <xlrd:rvb i="1086"/>
        </ext>
      </extLst>
    </bk>
    <bk>
      <extLst>
        <ext uri="{3e2802c4-a4d2-4d8b-9148-e3be6c30e623}">
          <xlrd:rvb i="1087"/>
        </ext>
      </extLst>
    </bk>
    <bk>
      <extLst>
        <ext uri="{3e2802c4-a4d2-4d8b-9148-e3be6c30e623}">
          <xlrd:rvb i="1088"/>
        </ext>
      </extLst>
    </bk>
    <bk>
      <extLst>
        <ext uri="{3e2802c4-a4d2-4d8b-9148-e3be6c30e623}">
          <xlrd:rvb i="1089"/>
        </ext>
      </extLst>
    </bk>
    <bk>
      <extLst>
        <ext uri="{3e2802c4-a4d2-4d8b-9148-e3be6c30e623}">
          <xlrd:rvb i="1090"/>
        </ext>
      </extLst>
    </bk>
    <bk>
      <extLst>
        <ext uri="{3e2802c4-a4d2-4d8b-9148-e3be6c30e623}">
          <xlrd:rvb i="1091"/>
        </ext>
      </extLst>
    </bk>
    <bk>
      <extLst>
        <ext uri="{3e2802c4-a4d2-4d8b-9148-e3be6c30e623}">
          <xlrd:rvb i="1092"/>
        </ext>
      </extLst>
    </bk>
    <bk>
      <extLst>
        <ext uri="{3e2802c4-a4d2-4d8b-9148-e3be6c30e623}">
          <xlrd:rvb i="1093"/>
        </ext>
      </extLst>
    </bk>
    <bk>
      <extLst>
        <ext uri="{3e2802c4-a4d2-4d8b-9148-e3be6c30e623}">
          <xlrd:rvb i="1094"/>
        </ext>
      </extLst>
    </bk>
    <bk>
      <extLst>
        <ext uri="{3e2802c4-a4d2-4d8b-9148-e3be6c30e623}">
          <xlrd:rvb i="1095"/>
        </ext>
      </extLst>
    </bk>
    <bk>
      <extLst>
        <ext uri="{3e2802c4-a4d2-4d8b-9148-e3be6c30e623}">
          <xlrd:rvb i="1096"/>
        </ext>
      </extLst>
    </bk>
    <bk>
      <extLst>
        <ext uri="{3e2802c4-a4d2-4d8b-9148-e3be6c30e623}">
          <xlrd:rvb i="1097"/>
        </ext>
      </extLst>
    </bk>
    <bk>
      <extLst>
        <ext uri="{3e2802c4-a4d2-4d8b-9148-e3be6c30e623}">
          <xlrd:rvb i="1098"/>
        </ext>
      </extLst>
    </bk>
    <bk>
      <extLst>
        <ext uri="{3e2802c4-a4d2-4d8b-9148-e3be6c30e623}">
          <xlrd:rvb i="1099"/>
        </ext>
      </extLst>
    </bk>
    <bk>
      <extLst>
        <ext uri="{3e2802c4-a4d2-4d8b-9148-e3be6c30e623}">
          <xlrd:rvb i="1100"/>
        </ext>
      </extLst>
    </bk>
    <bk>
      <extLst>
        <ext uri="{3e2802c4-a4d2-4d8b-9148-e3be6c30e623}">
          <xlrd:rvb i="1101"/>
        </ext>
      </extLst>
    </bk>
    <bk>
      <extLst>
        <ext uri="{3e2802c4-a4d2-4d8b-9148-e3be6c30e623}">
          <xlrd:rvb i="1102"/>
        </ext>
      </extLst>
    </bk>
    <bk>
      <extLst>
        <ext uri="{3e2802c4-a4d2-4d8b-9148-e3be6c30e623}">
          <xlrd:rvb i="1103"/>
        </ext>
      </extLst>
    </bk>
    <bk>
      <extLst>
        <ext uri="{3e2802c4-a4d2-4d8b-9148-e3be6c30e623}">
          <xlrd:rvb i="1104"/>
        </ext>
      </extLst>
    </bk>
    <bk>
      <extLst>
        <ext uri="{3e2802c4-a4d2-4d8b-9148-e3be6c30e623}">
          <xlrd:rvb i="1105"/>
        </ext>
      </extLst>
    </bk>
    <bk>
      <extLst>
        <ext uri="{3e2802c4-a4d2-4d8b-9148-e3be6c30e623}">
          <xlrd:rvb i="1106"/>
        </ext>
      </extLst>
    </bk>
    <bk>
      <extLst>
        <ext uri="{3e2802c4-a4d2-4d8b-9148-e3be6c30e623}">
          <xlrd:rvb i="1107"/>
        </ext>
      </extLst>
    </bk>
    <bk>
      <extLst>
        <ext uri="{3e2802c4-a4d2-4d8b-9148-e3be6c30e623}">
          <xlrd:rvb i="1108"/>
        </ext>
      </extLst>
    </bk>
    <bk>
      <extLst>
        <ext uri="{3e2802c4-a4d2-4d8b-9148-e3be6c30e623}">
          <xlrd:rvb i="1109"/>
        </ext>
      </extLst>
    </bk>
    <bk>
      <extLst>
        <ext uri="{3e2802c4-a4d2-4d8b-9148-e3be6c30e623}">
          <xlrd:rvb i="1110"/>
        </ext>
      </extLst>
    </bk>
    <bk>
      <extLst>
        <ext uri="{3e2802c4-a4d2-4d8b-9148-e3be6c30e623}">
          <xlrd:rvb i="1111"/>
        </ext>
      </extLst>
    </bk>
    <bk>
      <extLst>
        <ext uri="{3e2802c4-a4d2-4d8b-9148-e3be6c30e623}">
          <xlrd:rvb i="1112"/>
        </ext>
      </extLst>
    </bk>
    <bk>
      <extLst>
        <ext uri="{3e2802c4-a4d2-4d8b-9148-e3be6c30e623}">
          <xlrd:rvb i="1113"/>
        </ext>
      </extLst>
    </bk>
    <bk>
      <extLst>
        <ext uri="{3e2802c4-a4d2-4d8b-9148-e3be6c30e623}">
          <xlrd:rvb i="1114"/>
        </ext>
      </extLst>
    </bk>
    <bk>
      <extLst>
        <ext uri="{3e2802c4-a4d2-4d8b-9148-e3be6c30e623}">
          <xlrd:rvb i="1115"/>
        </ext>
      </extLst>
    </bk>
    <bk>
      <extLst>
        <ext uri="{3e2802c4-a4d2-4d8b-9148-e3be6c30e623}">
          <xlrd:rvb i="1116"/>
        </ext>
      </extLst>
    </bk>
    <bk>
      <extLst>
        <ext uri="{3e2802c4-a4d2-4d8b-9148-e3be6c30e623}">
          <xlrd:rvb i="1117"/>
        </ext>
      </extLst>
    </bk>
    <bk>
      <extLst>
        <ext uri="{3e2802c4-a4d2-4d8b-9148-e3be6c30e623}">
          <xlrd:rvb i="1118"/>
        </ext>
      </extLst>
    </bk>
    <bk>
      <extLst>
        <ext uri="{3e2802c4-a4d2-4d8b-9148-e3be6c30e623}">
          <xlrd:rvb i="1119"/>
        </ext>
      </extLst>
    </bk>
    <bk>
      <extLst>
        <ext uri="{3e2802c4-a4d2-4d8b-9148-e3be6c30e623}">
          <xlrd:rvb i="1120"/>
        </ext>
      </extLst>
    </bk>
    <bk>
      <extLst>
        <ext uri="{3e2802c4-a4d2-4d8b-9148-e3be6c30e623}">
          <xlrd:rvb i="1121"/>
        </ext>
      </extLst>
    </bk>
    <bk>
      <extLst>
        <ext uri="{3e2802c4-a4d2-4d8b-9148-e3be6c30e623}">
          <xlrd:rvb i="1122"/>
        </ext>
      </extLst>
    </bk>
    <bk>
      <extLst>
        <ext uri="{3e2802c4-a4d2-4d8b-9148-e3be6c30e623}">
          <xlrd:rvb i="1123"/>
        </ext>
      </extLst>
    </bk>
    <bk>
      <extLst>
        <ext uri="{3e2802c4-a4d2-4d8b-9148-e3be6c30e623}">
          <xlrd:rvb i="1124"/>
        </ext>
      </extLst>
    </bk>
    <bk>
      <extLst>
        <ext uri="{3e2802c4-a4d2-4d8b-9148-e3be6c30e623}">
          <xlrd:rvb i="1125"/>
        </ext>
      </extLst>
    </bk>
    <bk>
      <extLst>
        <ext uri="{3e2802c4-a4d2-4d8b-9148-e3be6c30e623}">
          <xlrd:rvb i="1126"/>
        </ext>
      </extLst>
    </bk>
    <bk>
      <extLst>
        <ext uri="{3e2802c4-a4d2-4d8b-9148-e3be6c30e623}">
          <xlrd:rvb i="1127"/>
        </ext>
      </extLst>
    </bk>
    <bk>
      <extLst>
        <ext uri="{3e2802c4-a4d2-4d8b-9148-e3be6c30e623}">
          <xlrd:rvb i="1128"/>
        </ext>
      </extLst>
    </bk>
    <bk>
      <extLst>
        <ext uri="{3e2802c4-a4d2-4d8b-9148-e3be6c30e623}">
          <xlrd:rvb i="1129"/>
        </ext>
      </extLst>
    </bk>
    <bk>
      <extLst>
        <ext uri="{3e2802c4-a4d2-4d8b-9148-e3be6c30e623}">
          <xlrd:rvb i="1130"/>
        </ext>
      </extLst>
    </bk>
    <bk>
      <extLst>
        <ext uri="{3e2802c4-a4d2-4d8b-9148-e3be6c30e623}">
          <xlrd:rvb i="1131"/>
        </ext>
      </extLst>
    </bk>
    <bk>
      <extLst>
        <ext uri="{3e2802c4-a4d2-4d8b-9148-e3be6c30e623}">
          <xlrd:rvb i="1132"/>
        </ext>
      </extLst>
    </bk>
    <bk>
      <extLst>
        <ext uri="{3e2802c4-a4d2-4d8b-9148-e3be6c30e623}">
          <xlrd:rvb i="1133"/>
        </ext>
      </extLst>
    </bk>
    <bk>
      <extLst>
        <ext uri="{3e2802c4-a4d2-4d8b-9148-e3be6c30e623}">
          <xlrd:rvb i="1134"/>
        </ext>
      </extLst>
    </bk>
    <bk>
      <extLst>
        <ext uri="{3e2802c4-a4d2-4d8b-9148-e3be6c30e623}">
          <xlrd:rvb i="1135"/>
        </ext>
      </extLst>
    </bk>
    <bk>
      <extLst>
        <ext uri="{3e2802c4-a4d2-4d8b-9148-e3be6c30e623}">
          <xlrd:rvb i="1136"/>
        </ext>
      </extLst>
    </bk>
    <bk>
      <extLst>
        <ext uri="{3e2802c4-a4d2-4d8b-9148-e3be6c30e623}">
          <xlrd:rvb i="1137"/>
        </ext>
      </extLst>
    </bk>
    <bk>
      <extLst>
        <ext uri="{3e2802c4-a4d2-4d8b-9148-e3be6c30e623}">
          <xlrd:rvb i="1138"/>
        </ext>
      </extLst>
    </bk>
    <bk>
      <extLst>
        <ext uri="{3e2802c4-a4d2-4d8b-9148-e3be6c30e623}">
          <xlrd:rvb i="1139"/>
        </ext>
      </extLst>
    </bk>
    <bk>
      <extLst>
        <ext uri="{3e2802c4-a4d2-4d8b-9148-e3be6c30e623}">
          <xlrd:rvb i="1140"/>
        </ext>
      </extLst>
    </bk>
    <bk>
      <extLst>
        <ext uri="{3e2802c4-a4d2-4d8b-9148-e3be6c30e623}">
          <xlrd:rvb i="1141"/>
        </ext>
      </extLst>
    </bk>
    <bk>
      <extLst>
        <ext uri="{3e2802c4-a4d2-4d8b-9148-e3be6c30e623}">
          <xlrd:rvb i="1142"/>
        </ext>
      </extLst>
    </bk>
    <bk>
      <extLst>
        <ext uri="{3e2802c4-a4d2-4d8b-9148-e3be6c30e623}">
          <xlrd:rvb i="1143"/>
        </ext>
      </extLst>
    </bk>
    <bk>
      <extLst>
        <ext uri="{3e2802c4-a4d2-4d8b-9148-e3be6c30e623}">
          <xlrd:rvb i="1144"/>
        </ext>
      </extLst>
    </bk>
    <bk>
      <extLst>
        <ext uri="{3e2802c4-a4d2-4d8b-9148-e3be6c30e623}">
          <xlrd:rvb i="1145"/>
        </ext>
      </extLst>
    </bk>
    <bk>
      <extLst>
        <ext uri="{3e2802c4-a4d2-4d8b-9148-e3be6c30e623}">
          <xlrd:rvb i="1146"/>
        </ext>
      </extLst>
    </bk>
    <bk>
      <extLst>
        <ext uri="{3e2802c4-a4d2-4d8b-9148-e3be6c30e623}">
          <xlrd:rvb i="1147"/>
        </ext>
      </extLst>
    </bk>
    <bk>
      <extLst>
        <ext uri="{3e2802c4-a4d2-4d8b-9148-e3be6c30e623}">
          <xlrd:rvb i="1148"/>
        </ext>
      </extLst>
    </bk>
    <bk>
      <extLst>
        <ext uri="{3e2802c4-a4d2-4d8b-9148-e3be6c30e623}">
          <xlrd:rvb i="1149"/>
        </ext>
      </extLst>
    </bk>
    <bk>
      <extLst>
        <ext uri="{3e2802c4-a4d2-4d8b-9148-e3be6c30e623}">
          <xlrd:rvb i="1150"/>
        </ext>
      </extLst>
    </bk>
    <bk>
      <extLst>
        <ext uri="{3e2802c4-a4d2-4d8b-9148-e3be6c30e623}">
          <xlrd:rvb i="1151"/>
        </ext>
      </extLst>
    </bk>
    <bk>
      <extLst>
        <ext uri="{3e2802c4-a4d2-4d8b-9148-e3be6c30e623}">
          <xlrd:rvb i="1152"/>
        </ext>
      </extLst>
    </bk>
    <bk>
      <extLst>
        <ext uri="{3e2802c4-a4d2-4d8b-9148-e3be6c30e623}">
          <xlrd:rvb i="1153"/>
        </ext>
      </extLst>
    </bk>
    <bk>
      <extLst>
        <ext uri="{3e2802c4-a4d2-4d8b-9148-e3be6c30e623}">
          <xlrd:rvb i="1154"/>
        </ext>
      </extLst>
    </bk>
    <bk>
      <extLst>
        <ext uri="{3e2802c4-a4d2-4d8b-9148-e3be6c30e623}">
          <xlrd:rvb i="1155"/>
        </ext>
      </extLst>
    </bk>
    <bk>
      <extLst>
        <ext uri="{3e2802c4-a4d2-4d8b-9148-e3be6c30e623}">
          <xlrd:rvb i="1156"/>
        </ext>
      </extLst>
    </bk>
    <bk>
      <extLst>
        <ext uri="{3e2802c4-a4d2-4d8b-9148-e3be6c30e623}">
          <xlrd:rvb i="1157"/>
        </ext>
      </extLst>
    </bk>
    <bk>
      <extLst>
        <ext uri="{3e2802c4-a4d2-4d8b-9148-e3be6c30e623}">
          <xlrd:rvb i="1158"/>
        </ext>
      </extLst>
    </bk>
    <bk>
      <extLst>
        <ext uri="{3e2802c4-a4d2-4d8b-9148-e3be6c30e623}">
          <xlrd:rvb i="1159"/>
        </ext>
      </extLst>
    </bk>
    <bk>
      <extLst>
        <ext uri="{3e2802c4-a4d2-4d8b-9148-e3be6c30e623}">
          <xlrd:rvb i="1160"/>
        </ext>
      </extLst>
    </bk>
    <bk>
      <extLst>
        <ext uri="{3e2802c4-a4d2-4d8b-9148-e3be6c30e623}">
          <xlrd:rvb i="1161"/>
        </ext>
      </extLst>
    </bk>
    <bk>
      <extLst>
        <ext uri="{3e2802c4-a4d2-4d8b-9148-e3be6c30e623}">
          <xlrd:rvb i="1162"/>
        </ext>
      </extLst>
    </bk>
    <bk>
      <extLst>
        <ext uri="{3e2802c4-a4d2-4d8b-9148-e3be6c30e623}">
          <xlrd:rvb i="1163"/>
        </ext>
      </extLst>
    </bk>
    <bk>
      <extLst>
        <ext uri="{3e2802c4-a4d2-4d8b-9148-e3be6c30e623}">
          <xlrd:rvb i="1164"/>
        </ext>
      </extLst>
    </bk>
    <bk>
      <extLst>
        <ext uri="{3e2802c4-a4d2-4d8b-9148-e3be6c30e623}">
          <xlrd:rvb i="1165"/>
        </ext>
      </extLst>
    </bk>
    <bk>
      <extLst>
        <ext uri="{3e2802c4-a4d2-4d8b-9148-e3be6c30e623}">
          <xlrd:rvb i="1166"/>
        </ext>
      </extLst>
    </bk>
    <bk>
      <extLst>
        <ext uri="{3e2802c4-a4d2-4d8b-9148-e3be6c30e623}">
          <xlrd:rvb i="1167"/>
        </ext>
      </extLst>
    </bk>
    <bk>
      <extLst>
        <ext uri="{3e2802c4-a4d2-4d8b-9148-e3be6c30e623}">
          <xlrd:rvb i="1168"/>
        </ext>
      </extLst>
    </bk>
    <bk>
      <extLst>
        <ext uri="{3e2802c4-a4d2-4d8b-9148-e3be6c30e623}">
          <xlrd:rvb i="1169"/>
        </ext>
      </extLst>
    </bk>
    <bk>
      <extLst>
        <ext uri="{3e2802c4-a4d2-4d8b-9148-e3be6c30e623}">
          <xlrd:rvb i="1170"/>
        </ext>
      </extLst>
    </bk>
    <bk>
      <extLst>
        <ext uri="{3e2802c4-a4d2-4d8b-9148-e3be6c30e623}">
          <xlrd:rvb i="1171"/>
        </ext>
      </extLst>
    </bk>
    <bk>
      <extLst>
        <ext uri="{3e2802c4-a4d2-4d8b-9148-e3be6c30e623}">
          <xlrd:rvb i="1172"/>
        </ext>
      </extLst>
    </bk>
    <bk>
      <extLst>
        <ext uri="{3e2802c4-a4d2-4d8b-9148-e3be6c30e623}">
          <xlrd:rvb i="1173"/>
        </ext>
      </extLst>
    </bk>
    <bk>
      <extLst>
        <ext uri="{3e2802c4-a4d2-4d8b-9148-e3be6c30e623}">
          <xlrd:rvb i="1174"/>
        </ext>
      </extLst>
    </bk>
    <bk>
      <extLst>
        <ext uri="{3e2802c4-a4d2-4d8b-9148-e3be6c30e623}">
          <xlrd:rvb i="1175"/>
        </ext>
      </extLst>
    </bk>
    <bk>
      <extLst>
        <ext uri="{3e2802c4-a4d2-4d8b-9148-e3be6c30e623}">
          <xlrd:rvb i="1176"/>
        </ext>
      </extLst>
    </bk>
    <bk>
      <extLst>
        <ext uri="{3e2802c4-a4d2-4d8b-9148-e3be6c30e623}">
          <xlrd:rvb i="1177"/>
        </ext>
      </extLst>
    </bk>
    <bk>
      <extLst>
        <ext uri="{3e2802c4-a4d2-4d8b-9148-e3be6c30e623}">
          <xlrd:rvb i="1178"/>
        </ext>
      </extLst>
    </bk>
    <bk>
      <extLst>
        <ext uri="{3e2802c4-a4d2-4d8b-9148-e3be6c30e623}">
          <xlrd:rvb i="1179"/>
        </ext>
      </extLst>
    </bk>
    <bk>
      <extLst>
        <ext uri="{3e2802c4-a4d2-4d8b-9148-e3be6c30e623}">
          <xlrd:rvb i="1180"/>
        </ext>
      </extLst>
    </bk>
    <bk>
      <extLst>
        <ext uri="{3e2802c4-a4d2-4d8b-9148-e3be6c30e623}">
          <xlrd:rvb i="1181"/>
        </ext>
      </extLst>
    </bk>
    <bk>
      <extLst>
        <ext uri="{3e2802c4-a4d2-4d8b-9148-e3be6c30e623}">
          <xlrd:rvb i="1182"/>
        </ext>
      </extLst>
    </bk>
    <bk>
      <extLst>
        <ext uri="{3e2802c4-a4d2-4d8b-9148-e3be6c30e623}">
          <xlrd:rvb i="1183"/>
        </ext>
      </extLst>
    </bk>
    <bk>
      <extLst>
        <ext uri="{3e2802c4-a4d2-4d8b-9148-e3be6c30e623}">
          <xlrd:rvb i="1184"/>
        </ext>
      </extLst>
    </bk>
    <bk>
      <extLst>
        <ext uri="{3e2802c4-a4d2-4d8b-9148-e3be6c30e623}">
          <xlrd:rvb i="1185"/>
        </ext>
      </extLst>
    </bk>
    <bk>
      <extLst>
        <ext uri="{3e2802c4-a4d2-4d8b-9148-e3be6c30e623}">
          <xlrd:rvb i="1186"/>
        </ext>
      </extLst>
    </bk>
    <bk>
      <extLst>
        <ext uri="{3e2802c4-a4d2-4d8b-9148-e3be6c30e623}">
          <xlrd:rvb i="1187"/>
        </ext>
      </extLst>
    </bk>
    <bk>
      <extLst>
        <ext uri="{3e2802c4-a4d2-4d8b-9148-e3be6c30e623}">
          <xlrd:rvb i="1188"/>
        </ext>
      </extLst>
    </bk>
    <bk>
      <extLst>
        <ext uri="{3e2802c4-a4d2-4d8b-9148-e3be6c30e623}">
          <xlrd:rvb i="1189"/>
        </ext>
      </extLst>
    </bk>
    <bk>
      <extLst>
        <ext uri="{3e2802c4-a4d2-4d8b-9148-e3be6c30e623}">
          <xlrd:rvb i="1190"/>
        </ext>
      </extLst>
    </bk>
    <bk>
      <extLst>
        <ext uri="{3e2802c4-a4d2-4d8b-9148-e3be6c30e623}">
          <xlrd:rvb i="1191"/>
        </ext>
      </extLst>
    </bk>
    <bk>
      <extLst>
        <ext uri="{3e2802c4-a4d2-4d8b-9148-e3be6c30e623}">
          <xlrd:rvb i="1192"/>
        </ext>
      </extLst>
    </bk>
    <bk>
      <extLst>
        <ext uri="{3e2802c4-a4d2-4d8b-9148-e3be6c30e623}">
          <xlrd:rvb i="1193"/>
        </ext>
      </extLst>
    </bk>
    <bk>
      <extLst>
        <ext uri="{3e2802c4-a4d2-4d8b-9148-e3be6c30e623}">
          <xlrd:rvb i="1194"/>
        </ext>
      </extLst>
    </bk>
    <bk>
      <extLst>
        <ext uri="{3e2802c4-a4d2-4d8b-9148-e3be6c30e623}">
          <xlrd:rvb i="1195"/>
        </ext>
      </extLst>
    </bk>
    <bk>
      <extLst>
        <ext uri="{3e2802c4-a4d2-4d8b-9148-e3be6c30e623}">
          <xlrd:rvb i="1196"/>
        </ext>
      </extLst>
    </bk>
    <bk>
      <extLst>
        <ext uri="{3e2802c4-a4d2-4d8b-9148-e3be6c30e623}">
          <xlrd:rvb i="1197"/>
        </ext>
      </extLst>
    </bk>
    <bk>
      <extLst>
        <ext uri="{3e2802c4-a4d2-4d8b-9148-e3be6c30e623}">
          <xlrd:rvb i="1198"/>
        </ext>
      </extLst>
    </bk>
    <bk>
      <extLst>
        <ext uri="{3e2802c4-a4d2-4d8b-9148-e3be6c30e623}">
          <xlrd:rvb i="1199"/>
        </ext>
      </extLst>
    </bk>
    <bk>
      <extLst>
        <ext uri="{3e2802c4-a4d2-4d8b-9148-e3be6c30e623}">
          <xlrd:rvb i="1200"/>
        </ext>
      </extLst>
    </bk>
    <bk>
      <extLst>
        <ext uri="{3e2802c4-a4d2-4d8b-9148-e3be6c30e623}">
          <xlrd:rvb i="1201"/>
        </ext>
      </extLst>
    </bk>
    <bk>
      <extLst>
        <ext uri="{3e2802c4-a4d2-4d8b-9148-e3be6c30e623}">
          <xlrd:rvb i="1202"/>
        </ext>
      </extLst>
    </bk>
    <bk>
      <extLst>
        <ext uri="{3e2802c4-a4d2-4d8b-9148-e3be6c30e623}">
          <xlrd:rvb i="1203"/>
        </ext>
      </extLst>
    </bk>
    <bk>
      <extLst>
        <ext uri="{3e2802c4-a4d2-4d8b-9148-e3be6c30e623}">
          <xlrd:rvb i="1204"/>
        </ext>
      </extLst>
    </bk>
    <bk>
      <extLst>
        <ext uri="{3e2802c4-a4d2-4d8b-9148-e3be6c30e623}">
          <xlrd:rvb i="1205"/>
        </ext>
      </extLst>
    </bk>
    <bk>
      <extLst>
        <ext uri="{3e2802c4-a4d2-4d8b-9148-e3be6c30e623}">
          <xlrd:rvb i="1206"/>
        </ext>
      </extLst>
    </bk>
    <bk>
      <extLst>
        <ext uri="{3e2802c4-a4d2-4d8b-9148-e3be6c30e623}">
          <xlrd:rvb i="1207"/>
        </ext>
      </extLst>
    </bk>
    <bk>
      <extLst>
        <ext uri="{3e2802c4-a4d2-4d8b-9148-e3be6c30e623}">
          <xlrd:rvb i="1208"/>
        </ext>
      </extLst>
    </bk>
    <bk>
      <extLst>
        <ext uri="{3e2802c4-a4d2-4d8b-9148-e3be6c30e623}">
          <xlrd:rvb i="1209"/>
        </ext>
      </extLst>
    </bk>
    <bk>
      <extLst>
        <ext uri="{3e2802c4-a4d2-4d8b-9148-e3be6c30e623}">
          <xlrd:rvb i="1210"/>
        </ext>
      </extLst>
    </bk>
    <bk>
      <extLst>
        <ext uri="{3e2802c4-a4d2-4d8b-9148-e3be6c30e623}">
          <xlrd:rvb i="1211"/>
        </ext>
      </extLst>
    </bk>
    <bk>
      <extLst>
        <ext uri="{3e2802c4-a4d2-4d8b-9148-e3be6c30e623}">
          <xlrd:rvb i="1212"/>
        </ext>
      </extLst>
    </bk>
    <bk>
      <extLst>
        <ext uri="{3e2802c4-a4d2-4d8b-9148-e3be6c30e623}">
          <xlrd:rvb i="1213"/>
        </ext>
      </extLst>
    </bk>
    <bk>
      <extLst>
        <ext uri="{3e2802c4-a4d2-4d8b-9148-e3be6c30e623}">
          <xlrd:rvb i="1214"/>
        </ext>
      </extLst>
    </bk>
    <bk>
      <extLst>
        <ext uri="{3e2802c4-a4d2-4d8b-9148-e3be6c30e623}">
          <xlrd:rvb i="1215"/>
        </ext>
      </extLst>
    </bk>
    <bk>
      <extLst>
        <ext uri="{3e2802c4-a4d2-4d8b-9148-e3be6c30e623}">
          <xlrd:rvb i="1216"/>
        </ext>
      </extLst>
    </bk>
    <bk>
      <extLst>
        <ext uri="{3e2802c4-a4d2-4d8b-9148-e3be6c30e623}">
          <xlrd:rvb i="1217"/>
        </ext>
      </extLst>
    </bk>
    <bk>
      <extLst>
        <ext uri="{3e2802c4-a4d2-4d8b-9148-e3be6c30e623}">
          <xlrd:rvb i="1218"/>
        </ext>
      </extLst>
    </bk>
    <bk>
      <extLst>
        <ext uri="{3e2802c4-a4d2-4d8b-9148-e3be6c30e623}">
          <xlrd:rvb i="1219"/>
        </ext>
      </extLst>
    </bk>
    <bk>
      <extLst>
        <ext uri="{3e2802c4-a4d2-4d8b-9148-e3be6c30e623}">
          <xlrd:rvb i="1220"/>
        </ext>
      </extLst>
    </bk>
    <bk>
      <extLst>
        <ext uri="{3e2802c4-a4d2-4d8b-9148-e3be6c30e623}">
          <xlrd:rvb i="1221"/>
        </ext>
      </extLst>
    </bk>
    <bk>
      <extLst>
        <ext uri="{3e2802c4-a4d2-4d8b-9148-e3be6c30e623}">
          <xlrd:rvb i="1222"/>
        </ext>
      </extLst>
    </bk>
    <bk>
      <extLst>
        <ext uri="{3e2802c4-a4d2-4d8b-9148-e3be6c30e623}">
          <xlrd:rvb i="1223"/>
        </ext>
      </extLst>
    </bk>
    <bk>
      <extLst>
        <ext uri="{3e2802c4-a4d2-4d8b-9148-e3be6c30e623}">
          <xlrd:rvb i="1224"/>
        </ext>
      </extLst>
    </bk>
    <bk>
      <extLst>
        <ext uri="{3e2802c4-a4d2-4d8b-9148-e3be6c30e623}">
          <xlrd:rvb i="1225"/>
        </ext>
      </extLst>
    </bk>
    <bk>
      <extLst>
        <ext uri="{3e2802c4-a4d2-4d8b-9148-e3be6c30e623}">
          <xlrd:rvb i="1226"/>
        </ext>
      </extLst>
    </bk>
    <bk>
      <extLst>
        <ext uri="{3e2802c4-a4d2-4d8b-9148-e3be6c30e623}">
          <xlrd:rvb i="1227"/>
        </ext>
      </extLst>
    </bk>
    <bk>
      <extLst>
        <ext uri="{3e2802c4-a4d2-4d8b-9148-e3be6c30e623}">
          <xlrd:rvb i="1228"/>
        </ext>
      </extLst>
    </bk>
    <bk>
      <extLst>
        <ext uri="{3e2802c4-a4d2-4d8b-9148-e3be6c30e623}">
          <xlrd:rvb i="1229"/>
        </ext>
      </extLst>
    </bk>
    <bk>
      <extLst>
        <ext uri="{3e2802c4-a4d2-4d8b-9148-e3be6c30e623}">
          <xlrd:rvb i="1230"/>
        </ext>
      </extLst>
    </bk>
    <bk>
      <extLst>
        <ext uri="{3e2802c4-a4d2-4d8b-9148-e3be6c30e623}">
          <xlrd:rvb i="1231"/>
        </ext>
      </extLst>
    </bk>
    <bk>
      <extLst>
        <ext uri="{3e2802c4-a4d2-4d8b-9148-e3be6c30e623}">
          <xlrd:rvb i="1232"/>
        </ext>
      </extLst>
    </bk>
    <bk>
      <extLst>
        <ext uri="{3e2802c4-a4d2-4d8b-9148-e3be6c30e623}">
          <xlrd:rvb i="1233"/>
        </ext>
      </extLst>
    </bk>
    <bk>
      <extLst>
        <ext uri="{3e2802c4-a4d2-4d8b-9148-e3be6c30e623}">
          <xlrd:rvb i="1234"/>
        </ext>
      </extLst>
    </bk>
    <bk>
      <extLst>
        <ext uri="{3e2802c4-a4d2-4d8b-9148-e3be6c30e623}">
          <xlrd:rvb i="1235"/>
        </ext>
      </extLst>
    </bk>
    <bk>
      <extLst>
        <ext uri="{3e2802c4-a4d2-4d8b-9148-e3be6c30e623}">
          <xlrd:rvb i="1236"/>
        </ext>
      </extLst>
    </bk>
    <bk>
      <extLst>
        <ext uri="{3e2802c4-a4d2-4d8b-9148-e3be6c30e623}">
          <xlrd:rvb i="1237"/>
        </ext>
      </extLst>
    </bk>
    <bk>
      <extLst>
        <ext uri="{3e2802c4-a4d2-4d8b-9148-e3be6c30e623}">
          <xlrd:rvb i="1238"/>
        </ext>
      </extLst>
    </bk>
    <bk>
      <extLst>
        <ext uri="{3e2802c4-a4d2-4d8b-9148-e3be6c30e623}">
          <xlrd:rvb i="1239"/>
        </ext>
      </extLst>
    </bk>
    <bk>
      <extLst>
        <ext uri="{3e2802c4-a4d2-4d8b-9148-e3be6c30e623}">
          <xlrd:rvb i="1240"/>
        </ext>
      </extLst>
    </bk>
    <bk>
      <extLst>
        <ext uri="{3e2802c4-a4d2-4d8b-9148-e3be6c30e623}">
          <xlrd:rvb i="1241"/>
        </ext>
      </extLst>
    </bk>
    <bk>
      <extLst>
        <ext uri="{3e2802c4-a4d2-4d8b-9148-e3be6c30e623}">
          <xlrd:rvb i="1242"/>
        </ext>
      </extLst>
    </bk>
    <bk>
      <extLst>
        <ext uri="{3e2802c4-a4d2-4d8b-9148-e3be6c30e623}">
          <xlrd:rvb i="1243"/>
        </ext>
      </extLst>
    </bk>
    <bk>
      <extLst>
        <ext uri="{3e2802c4-a4d2-4d8b-9148-e3be6c30e623}">
          <xlrd:rvb i="1244"/>
        </ext>
      </extLst>
    </bk>
    <bk>
      <extLst>
        <ext uri="{3e2802c4-a4d2-4d8b-9148-e3be6c30e623}">
          <xlrd:rvb i="1245"/>
        </ext>
      </extLst>
    </bk>
    <bk>
      <extLst>
        <ext uri="{3e2802c4-a4d2-4d8b-9148-e3be6c30e623}">
          <xlrd:rvb i="1246"/>
        </ext>
      </extLst>
    </bk>
    <bk>
      <extLst>
        <ext uri="{3e2802c4-a4d2-4d8b-9148-e3be6c30e623}">
          <xlrd:rvb i="1247"/>
        </ext>
      </extLst>
    </bk>
    <bk>
      <extLst>
        <ext uri="{3e2802c4-a4d2-4d8b-9148-e3be6c30e623}">
          <xlrd:rvb i="1248"/>
        </ext>
      </extLst>
    </bk>
    <bk>
      <extLst>
        <ext uri="{3e2802c4-a4d2-4d8b-9148-e3be6c30e623}">
          <xlrd:rvb i="1249"/>
        </ext>
      </extLst>
    </bk>
    <bk>
      <extLst>
        <ext uri="{3e2802c4-a4d2-4d8b-9148-e3be6c30e623}">
          <xlrd:rvb i="1250"/>
        </ext>
      </extLst>
    </bk>
    <bk>
      <extLst>
        <ext uri="{3e2802c4-a4d2-4d8b-9148-e3be6c30e623}">
          <xlrd:rvb i="1251"/>
        </ext>
      </extLst>
    </bk>
    <bk>
      <extLst>
        <ext uri="{3e2802c4-a4d2-4d8b-9148-e3be6c30e623}">
          <xlrd:rvb i="1252"/>
        </ext>
      </extLst>
    </bk>
    <bk>
      <extLst>
        <ext uri="{3e2802c4-a4d2-4d8b-9148-e3be6c30e623}">
          <xlrd:rvb i="1253"/>
        </ext>
      </extLst>
    </bk>
    <bk>
      <extLst>
        <ext uri="{3e2802c4-a4d2-4d8b-9148-e3be6c30e623}">
          <xlrd:rvb i="1254"/>
        </ext>
      </extLst>
    </bk>
    <bk>
      <extLst>
        <ext uri="{3e2802c4-a4d2-4d8b-9148-e3be6c30e623}">
          <xlrd:rvb i="1255"/>
        </ext>
      </extLst>
    </bk>
    <bk>
      <extLst>
        <ext uri="{3e2802c4-a4d2-4d8b-9148-e3be6c30e623}">
          <xlrd:rvb i="1256"/>
        </ext>
      </extLst>
    </bk>
    <bk>
      <extLst>
        <ext uri="{3e2802c4-a4d2-4d8b-9148-e3be6c30e623}">
          <xlrd:rvb i="1257"/>
        </ext>
      </extLst>
    </bk>
    <bk>
      <extLst>
        <ext uri="{3e2802c4-a4d2-4d8b-9148-e3be6c30e623}">
          <xlrd:rvb i="1258"/>
        </ext>
      </extLst>
    </bk>
    <bk>
      <extLst>
        <ext uri="{3e2802c4-a4d2-4d8b-9148-e3be6c30e623}">
          <xlrd:rvb i="1259"/>
        </ext>
      </extLst>
    </bk>
    <bk>
      <extLst>
        <ext uri="{3e2802c4-a4d2-4d8b-9148-e3be6c30e623}">
          <xlrd:rvb i="1260"/>
        </ext>
      </extLst>
    </bk>
    <bk>
      <extLst>
        <ext uri="{3e2802c4-a4d2-4d8b-9148-e3be6c30e623}">
          <xlrd:rvb i="1261"/>
        </ext>
      </extLst>
    </bk>
    <bk>
      <extLst>
        <ext uri="{3e2802c4-a4d2-4d8b-9148-e3be6c30e623}">
          <xlrd:rvb i="1262"/>
        </ext>
      </extLst>
    </bk>
    <bk>
      <extLst>
        <ext uri="{3e2802c4-a4d2-4d8b-9148-e3be6c30e623}">
          <xlrd:rvb i="1263"/>
        </ext>
      </extLst>
    </bk>
    <bk>
      <extLst>
        <ext uri="{3e2802c4-a4d2-4d8b-9148-e3be6c30e623}">
          <xlrd:rvb i="1264"/>
        </ext>
      </extLst>
    </bk>
    <bk>
      <extLst>
        <ext uri="{3e2802c4-a4d2-4d8b-9148-e3be6c30e623}">
          <xlrd:rvb i="1265"/>
        </ext>
      </extLst>
    </bk>
    <bk>
      <extLst>
        <ext uri="{3e2802c4-a4d2-4d8b-9148-e3be6c30e623}">
          <xlrd:rvb i="1266"/>
        </ext>
      </extLst>
    </bk>
    <bk>
      <extLst>
        <ext uri="{3e2802c4-a4d2-4d8b-9148-e3be6c30e623}">
          <xlrd:rvb i="1267"/>
        </ext>
      </extLst>
    </bk>
    <bk>
      <extLst>
        <ext uri="{3e2802c4-a4d2-4d8b-9148-e3be6c30e623}">
          <xlrd:rvb i="1268"/>
        </ext>
      </extLst>
    </bk>
    <bk>
      <extLst>
        <ext uri="{3e2802c4-a4d2-4d8b-9148-e3be6c30e623}">
          <xlrd:rvb i="1269"/>
        </ext>
      </extLst>
    </bk>
    <bk>
      <extLst>
        <ext uri="{3e2802c4-a4d2-4d8b-9148-e3be6c30e623}">
          <xlrd:rvb i="1270"/>
        </ext>
      </extLst>
    </bk>
    <bk>
      <extLst>
        <ext uri="{3e2802c4-a4d2-4d8b-9148-e3be6c30e623}">
          <xlrd:rvb i="1271"/>
        </ext>
      </extLst>
    </bk>
    <bk>
      <extLst>
        <ext uri="{3e2802c4-a4d2-4d8b-9148-e3be6c30e623}">
          <xlrd:rvb i="1272"/>
        </ext>
      </extLst>
    </bk>
    <bk>
      <extLst>
        <ext uri="{3e2802c4-a4d2-4d8b-9148-e3be6c30e623}">
          <xlrd:rvb i="1273"/>
        </ext>
      </extLst>
    </bk>
    <bk>
      <extLst>
        <ext uri="{3e2802c4-a4d2-4d8b-9148-e3be6c30e623}">
          <xlrd:rvb i="1274"/>
        </ext>
      </extLst>
    </bk>
    <bk>
      <extLst>
        <ext uri="{3e2802c4-a4d2-4d8b-9148-e3be6c30e623}">
          <xlrd:rvb i="1275"/>
        </ext>
      </extLst>
    </bk>
    <bk>
      <extLst>
        <ext uri="{3e2802c4-a4d2-4d8b-9148-e3be6c30e623}">
          <xlrd:rvb i="1276"/>
        </ext>
      </extLst>
    </bk>
    <bk>
      <extLst>
        <ext uri="{3e2802c4-a4d2-4d8b-9148-e3be6c30e623}">
          <xlrd:rvb i="1277"/>
        </ext>
      </extLst>
    </bk>
    <bk>
      <extLst>
        <ext uri="{3e2802c4-a4d2-4d8b-9148-e3be6c30e623}">
          <xlrd:rvb i="1278"/>
        </ext>
      </extLst>
    </bk>
    <bk>
      <extLst>
        <ext uri="{3e2802c4-a4d2-4d8b-9148-e3be6c30e623}">
          <xlrd:rvb i="1279"/>
        </ext>
      </extLst>
    </bk>
    <bk>
      <extLst>
        <ext uri="{3e2802c4-a4d2-4d8b-9148-e3be6c30e623}">
          <xlrd:rvb i="1280"/>
        </ext>
      </extLst>
    </bk>
    <bk>
      <extLst>
        <ext uri="{3e2802c4-a4d2-4d8b-9148-e3be6c30e623}">
          <xlrd:rvb i="1281"/>
        </ext>
      </extLst>
    </bk>
    <bk>
      <extLst>
        <ext uri="{3e2802c4-a4d2-4d8b-9148-e3be6c30e623}">
          <xlrd:rvb i="1282"/>
        </ext>
      </extLst>
    </bk>
    <bk>
      <extLst>
        <ext uri="{3e2802c4-a4d2-4d8b-9148-e3be6c30e623}">
          <xlrd:rvb i="1283"/>
        </ext>
      </extLst>
    </bk>
    <bk>
      <extLst>
        <ext uri="{3e2802c4-a4d2-4d8b-9148-e3be6c30e623}">
          <xlrd:rvb i="1284"/>
        </ext>
      </extLst>
    </bk>
    <bk>
      <extLst>
        <ext uri="{3e2802c4-a4d2-4d8b-9148-e3be6c30e623}">
          <xlrd:rvb i="1285"/>
        </ext>
      </extLst>
    </bk>
    <bk>
      <extLst>
        <ext uri="{3e2802c4-a4d2-4d8b-9148-e3be6c30e623}">
          <xlrd:rvb i="1286"/>
        </ext>
      </extLst>
    </bk>
    <bk>
      <extLst>
        <ext uri="{3e2802c4-a4d2-4d8b-9148-e3be6c30e623}">
          <xlrd:rvb i="1287"/>
        </ext>
      </extLst>
    </bk>
    <bk>
      <extLst>
        <ext uri="{3e2802c4-a4d2-4d8b-9148-e3be6c30e623}">
          <xlrd:rvb i="1288"/>
        </ext>
      </extLst>
    </bk>
    <bk>
      <extLst>
        <ext uri="{3e2802c4-a4d2-4d8b-9148-e3be6c30e623}">
          <xlrd:rvb i="1289"/>
        </ext>
      </extLst>
    </bk>
    <bk>
      <extLst>
        <ext uri="{3e2802c4-a4d2-4d8b-9148-e3be6c30e623}">
          <xlrd:rvb i="1290"/>
        </ext>
      </extLst>
    </bk>
    <bk>
      <extLst>
        <ext uri="{3e2802c4-a4d2-4d8b-9148-e3be6c30e623}">
          <xlrd:rvb i="1291"/>
        </ext>
      </extLst>
    </bk>
    <bk>
      <extLst>
        <ext uri="{3e2802c4-a4d2-4d8b-9148-e3be6c30e623}">
          <xlrd:rvb i="1292"/>
        </ext>
      </extLst>
    </bk>
    <bk>
      <extLst>
        <ext uri="{3e2802c4-a4d2-4d8b-9148-e3be6c30e623}">
          <xlrd:rvb i="1293"/>
        </ext>
      </extLst>
    </bk>
    <bk>
      <extLst>
        <ext uri="{3e2802c4-a4d2-4d8b-9148-e3be6c30e623}">
          <xlrd:rvb i="1294"/>
        </ext>
      </extLst>
    </bk>
    <bk>
      <extLst>
        <ext uri="{3e2802c4-a4d2-4d8b-9148-e3be6c30e623}">
          <xlrd:rvb i="1295"/>
        </ext>
      </extLst>
    </bk>
    <bk>
      <extLst>
        <ext uri="{3e2802c4-a4d2-4d8b-9148-e3be6c30e623}">
          <xlrd:rvb i="1296"/>
        </ext>
      </extLst>
    </bk>
    <bk>
      <extLst>
        <ext uri="{3e2802c4-a4d2-4d8b-9148-e3be6c30e623}">
          <xlrd:rvb i="1297"/>
        </ext>
      </extLst>
    </bk>
    <bk>
      <extLst>
        <ext uri="{3e2802c4-a4d2-4d8b-9148-e3be6c30e623}">
          <xlrd:rvb i="1298"/>
        </ext>
      </extLst>
    </bk>
    <bk>
      <extLst>
        <ext uri="{3e2802c4-a4d2-4d8b-9148-e3be6c30e623}">
          <xlrd:rvb i="1299"/>
        </ext>
      </extLst>
    </bk>
    <bk>
      <extLst>
        <ext uri="{3e2802c4-a4d2-4d8b-9148-e3be6c30e623}">
          <xlrd:rvb i="1300"/>
        </ext>
      </extLst>
    </bk>
    <bk>
      <extLst>
        <ext uri="{3e2802c4-a4d2-4d8b-9148-e3be6c30e623}">
          <xlrd:rvb i="1301"/>
        </ext>
      </extLst>
    </bk>
    <bk>
      <extLst>
        <ext uri="{3e2802c4-a4d2-4d8b-9148-e3be6c30e623}">
          <xlrd:rvb i="1302"/>
        </ext>
      </extLst>
    </bk>
    <bk>
      <extLst>
        <ext uri="{3e2802c4-a4d2-4d8b-9148-e3be6c30e623}">
          <xlrd:rvb i="1303"/>
        </ext>
      </extLst>
    </bk>
    <bk>
      <extLst>
        <ext uri="{3e2802c4-a4d2-4d8b-9148-e3be6c30e623}">
          <xlrd:rvb i="1304"/>
        </ext>
      </extLst>
    </bk>
    <bk>
      <extLst>
        <ext uri="{3e2802c4-a4d2-4d8b-9148-e3be6c30e623}">
          <xlrd:rvb i="1305"/>
        </ext>
      </extLst>
    </bk>
    <bk>
      <extLst>
        <ext uri="{3e2802c4-a4d2-4d8b-9148-e3be6c30e623}">
          <xlrd:rvb i="1306"/>
        </ext>
      </extLst>
    </bk>
    <bk>
      <extLst>
        <ext uri="{3e2802c4-a4d2-4d8b-9148-e3be6c30e623}">
          <xlrd:rvb i="1307"/>
        </ext>
      </extLst>
    </bk>
    <bk>
      <extLst>
        <ext uri="{3e2802c4-a4d2-4d8b-9148-e3be6c30e623}">
          <xlrd:rvb i="1308"/>
        </ext>
      </extLst>
    </bk>
    <bk>
      <extLst>
        <ext uri="{3e2802c4-a4d2-4d8b-9148-e3be6c30e623}">
          <xlrd:rvb i="1309"/>
        </ext>
      </extLst>
    </bk>
    <bk>
      <extLst>
        <ext uri="{3e2802c4-a4d2-4d8b-9148-e3be6c30e623}">
          <xlrd:rvb i="1310"/>
        </ext>
      </extLst>
    </bk>
    <bk>
      <extLst>
        <ext uri="{3e2802c4-a4d2-4d8b-9148-e3be6c30e623}">
          <xlrd:rvb i="1311"/>
        </ext>
      </extLst>
    </bk>
    <bk>
      <extLst>
        <ext uri="{3e2802c4-a4d2-4d8b-9148-e3be6c30e623}">
          <xlrd:rvb i="1312"/>
        </ext>
      </extLst>
    </bk>
    <bk>
      <extLst>
        <ext uri="{3e2802c4-a4d2-4d8b-9148-e3be6c30e623}">
          <xlrd:rvb i="1313"/>
        </ext>
      </extLst>
    </bk>
    <bk>
      <extLst>
        <ext uri="{3e2802c4-a4d2-4d8b-9148-e3be6c30e623}">
          <xlrd:rvb i="1314"/>
        </ext>
      </extLst>
    </bk>
    <bk>
      <extLst>
        <ext uri="{3e2802c4-a4d2-4d8b-9148-e3be6c30e623}">
          <xlrd:rvb i="1315"/>
        </ext>
      </extLst>
    </bk>
    <bk>
      <extLst>
        <ext uri="{3e2802c4-a4d2-4d8b-9148-e3be6c30e623}">
          <xlrd:rvb i="1316"/>
        </ext>
      </extLst>
    </bk>
    <bk>
      <extLst>
        <ext uri="{3e2802c4-a4d2-4d8b-9148-e3be6c30e623}">
          <xlrd:rvb i="1317"/>
        </ext>
      </extLst>
    </bk>
    <bk>
      <extLst>
        <ext uri="{3e2802c4-a4d2-4d8b-9148-e3be6c30e623}">
          <xlrd:rvb i="1318"/>
        </ext>
      </extLst>
    </bk>
    <bk>
      <extLst>
        <ext uri="{3e2802c4-a4d2-4d8b-9148-e3be6c30e623}">
          <xlrd:rvb i="1319"/>
        </ext>
      </extLst>
    </bk>
    <bk>
      <extLst>
        <ext uri="{3e2802c4-a4d2-4d8b-9148-e3be6c30e623}">
          <xlrd:rvb i="1320"/>
        </ext>
      </extLst>
    </bk>
    <bk>
      <extLst>
        <ext uri="{3e2802c4-a4d2-4d8b-9148-e3be6c30e623}">
          <xlrd:rvb i="1321"/>
        </ext>
      </extLst>
    </bk>
    <bk>
      <extLst>
        <ext uri="{3e2802c4-a4d2-4d8b-9148-e3be6c30e623}">
          <xlrd:rvb i="1322"/>
        </ext>
      </extLst>
    </bk>
    <bk>
      <extLst>
        <ext uri="{3e2802c4-a4d2-4d8b-9148-e3be6c30e623}">
          <xlrd:rvb i="1323"/>
        </ext>
      </extLst>
    </bk>
    <bk>
      <extLst>
        <ext uri="{3e2802c4-a4d2-4d8b-9148-e3be6c30e623}">
          <xlrd:rvb i="1324"/>
        </ext>
      </extLst>
    </bk>
    <bk>
      <extLst>
        <ext uri="{3e2802c4-a4d2-4d8b-9148-e3be6c30e623}">
          <xlrd:rvb i="1325"/>
        </ext>
      </extLst>
    </bk>
    <bk>
      <extLst>
        <ext uri="{3e2802c4-a4d2-4d8b-9148-e3be6c30e623}">
          <xlrd:rvb i="1326"/>
        </ext>
      </extLst>
    </bk>
    <bk>
      <extLst>
        <ext uri="{3e2802c4-a4d2-4d8b-9148-e3be6c30e623}">
          <xlrd:rvb i="1327"/>
        </ext>
      </extLst>
    </bk>
    <bk>
      <extLst>
        <ext uri="{3e2802c4-a4d2-4d8b-9148-e3be6c30e623}">
          <xlrd:rvb i="1328"/>
        </ext>
      </extLst>
    </bk>
    <bk>
      <extLst>
        <ext uri="{3e2802c4-a4d2-4d8b-9148-e3be6c30e623}">
          <xlrd:rvb i="1329"/>
        </ext>
      </extLst>
    </bk>
    <bk>
      <extLst>
        <ext uri="{3e2802c4-a4d2-4d8b-9148-e3be6c30e623}">
          <xlrd:rvb i="1330"/>
        </ext>
      </extLst>
    </bk>
    <bk>
      <extLst>
        <ext uri="{3e2802c4-a4d2-4d8b-9148-e3be6c30e623}">
          <xlrd:rvb i="1331"/>
        </ext>
      </extLst>
    </bk>
    <bk>
      <extLst>
        <ext uri="{3e2802c4-a4d2-4d8b-9148-e3be6c30e623}">
          <xlrd:rvb i="1332"/>
        </ext>
      </extLst>
    </bk>
    <bk>
      <extLst>
        <ext uri="{3e2802c4-a4d2-4d8b-9148-e3be6c30e623}">
          <xlrd:rvb i="1333"/>
        </ext>
      </extLst>
    </bk>
    <bk>
      <extLst>
        <ext uri="{3e2802c4-a4d2-4d8b-9148-e3be6c30e623}">
          <xlrd:rvb i="1334"/>
        </ext>
      </extLst>
    </bk>
    <bk>
      <extLst>
        <ext uri="{3e2802c4-a4d2-4d8b-9148-e3be6c30e623}">
          <xlrd:rvb i="1335"/>
        </ext>
      </extLst>
    </bk>
    <bk>
      <extLst>
        <ext uri="{3e2802c4-a4d2-4d8b-9148-e3be6c30e623}">
          <xlrd:rvb i="1336"/>
        </ext>
      </extLst>
    </bk>
    <bk>
      <extLst>
        <ext uri="{3e2802c4-a4d2-4d8b-9148-e3be6c30e623}">
          <xlrd:rvb i="1337"/>
        </ext>
      </extLst>
    </bk>
    <bk>
      <extLst>
        <ext uri="{3e2802c4-a4d2-4d8b-9148-e3be6c30e623}">
          <xlrd:rvb i="1338"/>
        </ext>
      </extLst>
    </bk>
    <bk>
      <extLst>
        <ext uri="{3e2802c4-a4d2-4d8b-9148-e3be6c30e623}">
          <xlrd:rvb i="1339"/>
        </ext>
      </extLst>
    </bk>
    <bk>
      <extLst>
        <ext uri="{3e2802c4-a4d2-4d8b-9148-e3be6c30e623}">
          <xlrd:rvb i="1340"/>
        </ext>
      </extLst>
    </bk>
    <bk>
      <extLst>
        <ext uri="{3e2802c4-a4d2-4d8b-9148-e3be6c30e623}">
          <xlrd:rvb i="1341"/>
        </ext>
      </extLst>
    </bk>
    <bk>
      <extLst>
        <ext uri="{3e2802c4-a4d2-4d8b-9148-e3be6c30e623}">
          <xlrd:rvb i="1342"/>
        </ext>
      </extLst>
    </bk>
    <bk>
      <extLst>
        <ext uri="{3e2802c4-a4d2-4d8b-9148-e3be6c30e623}">
          <xlrd:rvb i="1343"/>
        </ext>
      </extLst>
    </bk>
    <bk>
      <extLst>
        <ext uri="{3e2802c4-a4d2-4d8b-9148-e3be6c30e623}">
          <xlrd:rvb i="1344"/>
        </ext>
      </extLst>
    </bk>
    <bk>
      <extLst>
        <ext uri="{3e2802c4-a4d2-4d8b-9148-e3be6c30e623}">
          <xlrd:rvb i="1345"/>
        </ext>
      </extLst>
    </bk>
    <bk>
      <extLst>
        <ext uri="{3e2802c4-a4d2-4d8b-9148-e3be6c30e623}">
          <xlrd:rvb i="1346"/>
        </ext>
      </extLst>
    </bk>
    <bk>
      <extLst>
        <ext uri="{3e2802c4-a4d2-4d8b-9148-e3be6c30e623}">
          <xlrd:rvb i="1347"/>
        </ext>
      </extLst>
    </bk>
    <bk>
      <extLst>
        <ext uri="{3e2802c4-a4d2-4d8b-9148-e3be6c30e623}">
          <xlrd:rvb i="1348"/>
        </ext>
      </extLst>
    </bk>
    <bk>
      <extLst>
        <ext uri="{3e2802c4-a4d2-4d8b-9148-e3be6c30e623}">
          <xlrd:rvb i="1349"/>
        </ext>
      </extLst>
    </bk>
    <bk>
      <extLst>
        <ext uri="{3e2802c4-a4d2-4d8b-9148-e3be6c30e623}">
          <xlrd:rvb i="1350"/>
        </ext>
      </extLst>
    </bk>
    <bk>
      <extLst>
        <ext uri="{3e2802c4-a4d2-4d8b-9148-e3be6c30e623}">
          <xlrd:rvb i="1351"/>
        </ext>
      </extLst>
    </bk>
    <bk>
      <extLst>
        <ext uri="{3e2802c4-a4d2-4d8b-9148-e3be6c30e623}">
          <xlrd:rvb i="1352"/>
        </ext>
      </extLst>
    </bk>
    <bk>
      <extLst>
        <ext uri="{3e2802c4-a4d2-4d8b-9148-e3be6c30e623}">
          <xlrd:rvb i="1353"/>
        </ext>
      </extLst>
    </bk>
    <bk>
      <extLst>
        <ext uri="{3e2802c4-a4d2-4d8b-9148-e3be6c30e623}">
          <xlrd:rvb i="1354"/>
        </ext>
      </extLst>
    </bk>
    <bk>
      <extLst>
        <ext uri="{3e2802c4-a4d2-4d8b-9148-e3be6c30e623}">
          <xlrd:rvb i="1355"/>
        </ext>
      </extLst>
    </bk>
    <bk>
      <extLst>
        <ext uri="{3e2802c4-a4d2-4d8b-9148-e3be6c30e623}">
          <xlrd:rvb i="1356"/>
        </ext>
      </extLst>
    </bk>
    <bk>
      <extLst>
        <ext uri="{3e2802c4-a4d2-4d8b-9148-e3be6c30e623}">
          <xlrd:rvb i="1357"/>
        </ext>
      </extLst>
    </bk>
    <bk>
      <extLst>
        <ext uri="{3e2802c4-a4d2-4d8b-9148-e3be6c30e623}">
          <xlrd:rvb i="1358"/>
        </ext>
      </extLst>
    </bk>
    <bk>
      <extLst>
        <ext uri="{3e2802c4-a4d2-4d8b-9148-e3be6c30e623}">
          <xlrd:rvb i="1359"/>
        </ext>
      </extLst>
    </bk>
    <bk>
      <extLst>
        <ext uri="{3e2802c4-a4d2-4d8b-9148-e3be6c30e623}">
          <xlrd:rvb i="1360"/>
        </ext>
      </extLst>
    </bk>
    <bk>
      <extLst>
        <ext uri="{3e2802c4-a4d2-4d8b-9148-e3be6c30e623}">
          <xlrd:rvb i="1361"/>
        </ext>
      </extLst>
    </bk>
    <bk>
      <extLst>
        <ext uri="{3e2802c4-a4d2-4d8b-9148-e3be6c30e623}">
          <xlrd:rvb i="1362"/>
        </ext>
      </extLst>
    </bk>
    <bk>
      <extLst>
        <ext uri="{3e2802c4-a4d2-4d8b-9148-e3be6c30e623}">
          <xlrd:rvb i="1363"/>
        </ext>
      </extLst>
    </bk>
    <bk>
      <extLst>
        <ext uri="{3e2802c4-a4d2-4d8b-9148-e3be6c30e623}">
          <xlrd:rvb i="1364"/>
        </ext>
      </extLst>
    </bk>
    <bk>
      <extLst>
        <ext uri="{3e2802c4-a4d2-4d8b-9148-e3be6c30e623}">
          <xlrd:rvb i="1365"/>
        </ext>
      </extLst>
    </bk>
    <bk>
      <extLst>
        <ext uri="{3e2802c4-a4d2-4d8b-9148-e3be6c30e623}">
          <xlrd:rvb i="1366"/>
        </ext>
      </extLst>
    </bk>
    <bk>
      <extLst>
        <ext uri="{3e2802c4-a4d2-4d8b-9148-e3be6c30e623}">
          <xlrd:rvb i="1367"/>
        </ext>
      </extLst>
    </bk>
    <bk>
      <extLst>
        <ext uri="{3e2802c4-a4d2-4d8b-9148-e3be6c30e623}">
          <xlrd:rvb i="1368"/>
        </ext>
      </extLst>
    </bk>
    <bk>
      <extLst>
        <ext uri="{3e2802c4-a4d2-4d8b-9148-e3be6c30e623}">
          <xlrd:rvb i="1369"/>
        </ext>
      </extLst>
    </bk>
    <bk>
      <extLst>
        <ext uri="{3e2802c4-a4d2-4d8b-9148-e3be6c30e623}">
          <xlrd:rvb i="1370"/>
        </ext>
      </extLst>
    </bk>
    <bk>
      <extLst>
        <ext uri="{3e2802c4-a4d2-4d8b-9148-e3be6c30e623}">
          <xlrd:rvb i="1371"/>
        </ext>
      </extLst>
    </bk>
    <bk>
      <extLst>
        <ext uri="{3e2802c4-a4d2-4d8b-9148-e3be6c30e623}">
          <xlrd:rvb i="1372"/>
        </ext>
      </extLst>
    </bk>
    <bk>
      <extLst>
        <ext uri="{3e2802c4-a4d2-4d8b-9148-e3be6c30e623}">
          <xlrd:rvb i="1373"/>
        </ext>
      </extLst>
    </bk>
    <bk>
      <extLst>
        <ext uri="{3e2802c4-a4d2-4d8b-9148-e3be6c30e623}">
          <xlrd:rvb i="1374"/>
        </ext>
      </extLst>
    </bk>
    <bk>
      <extLst>
        <ext uri="{3e2802c4-a4d2-4d8b-9148-e3be6c30e623}">
          <xlrd:rvb i="1375"/>
        </ext>
      </extLst>
    </bk>
    <bk>
      <extLst>
        <ext uri="{3e2802c4-a4d2-4d8b-9148-e3be6c30e623}">
          <xlrd:rvb i="1376"/>
        </ext>
      </extLst>
    </bk>
    <bk>
      <extLst>
        <ext uri="{3e2802c4-a4d2-4d8b-9148-e3be6c30e623}">
          <xlrd:rvb i="1377"/>
        </ext>
      </extLst>
    </bk>
    <bk>
      <extLst>
        <ext uri="{3e2802c4-a4d2-4d8b-9148-e3be6c30e623}">
          <xlrd:rvb i="1378"/>
        </ext>
      </extLst>
    </bk>
    <bk>
      <extLst>
        <ext uri="{3e2802c4-a4d2-4d8b-9148-e3be6c30e623}">
          <xlrd:rvb i="1379"/>
        </ext>
      </extLst>
    </bk>
    <bk>
      <extLst>
        <ext uri="{3e2802c4-a4d2-4d8b-9148-e3be6c30e623}">
          <xlrd:rvb i="1380"/>
        </ext>
      </extLst>
    </bk>
    <bk>
      <extLst>
        <ext uri="{3e2802c4-a4d2-4d8b-9148-e3be6c30e623}">
          <xlrd:rvb i="1381"/>
        </ext>
      </extLst>
    </bk>
    <bk>
      <extLst>
        <ext uri="{3e2802c4-a4d2-4d8b-9148-e3be6c30e623}">
          <xlrd:rvb i="1382"/>
        </ext>
      </extLst>
    </bk>
    <bk>
      <extLst>
        <ext uri="{3e2802c4-a4d2-4d8b-9148-e3be6c30e623}">
          <xlrd:rvb i="1383"/>
        </ext>
      </extLst>
    </bk>
    <bk>
      <extLst>
        <ext uri="{3e2802c4-a4d2-4d8b-9148-e3be6c30e623}">
          <xlrd:rvb i="1384"/>
        </ext>
      </extLst>
    </bk>
    <bk>
      <extLst>
        <ext uri="{3e2802c4-a4d2-4d8b-9148-e3be6c30e623}">
          <xlrd:rvb i="1385"/>
        </ext>
      </extLst>
    </bk>
    <bk>
      <extLst>
        <ext uri="{3e2802c4-a4d2-4d8b-9148-e3be6c30e623}">
          <xlrd:rvb i="1386"/>
        </ext>
      </extLst>
    </bk>
    <bk>
      <extLst>
        <ext uri="{3e2802c4-a4d2-4d8b-9148-e3be6c30e623}">
          <xlrd:rvb i="1387"/>
        </ext>
      </extLst>
    </bk>
    <bk>
      <extLst>
        <ext uri="{3e2802c4-a4d2-4d8b-9148-e3be6c30e623}">
          <xlrd:rvb i="1388"/>
        </ext>
      </extLst>
    </bk>
    <bk>
      <extLst>
        <ext uri="{3e2802c4-a4d2-4d8b-9148-e3be6c30e623}">
          <xlrd:rvb i="1389"/>
        </ext>
      </extLst>
    </bk>
    <bk>
      <extLst>
        <ext uri="{3e2802c4-a4d2-4d8b-9148-e3be6c30e623}">
          <xlrd:rvb i="1390"/>
        </ext>
      </extLst>
    </bk>
    <bk>
      <extLst>
        <ext uri="{3e2802c4-a4d2-4d8b-9148-e3be6c30e623}">
          <xlrd:rvb i="1391"/>
        </ext>
      </extLst>
    </bk>
    <bk>
      <extLst>
        <ext uri="{3e2802c4-a4d2-4d8b-9148-e3be6c30e623}">
          <xlrd:rvb i="1392"/>
        </ext>
      </extLst>
    </bk>
    <bk>
      <extLst>
        <ext uri="{3e2802c4-a4d2-4d8b-9148-e3be6c30e623}">
          <xlrd:rvb i="1393"/>
        </ext>
      </extLst>
    </bk>
    <bk>
      <extLst>
        <ext uri="{3e2802c4-a4d2-4d8b-9148-e3be6c30e623}">
          <xlrd:rvb i="1394"/>
        </ext>
      </extLst>
    </bk>
    <bk>
      <extLst>
        <ext uri="{3e2802c4-a4d2-4d8b-9148-e3be6c30e623}">
          <xlrd:rvb i="1395"/>
        </ext>
      </extLst>
    </bk>
    <bk>
      <extLst>
        <ext uri="{3e2802c4-a4d2-4d8b-9148-e3be6c30e623}">
          <xlrd:rvb i="1396"/>
        </ext>
      </extLst>
    </bk>
    <bk>
      <extLst>
        <ext uri="{3e2802c4-a4d2-4d8b-9148-e3be6c30e623}">
          <xlrd:rvb i="1397"/>
        </ext>
      </extLst>
    </bk>
    <bk>
      <extLst>
        <ext uri="{3e2802c4-a4d2-4d8b-9148-e3be6c30e623}">
          <xlrd:rvb i="1398"/>
        </ext>
      </extLst>
    </bk>
    <bk>
      <extLst>
        <ext uri="{3e2802c4-a4d2-4d8b-9148-e3be6c30e623}">
          <xlrd:rvb i="1399"/>
        </ext>
      </extLst>
    </bk>
    <bk>
      <extLst>
        <ext uri="{3e2802c4-a4d2-4d8b-9148-e3be6c30e623}">
          <xlrd:rvb i="1400"/>
        </ext>
      </extLst>
    </bk>
    <bk>
      <extLst>
        <ext uri="{3e2802c4-a4d2-4d8b-9148-e3be6c30e623}">
          <xlrd:rvb i="1401"/>
        </ext>
      </extLst>
    </bk>
    <bk>
      <extLst>
        <ext uri="{3e2802c4-a4d2-4d8b-9148-e3be6c30e623}">
          <xlrd:rvb i="1402"/>
        </ext>
      </extLst>
    </bk>
    <bk>
      <extLst>
        <ext uri="{3e2802c4-a4d2-4d8b-9148-e3be6c30e623}">
          <xlrd:rvb i="1403"/>
        </ext>
      </extLst>
    </bk>
    <bk>
      <extLst>
        <ext uri="{3e2802c4-a4d2-4d8b-9148-e3be6c30e623}">
          <xlrd:rvb i="1404"/>
        </ext>
      </extLst>
    </bk>
    <bk>
      <extLst>
        <ext uri="{3e2802c4-a4d2-4d8b-9148-e3be6c30e623}">
          <xlrd:rvb i="1405"/>
        </ext>
      </extLst>
    </bk>
    <bk>
      <extLst>
        <ext uri="{3e2802c4-a4d2-4d8b-9148-e3be6c30e623}">
          <xlrd:rvb i="1406"/>
        </ext>
      </extLst>
    </bk>
    <bk>
      <extLst>
        <ext uri="{3e2802c4-a4d2-4d8b-9148-e3be6c30e623}">
          <xlrd:rvb i="1407"/>
        </ext>
      </extLst>
    </bk>
    <bk>
      <extLst>
        <ext uri="{3e2802c4-a4d2-4d8b-9148-e3be6c30e623}">
          <xlrd:rvb i="1408"/>
        </ext>
      </extLst>
    </bk>
    <bk>
      <extLst>
        <ext uri="{3e2802c4-a4d2-4d8b-9148-e3be6c30e623}">
          <xlrd:rvb i="1409"/>
        </ext>
      </extLst>
    </bk>
    <bk>
      <extLst>
        <ext uri="{3e2802c4-a4d2-4d8b-9148-e3be6c30e623}">
          <xlrd:rvb i="1410"/>
        </ext>
      </extLst>
    </bk>
    <bk>
      <extLst>
        <ext uri="{3e2802c4-a4d2-4d8b-9148-e3be6c30e623}">
          <xlrd:rvb i="1411"/>
        </ext>
      </extLst>
    </bk>
    <bk>
      <extLst>
        <ext uri="{3e2802c4-a4d2-4d8b-9148-e3be6c30e623}">
          <xlrd:rvb i="1412"/>
        </ext>
      </extLst>
    </bk>
    <bk>
      <extLst>
        <ext uri="{3e2802c4-a4d2-4d8b-9148-e3be6c30e623}">
          <xlrd:rvb i="1413"/>
        </ext>
      </extLst>
    </bk>
    <bk>
      <extLst>
        <ext uri="{3e2802c4-a4d2-4d8b-9148-e3be6c30e623}">
          <xlrd:rvb i="1414"/>
        </ext>
      </extLst>
    </bk>
    <bk>
      <extLst>
        <ext uri="{3e2802c4-a4d2-4d8b-9148-e3be6c30e623}">
          <xlrd:rvb i="1415"/>
        </ext>
      </extLst>
    </bk>
    <bk>
      <extLst>
        <ext uri="{3e2802c4-a4d2-4d8b-9148-e3be6c30e623}">
          <xlrd:rvb i="1416"/>
        </ext>
      </extLst>
    </bk>
    <bk>
      <extLst>
        <ext uri="{3e2802c4-a4d2-4d8b-9148-e3be6c30e623}">
          <xlrd:rvb i="1417"/>
        </ext>
      </extLst>
    </bk>
    <bk>
      <extLst>
        <ext uri="{3e2802c4-a4d2-4d8b-9148-e3be6c30e623}">
          <xlrd:rvb i="1418"/>
        </ext>
      </extLst>
    </bk>
    <bk>
      <extLst>
        <ext uri="{3e2802c4-a4d2-4d8b-9148-e3be6c30e623}">
          <xlrd:rvb i="1419"/>
        </ext>
      </extLst>
    </bk>
    <bk>
      <extLst>
        <ext uri="{3e2802c4-a4d2-4d8b-9148-e3be6c30e623}">
          <xlrd:rvb i="1420"/>
        </ext>
      </extLst>
    </bk>
    <bk>
      <extLst>
        <ext uri="{3e2802c4-a4d2-4d8b-9148-e3be6c30e623}">
          <xlrd:rvb i="1421"/>
        </ext>
      </extLst>
    </bk>
    <bk>
      <extLst>
        <ext uri="{3e2802c4-a4d2-4d8b-9148-e3be6c30e623}">
          <xlrd:rvb i="1422"/>
        </ext>
      </extLst>
    </bk>
    <bk>
      <extLst>
        <ext uri="{3e2802c4-a4d2-4d8b-9148-e3be6c30e623}">
          <xlrd:rvb i="1423"/>
        </ext>
      </extLst>
    </bk>
    <bk>
      <extLst>
        <ext uri="{3e2802c4-a4d2-4d8b-9148-e3be6c30e623}">
          <xlrd:rvb i="1424"/>
        </ext>
      </extLst>
    </bk>
    <bk>
      <extLst>
        <ext uri="{3e2802c4-a4d2-4d8b-9148-e3be6c30e623}">
          <xlrd:rvb i="1425"/>
        </ext>
      </extLst>
    </bk>
    <bk>
      <extLst>
        <ext uri="{3e2802c4-a4d2-4d8b-9148-e3be6c30e623}">
          <xlrd:rvb i="1426"/>
        </ext>
      </extLst>
    </bk>
    <bk>
      <extLst>
        <ext uri="{3e2802c4-a4d2-4d8b-9148-e3be6c30e623}">
          <xlrd:rvb i="1427"/>
        </ext>
      </extLst>
    </bk>
    <bk>
      <extLst>
        <ext uri="{3e2802c4-a4d2-4d8b-9148-e3be6c30e623}">
          <xlrd:rvb i="1428"/>
        </ext>
      </extLst>
    </bk>
    <bk>
      <extLst>
        <ext uri="{3e2802c4-a4d2-4d8b-9148-e3be6c30e623}">
          <xlrd:rvb i="1429"/>
        </ext>
      </extLst>
    </bk>
    <bk>
      <extLst>
        <ext uri="{3e2802c4-a4d2-4d8b-9148-e3be6c30e623}">
          <xlrd:rvb i="1430"/>
        </ext>
      </extLst>
    </bk>
    <bk>
      <extLst>
        <ext uri="{3e2802c4-a4d2-4d8b-9148-e3be6c30e623}">
          <xlrd:rvb i="1431"/>
        </ext>
      </extLst>
    </bk>
    <bk>
      <extLst>
        <ext uri="{3e2802c4-a4d2-4d8b-9148-e3be6c30e623}">
          <xlrd:rvb i="1432"/>
        </ext>
      </extLst>
    </bk>
    <bk>
      <extLst>
        <ext uri="{3e2802c4-a4d2-4d8b-9148-e3be6c30e623}">
          <xlrd:rvb i="1433"/>
        </ext>
      </extLst>
    </bk>
    <bk>
      <extLst>
        <ext uri="{3e2802c4-a4d2-4d8b-9148-e3be6c30e623}">
          <xlrd:rvb i="1434"/>
        </ext>
      </extLst>
    </bk>
    <bk>
      <extLst>
        <ext uri="{3e2802c4-a4d2-4d8b-9148-e3be6c30e623}">
          <xlrd:rvb i="1435"/>
        </ext>
      </extLst>
    </bk>
    <bk>
      <extLst>
        <ext uri="{3e2802c4-a4d2-4d8b-9148-e3be6c30e623}">
          <xlrd:rvb i="1436"/>
        </ext>
      </extLst>
    </bk>
    <bk>
      <extLst>
        <ext uri="{3e2802c4-a4d2-4d8b-9148-e3be6c30e623}">
          <xlrd:rvb i="1437"/>
        </ext>
      </extLst>
    </bk>
    <bk>
      <extLst>
        <ext uri="{3e2802c4-a4d2-4d8b-9148-e3be6c30e623}">
          <xlrd:rvb i="1438"/>
        </ext>
      </extLst>
    </bk>
    <bk>
      <extLst>
        <ext uri="{3e2802c4-a4d2-4d8b-9148-e3be6c30e623}">
          <xlrd:rvb i="1439"/>
        </ext>
      </extLst>
    </bk>
    <bk>
      <extLst>
        <ext uri="{3e2802c4-a4d2-4d8b-9148-e3be6c30e623}">
          <xlrd:rvb i="1440"/>
        </ext>
      </extLst>
    </bk>
    <bk>
      <extLst>
        <ext uri="{3e2802c4-a4d2-4d8b-9148-e3be6c30e623}">
          <xlrd:rvb i="1441"/>
        </ext>
      </extLst>
    </bk>
    <bk>
      <extLst>
        <ext uri="{3e2802c4-a4d2-4d8b-9148-e3be6c30e623}">
          <xlrd:rvb i="1442"/>
        </ext>
      </extLst>
    </bk>
    <bk>
      <extLst>
        <ext uri="{3e2802c4-a4d2-4d8b-9148-e3be6c30e623}">
          <xlrd:rvb i="1443"/>
        </ext>
      </extLst>
    </bk>
    <bk>
      <extLst>
        <ext uri="{3e2802c4-a4d2-4d8b-9148-e3be6c30e623}">
          <xlrd:rvb i="1444"/>
        </ext>
      </extLst>
    </bk>
    <bk>
      <extLst>
        <ext uri="{3e2802c4-a4d2-4d8b-9148-e3be6c30e623}">
          <xlrd:rvb i="1445"/>
        </ext>
      </extLst>
    </bk>
    <bk>
      <extLst>
        <ext uri="{3e2802c4-a4d2-4d8b-9148-e3be6c30e623}">
          <xlrd:rvb i="1446"/>
        </ext>
      </extLst>
    </bk>
    <bk>
      <extLst>
        <ext uri="{3e2802c4-a4d2-4d8b-9148-e3be6c30e623}">
          <xlrd:rvb i="1447"/>
        </ext>
      </extLst>
    </bk>
    <bk>
      <extLst>
        <ext uri="{3e2802c4-a4d2-4d8b-9148-e3be6c30e623}">
          <xlrd:rvb i="1448"/>
        </ext>
      </extLst>
    </bk>
    <bk>
      <extLst>
        <ext uri="{3e2802c4-a4d2-4d8b-9148-e3be6c30e623}">
          <xlrd:rvb i="1449"/>
        </ext>
      </extLst>
    </bk>
    <bk>
      <extLst>
        <ext uri="{3e2802c4-a4d2-4d8b-9148-e3be6c30e623}">
          <xlrd:rvb i="1450"/>
        </ext>
      </extLst>
    </bk>
    <bk>
      <extLst>
        <ext uri="{3e2802c4-a4d2-4d8b-9148-e3be6c30e623}">
          <xlrd:rvb i="1451"/>
        </ext>
      </extLst>
    </bk>
    <bk>
      <extLst>
        <ext uri="{3e2802c4-a4d2-4d8b-9148-e3be6c30e623}">
          <xlrd:rvb i="1452"/>
        </ext>
      </extLst>
    </bk>
  </futureMetadata>
  <cellMetadata count="1">
    <bk>
      <rc t="1" v="0"/>
    </bk>
  </cellMetadata>
  <valueMetadata count="1453">
    <bk>
      <rc t="2" v="0"/>
    </bk>
    <bk>
      <rc t="2" v="1"/>
    </bk>
    <bk>
      <rc t="2" v="2"/>
    </bk>
    <bk>
      <rc t="2" v="3"/>
    </bk>
    <bk>
      <rc t="2" v="4"/>
    </bk>
    <bk>
      <rc t="2" v="5"/>
    </bk>
    <bk>
      <rc t="2" v="6"/>
    </bk>
    <bk>
      <rc t="2" v="7"/>
    </bk>
    <bk>
      <rc t="2" v="8"/>
    </bk>
    <bk>
      <rc t="2" v="9"/>
    </bk>
    <bk>
      <rc t="2" v="10"/>
    </bk>
    <bk>
      <rc t="2" v="11"/>
    </bk>
    <bk>
      <rc t="2" v="12"/>
    </bk>
    <bk>
      <rc t="2" v="13"/>
    </bk>
    <bk>
      <rc t="2" v="14"/>
    </bk>
    <bk>
      <rc t="2" v="15"/>
    </bk>
    <bk>
      <rc t="2" v="16"/>
    </bk>
    <bk>
      <rc t="2" v="17"/>
    </bk>
    <bk>
      <rc t="2" v="18"/>
    </bk>
    <bk>
      <rc t="2" v="19"/>
    </bk>
    <bk>
      <rc t="2" v="20"/>
    </bk>
    <bk>
      <rc t="2" v="21"/>
    </bk>
    <bk>
      <rc t="2" v="22"/>
    </bk>
    <bk>
      <rc t="2" v="23"/>
    </bk>
    <bk>
      <rc t="2" v="24"/>
    </bk>
    <bk>
      <rc t="2" v="25"/>
    </bk>
    <bk>
      <rc t="2" v="26"/>
    </bk>
    <bk>
      <rc t="2" v="27"/>
    </bk>
    <bk>
      <rc t="2" v="28"/>
    </bk>
    <bk>
      <rc t="2" v="29"/>
    </bk>
    <bk>
      <rc t="2" v="30"/>
    </bk>
    <bk>
      <rc t="2" v="31"/>
    </bk>
    <bk>
      <rc t="2" v="32"/>
    </bk>
    <bk>
      <rc t="2" v="33"/>
    </bk>
    <bk>
      <rc t="2" v="34"/>
    </bk>
    <bk>
      <rc t="2" v="35"/>
    </bk>
    <bk>
      <rc t="2" v="36"/>
    </bk>
    <bk>
      <rc t="2" v="37"/>
    </bk>
    <bk>
      <rc t="2" v="38"/>
    </bk>
    <bk>
      <rc t="2" v="39"/>
    </bk>
    <bk>
      <rc t="2" v="40"/>
    </bk>
    <bk>
      <rc t="2" v="41"/>
    </bk>
    <bk>
      <rc t="2" v="42"/>
    </bk>
    <bk>
      <rc t="2" v="43"/>
    </bk>
    <bk>
      <rc t="2" v="44"/>
    </bk>
    <bk>
      <rc t="2" v="45"/>
    </bk>
    <bk>
      <rc t="2" v="46"/>
    </bk>
    <bk>
      <rc t="2" v="47"/>
    </bk>
    <bk>
      <rc t="2" v="48"/>
    </bk>
    <bk>
      <rc t="2" v="49"/>
    </bk>
    <bk>
      <rc t="2" v="50"/>
    </bk>
    <bk>
      <rc t="2" v="51"/>
    </bk>
    <bk>
      <rc t="2" v="52"/>
    </bk>
    <bk>
      <rc t="2" v="53"/>
    </bk>
    <bk>
      <rc t="2" v="54"/>
    </bk>
    <bk>
      <rc t="2" v="55"/>
    </bk>
    <bk>
      <rc t="2" v="56"/>
    </bk>
    <bk>
      <rc t="2" v="57"/>
    </bk>
    <bk>
      <rc t="2" v="58"/>
    </bk>
    <bk>
      <rc t="2" v="59"/>
    </bk>
    <bk>
      <rc t="2" v="60"/>
    </bk>
    <bk>
      <rc t="2" v="61"/>
    </bk>
    <bk>
      <rc t="2" v="62"/>
    </bk>
    <bk>
      <rc t="2" v="63"/>
    </bk>
    <bk>
      <rc t="2" v="64"/>
    </bk>
    <bk>
      <rc t="2" v="65"/>
    </bk>
    <bk>
      <rc t="2" v="66"/>
    </bk>
    <bk>
      <rc t="2" v="67"/>
    </bk>
    <bk>
      <rc t="2" v="68"/>
    </bk>
    <bk>
      <rc t="2" v="69"/>
    </bk>
    <bk>
      <rc t="2" v="70"/>
    </bk>
    <bk>
      <rc t="2" v="71"/>
    </bk>
    <bk>
      <rc t="2" v="72"/>
    </bk>
    <bk>
      <rc t="2" v="73"/>
    </bk>
    <bk>
      <rc t="2" v="74"/>
    </bk>
    <bk>
      <rc t="2" v="75"/>
    </bk>
    <bk>
      <rc t="2" v="76"/>
    </bk>
    <bk>
      <rc t="2" v="77"/>
    </bk>
    <bk>
      <rc t="2" v="78"/>
    </bk>
    <bk>
      <rc t="2" v="79"/>
    </bk>
    <bk>
      <rc t="2" v="80"/>
    </bk>
    <bk>
      <rc t="2" v="81"/>
    </bk>
    <bk>
      <rc t="2" v="82"/>
    </bk>
    <bk>
      <rc t="2" v="83"/>
    </bk>
    <bk>
      <rc t="2" v="84"/>
    </bk>
    <bk>
      <rc t="2" v="85"/>
    </bk>
    <bk>
      <rc t="2" v="86"/>
    </bk>
    <bk>
      <rc t="2" v="87"/>
    </bk>
    <bk>
      <rc t="2" v="88"/>
    </bk>
    <bk>
      <rc t="2" v="89"/>
    </bk>
    <bk>
      <rc t="2" v="90"/>
    </bk>
    <bk>
      <rc t="2" v="91"/>
    </bk>
    <bk>
      <rc t="2" v="92"/>
    </bk>
    <bk>
      <rc t="2" v="93"/>
    </bk>
    <bk>
      <rc t="2" v="94"/>
    </bk>
    <bk>
      <rc t="2" v="95"/>
    </bk>
    <bk>
      <rc t="2" v="96"/>
    </bk>
    <bk>
      <rc t="2" v="97"/>
    </bk>
    <bk>
      <rc t="2" v="98"/>
    </bk>
    <bk>
      <rc t="2" v="99"/>
    </bk>
    <bk>
      <rc t="2" v="100"/>
    </bk>
    <bk>
      <rc t="2" v="101"/>
    </bk>
    <bk>
      <rc t="2" v="102"/>
    </bk>
    <bk>
      <rc t="2" v="103"/>
    </bk>
    <bk>
      <rc t="2" v="104"/>
    </bk>
    <bk>
      <rc t="2" v="105"/>
    </bk>
    <bk>
      <rc t="2" v="106"/>
    </bk>
    <bk>
      <rc t="2" v="107"/>
    </bk>
    <bk>
      <rc t="2" v="108"/>
    </bk>
    <bk>
      <rc t="2" v="109"/>
    </bk>
    <bk>
      <rc t="2" v="110"/>
    </bk>
    <bk>
      <rc t="2" v="111"/>
    </bk>
    <bk>
      <rc t="2" v="112"/>
    </bk>
    <bk>
      <rc t="2" v="113"/>
    </bk>
    <bk>
      <rc t="2" v="114"/>
    </bk>
    <bk>
      <rc t="2" v="115"/>
    </bk>
    <bk>
      <rc t="2" v="116"/>
    </bk>
    <bk>
      <rc t="2" v="117"/>
    </bk>
    <bk>
      <rc t="2" v="118"/>
    </bk>
    <bk>
      <rc t="2" v="119"/>
    </bk>
    <bk>
      <rc t="2" v="120"/>
    </bk>
    <bk>
      <rc t="2" v="121"/>
    </bk>
    <bk>
      <rc t="2" v="122"/>
    </bk>
    <bk>
      <rc t="2" v="123"/>
    </bk>
    <bk>
      <rc t="2" v="124"/>
    </bk>
    <bk>
      <rc t="2" v="125"/>
    </bk>
    <bk>
      <rc t="2" v="126"/>
    </bk>
    <bk>
      <rc t="2" v="127"/>
    </bk>
    <bk>
      <rc t="2" v="128"/>
    </bk>
    <bk>
      <rc t="2" v="129"/>
    </bk>
    <bk>
      <rc t="2" v="130"/>
    </bk>
    <bk>
      <rc t="2" v="131"/>
    </bk>
    <bk>
      <rc t="2" v="132"/>
    </bk>
    <bk>
      <rc t="2" v="133"/>
    </bk>
    <bk>
      <rc t="2" v="134"/>
    </bk>
    <bk>
      <rc t="2" v="135"/>
    </bk>
    <bk>
      <rc t="2" v="136"/>
    </bk>
    <bk>
      <rc t="2" v="137"/>
    </bk>
    <bk>
      <rc t="2" v="138"/>
    </bk>
    <bk>
      <rc t="2" v="139"/>
    </bk>
    <bk>
      <rc t="2" v="140"/>
    </bk>
    <bk>
      <rc t="2" v="141"/>
    </bk>
    <bk>
      <rc t="2" v="142"/>
    </bk>
    <bk>
      <rc t="2" v="143"/>
    </bk>
    <bk>
      <rc t="2" v="144"/>
    </bk>
    <bk>
      <rc t="2" v="145"/>
    </bk>
    <bk>
      <rc t="2" v="146"/>
    </bk>
    <bk>
      <rc t="2" v="147"/>
    </bk>
    <bk>
      <rc t="2" v="148"/>
    </bk>
    <bk>
      <rc t="2" v="149"/>
    </bk>
    <bk>
      <rc t="2" v="150"/>
    </bk>
    <bk>
      <rc t="2" v="151"/>
    </bk>
    <bk>
      <rc t="2" v="152"/>
    </bk>
    <bk>
      <rc t="2" v="153"/>
    </bk>
    <bk>
      <rc t="2" v="154"/>
    </bk>
    <bk>
      <rc t="2" v="155"/>
    </bk>
    <bk>
      <rc t="2" v="156"/>
    </bk>
    <bk>
      <rc t="2" v="157"/>
    </bk>
    <bk>
      <rc t="2" v="158"/>
    </bk>
    <bk>
      <rc t="2" v="159"/>
    </bk>
    <bk>
      <rc t="2" v="160"/>
    </bk>
    <bk>
      <rc t="2" v="161"/>
    </bk>
    <bk>
      <rc t="2" v="162"/>
    </bk>
    <bk>
      <rc t="2" v="163"/>
    </bk>
    <bk>
      <rc t="2" v="164"/>
    </bk>
    <bk>
      <rc t="2" v="165"/>
    </bk>
    <bk>
      <rc t="2" v="166"/>
    </bk>
    <bk>
      <rc t="2" v="167"/>
    </bk>
    <bk>
      <rc t="2" v="168"/>
    </bk>
    <bk>
      <rc t="2" v="169"/>
    </bk>
    <bk>
      <rc t="2" v="170"/>
    </bk>
    <bk>
      <rc t="2" v="171"/>
    </bk>
    <bk>
      <rc t="2" v="172"/>
    </bk>
    <bk>
      <rc t="2" v="173"/>
    </bk>
    <bk>
      <rc t="2" v="174"/>
    </bk>
    <bk>
      <rc t="2" v="175"/>
    </bk>
    <bk>
      <rc t="2" v="176"/>
    </bk>
    <bk>
      <rc t="2" v="177"/>
    </bk>
    <bk>
      <rc t="2" v="178"/>
    </bk>
    <bk>
      <rc t="2" v="179"/>
    </bk>
    <bk>
      <rc t="2" v="180"/>
    </bk>
    <bk>
      <rc t="2" v="181"/>
    </bk>
    <bk>
      <rc t="2" v="182"/>
    </bk>
    <bk>
      <rc t="2" v="183"/>
    </bk>
    <bk>
      <rc t="2" v="184"/>
    </bk>
    <bk>
      <rc t="2" v="185"/>
    </bk>
    <bk>
      <rc t="2" v="186"/>
    </bk>
    <bk>
      <rc t="2" v="187"/>
    </bk>
    <bk>
      <rc t="2" v="188"/>
    </bk>
    <bk>
      <rc t="2" v="189"/>
    </bk>
    <bk>
      <rc t="2" v="190"/>
    </bk>
    <bk>
      <rc t="2" v="191"/>
    </bk>
    <bk>
      <rc t="2" v="192"/>
    </bk>
    <bk>
      <rc t="2" v="193"/>
    </bk>
    <bk>
      <rc t="2" v="194"/>
    </bk>
    <bk>
      <rc t="2" v="195"/>
    </bk>
    <bk>
      <rc t="2" v="196"/>
    </bk>
    <bk>
      <rc t="2" v="197"/>
    </bk>
    <bk>
      <rc t="2" v="198"/>
    </bk>
    <bk>
      <rc t="2" v="199"/>
    </bk>
    <bk>
      <rc t="2" v="200"/>
    </bk>
    <bk>
      <rc t="2" v="201"/>
    </bk>
    <bk>
      <rc t="2" v="202"/>
    </bk>
    <bk>
      <rc t="2" v="203"/>
    </bk>
    <bk>
      <rc t="2" v="204"/>
    </bk>
    <bk>
      <rc t="2" v="205"/>
    </bk>
    <bk>
      <rc t="2" v="206"/>
    </bk>
    <bk>
      <rc t="2" v="207"/>
    </bk>
    <bk>
      <rc t="2" v="208"/>
    </bk>
    <bk>
      <rc t="2" v="209"/>
    </bk>
    <bk>
      <rc t="2" v="210"/>
    </bk>
    <bk>
      <rc t="2" v="211"/>
    </bk>
    <bk>
      <rc t="2" v="212"/>
    </bk>
    <bk>
      <rc t="2" v="213"/>
    </bk>
    <bk>
      <rc t="2" v="214"/>
    </bk>
    <bk>
      <rc t="2" v="215"/>
    </bk>
    <bk>
      <rc t="2" v="216"/>
    </bk>
    <bk>
      <rc t="2" v="217"/>
    </bk>
    <bk>
      <rc t="2" v="218"/>
    </bk>
    <bk>
      <rc t="2" v="219"/>
    </bk>
    <bk>
      <rc t="2" v="220"/>
    </bk>
    <bk>
      <rc t="2" v="221"/>
    </bk>
    <bk>
      <rc t="2" v="222"/>
    </bk>
    <bk>
      <rc t="2" v="223"/>
    </bk>
    <bk>
      <rc t="2" v="224"/>
    </bk>
    <bk>
      <rc t="2" v="225"/>
    </bk>
    <bk>
      <rc t="2" v="226"/>
    </bk>
    <bk>
      <rc t="2" v="227"/>
    </bk>
    <bk>
      <rc t="2" v="228"/>
    </bk>
    <bk>
      <rc t="2" v="229"/>
    </bk>
    <bk>
      <rc t="2" v="230"/>
    </bk>
    <bk>
      <rc t="2" v="231"/>
    </bk>
    <bk>
      <rc t="2" v="232"/>
    </bk>
    <bk>
      <rc t="2" v="233"/>
    </bk>
    <bk>
      <rc t="2" v="234"/>
    </bk>
    <bk>
      <rc t="2" v="235"/>
    </bk>
    <bk>
      <rc t="2" v="236"/>
    </bk>
    <bk>
      <rc t="2" v="237"/>
    </bk>
    <bk>
      <rc t="2" v="238"/>
    </bk>
    <bk>
      <rc t="2" v="239"/>
    </bk>
    <bk>
      <rc t="2" v="240"/>
    </bk>
    <bk>
      <rc t="2" v="241"/>
    </bk>
    <bk>
      <rc t="2" v="242"/>
    </bk>
    <bk>
      <rc t="2" v="243"/>
    </bk>
    <bk>
      <rc t="2" v="244"/>
    </bk>
    <bk>
      <rc t="2" v="245"/>
    </bk>
    <bk>
      <rc t="2" v="246"/>
    </bk>
    <bk>
      <rc t="2" v="247"/>
    </bk>
    <bk>
      <rc t="2" v="248"/>
    </bk>
    <bk>
      <rc t="2" v="249"/>
    </bk>
    <bk>
      <rc t="2" v="250"/>
    </bk>
    <bk>
      <rc t="2" v="251"/>
    </bk>
    <bk>
      <rc t="2" v="252"/>
    </bk>
    <bk>
      <rc t="2" v="253"/>
    </bk>
    <bk>
      <rc t="2" v="254"/>
    </bk>
    <bk>
      <rc t="2" v="255"/>
    </bk>
    <bk>
      <rc t="2" v="256"/>
    </bk>
    <bk>
      <rc t="2" v="257"/>
    </bk>
    <bk>
      <rc t="2" v="258"/>
    </bk>
    <bk>
      <rc t="2" v="259"/>
    </bk>
    <bk>
      <rc t="2" v="260"/>
    </bk>
    <bk>
      <rc t="2" v="261"/>
    </bk>
    <bk>
      <rc t="2" v="262"/>
    </bk>
    <bk>
      <rc t="2" v="263"/>
    </bk>
    <bk>
      <rc t="2" v="264"/>
    </bk>
    <bk>
      <rc t="2" v="265"/>
    </bk>
    <bk>
      <rc t="2" v="266"/>
    </bk>
    <bk>
      <rc t="2" v="267"/>
    </bk>
    <bk>
      <rc t="2" v="268"/>
    </bk>
    <bk>
      <rc t="2" v="269"/>
    </bk>
    <bk>
      <rc t="2" v="270"/>
    </bk>
    <bk>
      <rc t="2" v="271"/>
    </bk>
    <bk>
      <rc t="2" v="272"/>
    </bk>
    <bk>
      <rc t="2" v="273"/>
    </bk>
    <bk>
      <rc t="2" v="274"/>
    </bk>
    <bk>
      <rc t="2" v="275"/>
    </bk>
    <bk>
      <rc t="2" v="276"/>
    </bk>
    <bk>
      <rc t="2" v="277"/>
    </bk>
    <bk>
      <rc t="2" v="278"/>
    </bk>
    <bk>
      <rc t="2" v="279"/>
    </bk>
    <bk>
      <rc t="2" v="280"/>
    </bk>
    <bk>
      <rc t="2" v="281"/>
    </bk>
    <bk>
      <rc t="2" v="282"/>
    </bk>
    <bk>
      <rc t="2" v="283"/>
    </bk>
    <bk>
      <rc t="2" v="284"/>
    </bk>
    <bk>
      <rc t="2" v="285"/>
    </bk>
    <bk>
      <rc t="2" v="286"/>
    </bk>
    <bk>
      <rc t="2" v="287"/>
    </bk>
    <bk>
      <rc t="2" v="288"/>
    </bk>
    <bk>
      <rc t="2" v="289"/>
    </bk>
    <bk>
      <rc t="2" v="290"/>
    </bk>
    <bk>
      <rc t="2" v="291"/>
    </bk>
    <bk>
      <rc t="2" v="292"/>
    </bk>
    <bk>
      <rc t="2" v="293"/>
    </bk>
    <bk>
      <rc t="2" v="294"/>
    </bk>
    <bk>
      <rc t="2" v="295"/>
    </bk>
    <bk>
      <rc t="2" v="296"/>
    </bk>
    <bk>
      <rc t="2" v="297"/>
    </bk>
    <bk>
      <rc t="2" v="298"/>
    </bk>
    <bk>
      <rc t="2" v="299"/>
    </bk>
    <bk>
      <rc t="2" v="300"/>
    </bk>
    <bk>
      <rc t="2" v="301"/>
    </bk>
    <bk>
      <rc t="2" v="302"/>
    </bk>
    <bk>
      <rc t="2" v="303"/>
    </bk>
    <bk>
      <rc t="2" v="304"/>
    </bk>
    <bk>
      <rc t="2" v="305"/>
    </bk>
    <bk>
      <rc t="2" v="306"/>
    </bk>
    <bk>
      <rc t="2" v="307"/>
    </bk>
    <bk>
      <rc t="2" v="308"/>
    </bk>
    <bk>
      <rc t="2" v="309"/>
    </bk>
    <bk>
      <rc t="2" v="310"/>
    </bk>
    <bk>
      <rc t="2" v="311"/>
    </bk>
    <bk>
      <rc t="2" v="312"/>
    </bk>
    <bk>
      <rc t="2" v="313"/>
    </bk>
    <bk>
      <rc t="2" v="314"/>
    </bk>
    <bk>
      <rc t="2" v="315"/>
    </bk>
    <bk>
      <rc t="2" v="316"/>
    </bk>
    <bk>
      <rc t="2" v="317"/>
    </bk>
    <bk>
      <rc t="2" v="318"/>
    </bk>
    <bk>
      <rc t="2" v="319"/>
    </bk>
    <bk>
      <rc t="2" v="320"/>
    </bk>
    <bk>
      <rc t="2" v="321"/>
    </bk>
    <bk>
      <rc t="2" v="322"/>
    </bk>
    <bk>
      <rc t="2" v="323"/>
    </bk>
    <bk>
      <rc t="2" v="324"/>
    </bk>
    <bk>
      <rc t="2" v="325"/>
    </bk>
    <bk>
      <rc t="2" v="326"/>
    </bk>
    <bk>
      <rc t="2" v="327"/>
    </bk>
    <bk>
      <rc t="2" v="328"/>
    </bk>
    <bk>
      <rc t="2" v="329"/>
    </bk>
    <bk>
      <rc t="2" v="330"/>
    </bk>
    <bk>
      <rc t="2" v="331"/>
    </bk>
    <bk>
      <rc t="2" v="332"/>
    </bk>
    <bk>
      <rc t="2" v="333"/>
    </bk>
    <bk>
      <rc t="2" v="334"/>
    </bk>
    <bk>
      <rc t="2" v="335"/>
    </bk>
    <bk>
      <rc t="2" v="336"/>
    </bk>
    <bk>
      <rc t="2" v="337"/>
    </bk>
    <bk>
      <rc t="2" v="338"/>
    </bk>
    <bk>
      <rc t="2" v="339"/>
    </bk>
    <bk>
      <rc t="2" v="340"/>
    </bk>
    <bk>
      <rc t="2" v="341"/>
    </bk>
    <bk>
      <rc t="2" v="342"/>
    </bk>
    <bk>
      <rc t="2" v="343"/>
    </bk>
    <bk>
      <rc t="2" v="344"/>
    </bk>
    <bk>
      <rc t="2" v="345"/>
    </bk>
    <bk>
      <rc t="2" v="346"/>
    </bk>
    <bk>
      <rc t="2" v="347"/>
    </bk>
    <bk>
      <rc t="2" v="348"/>
    </bk>
    <bk>
      <rc t="2" v="349"/>
    </bk>
    <bk>
      <rc t="2" v="350"/>
    </bk>
    <bk>
      <rc t="2" v="351"/>
    </bk>
    <bk>
      <rc t="2" v="352"/>
    </bk>
    <bk>
      <rc t="2" v="353"/>
    </bk>
    <bk>
      <rc t="2" v="354"/>
    </bk>
    <bk>
      <rc t="2" v="355"/>
    </bk>
    <bk>
      <rc t="2" v="356"/>
    </bk>
    <bk>
      <rc t="2" v="357"/>
    </bk>
    <bk>
      <rc t="2" v="358"/>
    </bk>
    <bk>
      <rc t="2" v="359"/>
    </bk>
    <bk>
      <rc t="2" v="360"/>
    </bk>
    <bk>
      <rc t="2" v="361"/>
    </bk>
    <bk>
      <rc t="2" v="362"/>
    </bk>
    <bk>
      <rc t="2" v="363"/>
    </bk>
    <bk>
      <rc t="2" v="364"/>
    </bk>
    <bk>
      <rc t="2" v="365"/>
    </bk>
    <bk>
      <rc t="2" v="366"/>
    </bk>
    <bk>
      <rc t="2" v="367"/>
    </bk>
    <bk>
      <rc t="2" v="368"/>
    </bk>
    <bk>
      <rc t="2" v="369"/>
    </bk>
    <bk>
      <rc t="2" v="370"/>
    </bk>
    <bk>
      <rc t="2" v="371"/>
    </bk>
    <bk>
      <rc t="2" v="372"/>
    </bk>
    <bk>
      <rc t="2" v="373"/>
    </bk>
    <bk>
      <rc t="2" v="374"/>
    </bk>
    <bk>
      <rc t="2" v="375"/>
    </bk>
    <bk>
      <rc t="2" v="376"/>
    </bk>
    <bk>
      <rc t="2" v="377"/>
    </bk>
    <bk>
      <rc t="2" v="378"/>
    </bk>
    <bk>
      <rc t="2" v="379"/>
    </bk>
    <bk>
      <rc t="2" v="380"/>
    </bk>
    <bk>
      <rc t="2" v="381"/>
    </bk>
    <bk>
      <rc t="2" v="382"/>
    </bk>
    <bk>
      <rc t="2" v="383"/>
    </bk>
    <bk>
      <rc t="2" v="384"/>
    </bk>
    <bk>
      <rc t="2" v="385"/>
    </bk>
    <bk>
      <rc t="2" v="386"/>
    </bk>
    <bk>
      <rc t="2" v="387"/>
    </bk>
    <bk>
      <rc t="2" v="388"/>
    </bk>
    <bk>
      <rc t="2" v="389"/>
    </bk>
    <bk>
      <rc t="2" v="390"/>
    </bk>
    <bk>
      <rc t="2" v="391"/>
    </bk>
    <bk>
      <rc t="2" v="392"/>
    </bk>
    <bk>
      <rc t="2" v="393"/>
    </bk>
    <bk>
      <rc t="2" v="394"/>
    </bk>
    <bk>
      <rc t="2" v="395"/>
    </bk>
    <bk>
      <rc t="2" v="396"/>
    </bk>
    <bk>
      <rc t="2" v="397"/>
    </bk>
    <bk>
      <rc t="2" v="398"/>
    </bk>
    <bk>
      <rc t="2" v="399"/>
    </bk>
    <bk>
      <rc t="2" v="400"/>
    </bk>
    <bk>
      <rc t="2" v="401"/>
    </bk>
    <bk>
      <rc t="2" v="402"/>
    </bk>
    <bk>
      <rc t="2" v="403"/>
    </bk>
    <bk>
      <rc t="2" v="404"/>
    </bk>
    <bk>
      <rc t="2" v="405"/>
    </bk>
    <bk>
      <rc t="2" v="406"/>
    </bk>
    <bk>
      <rc t="2" v="407"/>
    </bk>
    <bk>
      <rc t="2" v="408"/>
    </bk>
    <bk>
      <rc t="2" v="409"/>
    </bk>
    <bk>
      <rc t="2" v="410"/>
    </bk>
    <bk>
      <rc t="2" v="411"/>
    </bk>
    <bk>
      <rc t="2" v="412"/>
    </bk>
    <bk>
      <rc t="2" v="413"/>
    </bk>
    <bk>
      <rc t="2" v="414"/>
    </bk>
    <bk>
      <rc t="2" v="415"/>
    </bk>
    <bk>
      <rc t="2" v="416"/>
    </bk>
    <bk>
      <rc t="2" v="417"/>
    </bk>
    <bk>
      <rc t="2" v="418"/>
    </bk>
    <bk>
      <rc t="2" v="419"/>
    </bk>
    <bk>
      <rc t="2" v="420"/>
    </bk>
    <bk>
      <rc t="2" v="421"/>
    </bk>
    <bk>
      <rc t="2" v="422"/>
    </bk>
    <bk>
      <rc t="2" v="423"/>
    </bk>
    <bk>
      <rc t="2" v="424"/>
    </bk>
    <bk>
      <rc t="2" v="425"/>
    </bk>
    <bk>
      <rc t="2" v="426"/>
    </bk>
    <bk>
      <rc t="2" v="427"/>
    </bk>
    <bk>
      <rc t="2" v="428"/>
    </bk>
    <bk>
      <rc t="2" v="429"/>
    </bk>
    <bk>
      <rc t="2" v="430"/>
    </bk>
    <bk>
      <rc t="2" v="431"/>
    </bk>
    <bk>
      <rc t="2" v="432"/>
    </bk>
    <bk>
      <rc t="2" v="433"/>
    </bk>
    <bk>
      <rc t="2" v="434"/>
    </bk>
    <bk>
      <rc t="2" v="435"/>
    </bk>
    <bk>
      <rc t="2" v="436"/>
    </bk>
    <bk>
      <rc t="2" v="437"/>
    </bk>
    <bk>
      <rc t="2" v="438"/>
    </bk>
    <bk>
      <rc t="2" v="439"/>
    </bk>
    <bk>
      <rc t="2" v="440"/>
    </bk>
    <bk>
      <rc t="2" v="441"/>
    </bk>
    <bk>
      <rc t="2" v="442"/>
    </bk>
    <bk>
      <rc t="2" v="443"/>
    </bk>
    <bk>
      <rc t="2" v="444"/>
    </bk>
    <bk>
      <rc t="2" v="445"/>
    </bk>
    <bk>
      <rc t="2" v="446"/>
    </bk>
    <bk>
      <rc t="2" v="447"/>
    </bk>
    <bk>
      <rc t="2" v="448"/>
    </bk>
    <bk>
      <rc t="2" v="449"/>
    </bk>
    <bk>
      <rc t="2" v="450"/>
    </bk>
    <bk>
      <rc t="2" v="451"/>
    </bk>
    <bk>
      <rc t="2" v="452"/>
    </bk>
    <bk>
      <rc t="2" v="453"/>
    </bk>
    <bk>
      <rc t="2" v="454"/>
    </bk>
    <bk>
      <rc t="2" v="455"/>
    </bk>
    <bk>
      <rc t="2" v="456"/>
    </bk>
    <bk>
      <rc t="2" v="457"/>
    </bk>
    <bk>
      <rc t="2" v="458"/>
    </bk>
    <bk>
      <rc t="2" v="459"/>
    </bk>
    <bk>
      <rc t="2" v="460"/>
    </bk>
    <bk>
      <rc t="2" v="461"/>
    </bk>
    <bk>
      <rc t="2" v="462"/>
    </bk>
    <bk>
      <rc t="2" v="463"/>
    </bk>
    <bk>
      <rc t="2" v="464"/>
    </bk>
    <bk>
      <rc t="2" v="465"/>
    </bk>
    <bk>
      <rc t="2" v="466"/>
    </bk>
    <bk>
      <rc t="2" v="467"/>
    </bk>
    <bk>
      <rc t="2" v="468"/>
    </bk>
    <bk>
      <rc t="2" v="469"/>
    </bk>
    <bk>
      <rc t="2" v="470"/>
    </bk>
    <bk>
      <rc t="2" v="471"/>
    </bk>
    <bk>
      <rc t="2" v="472"/>
    </bk>
    <bk>
      <rc t="2" v="473"/>
    </bk>
    <bk>
      <rc t="2" v="474"/>
    </bk>
    <bk>
      <rc t="2" v="475"/>
    </bk>
    <bk>
      <rc t="2" v="476"/>
    </bk>
    <bk>
      <rc t="2" v="477"/>
    </bk>
    <bk>
      <rc t="2" v="478"/>
    </bk>
    <bk>
      <rc t="2" v="479"/>
    </bk>
    <bk>
      <rc t="2" v="480"/>
    </bk>
    <bk>
      <rc t="2" v="481"/>
    </bk>
    <bk>
      <rc t="2" v="482"/>
    </bk>
    <bk>
      <rc t="2" v="483"/>
    </bk>
    <bk>
      <rc t="2" v="484"/>
    </bk>
    <bk>
      <rc t="2" v="485"/>
    </bk>
    <bk>
      <rc t="2" v="486"/>
    </bk>
    <bk>
      <rc t="2" v="487"/>
    </bk>
    <bk>
      <rc t="2" v="488"/>
    </bk>
    <bk>
      <rc t="2" v="489"/>
    </bk>
    <bk>
      <rc t="2" v="490"/>
    </bk>
    <bk>
      <rc t="2" v="491"/>
    </bk>
    <bk>
      <rc t="2" v="492"/>
    </bk>
    <bk>
      <rc t="2" v="493"/>
    </bk>
    <bk>
      <rc t="2" v="494"/>
    </bk>
    <bk>
      <rc t="2" v="495"/>
    </bk>
    <bk>
      <rc t="2" v="496"/>
    </bk>
    <bk>
      <rc t="2" v="497"/>
    </bk>
    <bk>
      <rc t="2" v="498"/>
    </bk>
    <bk>
      <rc t="2" v="499"/>
    </bk>
    <bk>
      <rc t="2" v="500"/>
    </bk>
    <bk>
      <rc t="2" v="501"/>
    </bk>
    <bk>
      <rc t="2" v="502"/>
    </bk>
    <bk>
      <rc t="2" v="503"/>
    </bk>
    <bk>
      <rc t="2" v="504"/>
    </bk>
    <bk>
      <rc t="2" v="505"/>
    </bk>
    <bk>
      <rc t="2" v="506"/>
    </bk>
    <bk>
      <rc t="2" v="507"/>
    </bk>
    <bk>
      <rc t="2" v="508"/>
    </bk>
    <bk>
      <rc t="2" v="509"/>
    </bk>
    <bk>
      <rc t="2" v="510"/>
    </bk>
    <bk>
      <rc t="2" v="511"/>
    </bk>
    <bk>
      <rc t="2" v="512"/>
    </bk>
    <bk>
      <rc t="2" v="513"/>
    </bk>
    <bk>
      <rc t="2" v="514"/>
    </bk>
    <bk>
      <rc t="2" v="515"/>
    </bk>
    <bk>
      <rc t="2" v="516"/>
    </bk>
    <bk>
      <rc t="2" v="517"/>
    </bk>
    <bk>
      <rc t="2" v="518"/>
    </bk>
    <bk>
      <rc t="2" v="519"/>
    </bk>
    <bk>
      <rc t="2" v="520"/>
    </bk>
    <bk>
      <rc t="2" v="521"/>
    </bk>
    <bk>
      <rc t="2" v="522"/>
    </bk>
    <bk>
      <rc t="2" v="523"/>
    </bk>
    <bk>
      <rc t="2" v="524"/>
    </bk>
    <bk>
      <rc t="2" v="525"/>
    </bk>
    <bk>
      <rc t="2" v="526"/>
    </bk>
    <bk>
      <rc t="2" v="527"/>
    </bk>
    <bk>
      <rc t="2" v="528"/>
    </bk>
    <bk>
      <rc t="2" v="529"/>
    </bk>
    <bk>
      <rc t="2" v="530"/>
    </bk>
    <bk>
      <rc t="2" v="531"/>
    </bk>
    <bk>
      <rc t="2" v="532"/>
    </bk>
    <bk>
      <rc t="2" v="533"/>
    </bk>
    <bk>
      <rc t="2" v="534"/>
    </bk>
    <bk>
      <rc t="2" v="535"/>
    </bk>
    <bk>
      <rc t="2" v="536"/>
    </bk>
    <bk>
      <rc t="2" v="537"/>
    </bk>
    <bk>
      <rc t="2" v="538"/>
    </bk>
    <bk>
      <rc t="2" v="539"/>
    </bk>
    <bk>
      <rc t="2" v="540"/>
    </bk>
    <bk>
      <rc t="2" v="541"/>
    </bk>
    <bk>
      <rc t="2" v="542"/>
    </bk>
    <bk>
      <rc t="2" v="543"/>
    </bk>
    <bk>
      <rc t="2" v="544"/>
    </bk>
    <bk>
      <rc t="2" v="545"/>
    </bk>
    <bk>
      <rc t="2" v="546"/>
    </bk>
    <bk>
      <rc t="2" v="547"/>
    </bk>
    <bk>
      <rc t="2" v="548"/>
    </bk>
    <bk>
      <rc t="2" v="549"/>
    </bk>
    <bk>
      <rc t="2" v="550"/>
    </bk>
    <bk>
      <rc t="2" v="551"/>
    </bk>
    <bk>
      <rc t="2" v="552"/>
    </bk>
    <bk>
      <rc t="2" v="553"/>
    </bk>
    <bk>
      <rc t="2" v="554"/>
    </bk>
    <bk>
      <rc t="2" v="555"/>
    </bk>
    <bk>
      <rc t="2" v="556"/>
    </bk>
    <bk>
      <rc t="2" v="557"/>
    </bk>
    <bk>
      <rc t="2" v="558"/>
    </bk>
    <bk>
      <rc t="2" v="559"/>
    </bk>
    <bk>
      <rc t="2" v="560"/>
    </bk>
    <bk>
      <rc t="2" v="561"/>
    </bk>
    <bk>
      <rc t="2" v="562"/>
    </bk>
    <bk>
      <rc t="2" v="563"/>
    </bk>
    <bk>
      <rc t="2" v="564"/>
    </bk>
    <bk>
      <rc t="2" v="565"/>
    </bk>
    <bk>
      <rc t="2" v="566"/>
    </bk>
    <bk>
      <rc t="2" v="567"/>
    </bk>
    <bk>
      <rc t="2" v="568"/>
    </bk>
    <bk>
      <rc t="2" v="569"/>
    </bk>
    <bk>
      <rc t="2" v="570"/>
    </bk>
    <bk>
      <rc t="2" v="571"/>
    </bk>
    <bk>
      <rc t="2" v="572"/>
    </bk>
    <bk>
      <rc t="2" v="573"/>
    </bk>
    <bk>
      <rc t="2" v="574"/>
    </bk>
    <bk>
      <rc t="2" v="575"/>
    </bk>
    <bk>
      <rc t="2" v="576"/>
    </bk>
    <bk>
      <rc t="2" v="577"/>
    </bk>
    <bk>
      <rc t="2" v="578"/>
    </bk>
    <bk>
      <rc t="2" v="579"/>
    </bk>
    <bk>
      <rc t="2" v="580"/>
    </bk>
    <bk>
      <rc t="2" v="581"/>
    </bk>
    <bk>
      <rc t="2" v="582"/>
    </bk>
    <bk>
      <rc t="2" v="583"/>
    </bk>
    <bk>
      <rc t="2" v="584"/>
    </bk>
    <bk>
      <rc t="2" v="585"/>
    </bk>
    <bk>
      <rc t="2" v="586"/>
    </bk>
    <bk>
      <rc t="2" v="587"/>
    </bk>
    <bk>
      <rc t="2" v="588"/>
    </bk>
    <bk>
      <rc t="2" v="589"/>
    </bk>
    <bk>
      <rc t="2" v="590"/>
    </bk>
    <bk>
      <rc t="2" v="591"/>
    </bk>
    <bk>
      <rc t="2" v="592"/>
    </bk>
    <bk>
      <rc t="2" v="593"/>
    </bk>
    <bk>
      <rc t="2" v="594"/>
    </bk>
    <bk>
      <rc t="2" v="595"/>
    </bk>
    <bk>
      <rc t="2" v="596"/>
    </bk>
    <bk>
      <rc t="2" v="597"/>
    </bk>
    <bk>
      <rc t="2" v="598"/>
    </bk>
    <bk>
      <rc t="2" v="599"/>
    </bk>
    <bk>
      <rc t="2" v="600"/>
    </bk>
    <bk>
      <rc t="2" v="601"/>
    </bk>
    <bk>
      <rc t="2" v="602"/>
    </bk>
    <bk>
      <rc t="2" v="603"/>
    </bk>
    <bk>
      <rc t="2" v="604"/>
    </bk>
    <bk>
      <rc t="2" v="605"/>
    </bk>
    <bk>
      <rc t="2" v="606"/>
    </bk>
    <bk>
      <rc t="2" v="607"/>
    </bk>
    <bk>
      <rc t="2" v="608"/>
    </bk>
    <bk>
      <rc t="2" v="609"/>
    </bk>
    <bk>
      <rc t="2" v="610"/>
    </bk>
    <bk>
      <rc t="2" v="611"/>
    </bk>
    <bk>
      <rc t="2" v="612"/>
    </bk>
    <bk>
      <rc t="2" v="613"/>
    </bk>
    <bk>
      <rc t="2" v="614"/>
    </bk>
    <bk>
      <rc t="2" v="615"/>
    </bk>
    <bk>
      <rc t="2" v="616"/>
    </bk>
    <bk>
      <rc t="2" v="617"/>
    </bk>
    <bk>
      <rc t="2" v="618"/>
    </bk>
    <bk>
      <rc t="2" v="619"/>
    </bk>
    <bk>
      <rc t="2" v="620"/>
    </bk>
    <bk>
      <rc t="2" v="621"/>
    </bk>
    <bk>
      <rc t="2" v="622"/>
    </bk>
    <bk>
      <rc t="2" v="623"/>
    </bk>
    <bk>
      <rc t="2" v="624"/>
    </bk>
    <bk>
      <rc t="2" v="625"/>
    </bk>
    <bk>
      <rc t="2" v="626"/>
    </bk>
    <bk>
      <rc t="2" v="627"/>
    </bk>
    <bk>
      <rc t="2" v="628"/>
    </bk>
    <bk>
      <rc t="2" v="629"/>
    </bk>
    <bk>
      <rc t="2" v="630"/>
    </bk>
    <bk>
      <rc t="2" v="631"/>
    </bk>
    <bk>
      <rc t="2" v="632"/>
    </bk>
    <bk>
      <rc t="2" v="633"/>
    </bk>
    <bk>
      <rc t="2" v="634"/>
    </bk>
    <bk>
      <rc t="2" v="635"/>
    </bk>
    <bk>
      <rc t="2" v="636"/>
    </bk>
    <bk>
      <rc t="2" v="637"/>
    </bk>
    <bk>
      <rc t="2" v="638"/>
    </bk>
    <bk>
      <rc t="2" v="639"/>
    </bk>
    <bk>
      <rc t="2" v="640"/>
    </bk>
    <bk>
      <rc t="2" v="641"/>
    </bk>
    <bk>
      <rc t="2" v="642"/>
    </bk>
    <bk>
      <rc t="2" v="643"/>
    </bk>
    <bk>
      <rc t="2" v="644"/>
    </bk>
    <bk>
      <rc t="2" v="645"/>
    </bk>
    <bk>
      <rc t="2" v="646"/>
    </bk>
    <bk>
      <rc t="2" v="647"/>
    </bk>
    <bk>
      <rc t="2" v="648"/>
    </bk>
    <bk>
      <rc t="2" v="649"/>
    </bk>
    <bk>
      <rc t="2" v="650"/>
    </bk>
    <bk>
      <rc t="2" v="651"/>
    </bk>
    <bk>
      <rc t="2" v="652"/>
    </bk>
    <bk>
      <rc t="2" v="653"/>
    </bk>
    <bk>
      <rc t="2" v="654"/>
    </bk>
    <bk>
      <rc t="2" v="655"/>
    </bk>
    <bk>
      <rc t="2" v="656"/>
    </bk>
    <bk>
      <rc t="2" v="657"/>
    </bk>
    <bk>
      <rc t="2" v="658"/>
    </bk>
    <bk>
      <rc t="2" v="659"/>
    </bk>
    <bk>
      <rc t="2" v="660"/>
    </bk>
    <bk>
      <rc t="2" v="661"/>
    </bk>
    <bk>
      <rc t="2" v="662"/>
    </bk>
    <bk>
      <rc t="2" v="663"/>
    </bk>
    <bk>
      <rc t="2" v="664"/>
    </bk>
    <bk>
      <rc t="2" v="665"/>
    </bk>
    <bk>
      <rc t="2" v="666"/>
    </bk>
    <bk>
      <rc t="2" v="667"/>
    </bk>
    <bk>
      <rc t="2" v="668"/>
    </bk>
    <bk>
      <rc t="2" v="669"/>
    </bk>
    <bk>
      <rc t="2" v="670"/>
    </bk>
    <bk>
      <rc t="2" v="671"/>
    </bk>
    <bk>
      <rc t="2" v="672"/>
    </bk>
    <bk>
      <rc t="2" v="673"/>
    </bk>
    <bk>
      <rc t="2" v="674"/>
    </bk>
    <bk>
      <rc t="2" v="675"/>
    </bk>
    <bk>
      <rc t="2" v="676"/>
    </bk>
    <bk>
      <rc t="2" v="677"/>
    </bk>
    <bk>
      <rc t="2" v="678"/>
    </bk>
    <bk>
      <rc t="2" v="679"/>
    </bk>
    <bk>
      <rc t="2" v="680"/>
    </bk>
    <bk>
      <rc t="2" v="681"/>
    </bk>
    <bk>
      <rc t="2" v="682"/>
    </bk>
    <bk>
      <rc t="2" v="683"/>
    </bk>
    <bk>
      <rc t="2" v="684"/>
    </bk>
    <bk>
      <rc t="2" v="685"/>
    </bk>
    <bk>
      <rc t="2" v="686"/>
    </bk>
    <bk>
      <rc t="2" v="687"/>
    </bk>
    <bk>
      <rc t="2" v="688"/>
    </bk>
    <bk>
      <rc t="2" v="689"/>
    </bk>
    <bk>
      <rc t="2" v="690"/>
    </bk>
    <bk>
      <rc t="2" v="691"/>
    </bk>
    <bk>
      <rc t="2" v="692"/>
    </bk>
    <bk>
      <rc t="2" v="693"/>
    </bk>
    <bk>
      <rc t="2" v="694"/>
    </bk>
    <bk>
      <rc t="2" v="695"/>
    </bk>
    <bk>
      <rc t="2" v="696"/>
    </bk>
    <bk>
      <rc t="2" v="697"/>
    </bk>
    <bk>
      <rc t="2" v="698"/>
    </bk>
    <bk>
      <rc t="2" v="699"/>
    </bk>
    <bk>
      <rc t="2" v="700"/>
    </bk>
    <bk>
      <rc t="2" v="701"/>
    </bk>
    <bk>
      <rc t="2" v="702"/>
    </bk>
    <bk>
      <rc t="2" v="703"/>
    </bk>
    <bk>
      <rc t="2" v="704"/>
    </bk>
    <bk>
      <rc t="2" v="705"/>
    </bk>
    <bk>
      <rc t="2" v="706"/>
    </bk>
    <bk>
      <rc t="2" v="707"/>
    </bk>
    <bk>
      <rc t="2" v="708"/>
    </bk>
    <bk>
      <rc t="2" v="709"/>
    </bk>
    <bk>
      <rc t="2" v="710"/>
    </bk>
    <bk>
      <rc t="2" v="711"/>
    </bk>
    <bk>
      <rc t="2" v="712"/>
    </bk>
    <bk>
      <rc t="2" v="713"/>
    </bk>
    <bk>
      <rc t="2" v="714"/>
    </bk>
    <bk>
      <rc t="2" v="715"/>
    </bk>
    <bk>
      <rc t="2" v="716"/>
    </bk>
    <bk>
      <rc t="2" v="717"/>
    </bk>
    <bk>
      <rc t="2" v="718"/>
    </bk>
    <bk>
      <rc t="2" v="719"/>
    </bk>
    <bk>
      <rc t="2" v="720"/>
    </bk>
    <bk>
      <rc t="2" v="721"/>
    </bk>
    <bk>
      <rc t="2" v="722"/>
    </bk>
    <bk>
      <rc t="2" v="723"/>
    </bk>
    <bk>
      <rc t="2" v="724"/>
    </bk>
    <bk>
      <rc t="2" v="725"/>
    </bk>
    <bk>
      <rc t="2" v="726"/>
    </bk>
    <bk>
      <rc t="2" v="727"/>
    </bk>
    <bk>
      <rc t="2" v="728"/>
    </bk>
    <bk>
      <rc t="2" v="729"/>
    </bk>
    <bk>
      <rc t="2" v="730"/>
    </bk>
    <bk>
      <rc t="2" v="731"/>
    </bk>
    <bk>
      <rc t="2" v="732"/>
    </bk>
    <bk>
      <rc t="2" v="733"/>
    </bk>
    <bk>
      <rc t="2" v="734"/>
    </bk>
    <bk>
      <rc t="2" v="735"/>
    </bk>
    <bk>
      <rc t="2" v="736"/>
    </bk>
    <bk>
      <rc t="2" v="737"/>
    </bk>
    <bk>
      <rc t="2" v="738"/>
    </bk>
    <bk>
      <rc t="2" v="739"/>
    </bk>
    <bk>
      <rc t="2" v="740"/>
    </bk>
    <bk>
      <rc t="2" v="741"/>
    </bk>
    <bk>
      <rc t="2" v="742"/>
    </bk>
    <bk>
      <rc t="2" v="743"/>
    </bk>
    <bk>
      <rc t="2" v="744"/>
    </bk>
    <bk>
      <rc t="2" v="745"/>
    </bk>
    <bk>
      <rc t="2" v="746"/>
    </bk>
    <bk>
      <rc t="2" v="747"/>
    </bk>
    <bk>
      <rc t="2" v="748"/>
    </bk>
    <bk>
      <rc t="2" v="749"/>
    </bk>
    <bk>
      <rc t="2" v="750"/>
    </bk>
    <bk>
      <rc t="2" v="751"/>
    </bk>
    <bk>
      <rc t="2" v="752"/>
    </bk>
    <bk>
      <rc t="2" v="753"/>
    </bk>
    <bk>
      <rc t="2" v="754"/>
    </bk>
    <bk>
      <rc t="2" v="755"/>
    </bk>
    <bk>
      <rc t="2" v="756"/>
    </bk>
    <bk>
      <rc t="2" v="757"/>
    </bk>
    <bk>
      <rc t="2" v="758"/>
    </bk>
    <bk>
      <rc t="2" v="759"/>
    </bk>
    <bk>
      <rc t="2" v="760"/>
    </bk>
    <bk>
      <rc t="2" v="761"/>
    </bk>
    <bk>
      <rc t="2" v="762"/>
    </bk>
    <bk>
      <rc t="2" v="763"/>
    </bk>
    <bk>
      <rc t="2" v="764"/>
    </bk>
    <bk>
      <rc t="2" v="765"/>
    </bk>
    <bk>
      <rc t="2" v="766"/>
    </bk>
    <bk>
      <rc t="2" v="767"/>
    </bk>
    <bk>
      <rc t="2" v="768"/>
    </bk>
    <bk>
      <rc t="2" v="769"/>
    </bk>
    <bk>
      <rc t="2" v="770"/>
    </bk>
    <bk>
      <rc t="2" v="771"/>
    </bk>
    <bk>
      <rc t="2" v="772"/>
    </bk>
    <bk>
      <rc t="2" v="773"/>
    </bk>
    <bk>
      <rc t="2" v="774"/>
    </bk>
    <bk>
      <rc t="2" v="775"/>
    </bk>
    <bk>
      <rc t="2" v="776"/>
    </bk>
    <bk>
      <rc t="2" v="777"/>
    </bk>
    <bk>
      <rc t="2" v="778"/>
    </bk>
    <bk>
      <rc t="2" v="779"/>
    </bk>
    <bk>
      <rc t="2" v="780"/>
    </bk>
    <bk>
      <rc t="2" v="781"/>
    </bk>
    <bk>
      <rc t="2" v="782"/>
    </bk>
    <bk>
      <rc t="2" v="783"/>
    </bk>
    <bk>
      <rc t="2" v="784"/>
    </bk>
    <bk>
      <rc t="2" v="785"/>
    </bk>
    <bk>
      <rc t="2" v="786"/>
    </bk>
    <bk>
      <rc t="2" v="787"/>
    </bk>
    <bk>
      <rc t="2" v="788"/>
    </bk>
    <bk>
      <rc t="2" v="789"/>
    </bk>
    <bk>
      <rc t="2" v="790"/>
    </bk>
    <bk>
      <rc t="2" v="791"/>
    </bk>
    <bk>
      <rc t="2" v="792"/>
    </bk>
    <bk>
      <rc t="2" v="793"/>
    </bk>
    <bk>
      <rc t="2" v="794"/>
    </bk>
    <bk>
      <rc t="2" v="795"/>
    </bk>
    <bk>
      <rc t="2" v="796"/>
    </bk>
    <bk>
      <rc t="2" v="797"/>
    </bk>
    <bk>
      <rc t="2" v="798"/>
    </bk>
    <bk>
      <rc t="2" v="799"/>
    </bk>
    <bk>
      <rc t="2" v="800"/>
    </bk>
    <bk>
      <rc t="2" v="801"/>
    </bk>
    <bk>
      <rc t="2" v="802"/>
    </bk>
    <bk>
      <rc t="2" v="803"/>
    </bk>
    <bk>
      <rc t="2" v="804"/>
    </bk>
    <bk>
      <rc t="2" v="805"/>
    </bk>
    <bk>
      <rc t="2" v="806"/>
    </bk>
    <bk>
      <rc t="2" v="807"/>
    </bk>
    <bk>
      <rc t="2" v="808"/>
    </bk>
    <bk>
      <rc t="2" v="809"/>
    </bk>
    <bk>
      <rc t="2" v="810"/>
    </bk>
    <bk>
      <rc t="2" v="811"/>
    </bk>
    <bk>
      <rc t="2" v="812"/>
    </bk>
    <bk>
      <rc t="2" v="813"/>
    </bk>
    <bk>
      <rc t="2" v="814"/>
    </bk>
    <bk>
      <rc t="2" v="815"/>
    </bk>
    <bk>
      <rc t="2" v="816"/>
    </bk>
    <bk>
      <rc t="2" v="817"/>
    </bk>
    <bk>
      <rc t="2" v="818"/>
    </bk>
    <bk>
      <rc t="2" v="819"/>
    </bk>
    <bk>
      <rc t="2" v="820"/>
    </bk>
    <bk>
      <rc t="2" v="821"/>
    </bk>
    <bk>
      <rc t="2" v="822"/>
    </bk>
    <bk>
      <rc t="2" v="823"/>
    </bk>
    <bk>
      <rc t="2" v="824"/>
    </bk>
    <bk>
      <rc t="2" v="825"/>
    </bk>
    <bk>
      <rc t="2" v="826"/>
    </bk>
    <bk>
      <rc t="2" v="827"/>
    </bk>
    <bk>
      <rc t="2" v="828"/>
    </bk>
    <bk>
      <rc t="2" v="829"/>
    </bk>
    <bk>
      <rc t="2" v="830"/>
    </bk>
    <bk>
      <rc t="2" v="831"/>
    </bk>
    <bk>
      <rc t="2" v="832"/>
    </bk>
    <bk>
      <rc t="2" v="833"/>
    </bk>
    <bk>
      <rc t="2" v="834"/>
    </bk>
    <bk>
      <rc t="2" v="835"/>
    </bk>
    <bk>
      <rc t="2" v="836"/>
    </bk>
    <bk>
      <rc t="2" v="837"/>
    </bk>
    <bk>
      <rc t="2" v="838"/>
    </bk>
    <bk>
      <rc t="2" v="839"/>
    </bk>
    <bk>
      <rc t="2" v="840"/>
    </bk>
    <bk>
      <rc t="2" v="841"/>
    </bk>
    <bk>
      <rc t="2" v="842"/>
    </bk>
    <bk>
      <rc t="2" v="843"/>
    </bk>
    <bk>
      <rc t="2" v="844"/>
    </bk>
    <bk>
      <rc t="2" v="845"/>
    </bk>
    <bk>
      <rc t="2" v="846"/>
    </bk>
    <bk>
      <rc t="2" v="847"/>
    </bk>
    <bk>
      <rc t="2" v="848"/>
    </bk>
    <bk>
      <rc t="2" v="849"/>
    </bk>
    <bk>
      <rc t="2" v="850"/>
    </bk>
    <bk>
      <rc t="2" v="851"/>
    </bk>
    <bk>
      <rc t="2" v="852"/>
    </bk>
    <bk>
      <rc t="2" v="853"/>
    </bk>
    <bk>
      <rc t="2" v="854"/>
    </bk>
    <bk>
      <rc t="2" v="855"/>
    </bk>
    <bk>
      <rc t="2" v="856"/>
    </bk>
    <bk>
      <rc t="2" v="857"/>
    </bk>
    <bk>
      <rc t="2" v="858"/>
    </bk>
    <bk>
      <rc t="2" v="859"/>
    </bk>
    <bk>
      <rc t="2" v="860"/>
    </bk>
    <bk>
      <rc t="2" v="861"/>
    </bk>
    <bk>
      <rc t="2" v="862"/>
    </bk>
    <bk>
      <rc t="2" v="863"/>
    </bk>
    <bk>
      <rc t="2" v="864"/>
    </bk>
    <bk>
      <rc t="2" v="865"/>
    </bk>
    <bk>
      <rc t="2" v="866"/>
    </bk>
    <bk>
      <rc t="2" v="867"/>
    </bk>
    <bk>
      <rc t="2" v="868"/>
    </bk>
    <bk>
      <rc t="2" v="869"/>
    </bk>
    <bk>
      <rc t="2" v="870"/>
    </bk>
    <bk>
      <rc t="2" v="871"/>
    </bk>
    <bk>
      <rc t="2" v="872"/>
    </bk>
    <bk>
      <rc t="2" v="873"/>
    </bk>
    <bk>
      <rc t="2" v="874"/>
    </bk>
    <bk>
      <rc t="2" v="875"/>
    </bk>
    <bk>
      <rc t="2" v="876"/>
    </bk>
    <bk>
      <rc t="2" v="877"/>
    </bk>
    <bk>
      <rc t="2" v="878"/>
    </bk>
    <bk>
      <rc t="2" v="879"/>
    </bk>
    <bk>
      <rc t="2" v="880"/>
    </bk>
    <bk>
      <rc t="2" v="881"/>
    </bk>
    <bk>
      <rc t="2" v="882"/>
    </bk>
    <bk>
      <rc t="2" v="883"/>
    </bk>
    <bk>
      <rc t="2" v="884"/>
    </bk>
    <bk>
      <rc t="2" v="885"/>
    </bk>
    <bk>
      <rc t="2" v="886"/>
    </bk>
    <bk>
      <rc t="2" v="887"/>
    </bk>
    <bk>
      <rc t="2" v="888"/>
    </bk>
    <bk>
      <rc t="2" v="889"/>
    </bk>
    <bk>
      <rc t="2" v="890"/>
    </bk>
    <bk>
      <rc t="2" v="891"/>
    </bk>
    <bk>
      <rc t="2" v="892"/>
    </bk>
    <bk>
      <rc t="2" v="893"/>
    </bk>
    <bk>
      <rc t="2" v="894"/>
    </bk>
    <bk>
      <rc t="2" v="895"/>
    </bk>
    <bk>
      <rc t="2" v="896"/>
    </bk>
    <bk>
      <rc t="2" v="897"/>
    </bk>
    <bk>
      <rc t="2" v="898"/>
    </bk>
    <bk>
      <rc t="2" v="899"/>
    </bk>
    <bk>
      <rc t="2" v="900"/>
    </bk>
    <bk>
      <rc t="2" v="901"/>
    </bk>
    <bk>
      <rc t="2" v="902"/>
    </bk>
    <bk>
      <rc t="2" v="903"/>
    </bk>
    <bk>
      <rc t="2" v="904"/>
    </bk>
    <bk>
      <rc t="2" v="905"/>
    </bk>
    <bk>
      <rc t="2" v="906"/>
    </bk>
    <bk>
      <rc t="2" v="907"/>
    </bk>
    <bk>
      <rc t="2" v="908"/>
    </bk>
    <bk>
      <rc t="2" v="909"/>
    </bk>
    <bk>
      <rc t="2" v="910"/>
    </bk>
    <bk>
      <rc t="2" v="911"/>
    </bk>
    <bk>
      <rc t="2" v="912"/>
    </bk>
    <bk>
      <rc t="2" v="913"/>
    </bk>
    <bk>
      <rc t="2" v="914"/>
    </bk>
    <bk>
      <rc t="2" v="915"/>
    </bk>
    <bk>
      <rc t="2" v="916"/>
    </bk>
    <bk>
      <rc t="2" v="917"/>
    </bk>
    <bk>
      <rc t="2" v="918"/>
    </bk>
    <bk>
      <rc t="2" v="919"/>
    </bk>
    <bk>
      <rc t="2" v="920"/>
    </bk>
    <bk>
      <rc t="2" v="921"/>
    </bk>
    <bk>
      <rc t="2" v="922"/>
    </bk>
    <bk>
      <rc t="2" v="923"/>
    </bk>
    <bk>
      <rc t="2" v="924"/>
    </bk>
    <bk>
      <rc t="2" v="925"/>
    </bk>
    <bk>
      <rc t="2" v="926"/>
    </bk>
    <bk>
      <rc t="2" v="927"/>
    </bk>
    <bk>
      <rc t="2" v="928"/>
    </bk>
    <bk>
      <rc t="2" v="929"/>
    </bk>
    <bk>
      <rc t="2" v="930"/>
    </bk>
    <bk>
      <rc t="2" v="931"/>
    </bk>
    <bk>
      <rc t="2" v="932"/>
    </bk>
    <bk>
      <rc t="2" v="933"/>
    </bk>
    <bk>
      <rc t="2" v="934"/>
    </bk>
    <bk>
      <rc t="2" v="935"/>
    </bk>
    <bk>
      <rc t="2" v="936"/>
    </bk>
    <bk>
      <rc t="2" v="937"/>
    </bk>
    <bk>
      <rc t="2" v="938"/>
    </bk>
    <bk>
      <rc t="2" v="939"/>
    </bk>
    <bk>
      <rc t="2" v="940"/>
    </bk>
    <bk>
      <rc t="2" v="941"/>
    </bk>
    <bk>
      <rc t="2" v="942"/>
    </bk>
    <bk>
      <rc t="2" v="943"/>
    </bk>
    <bk>
      <rc t="2" v="944"/>
    </bk>
    <bk>
      <rc t="2" v="945"/>
    </bk>
    <bk>
      <rc t="2" v="946"/>
    </bk>
    <bk>
      <rc t="2" v="947"/>
    </bk>
    <bk>
      <rc t="2" v="948"/>
    </bk>
    <bk>
      <rc t="2" v="949"/>
    </bk>
    <bk>
      <rc t="2" v="950"/>
    </bk>
    <bk>
      <rc t="2" v="951"/>
    </bk>
    <bk>
      <rc t="2" v="952"/>
    </bk>
    <bk>
      <rc t="2" v="953"/>
    </bk>
    <bk>
      <rc t="2" v="954"/>
    </bk>
    <bk>
      <rc t="2" v="955"/>
    </bk>
    <bk>
      <rc t="2" v="956"/>
    </bk>
    <bk>
      <rc t="2" v="957"/>
    </bk>
    <bk>
      <rc t="2" v="958"/>
    </bk>
    <bk>
      <rc t="2" v="959"/>
    </bk>
    <bk>
      <rc t="2" v="960"/>
    </bk>
    <bk>
      <rc t="2" v="961"/>
    </bk>
    <bk>
      <rc t="2" v="962"/>
    </bk>
    <bk>
      <rc t="2" v="963"/>
    </bk>
    <bk>
      <rc t="2" v="964"/>
    </bk>
    <bk>
      <rc t="2" v="965"/>
    </bk>
    <bk>
      <rc t="2" v="966"/>
    </bk>
    <bk>
      <rc t="2" v="967"/>
    </bk>
    <bk>
      <rc t="2" v="968"/>
    </bk>
    <bk>
      <rc t="2" v="969"/>
    </bk>
    <bk>
      <rc t="2" v="970"/>
    </bk>
    <bk>
      <rc t="2" v="971"/>
    </bk>
    <bk>
      <rc t="2" v="972"/>
    </bk>
    <bk>
      <rc t="2" v="973"/>
    </bk>
    <bk>
      <rc t="2" v="974"/>
    </bk>
    <bk>
      <rc t="2" v="975"/>
    </bk>
    <bk>
      <rc t="2" v="976"/>
    </bk>
    <bk>
      <rc t="2" v="977"/>
    </bk>
    <bk>
      <rc t="2" v="978"/>
    </bk>
    <bk>
      <rc t="2" v="979"/>
    </bk>
    <bk>
      <rc t="2" v="980"/>
    </bk>
    <bk>
      <rc t="2" v="981"/>
    </bk>
    <bk>
      <rc t="2" v="982"/>
    </bk>
    <bk>
      <rc t="2" v="983"/>
    </bk>
    <bk>
      <rc t="2" v="984"/>
    </bk>
    <bk>
      <rc t="2" v="985"/>
    </bk>
    <bk>
      <rc t="2" v="986"/>
    </bk>
    <bk>
      <rc t="2" v="987"/>
    </bk>
    <bk>
      <rc t="2" v="988"/>
    </bk>
    <bk>
      <rc t="2" v="989"/>
    </bk>
    <bk>
      <rc t="2" v="990"/>
    </bk>
    <bk>
      <rc t="2" v="991"/>
    </bk>
    <bk>
      <rc t="2" v="992"/>
    </bk>
    <bk>
      <rc t="2" v="993"/>
    </bk>
    <bk>
      <rc t="2" v="994"/>
    </bk>
    <bk>
      <rc t="2" v="995"/>
    </bk>
    <bk>
      <rc t="2" v="996"/>
    </bk>
    <bk>
      <rc t="2" v="997"/>
    </bk>
    <bk>
      <rc t="2" v="998"/>
    </bk>
    <bk>
      <rc t="2" v="999"/>
    </bk>
    <bk>
      <rc t="2" v="1000"/>
    </bk>
    <bk>
      <rc t="2" v="1001"/>
    </bk>
    <bk>
      <rc t="2" v="1002"/>
    </bk>
    <bk>
      <rc t="2" v="1003"/>
    </bk>
    <bk>
      <rc t="2" v="1004"/>
    </bk>
    <bk>
      <rc t="2" v="1005"/>
    </bk>
    <bk>
      <rc t="2" v="1006"/>
    </bk>
    <bk>
      <rc t="2" v="1007"/>
    </bk>
    <bk>
      <rc t="2" v="1008"/>
    </bk>
    <bk>
      <rc t="2" v="1009"/>
    </bk>
    <bk>
      <rc t="2" v="1010"/>
    </bk>
    <bk>
      <rc t="2" v="1011"/>
    </bk>
    <bk>
      <rc t="2" v="1012"/>
    </bk>
    <bk>
      <rc t="2" v="1013"/>
    </bk>
    <bk>
      <rc t="2" v="1014"/>
    </bk>
    <bk>
      <rc t="2" v="1015"/>
    </bk>
    <bk>
      <rc t="2" v="1016"/>
    </bk>
    <bk>
      <rc t="2" v="1017"/>
    </bk>
    <bk>
      <rc t="2" v="1018"/>
    </bk>
    <bk>
      <rc t="2" v="1019"/>
    </bk>
    <bk>
      <rc t="2" v="1020"/>
    </bk>
    <bk>
      <rc t="2" v="1021"/>
    </bk>
    <bk>
      <rc t="2" v="1022"/>
    </bk>
    <bk>
      <rc t="2" v="1023"/>
    </bk>
    <bk>
      <rc t="2" v="1024"/>
    </bk>
    <bk>
      <rc t="2" v="1025"/>
    </bk>
    <bk>
      <rc t="2" v="1026"/>
    </bk>
    <bk>
      <rc t="2" v="1027"/>
    </bk>
    <bk>
      <rc t="2" v="1028"/>
    </bk>
    <bk>
      <rc t="2" v="1029"/>
    </bk>
    <bk>
      <rc t="2" v="1030"/>
    </bk>
    <bk>
      <rc t="2" v="1031"/>
    </bk>
    <bk>
      <rc t="2" v="1032"/>
    </bk>
    <bk>
      <rc t="2" v="1033"/>
    </bk>
    <bk>
      <rc t="2" v="1034"/>
    </bk>
    <bk>
      <rc t="2" v="1035"/>
    </bk>
    <bk>
      <rc t="2" v="1036"/>
    </bk>
    <bk>
      <rc t="2" v="1037"/>
    </bk>
    <bk>
      <rc t="2" v="1038"/>
    </bk>
    <bk>
      <rc t="2" v="1039"/>
    </bk>
    <bk>
      <rc t="2" v="1040"/>
    </bk>
    <bk>
      <rc t="2" v="1041"/>
    </bk>
    <bk>
      <rc t="2" v="1042"/>
    </bk>
    <bk>
      <rc t="2" v="1043"/>
    </bk>
    <bk>
      <rc t="2" v="1044"/>
    </bk>
    <bk>
      <rc t="2" v="1045"/>
    </bk>
    <bk>
      <rc t="2" v="1046"/>
    </bk>
    <bk>
      <rc t="2" v="1047"/>
    </bk>
    <bk>
      <rc t="2" v="1048"/>
    </bk>
    <bk>
      <rc t="2" v="1049"/>
    </bk>
    <bk>
      <rc t="2" v="1050"/>
    </bk>
    <bk>
      <rc t="2" v="1051"/>
    </bk>
    <bk>
      <rc t="2" v="1052"/>
    </bk>
    <bk>
      <rc t="2" v="1053"/>
    </bk>
    <bk>
      <rc t="2" v="1054"/>
    </bk>
    <bk>
      <rc t="2" v="1055"/>
    </bk>
    <bk>
      <rc t="2" v="1056"/>
    </bk>
    <bk>
      <rc t="2" v="1057"/>
    </bk>
    <bk>
      <rc t="2" v="1058"/>
    </bk>
    <bk>
      <rc t="2" v="1059"/>
    </bk>
    <bk>
      <rc t="2" v="1060"/>
    </bk>
    <bk>
      <rc t="2" v="1061"/>
    </bk>
    <bk>
      <rc t="2" v="1062"/>
    </bk>
    <bk>
      <rc t="2" v="1063"/>
    </bk>
    <bk>
      <rc t="2" v="1064"/>
    </bk>
    <bk>
      <rc t="2" v="1065"/>
    </bk>
    <bk>
      <rc t="2" v="1066"/>
    </bk>
    <bk>
      <rc t="2" v="1067"/>
    </bk>
    <bk>
      <rc t="2" v="1068"/>
    </bk>
    <bk>
      <rc t="2" v="1069"/>
    </bk>
    <bk>
      <rc t="2" v="1070"/>
    </bk>
    <bk>
      <rc t="2" v="1071"/>
    </bk>
    <bk>
      <rc t="2" v="1072"/>
    </bk>
    <bk>
      <rc t="2" v="1073"/>
    </bk>
    <bk>
      <rc t="2" v="1074"/>
    </bk>
    <bk>
      <rc t="2" v="1075"/>
    </bk>
    <bk>
      <rc t="2" v="1076"/>
    </bk>
    <bk>
      <rc t="2" v="1077"/>
    </bk>
    <bk>
      <rc t="2" v="1078"/>
    </bk>
    <bk>
      <rc t="2" v="1079"/>
    </bk>
    <bk>
      <rc t="2" v="1080"/>
    </bk>
    <bk>
      <rc t="2" v="1081"/>
    </bk>
    <bk>
      <rc t="2" v="1082"/>
    </bk>
    <bk>
      <rc t="2" v="1083"/>
    </bk>
    <bk>
      <rc t="2" v="1084"/>
    </bk>
    <bk>
      <rc t="2" v="1085"/>
    </bk>
    <bk>
      <rc t="2" v="1086"/>
    </bk>
    <bk>
      <rc t="2" v="1087"/>
    </bk>
    <bk>
      <rc t="2" v="1088"/>
    </bk>
    <bk>
      <rc t="2" v="1089"/>
    </bk>
    <bk>
      <rc t="2" v="1090"/>
    </bk>
    <bk>
      <rc t="2" v="1091"/>
    </bk>
    <bk>
      <rc t="2" v="1092"/>
    </bk>
    <bk>
      <rc t="2" v="1093"/>
    </bk>
    <bk>
      <rc t="2" v="1094"/>
    </bk>
    <bk>
      <rc t="2" v="1095"/>
    </bk>
    <bk>
      <rc t="2" v="1096"/>
    </bk>
    <bk>
      <rc t="2" v="1097"/>
    </bk>
    <bk>
      <rc t="2" v="1098"/>
    </bk>
    <bk>
      <rc t="2" v="1099"/>
    </bk>
    <bk>
      <rc t="2" v="1100"/>
    </bk>
    <bk>
      <rc t="2" v="1101"/>
    </bk>
    <bk>
      <rc t="2" v="1102"/>
    </bk>
    <bk>
      <rc t="2" v="1103"/>
    </bk>
    <bk>
      <rc t="2" v="1104"/>
    </bk>
    <bk>
      <rc t="2" v="1105"/>
    </bk>
    <bk>
      <rc t="2" v="1106"/>
    </bk>
    <bk>
      <rc t="2" v="1107"/>
    </bk>
    <bk>
      <rc t="2" v="1108"/>
    </bk>
    <bk>
      <rc t="2" v="1109"/>
    </bk>
    <bk>
      <rc t="2" v="1110"/>
    </bk>
    <bk>
      <rc t="2" v="1111"/>
    </bk>
    <bk>
      <rc t="2" v="1112"/>
    </bk>
    <bk>
      <rc t="2" v="1113"/>
    </bk>
    <bk>
      <rc t="2" v="1114"/>
    </bk>
    <bk>
      <rc t="2" v="1115"/>
    </bk>
    <bk>
      <rc t="2" v="1116"/>
    </bk>
    <bk>
      <rc t="2" v="1117"/>
    </bk>
    <bk>
      <rc t="2" v="1118"/>
    </bk>
    <bk>
      <rc t="2" v="1119"/>
    </bk>
    <bk>
      <rc t="2" v="1120"/>
    </bk>
    <bk>
      <rc t="2" v="1121"/>
    </bk>
    <bk>
      <rc t="2" v="1122"/>
    </bk>
    <bk>
      <rc t="2" v="1123"/>
    </bk>
    <bk>
      <rc t="2" v="1124"/>
    </bk>
    <bk>
      <rc t="2" v="1125"/>
    </bk>
    <bk>
      <rc t="2" v="1126"/>
    </bk>
    <bk>
      <rc t="2" v="1127"/>
    </bk>
    <bk>
      <rc t="2" v="1128"/>
    </bk>
    <bk>
      <rc t="2" v="1129"/>
    </bk>
    <bk>
      <rc t="2" v="1130"/>
    </bk>
    <bk>
      <rc t="2" v="1131"/>
    </bk>
    <bk>
      <rc t="2" v="1132"/>
    </bk>
    <bk>
      <rc t="2" v="1133"/>
    </bk>
    <bk>
      <rc t="2" v="1134"/>
    </bk>
    <bk>
      <rc t="2" v="1135"/>
    </bk>
    <bk>
      <rc t="2" v="1136"/>
    </bk>
    <bk>
      <rc t="2" v="1137"/>
    </bk>
    <bk>
      <rc t="2" v="1138"/>
    </bk>
    <bk>
      <rc t="2" v="1139"/>
    </bk>
    <bk>
      <rc t="2" v="1140"/>
    </bk>
    <bk>
      <rc t="2" v="1141"/>
    </bk>
    <bk>
      <rc t="2" v="1142"/>
    </bk>
    <bk>
      <rc t="2" v="1143"/>
    </bk>
    <bk>
      <rc t="2" v="1144"/>
    </bk>
    <bk>
      <rc t="2" v="1145"/>
    </bk>
    <bk>
      <rc t="2" v="1146"/>
    </bk>
    <bk>
      <rc t="2" v="1147"/>
    </bk>
    <bk>
      <rc t="2" v="1148"/>
    </bk>
    <bk>
      <rc t="2" v="1149"/>
    </bk>
    <bk>
      <rc t="2" v="1150"/>
    </bk>
    <bk>
      <rc t="2" v="1151"/>
    </bk>
    <bk>
      <rc t="2" v="1152"/>
    </bk>
    <bk>
      <rc t="2" v="1153"/>
    </bk>
    <bk>
      <rc t="2" v="1154"/>
    </bk>
    <bk>
      <rc t="2" v="1155"/>
    </bk>
    <bk>
      <rc t="2" v="1156"/>
    </bk>
    <bk>
      <rc t="2" v="1157"/>
    </bk>
    <bk>
      <rc t="2" v="1158"/>
    </bk>
    <bk>
      <rc t="2" v="1159"/>
    </bk>
    <bk>
      <rc t="2" v="1160"/>
    </bk>
    <bk>
      <rc t="2" v="1161"/>
    </bk>
    <bk>
      <rc t="2" v="1162"/>
    </bk>
    <bk>
      <rc t="2" v="1163"/>
    </bk>
    <bk>
      <rc t="2" v="1164"/>
    </bk>
    <bk>
      <rc t="2" v="1165"/>
    </bk>
    <bk>
      <rc t="2" v="1166"/>
    </bk>
    <bk>
      <rc t="2" v="1167"/>
    </bk>
    <bk>
      <rc t="2" v="1168"/>
    </bk>
    <bk>
      <rc t="2" v="1169"/>
    </bk>
    <bk>
      <rc t="2" v="1170"/>
    </bk>
    <bk>
      <rc t="2" v="1171"/>
    </bk>
    <bk>
      <rc t="2" v="1172"/>
    </bk>
    <bk>
      <rc t="2" v="1173"/>
    </bk>
    <bk>
      <rc t="2" v="1174"/>
    </bk>
    <bk>
      <rc t="2" v="1175"/>
    </bk>
    <bk>
      <rc t="2" v="1176"/>
    </bk>
    <bk>
      <rc t="2" v="1177"/>
    </bk>
    <bk>
      <rc t="2" v="1178"/>
    </bk>
    <bk>
      <rc t="2" v="1179"/>
    </bk>
    <bk>
      <rc t="2" v="1180"/>
    </bk>
    <bk>
      <rc t="2" v="1181"/>
    </bk>
    <bk>
      <rc t="2" v="1182"/>
    </bk>
    <bk>
      <rc t="2" v="1183"/>
    </bk>
    <bk>
      <rc t="2" v="1184"/>
    </bk>
    <bk>
      <rc t="2" v="1185"/>
    </bk>
    <bk>
      <rc t="2" v="1186"/>
    </bk>
    <bk>
      <rc t="2" v="1187"/>
    </bk>
    <bk>
      <rc t="2" v="1188"/>
    </bk>
    <bk>
      <rc t="2" v="1189"/>
    </bk>
    <bk>
      <rc t="2" v="1190"/>
    </bk>
    <bk>
      <rc t="2" v="1191"/>
    </bk>
    <bk>
      <rc t="2" v="1192"/>
    </bk>
    <bk>
      <rc t="2" v="1193"/>
    </bk>
    <bk>
      <rc t="2" v="1194"/>
    </bk>
    <bk>
      <rc t="2" v="1195"/>
    </bk>
    <bk>
      <rc t="2" v="1196"/>
    </bk>
    <bk>
      <rc t="2" v="1197"/>
    </bk>
    <bk>
      <rc t="2" v="1198"/>
    </bk>
    <bk>
      <rc t="2" v="1199"/>
    </bk>
    <bk>
      <rc t="2" v="1200"/>
    </bk>
    <bk>
      <rc t="2" v="1201"/>
    </bk>
    <bk>
      <rc t="2" v="1202"/>
    </bk>
    <bk>
      <rc t="2" v="1203"/>
    </bk>
    <bk>
      <rc t="2" v="1204"/>
    </bk>
    <bk>
      <rc t="2" v="1205"/>
    </bk>
    <bk>
      <rc t="2" v="1206"/>
    </bk>
    <bk>
      <rc t="2" v="1207"/>
    </bk>
    <bk>
      <rc t="2" v="1208"/>
    </bk>
    <bk>
      <rc t="2" v="1209"/>
    </bk>
    <bk>
      <rc t="2" v="1210"/>
    </bk>
    <bk>
      <rc t="2" v="1211"/>
    </bk>
    <bk>
      <rc t="2" v="1212"/>
    </bk>
    <bk>
      <rc t="2" v="1213"/>
    </bk>
    <bk>
      <rc t="2" v="1214"/>
    </bk>
    <bk>
      <rc t="2" v="1215"/>
    </bk>
    <bk>
      <rc t="2" v="1216"/>
    </bk>
    <bk>
      <rc t="2" v="1217"/>
    </bk>
    <bk>
      <rc t="2" v="1218"/>
    </bk>
    <bk>
      <rc t="2" v="1219"/>
    </bk>
    <bk>
      <rc t="2" v="1220"/>
    </bk>
    <bk>
      <rc t="2" v="1221"/>
    </bk>
    <bk>
      <rc t="2" v="1222"/>
    </bk>
    <bk>
      <rc t="2" v="1223"/>
    </bk>
    <bk>
      <rc t="2" v="1224"/>
    </bk>
    <bk>
      <rc t="2" v="1225"/>
    </bk>
    <bk>
      <rc t="2" v="1226"/>
    </bk>
    <bk>
      <rc t="2" v="1227"/>
    </bk>
    <bk>
      <rc t="2" v="1228"/>
    </bk>
    <bk>
      <rc t="2" v="1229"/>
    </bk>
    <bk>
      <rc t="2" v="1230"/>
    </bk>
    <bk>
      <rc t="2" v="1231"/>
    </bk>
    <bk>
      <rc t="2" v="1232"/>
    </bk>
    <bk>
      <rc t="2" v="1233"/>
    </bk>
    <bk>
      <rc t="2" v="1234"/>
    </bk>
    <bk>
      <rc t="2" v="1235"/>
    </bk>
    <bk>
      <rc t="2" v="1236"/>
    </bk>
    <bk>
      <rc t="2" v="1237"/>
    </bk>
    <bk>
      <rc t="2" v="1238"/>
    </bk>
    <bk>
      <rc t="2" v="1239"/>
    </bk>
    <bk>
      <rc t="2" v="1240"/>
    </bk>
    <bk>
      <rc t="2" v="1241"/>
    </bk>
    <bk>
      <rc t="2" v="1242"/>
    </bk>
    <bk>
      <rc t="2" v="1243"/>
    </bk>
    <bk>
      <rc t="2" v="1244"/>
    </bk>
    <bk>
      <rc t="2" v="1245"/>
    </bk>
    <bk>
      <rc t="2" v="1246"/>
    </bk>
    <bk>
      <rc t="2" v="1247"/>
    </bk>
    <bk>
      <rc t="2" v="1248"/>
    </bk>
    <bk>
      <rc t="2" v="1249"/>
    </bk>
    <bk>
      <rc t="2" v="1250"/>
    </bk>
    <bk>
      <rc t="2" v="1251"/>
    </bk>
    <bk>
      <rc t="2" v="1252"/>
    </bk>
    <bk>
      <rc t="2" v="1253"/>
    </bk>
    <bk>
      <rc t="2" v="1254"/>
    </bk>
    <bk>
      <rc t="2" v="1255"/>
    </bk>
    <bk>
      <rc t="2" v="1256"/>
    </bk>
    <bk>
      <rc t="2" v="1257"/>
    </bk>
    <bk>
      <rc t="2" v="1258"/>
    </bk>
    <bk>
      <rc t="2" v="1259"/>
    </bk>
    <bk>
      <rc t="2" v="1260"/>
    </bk>
    <bk>
      <rc t="2" v="1261"/>
    </bk>
    <bk>
      <rc t="2" v="1262"/>
    </bk>
    <bk>
      <rc t="2" v="1263"/>
    </bk>
    <bk>
      <rc t="2" v="1264"/>
    </bk>
    <bk>
      <rc t="2" v="1265"/>
    </bk>
    <bk>
      <rc t="2" v="1266"/>
    </bk>
    <bk>
      <rc t="2" v="1267"/>
    </bk>
    <bk>
      <rc t="2" v="1268"/>
    </bk>
    <bk>
      <rc t="2" v="1269"/>
    </bk>
    <bk>
      <rc t="2" v="1270"/>
    </bk>
    <bk>
      <rc t="2" v="1271"/>
    </bk>
    <bk>
      <rc t="2" v="1272"/>
    </bk>
    <bk>
      <rc t="2" v="1273"/>
    </bk>
    <bk>
      <rc t="2" v="1274"/>
    </bk>
    <bk>
      <rc t="2" v="1275"/>
    </bk>
    <bk>
      <rc t="2" v="1276"/>
    </bk>
    <bk>
      <rc t="2" v="1277"/>
    </bk>
    <bk>
      <rc t="2" v="1278"/>
    </bk>
    <bk>
      <rc t="2" v="1279"/>
    </bk>
    <bk>
      <rc t="2" v="1280"/>
    </bk>
    <bk>
      <rc t="2" v="1281"/>
    </bk>
    <bk>
      <rc t="2" v="1282"/>
    </bk>
    <bk>
      <rc t="2" v="1283"/>
    </bk>
    <bk>
      <rc t="2" v="1284"/>
    </bk>
    <bk>
      <rc t="2" v="1285"/>
    </bk>
    <bk>
      <rc t="2" v="1286"/>
    </bk>
    <bk>
      <rc t="2" v="1287"/>
    </bk>
    <bk>
      <rc t="2" v="1288"/>
    </bk>
    <bk>
      <rc t="2" v="1289"/>
    </bk>
    <bk>
      <rc t="2" v="1290"/>
    </bk>
    <bk>
      <rc t="2" v="1291"/>
    </bk>
    <bk>
      <rc t="2" v="1292"/>
    </bk>
    <bk>
      <rc t="2" v="1293"/>
    </bk>
    <bk>
      <rc t="2" v="1294"/>
    </bk>
    <bk>
      <rc t="2" v="1295"/>
    </bk>
    <bk>
      <rc t="2" v="1296"/>
    </bk>
    <bk>
      <rc t="2" v="1297"/>
    </bk>
    <bk>
      <rc t="2" v="1298"/>
    </bk>
    <bk>
      <rc t="2" v="1299"/>
    </bk>
    <bk>
      <rc t="2" v="1300"/>
    </bk>
    <bk>
      <rc t="2" v="1301"/>
    </bk>
    <bk>
      <rc t="2" v="1302"/>
    </bk>
    <bk>
      <rc t="2" v="1303"/>
    </bk>
    <bk>
      <rc t="2" v="1304"/>
    </bk>
    <bk>
      <rc t="2" v="1305"/>
    </bk>
    <bk>
      <rc t="2" v="1306"/>
    </bk>
    <bk>
      <rc t="2" v="1307"/>
    </bk>
    <bk>
      <rc t="2" v="1308"/>
    </bk>
    <bk>
      <rc t="2" v="1309"/>
    </bk>
    <bk>
      <rc t="2" v="1310"/>
    </bk>
    <bk>
      <rc t="2" v="1311"/>
    </bk>
    <bk>
      <rc t="2" v="1312"/>
    </bk>
    <bk>
      <rc t="2" v="1313"/>
    </bk>
    <bk>
      <rc t="2" v="1314"/>
    </bk>
    <bk>
      <rc t="2" v="1315"/>
    </bk>
    <bk>
      <rc t="2" v="1316"/>
    </bk>
    <bk>
      <rc t="2" v="1317"/>
    </bk>
    <bk>
      <rc t="2" v="1318"/>
    </bk>
    <bk>
      <rc t="2" v="1319"/>
    </bk>
    <bk>
      <rc t="2" v="1320"/>
    </bk>
    <bk>
      <rc t="2" v="1321"/>
    </bk>
    <bk>
      <rc t="2" v="1322"/>
    </bk>
    <bk>
      <rc t="2" v="1323"/>
    </bk>
    <bk>
      <rc t="2" v="1324"/>
    </bk>
    <bk>
      <rc t="2" v="1325"/>
    </bk>
    <bk>
      <rc t="2" v="1326"/>
    </bk>
    <bk>
      <rc t="2" v="1327"/>
    </bk>
    <bk>
      <rc t="2" v="1328"/>
    </bk>
    <bk>
      <rc t="2" v="1329"/>
    </bk>
    <bk>
      <rc t="2" v="1330"/>
    </bk>
    <bk>
      <rc t="2" v="1331"/>
    </bk>
    <bk>
      <rc t="2" v="1332"/>
    </bk>
    <bk>
      <rc t="2" v="1333"/>
    </bk>
    <bk>
      <rc t="2" v="1334"/>
    </bk>
    <bk>
      <rc t="2" v="1335"/>
    </bk>
    <bk>
      <rc t="2" v="1336"/>
    </bk>
    <bk>
      <rc t="2" v="1337"/>
    </bk>
    <bk>
      <rc t="2" v="1338"/>
    </bk>
    <bk>
      <rc t="2" v="1339"/>
    </bk>
    <bk>
      <rc t="2" v="1340"/>
    </bk>
    <bk>
      <rc t="2" v="1341"/>
    </bk>
    <bk>
      <rc t="2" v="1342"/>
    </bk>
    <bk>
      <rc t="2" v="1343"/>
    </bk>
    <bk>
      <rc t="2" v="1344"/>
    </bk>
    <bk>
      <rc t="2" v="1345"/>
    </bk>
    <bk>
      <rc t="2" v="1346"/>
    </bk>
    <bk>
      <rc t="2" v="1347"/>
    </bk>
    <bk>
      <rc t="2" v="1348"/>
    </bk>
    <bk>
      <rc t="2" v="1349"/>
    </bk>
    <bk>
      <rc t="2" v="1350"/>
    </bk>
    <bk>
      <rc t="2" v="1351"/>
    </bk>
    <bk>
      <rc t="2" v="1352"/>
    </bk>
    <bk>
      <rc t="2" v="1353"/>
    </bk>
    <bk>
      <rc t="2" v="1354"/>
    </bk>
    <bk>
      <rc t="2" v="1355"/>
    </bk>
    <bk>
      <rc t="2" v="1356"/>
    </bk>
    <bk>
      <rc t="2" v="1357"/>
    </bk>
    <bk>
      <rc t="2" v="1358"/>
    </bk>
    <bk>
      <rc t="2" v="1359"/>
    </bk>
    <bk>
      <rc t="2" v="1360"/>
    </bk>
    <bk>
      <rc t="2" v="1361"/>
    </bk>
    <bk>
      <rc t="2" v="1362"/>
    </bk>
    <bk>
      <rc t="2" v="1363"/>
    </bk>
    <bk>
      <rc t="2" v="1364"/>
    </bk>
    <bk>
      <rc t="2" v="1365"/>
    </bk>
    <bk>
      <rc t="2" v="1366"/>
    </bk>
    <bk>
      <rc t="2" v="1367"/>
    </bk>
    <bk>
      <rc t="2" v="1368"/>
    </bk>
    <bk>
      <rc t="2" v="1369"/>
    </bk>
    <bk>
      <rc t="2" v="1370"/>
    </bk>
    <bk>
      <rc t="2" v="1371"/>
    </bk>
    <bk>
      <rc t="2" v="1372"/>
    </bk>
    <bk>
      <rc t="2" v="1373"/>
    </bk>
    <bk>
      <rc t="2" v="1374"/>
    </bk>
    <bk>
      <rc t="2" v="1375"/>
    </bk>
    <bk>
      <rc t="2" v="1376"/>
    </bk>
    <bk>
      <rc t="2" v="1377"/>
    </bk>
    <bk>
      <rc t="2" v="1378"/>
    </bk>
    <bk>
      <rc t="2" v="1379"/>
    </bk>
    <bk>
      <rc t="2" v="1380"/>
    </bk>
    <bk>
      <rc t="2" v="1381"/>
    </bk>
    <bk>
      <rc t="2" v="1382"/>
    </bk>
    <bk>
      <rc t="2" v="1383"/>
    </bk>
    <bk>
      <rc t="2" v="1384"/>
    </bk>
    <bk>
      <rc t="2" v="1385"/>
    </bk>
    <bk>
      <rc t="2" v="1386"/>
    </bk>
    <bk>
      <rc t="2" v="1387"/>
    </bk>
    <bk>
      <rc t="2" v="1388"/>
    </bk>
    <bk>
      <rc t="2" v="1389"/>
    </bk>
    <bk>
      <rc t="2" v="1390"/>
    </bk>
    <bk>
      <rc t="2" v="1391"/>
    </bk>
    <bk>
      <rc t="2" v="1392"/>
    </bk>
    <bk>
      <rc t="2" v="1393"/>
    </bk>
    <bk>
      <rc t="2" v="1394"/>
    </bk>
    <bk>
      <rc t="2" v="1395"/>
    </bk>
    <bk>
      <rc t="2" v="1396"/>
    </bk>
    <bk>
      <rc t="2" v="1397"/>
    </bk>
    <bk>
      <rc t="2" v="1398"/>
    </bk>
    <bk>
      <rc t="2" v="1399"/>
    </bk>
    <bk>
      <rc t="2" v="1400"/>
    </bk>
    <bk>
      <rc t="2" v="1401"/>
    </bk>
    <bk>
      <rc t="2" v="1402"/>
    </bk>
    <bk>
      <rc t="2" v="1403"/>
    </bk>
    <bk>
      <rc t="2" v="1404"/>
    </bk>
    <bk>
      <rc t="2" v="1405"/>
    </bk>
    <bk>
      <rc t="2" v="1406"/>
    </bk>
    <bk>
      <rc t="2" v="1407"/>
    </bk>
    <bk>
      <rc t="2" v="1408"/>
    </bk>
    <bk>
      <rc t="2" v="1409"/>
    </bk>
    <bk>
      <rc t="2" v="1410"/>
    </bk>
    <bk>
      <rc t="2" v="1411"/>
    </bk>
    <bk>
      <rc t="2" v="1412"/>
    </bk>
    <bk>
      <rc t="2" v="1413"/>
    </bk>
    <bk>
      <rc t="2" v="1414"/>
    </bk>
    <bk>
      <rc t="2" v="1415"/>
    </bk>
    <bk>
      <rc t="2" v="1416"/>
    </bk>
    <bk>
      <rc t="2" v="1417"/>
    </bk>
    <bk>
      <rc t="2" v="1418"/>
    </bk>
    <bk>
      <rc t="2" v="1419"/>
    </bk>
    <bk>
      <rc t="2" v="1420"/>
    </bk>
    <bk>
      <rc t="2" v="1421"/>
    </bk>
    <bk>
      <rc t="2" v="1422"/>
    </bk>
    <bk>
      <rc t="2" v="1423"/>
    </bk>
    <bk>
      <rc t="2" v="1424"/>
    </bk>
    <bk>
      <rc t="2" v="1425"/>
    </bk>
    <bk>
      <rc t="2" v="1426"/>
    </bk>
    <bk>
      <rc t="2" v="1427"/>
    </bk>
    <bk>
      <rc t="2" v="1428"/>
    </bk>
    <bk>
      <rc t="2" v="1429"/>
    </bk>
    <bk>
      <rc t="2" v="1430"/>
    </bk>
    <bk>
      <rc t="2" v="1431"/>
    </bk>
    <bk>
      <rc t="2" v="1432"/>
    </bk>
    <bk>
      <rc t="2" v="1433"/>
    </bk>
    <bk>
      <rc t="2" v="1434"/>
    </bk>
    <bk>
      <rc t="2" v="1435"/>
    </bk>
    <bk>
      <rc t="2" v="1436"/>
    </bk>
    <bk>
      <rc t="2" v="1437"/>
    </bk>
    <bk>
      <rc t="2" v="1438"/>
    </bk>
    <bk>
      <rc t="2" v="1439"/>
    </bk>
    <bk>
      <rc t="2" v="1440"/>
    </bk>
    <bk>
      <rc t="2" v="1441"/>
    </bk>
    <bk>
      <rc t="2" v="1442"/>
    </bk>
    <bk>
      <rc t="2" v="1443"/>
    </bk>
    <bk>
      <rc t="2" v="1444"/>
    </bk>
    <bk>
      <rc t="2" v="1445"/>
    </bk>
    <bk>
      <rc t="2" v="1446"/>
    </bk>
    <bk>
      <rc t="2" v="1447"/>
    </bk>
    <bk>
      <rc t="2" v="1448"/>
    </bk>
    <bk>
      <rc t="2" v="1449"/>
    </bk>
    <bk>
      <rc t="2" v="1450"/>
    </bk>
    <bk>
      <rc t="2" v="1451"/>
    </bk>
    <bk>
      <rc t="2" v="1452"/>
    </bk>
  </valueMetadata>
</metadata>
</file>

<file path=xl/sharedStrings.xml><?xml version="1.0" encoding="utf-8"?>
<sst xmlns="http://schemas.openxmlformats.org/spreadsheetml/2006/main" count="58" uniqueCount="51">
  <si>
    <t>Pr x Vol</t>
  </si>
  <si>
    <t>VWAP</t>
  </si>
  <si>
    <t>StdDev</t>
  </si>
  <si>
    <t>Plus 1 Sd</t>
  </si>
  <si>
    <t>Minus 1 Sd</t>
  </si>
  <si>
    <t>Lower</t>
  </si>
  <si>
    <t>Upper</t>
  </si>
  <si>
    <t>20d SMA</t>
  </si>
  <si>
    <t>21d Sd</t>
  </si>
  <si>
    <t>Change</t>
  </si>
  <si>
    <t>Gain</t>
  </si>
  <si>
    <t>Loss</t>
  </si>
  <si>
    <t>AvgGain</t>
  </si>
  <si>
    <t>AvgLoss</t>
  </si>
  <si>
    <t>RS</t>
  </si>
  <si>
    <t>RSI</t>
  </si>
  <si>
    <t>RSI 70</t>
  </si>
  <si>
    <t>RSI 30</t>
  </si>
  <si>
    <t>EMA 12</t>
  </si>
  <si>
    <t>EMA 26</t>
  </si>
  <si>
    <t>MACD</t>
  </si>
  <si>
    <t>Signal</t>
  </si>
  <si>
    <t>Histogram</t>
  </si>
  <si>
    <t>100d SMA</t>
  </si>
  <si>
    <t>Chart</t>
  </si>
  <si>
    <t>Columns</t>
  </si>
  <si>
    <t>Stock Data</t>
  </si>
  <si>
    <t>A,B,C</t>
  </si>
  <si>
    <t>A,B,E,G,H</t>
  </si>
  <si>
    <t>Bollinger Bands</t>
  </si>
  <si>
    <t>A,B,I,k,L</t>
  </si>
  <si>
    <t>S,T,U</t>
  </si>
  <si>
    <t>X,Y,Z</t>
  </si>
  <si>
    <t>AA</t>
  </si>
  <si>
    <t>Weekly</t>
  </si>
  <si>
    <t>Weekly Average</t>
  </si>
  <si>
    <t>Forecast</t>
  </si>
  <si>
    <t>1 Qt 2026</t>
  </si>
  <si>
    <t>Stats</t>
  </si>
  <si>
    <t>Min</t>
  </si>
  <si>
    <t>Max</t>
  </si>
  <si>
    <t>Median</t>
  </si>
  <si>
    <t>Mean</t>
  </si>
  <si>
    <t>Close</t>
  </si>
  <si>
    <t>Volume</t>
  </si>
  <si>
    <t>Week</t>
  </si>
  <si>
    <t>Average</t>
  </si>
  <si>
    <t>XL Forecast</t>
  </si>
  <si>
    <t>Calc Forecast</t>
  </si>
  <si>
    <t>Date</t>
  </si>
  <si>
    <t>Dividends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</si>
</sst>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yyyy\-mm\-dd;@"/>
    <numFmt numFmtId="165" formatCode="yyyy\-mm\-dd"/>
  </numFmts>
  <fonts count="6" x14ac:knownFonts="1"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11"/>
      <color theme="1"/>
      <name val="Aptos Narrow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002060"/>
        <bgColor indexed="64"/>
      </patternFill>
    </fill>
  </fills>
  <borders count="1">
    <border>
      <left/>
      <right/>
      <top/>
      <bottom/>
      <diagonal/>
    </border>
  </borders>
  <cellStyleXfs count="3">
    <xf numFmtId="0" fontId="0" fillId="0" borderId="0"/>
    <xf numFmtId="43" fontId="5" fillId="0" borderId="0" applyFont="0" applyFill="0" applyBorder="0" applyAlignment="0" applyProtection="0"/>
    <xf numFmtId="44" fontId="5" fillId="0" borderId="0" applyFont="0" applyFill="0" applyBorder="0" applyAlignment="0" applyProtection="0"/>
  </cellStyleXfs>
  <cellXfs count="26">
    <xf numFmtId="0" fontId="0" fillId="0" borderId="0" xfId="0"/>
    <xf numFmtId="0" fontId="2" fillId="5" borderId="0" xfId="0" applyFont="1" applyFill="1"/>
    <xf numFmtId="0" fontId="0" fillId="5" borderId="0" xfId="0" applyFill="1"/>
    <xf numFmtId="0" fontId="2" fillId="5" borderId="0" xfId="0" applyFont="1" applyFill="1" applyAlignment="1">
      <alignment horizontal="center"/>
    </xf>
    <xf numFmtId="0" fontId="1" fillId="2" borderId="0" xfId="0" applyFont="1" applyFill="1" applyAlignment="1">
      <alignment horizontal="center"/>
    </xf>
    <xf numFmtId="0" fontId="3" fillId="3" borderId="0" xfId="0" applyFont="1" applyFill="1" applyAlignment="1">
      <alignment horizontal="center"/>
    </xf>
    <xf numFmtId="0" fontId="2" fillId="3" borderId="0" xfId="0" applyFont="1" applyFill="1" applyAlignment="1">
      <alignment horizontal="center"/>
    </xf>
    <xf numFmtId="0" fontId="2" fillId="4" borderId="0" xfId="0" applyFont="1" applyFill="1" applyAlignment="1">
      <alignment horizontal="center"/>
    </xf>
    <xf numFmtId="0" fontId="0" fillId="0" borderId="0" xfId="0" applyAlignment="1">
      <alignment horizontal="center"/>
    </xf>
    <xf numFmtId="0" fontId="0" fillId="6" borderId="0" xfId="0" applyFill="1"/>
    <xf numFmtId="0" fontId="2" fillId="6" borderId="0" xfId="0" applyFont="1" applyFill="1" applyAlignment="1">
      <alignment horizontal="center"/>
    </xf>
    <xf numFmtId="0" fontId="2" fillId="7" borderId="0" xfId="0" applyFont="1" applyFill="1"/>
    <xf numFmtId="0" fontId="4" fillId="2" borderId="0" xfId="0" applyFont="1" applyFill="1"/>
    <xf numFmtId="0" fontId="0" fillId="3" borderId="0" xfId="0" applyFill="1"/>
    <xf numFmtId="0" fontId="0" fillId="4" borderId="0" xfId="0" applyFill="1"/>
    <xf numFmtId="0" fontId="0" fillId="8" borderId="0" xfId="0" applyFill="1"/>
    <xf numFmtId="0" fontId="0" fillId="9" borderId="0" xfId="0" applyFill="1"/>
    <xf numFmtId="43" fontId="2" fillId="4" borderId="0" xfId="1" applyFont="1" applyFill="1" applyAlignment="1">
      <alignment horizontal="center"/>
    </xf>
    <xf numFmtId="43" fontId="0" fillId="0" borderId="0" xfId="1" applyFont="1"/>
    <xf numFmtId="164" fontId="1" fillId="2" borderId="0" xfId="0" applyNumberFormat="1" applyFont="1" applyFill="1" applyAlignment="1">
      <alignment horizontal="center"/>
    </xf>
    <xf numFmtId="164" fontId="0" fillId="0" borderId="0" xfId="0" applyNumberFormat="1"/>
    <xf numFmtId="0" fontId="0" fillId="10" borderId="0" xfId="0" applyFill="1"/>
    <xf numFmtId="0" fontId="2" fillId="0" borderId="0" xfId="0" applyFont="1" applyAlignment="1">
      <alignment horizontal="center"/>
    </xf>
    <xf numFmtId="165" fontId="0" fillId="0" borderId="0" xfId="0" applyNumberFormat="1"/>
    <xf numFmtId="44" fontId="2" fillId="0" borderId="0" xfId="2" applyFont="1" applyAlignment="1">
      <alignment horizontal="center"/>
    </xf>
    <xf numFmtId="44" fontId="0" fillId="0" borderId="0" xfId="2" applyFont="1"/>
  </cellXfs>
  <cellStyles count="3">
    <cellStyle name="Comma" xfId="1" builtinId="3"/>
    <cellStyle name="Currency" xfId="2" builtinId="4"/>
    <cellStyle name="Normal" xfId="0" builtinId="0"/>
  </cellStyles>
  <dxfs count="2">
    <dxf>
      <numFmt numFmtId="164" formatCode="yyyy\-mm\-dd;@"/>
    </dxf>
    <dxf>
      <numFmt numFmtId="164" formatCode="yyyy\-mm\-dd;@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onnections" Target="connections.xml"/><Relationship Id="rId13" Type="http://schemas.microsoft.com/office/2017/06/relationships/rdRichValueStructure" Target="richData/rdrichvaluestructure.xml"/><Relationship Id="rId18" Type="http://schemas.microsoft.com/office/2017/06/relationships/rdRichValueTypes" Target="richData/rdRichValueTyp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microsoft.com/office/2017/06/relationships/rdRichValue" Target="richData/rdrichvalue.xml"/><Relationship Id="rId17" Type="http://schemas.microsoft.com/office/2017/06/relationships/rdSupportingPropertyBag" Target="richData/rdsupportingpropertybag.xml"/><Relationship Id="rId2" Type="http://schemas.openxmlformats.org/officeDocument/2006/relationships/worksheet" Target="worksheets/sheet2.xml"/><Relationship Id="rId16" Type="http://schemas.microsoft.com/office/2017/06/relationships/rdSupportingPropertyBagStructure" Target="richData/rdsupportingpropertybagstructure.xml"/><Relationship Id="rId20" Type="http://schemas.openxmlformats.org/officeDocument/2006/relationships/customXml" Target="../customXml/item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eetMetadata" Target="metadata.xml"/><Relationship Id="rId5" Type="http://schemas.openxmlformats.org/officeDocument/2006/relationships/worksheet" Target="worksheets/sheet5.xml"/><Relationship Id="rId15" Type="http://schemas.microsoft.com/office/2017/06/relationships/richStyles" Target="richData/richStyles.xml"/><Relationship Id="rId10" Type="http://schemas.openxmlformats.org/officeDocument/2006/relationships/sharedStrings" Target="sharedStrings.xml"/><Relationship Id="rId19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tyles" Target="styles.xml"/><Relationship Id="rId14" Type="http://schemas.microsoft.com/office/2017/06/relationships/rdArray" Target="richData/rdarray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VWAP + StdDev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Data!$C$1</c:f>
              <c:strCache>
                <c:ptCount val="1"/>
                <c:pt idx="0">
                  <c:v>Close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Data!$B$2:$B$514</c:f>
              <c:numCache>
                <c:formatCode>m/d/yyyy</c:formatCode>
                <c:ptCount val="513"/>
                <c:pt idx="0">
                  <c:v>45293</c:v>
                </c:pt>
                <c:pt idx="1">
                  <c:v>45294</c:v>
                </c:pt>
                <c:pt idx="2">
                  <c:v>45295</c:v>
                </c:pt>
                <c:pt idx="3">
                  <c:v>45296</c:v>
                </c:pt>
                <c:pt idx="4">
                  <c:v>45299</c:v>
                </c:pt>
                <c:pt idx="5">
                  <c:v>45300</c:v>
                </c:pt>
                <c:pt idx="6">
                  <c:v>45301</c:v>
                </c:pt>
                <c:pt idx="7">
                  <c:v>45302</c:v>
                </c:pt>
                <c:pt idx="8">
                  <c:v>45303</c:v>
                </c:pt>
                <c:pt idx="9">
                  <c:v>45307</c:v>
                </c:pt>
                <c:pt idx="10">
                  <c:v>45308</c:v>
                </c:pt>
                <c:pt idx="11">
                  <c:v>45309</c:v>
                </c:pt>
                <c:pt idx="12">
                  <c:v>45310</c:v>
                </c:pt>
                <c:pt idx="13">
                  <c:v>45313</c:v>
                </c:pt>
                <c:pt idx="14">
                  <c:v>45314</c:v>
                </c:pt>
                <c:pt idx="15">
                  <c:v>45315</c:v>
                </c:pt>
                <c:pt idx="16">
                  <c:v>45316</c:v>
                </c:pt>
                <c:pt idx="17">
                  <c:v>45317</c:v>
                </c:pt>
                <c:pt idx="18">
                  <c:v>45320</c:v>
                </c:pt>
                <c:pt idx="19">
                  <c:v>45321</c:v>
                </c:pt>
                <c:pt idx="20">
                  <c:v>45322</c:v>
                </c:pt>
                <c:pt idx="21">
                  <c:v>45323</c:v>
                </c:pt>
                <c:pt idx="22">
                  <c:v>45324</c:v>
                </c:pt>
                <c:pt idx="23">
                  <c:v>45327</c:v>
                </c:pt>
                <c:pt idx="24">
                  <c:v>45328</c:v>
                </c:pt>
                <c:pt idx="25">
                  <c:v>45329</c:v>
                </c:pt>
                <c:pt idx="26">
                  <c:v>45330</c:v>
                </c:pt>
                <c:pt idx="27">
                  <c:v>45331</c:v>
                </c:pt>
                <c:pt idx="28">
                  <c:v>45334</c:v>
                </c:pt>
                <c:pt idx="29">
                  <c:v>45335</c:v>
                </c:pt>
                <c:pt idx="30">
                  <c:v>45336</c:v>
                </c:pt>
                <c:pt idx="31">
                  <c:v>45337</c:v>
                </c:pt>
                <c:pt idx="32">
                  <c:v>45338</c:v>
                </c:pt>
                <c:pt idx="33">
                  <c:v>45342</c:v>
                </c:pt>
                <c:pt idx="34">
                  <c:v>45343</c:v>
                </c:pt>
                <c:pt idx="35">
                  <c:v>45344</c:v>
                </c:pt>
                <c:pt idx="36">
                  <c:v>45345</c:v>
                </c:pt>
                <c:pt idx="37">
                  <c:v>45348</c:v>
                </c:pt>
                <c:pt idx="38">
                  <c:v>45349</c:v>
                </c:pt>
                <c:pt idx="39">
                  <c:v>45350</c:v>
                </c:pt>
                <c:pt idx="40">
                  <c:v>45351</c:v>
                </c:pt>
                <c:pt idx="41">
                  <c:v>45352</c:v>
                </c:pt>
                <c:pt idx="42">
                  <c:v>45355</c:v>
                </c:pt>
                <c:pt idx="43">
                  <c:v>45356</c:v>
                </c:pt>
                <c:pt idx="44">
                  <c:v>45357</c:v>
                </c:pt>
                <c:pt idx="45">
                  <c:v>45358</c:v>
                </c:pt>
                <c:pt idx="46">
                  <c:v>45359</c:v>
                </c:pt>
                <c:pt idx="47">
                  <c:v>45362</c:v>
                </c:pt>
                <c:pt idx="48">
                  <c:v>45363</c:v>
                </c:pt>
                <c:pt idx="49">
                  <c:v>45364</c:v>
                </c:pt>
                <c:pt idx="50">
                  <c:v>45365</c:v>
                </c:pt>
                <c:pt idx="51">
                  <c:v>45366</c:v>
                </c:pt>
                <c:pt idx="52">
                  <c:v>45369</c:v>
                </c:pt>
                <c:pt idx="53">
                  <c:v>45370</c:v>
                </c:pt>
                <c:pt idx="54">
                  <c:v>45371</c:v>
                </c:pt>
                <c:pt idx="55">
                  <c:v>45372</c:v>
                </c:pt>
                <c:pt idx="56">
                  <c:v>45373</c:v>
                </c:pt>
                <c:pt idx="57">
                  <c:v>45376</c:v>
                </c:pt>
                <c:pt idx="58">
                  <c:v>45377</c:v>
                </c:pt>
                <c:pt idx="59">
                  <c:v>45378</c:v>
                </c:pt>
                <c:pt idx="60">
                  <c:v>45379</c:v>
                </c:pt>
                <c:pt idx="61">
                  <c:v>45383</c:v>
                </c:pt>
                <c:pt idx="62">
                  <c:v>45384</c:v>
                </c:pt>
                <c:pt idx="63">
                  <c:v>45385</c:v>
                </c:pt>
                <c:pt idx="64">
                  <c:v>45386</c:v>
                </c:pt>
                <c:pt idx="65">
                  <c:v>45387</c:v>
                </c:pt>
                <c:pt idx="66">
                  <c:v>45390</c:v>
                </c:pt>
                <c:pt idx="67">
                  <c:v>45391</c:v>
                </c:pt>
                <c:pt idx="68">
                  <c:v>45392</c:v>
                </c:pt>
                <c:pt idx="69">
                  <c:v>45393</c:v>
                </c:pt>
                <c:pt idx="70">
                  <c:v>45394</c:v>
                </c:pt>
                <c:pt idx="71">
                  <c:v>45397</c:v>
                </c:pt>
                <c:pt idx="72">
                  <c:v>45398</c:v>
                </c:pt>
                <c:pt idx="73">
                  <c:v>45399</c:v>
                </c:pt>
                <c:pt idx="74">
                  <c:v>45400</c:v>
                </c:pt>
                <c:pt idx="75">
                  <c:v>45401</c:v>
                </c:pt>
                <c:pt idx="76">
                  <c:v>45404</c:v>
                </c:pt>
                <c:pt idx="77">
                  <c:v>45405</c:v>
                </c:pt>
                <c:pt idx="78">
                  <c:v>45406</c:v>
                </c:pt>
                <c:pt idx="79">
                  <c:v>45407</c:v>
                </c:pt>
                <c:pt idx="80">
                  <c:v>45408</c:v>
                </c:pt>
                <c:pt idx="81">
                  <c:v>45411</c:v>
                </c:pt>
                <c:pt idx="82">
                  <c:v>45412</c:v>
                </c:pt>
                <c:pt idx="83">
                  <c:v>45413</c:v>
                </c:pt>
                <c:pt idx="84">
                  <c:v>45414</c:v>
                </c:pt>
                <c:pt idx="85">
                  <c:v>45415</c:v>
                </c:pt>
                <c:pt idx="86">
                  <c:v>45418</c:v>
                </c:pt>
                <c:pt idx="87">
                  <c:v>45419</c:v>
                </c:pt>
                <c:pt idx="88">
                  <c:v>45420</c:v>
                </c:pt>
                <c:pt idx="89">
                  <c:v>45421</c:v>
                </c:pt>
                <c:pt idx="90">
                  <c:v>45422</c:v>
                </c:pt>
                <c:pt idx="91">
                  <c:v>45425</c:v>
                </c:pt>
                <c:pt idx="92">
                  <c:v>45426</c:v>
                </c:pt>
                <c:pt idx="93">
                  <c:v>45427</c:v>
                </c:pt>
                <c:pt idx="94">
                  <c:v>45428</c:v>
                </c:pt>
                <c:pt idx="95">
                  <c:v>45429</c:v>
                </c:pt>
                <c:pt idx="96">
                  <c:v>45432</c:v>
                </c:pt>
                <c:pt idx="97">
                  <c:v>45433</c:v>
                </c:pt>
                <c:pt idx="98">
                  <c:v>45434</c:v>
                </c:pt>
                <c:pt idx="99">
                  <c:v>45435</c:v>
                </c:pt>
                <c:pt idx="100">
                  <c:v>45436</c:v>
                </c:pt>
                <c:pt idx="101">
                  <c:v>45440</c:v>
                </c:pt>
                <c:pt idx="102">
                  <c:v>45441</c:v>
                </c:pt>
                <c:pt idx="103">
                  <c:v>45442</c:v>
                </c:pt>
                <c:pt idx="104">
                  <c:v>45443</c:v>
                </c:pt>
                <c:pt idx="105">
                  <c:v>45446</c:v>
                </c:pt>
                <c:pt idx="106">
                  <c:v>45447</c:v>
                </c:pt>
                <c:pt idx="107">
                  <c:v>45448</c:v>
                </c:pt>
                <c:pt idx="108">
                  <c:v>45449</c:v>
                </c:pt>
                <c:pt idx="109">
                  <c:v>45450</c:v>
                </c:pt>
                <c:pt idx="110">
                  <c:v>45453</c:v>
                </c:pt>
                <c:pt idx="111">
                  <c:v>45454</c:v>
                </c:pt>
                <c:pt idx="112">
                  <c:v>45455</c:v>
                </c:pt>
                <c:pt idx="113">
                  <c:v>45456</c:v>
                </c:pt>
                <c:pt idx="114">
                  <c:v>45457</c:v>
                </c:pt>
                <c:pt idx="115">
                  <c:v>45460</c:v>
                </c:pt>
                <c:pt idx="116">
                  <c:v>45461</c:v>
                </c:pt>
                <c:pt idx="117">
                  <c:v>45463</c:v>
                </c:pt>
                <c:pt idx="118">
                  <c:v>45464</c:v>
                </c:pt>
                <c:pt idx="119">
                  <c:v>45467</c:v>
                </c:pt>
                <c:pt idx="120">
                  <c:v>45468</c:v>
                </c:pt>
                <c:pt idx="121">
                  <c:v>45469</c:v>
                </c:pt>
                <c:pt idx="122">
                  <c:v>45470</c:v>
                </c:pt>
                <c:pt idx="123">
                  <c:v>45471</c:v>
                </c:pt>
                <c:pt idx="124">
                  <c:v>45474</c:v>
                </c:pt>
                <c:pt idx="125">
                  <c:v>45475</c:v>
                </c:pt>
                <c:pt idx="126">
                  <c:v>45476</c:v>
                </c:pt>
                <c:pt idx="127">
                  <c:v>45478</c:v>
                </c:pt>
                <c:pt idx="128">
                  <c:v>45481</c:v>
                </c:pt>
                <c:pt idx="129">
                  <c:v>45482</c:v>
                </c:pt>
                <c:pt idx="130">
                  <c:v>45483</c:v>
                </c:pt>
                <c:pt idx="131">
                  <c:v>45484</c:v>
                </c:pt>
                <c:pt idx="132">
                  <c:v>45485</c:v>
                </c:pt>
                <c:pt idx="133">
                  <c:v>45488</c:v>
                </c:pt>
                <c:pt idx="134">
                  <c:v>45489</c:v>
                </c:pt>
                <c:pt idx="135">
                  <c:v>45490</c:v>
                </c:pt>
                <c:pt idx="136">
                  <c:v>45491</c:v>
                </c:pt>
                <c:pt idx="137">
                  <c:v>45492</c:v>
                </c:pt>
                <c:pt idx="138">
                  <c:v>45495</c:v>
                </c:pt>
                <c:pt idx="139">
                  <c:v>45496</c:v>
                </c:pt>
                <c:pt idx="140">
                  <c:v>45497</c:v>
                </c:pt>
                <c:pt idx="141">
                  <c:v>45498</c:v>
                </c:pt>
                <c:pt idx="142">
                  <c:v>45499</c:v>
                </c:pt>
                <c:pt idx="143">
                  <c:v>45502</c:v>
                </c:pt>
                <c:pt idx="144">
                  <c:v>45503</c:v>
                </c:pt>
                <c:pt idx="145">
                  <c:v>45504</c:v>
                </c:pt>
                <c:pt idx="146">
                  <c:v>45505</c:v>
                </c:pt>
                <c:pt idx="147">
                  <c:v>45506</c:v>
                </c:pt>
                <c:pt idx="148">
                  <c:v>45509</c:v>
                </c:pt>
                <c:pt idx="149">
                  <c:v>45510</c:v>
                </c:pt>
                <c:pt idx="150">
                  <c:v>45511</c:v>
                </c:pt>
                <c:pt idx="151">
                  <c:v>45512</c:v>
                </c:pt>
                <c:pt idx="152">
                  <c:v>45513</c:v>
                </c:pt>
                <c:pt idx="153">
                  <c:v>45516</c:v>
                </c:pt>
                <c:pt idx="154">
                  <c:v>45517</c:v>
                </c:pt>
                <c:pt idx="155">
                  <c:v>45518</c:v>
                </c:pt>
                <c:pt idx="156">
                  <c:v>45519</c:v>
                </c:pt>
                <c:pt idx="157">
                  <c:v>45520</c:v>
                </c:pt>
                <c:pt idx="158">
                  <c:v>45523</c:v>
                </c:pt>
                <c:pt idx="159">
                  <c:v>45524</c:v>
                </c:pt>
                <c:pt idx="160">
                  <c:v>45525</c:v>
                </c:pt>
                <c:pt idx="161">
                  <c:v>45526</c:v>
                </c:pt>
                <c:pt idx="162">
                  <c:v>45527</c:v>
                </c:pt>
                <c:pt idx="163">
                  <c:v>45530</c:v>
                </c:pt>
                <c:pt idx="164">
                  <c:v>45531</c:v>
                </c:pt>
                <c:pt idx="165">
                  <c:v>45532</c:v>
                </c:pt>
                <c:pt idx="166">
                  <c:v>45533</c:v>
                </c:pt>
                <c:pt idx="167">
                  <c:v>45534</c:v>
                </c:pt>
                <c:pt idx="168">
                  <c:v>45538</c:v>
                </c:pt>
                <c:pt idx="169">
                  <c:v>45539</c:v>
                </c:pt>
                <c:pt idx="170">
                  <c:v>45540</c:v>
                </c:pt>
                <c:pt idx="171">
                  <c:v>45541</c:v>
                </c:pt>
                <c:pt idx="172">
                  <c:v>45544</c:v>
                </c:pt>
                <c:pt idx="173">
                  <c:v>45545</c:v>
                </c:pt>
                <c:pt idx="174">
                  <c:v>45546</c:v>
                </c:pt>
                <c:pt idx="175">
                  <c:v>45547</c:v>
                </c:pt>
                <c:pt idx="176">
                  <c:v>45548</c:v>
                </c:pt>
                <c:pt idx="177">
                  <c:v>45551</c:v>
                </c:pt>
                <c:pt idx="178">
                  <c:v>45552</c:v>
                </c:pt>
                <c:pt idx="179">
                  <c:v>45553</c:v>
                </c:pt>
                <c:pt idx="180">
                  <c:v>45554</c:v>
                </c:pt>
                <c:pt idx="181">
                  <c:v>45555</c:v>
                </c:pt>
                <c:pt idx="182">
                  <c:v>45558</c:v>
                </c:pt>
                <c:pt idx="183">
                  <c:v>45559</c:v>
                </c:pt>
                <c:pt idx="184">
                  <c:v>45560</c:v>
                </c:pt>
                <c:pt idx="185">
                  <c:v>45561</c:v>
                </c:pt>
                <c:pt idx="186">
                  <c:v>45562</c:v>
                </c:pt>
                <c:pt idx="187">
                  <c:v>45565</c:v>
                </c:pt>
                <c:pt idx="188">
                  <c:v>45566</c:v>
                </c:pt>
                <c:pt idx="189">
                  <c:v>45567</c:v>
                </c:pt>
                <c:pt idx="190">
                  <c:v>45568</c:v>
                </c:pt>
                <c:pt idx="191">
                  <c:v>45569</c:v>
                </c:pt>
                <c:pt idx="192">
                  <c:v>45572</c:v>
                </c:pt>
                <c:pt idx="193">
                  <c:v>45573</c:v>
                </c:pt>
                <c:pt idx="194">
                  <c:v>45574</c:v>
                </c:pt>
                <c:pt idx="195">
                  <c:v>45575</c:v>
                </c:pt>
                <c:pt idx="196">
                  <c:v>45576</c:v>
                </c:pt>
                <c:pt idx="197">
                  <c:v>45579</c:v>
                </c:pt>
                <c:pt idx="198">
                  <c:v>45580</c:v>
                </c:pt>
                <c:pt idx="199">
                  <c:v>45581</c:v>
                </c:pt>
                <c:pt idx="200">
                  <c:v>45582</c:v>
                </c:pt>
                <c:pt idx="201">
                  <c:v>45583</c:v>
                </c:pt>
                <c:pt idx="202">
                  <c:v>45586</c:v>
                </c:pt>
                <c:pt idx="203">
                  <c:v>45587</c:v>
                </c:pt>
                <c:pt idx="204">
                  <c:v>45588</c:v>
                </c:pt>
                <c:pt idx="205">
                  <c:v>45589</c:v>
                </c:pt>
                <c:pt idx="206">
                  <c:v>45590</c:v>
                </c:pt>
                <c:pt idx="207">
                  <c:v>45593</c:v>
                </c:pt>
                <c:pt idx="208">
                  <c:v>45594</c:v>
                </c:pt>
                <c:pt idx="209">
                  <c:v>45595</c:v>
                </c:pt>
                <c:pt idx="210">
                  <c:v>45596</c:v>
                </c:pt>
                <c:pt idx="211">
                  <c:v>45597</c:v>
                </c:pt>
                <c:pt idx="212">
                  <c:v>45600</c:v>
                </c:pt>
                <c:pt idx="213">
                  <c:v>45601</c:v>
                </c:pt>
                <c:pt idx="214">
                  <c:v>45602</c:v>
                </c:pt>
                <c:pt idx="215">
                  <c:v>45603</c:v>
                </c:pt>
                <c:pt idx="216">
                  <c:v>45604</c:v>
                </c:pt>
                <c:pt idx="217">
                  <c:v>45607</c:v>
                </c:pt>
                <c:pt idx="218">
                  <c:v>45608</c:v>
                </c:pt>
                <c:pt idx="219">
                  <c:v>45609</c:v>
                </c:pt>
                <c:pt idx="220">
                  <c:v>45610</c:v>
                </c:pt>
                <c:pt idx="221">
                  <c:v>45611</c:v>
                </c:pt>
                <c:pt idx="222">
                  <c:v>45614</c:v>
                </c:pt>
                <c:pt idx="223">
                  <c:v>45615</c:v>
                </c:pt>
                <c:pt idx="224">
                  <c:v>45616</c:v>
                </c:pt>
                <c:pt idx="225">
                  <c:v>45617</c:v>
                </c:pt>
                <c:pt idx="226">
                  <c:v>45618</c:v>
                </c:pt>
                <c:pt idx="227">
                  <c:v>45621</c:v>
                </c:pt>
                <c:pt idx="228">
                  <c:v>45622</c:v>
                </c:pt>
                <c:pt idx="229">
                  <c:v>45623</c:v>
                </c:pt>
                <c:pt idx="230">
                  <c:v>45625</c:v>
                </c:pt>
                <c:pt idx="231">
                  <c:v>45628</c:v>
                </c:pt>
                <c:pt idx="232">
                  <c:v>45629</c:v>
                </c:pt>
                <c:pt idx="233">
                  <c:v>45630</c:v>
                </c:pt>
                <c:pt idx="234">
                  <c:v>45631</c:v>
                </c:pt>
                <c:pt idx="235">
                  <c:v>45632</c:v>
                </c:pt>
                <c:pt idx="236">
                  <c:v>45635</c:v>
                </c:pt>
                <c:pt idx="237">
                  <c:v>45636</c:v>
                </c:pt>
                <c:pt idx="238">
                  <c:v>45637</c:v>
                </c:pt>
                <c:pt idx="239">
                  <c:v>45638</c:v>
                </c:pt>
                <c:pt idx="240">
                  <c:v>45639</c:v>
                </c:pt>
                <c:pt idx="241">
                  <c:v>45642</c:v>
                </c:pt>
                <c:pt idx="242">
                  <c:v>45643</c:v>
                </c:pt>
                <c:pt idx="243">
                  <c:v>45644</c:v>
                </c:pt>
                <c:pt idx="244">
                  <c:v>45645</c:v>
                </c:pt>
                <c:pt idx="245">
                  <c:v>45646</c:v>
                </c:pt>
                <c:pt idx="246">
                  <c:v>45649</c:v>
                </c:pt>
                <c:pt idx="247">
                  <c:v>45650</c:v>
                </c:pt>
                <c:pt idx="248">
                  <c:v>45652</c:v>
                </c:pt>
                <c:pt idx="249">
                  <c:v>45653</c:v>
                </c:pt>
                <c:pt idx="250">
                  <c:v>45656</c:v>
                </c:pt>
                <c:pt idx="251">
                  <c:v>45657</c:v>
                </c:pt>
                <c:pt idx="252">
                  <c:v>45659</c:v>
                </c:pt>
                <c:pt idx="253">
                  <c:v>45660</c:v>
                </c:pt>
                <c:pt idx="254">
                  <c:v>45663</c:v>
                </c:pt>
                <c:pt idx="255">
                  <c:v>45664</c:v>
                </c:pt>
                <c:pt idx="256">
                  <c:v>45665</c:v>
                </c:pt>
                <c:pt idx="257">
                  <c:v>45667</c:v>
                </c:pt>
                <c:pt idx="258">
                  <c:v>45670</c:v>
                </c:pt>
                <c:pt idx="259">
                  <c:v>45671</c:v>
                </c:pt>
                <c:pt idx="260">
                  <c:v>45672</c:v>
                </c:pt>
                <c:pt idx="261">
                  <c:v>45673</c:v>
                </c:pt>
                <c:pt idx="262">
                  <c:v>45674</c:v>
                </c:pt>
                <c:pt idx="263">
                  <c:v>45678</c:v>
                </c:pt>
                <c:pt idx="264">
                  <c:v>45679</c:v>
                </c:pt>
                <c:pt idx="265">
                  <c:v>45680</c:v>
                </c:pt>
                <c:pt idx="266">
                  <c:v>45681</c:v>
                </c:pt>
                <c:pt idx="267">
                  <c:v>45684</c:v>
                </c:pt>
                <c:pt idx="268">
                  <c:v>45685</c:v>
                </c:pt>
                <c:pt idx="269">
                  <c:v>45686</c:v>
                </c:pt>
                <c:pt idx="270">
                  <c:v>45687</c:v>
                </c:pt>
                <c:pt idx="271">
                  <c:v>45688</c:v>
                </c:pt>
                <c:pt idx="272">
                  <c:v>45691</c:v>
                </c:pt>
                <c:pt idx="273">
                  <c:v>45692</c:v>
                </c:pt>
                <c:pt idx="274">
                  <c:v>45693</c:v>
                </c:pt>
                <c:pt idx="275">
                  <c:v>45694</c:v>
                </c:pt>
                <c:pt idx="276">
                  <c:v>45695</c:v>
                </c:pt>
                <c:pt idx="277">
                  <c:v>45698</c:v>
                </c:pt>
                <c:pt idx="278">
                  <c:v>45699</c:v>
                </c:pt>
                <c:pt idx="279">
                  <c:v>45700</c:v>
                </c:pt>
                <c:pt idx="280">
                  <c:v>45701</c:v>
                </c:pt>
                <c:pt idx="281">
                  <c:v>45702</c:v>
                </c:pt>
                <c:pt idx="282">
                  <c:v>45706</c:v>
                </c:pt>
                <c:pt idx="283">
                  <c:v>45707</c:v>
                </c:pt>
                <c:pt idx="284">
                  <c:v>45708</c:v>
                </c:pt>
                <c:pt idx="285">
                  <c:v>45709</c:v>
                </c:pt>
                <c:pt idx="286">
                  <c:v>45712</c:v>
                </c:pt>
                <c:pt idx="287">
                  <c:v>45713</c:v>
                </c:pt>
                <c:pt idx="288">
                  <c:v>45714</c:v>
                </c:pt>
                <c:pt idx="289">
                  <c:v>45715</c:v>
                </c:pt>
                <c:pt idx="290">
                  <c:v>45716</c:v>
                </c:pt>
                <c:pt idx="291">
                  <c:v>45719</c:v>
                </c:pt>
                <c:pt idx="292">
                  <c:v>45720</c:v>
                </c:pt>
                <c:pt idx="293">
                  <c:v>45721</c:v>
                </c:pt>
                <c:pt idx="294">
                  <c:v>45722</c:v>
                </c:pt>
                <c:pt idx="295">
                  <c:v>45723</c:v>
                </c:pt>
                <c:pt idx="296">
                  <c:v>45726</c:v>
                </c:pt>
                <c:pt idx="297">
                  <c:v>45727</c:v>
                </c:pt>
                <c:pt idx="298">
                  <c:v>45728</c:v>
                </c:pt>
                <c:pt idx="299">
                  <c:v>45729</c:v>
                </c:pt>
                <c:pt idx="300">
                  <c:v>45730</c:v>
                </c:pt>
                <c:pt idx="301">
                  <c:v>45733</c:v>
                </c:pt>
                <c:pt idx="302">
                  <c:v>45734</c:v>
                </c:pt>
                <c:pt idx="303">
                  <c:v>45735</c:v>
                </c:pt>
                <c:pt idx="304">
                  <c:v>45736</c:v>
                </c:pt>
                <c:pt idx="305">
                  <c:v>45737</c:v>
                </c:pt>
                <c:pt idx="306">
                  <c:v>45740</c:v>
                </c:pt>
                <c:pt idx="307">
                  <c:v>45741</c:v>
                </c:pt>
                <c:pt idx="308">
                  <c:v>45742</c:v>
                </c:pt>
                <c:pt idx="309">
                  <c:v>45743</c:v>
                </c:pt>
                <c:pt idx="310">
                  <c:v>45744</c:v>
                </c:pt>
                <c:pt idx="311">
                  <c:v>45747</c:v>
                </c:pt>
                <c:pt idx="312">
                  <c:v>45748</c:v>
                </c:pt>
                <c:pt idx="313">
                  <c:v>45749</c:v>
                </c:pt>
                <c:pt idx="314">
                  <c:v>45750</c:v>
                </c:pt>
                <c:pt idx="315">
                  <c:v>45751</c:v>
                </c:pt>
                <c:pt idx="316">
                  <c:v>45754</c:v>
                </c:pt>
                <c:pt idx="317">
                  <c:v>45755</c:v>
                </c:pt>
                <c:pt idx="318">
                  <c:v>45756</c:v>
                </c:pt>
                <c:pt idx="319">
                  <c:v>45757</c:v>
                </c:pt>
                <c:pt idx="320">
                  <c:v>45758</c:v>
                </c:pt>
                <c:pt idx="321">
                  <c:v>45761</c:v>
                </c:pt>
                <c:pt idx="322">
                  <c:v>45762</c:v>
                </c:pt>
                <c:pt idx="323">
                  <c:v>45763</c:v>
                </c:pt>
                <c:pt idx="324">
                  <c:v>45764</c:v>
                </c:pt>
                <c:pt idx="325">
                  <c:v>45768</c:v>
                </c:pt>
                <c:pt idx="326">
                  <c:v>45769</c:v>
                </c:pt>
                <c:pt idx="327">
                  <c:v>45770</c:v>
                </c:pt>
                <c:pt idx="328">
                  <c:v>45771</c:v>
                </c:pt>
                <c:pt idx="329">
                  <c:v>45772</c:v>
                </c:pt>
                <c:pt idx="330">
                  <c:v>45775</c:v>
                </c:pt>
                <c:pt idx="331">
                  <c:v>45776</c:v>
                </c:pt>
                <c:pt idx="332">
                  <c:v>45777</c:v>
                </c:pt>
                <c:pt idx="333">
                  <c:v>45778</c:v>
                </c:pt>
                <c:pt idx="334">
                  <c:v>45779</c:v>
                </c:pt>
                <c:pt idx="335">
                  <c:v>45782</c:v>
                </c:pt>
                <c:pt idx="336">
                  <c:v>45783</c:v>
                </c:pt>
                <c:pt idx="337">
                  <c:v>45784</c:v>
                </c:pt>
                <c:pt idx="338">
                  <c:v>45785</c:v>
                </c:pt>
                <c:pt idx="339">
                  <c:v>45786</c:v>
                </c:pt>
                <c:pt idx="340">
                  <c:v>45789</c:v>
                </c:pt>
                <c:pt idx="341">
                  <c:v>45790</c:v>
                </c:pt>
                <c:pt idx="342">
                  <c:v>45791</c:v>
                </c:pt>
                <c:pt idx="343">
                  <c:v>45792</c:v>
                </c:pt>
                <c:pt idx="344">
                  <c:v>45793</c:v>
                </c:pt>
                <c:pt idx="345">
                  <c:v>45796</c:v>
                </c:pt>
                <c:pt idx="346">
                  <c:v>45797</c:v>
                </c:pt>
                <c:pt idx="347">
                  <c:v>45798</c:v>
                </c:pt>
                <c:pt idx="348">
                  <c:v>45799</c:v>
                </c:pt>
                <c:pt idx="349">
                  <c:v>45800</c:v>
                </c:pt>
                <c:pt idx="350">
                  <c:v>45804</c:v>
                </c:pt>
                <c:pt idx="351">
                  <c:v>45805</c:v>
                </c:pt>
                <c:pt idx="352">
                  <c:v>45806</c:v>
                </c:pt>
                <c:pt idx="353">
                  <c:v>45807</c:v>
                </c:pt>
                <c:pt idx="354">
                  <c:v>45810</c:v>
                </c:pt>
                <c:pt idx="355">
                  <c:v>45811</c:v>
                </c:pt>
                <c:pt idx="356">
                  <c:v>45812</c:v>
                </c:pt>
                <c:pt idx="357">
                  <c:v>45813</c:v>
                </c:pt>
                <c:pt idx="358">
                  <c:v>45814</c:v>
                </c:pt>
                <c:pt idx="359">
                  <c:v>45817</c:v>
                </c:pt>
                <c:pt idx="360">
                  <c:v>45818</c:v>
                </c:pt>
                <c:pt idx="361">
                  <c:v>45819</c:v>
                </c:pt>
                <c:pt idx="362">
                  <c:v>45820</c:v>
                </c:pt>
                <c:pt idx="363">
                  <c:v>45821</c:v>
                </c:pt>
                <c:pt idx="364">
                  <c:v>45824</c:v>
                </c:pt>
                <c:pt idx="365">
                  <c:v>45825</c:v>
                </c:pt>
                <c:pt idx="366">
                  <c:v>45826</c:v>
                </c:pt>
                <c:pt idx="367">
                  <c:v>45828</c:v>
                </c:pt>
                <c:pt idx="368">
                  <c:v>45831</c:v>
                </c:pt>
                <c:pt idx="369">
                  <c:v>45832</c:v>
                </c:pt>
                <c:pt idx="370">
                  <c:v>45833</c:v>
                </c:pt>
                <c:pt idx="371">
                  <c:v>45834</c:v>
                </c:pt>
                <c:pt idx="372">
                  <c:v>45835</c:v>
                </c:pt>
                <c:pt idx="373">
                  <c:v>45838</c:v>
                </c:pt>
                <c:pt idx="374">
                  <c:v>45839</c:v>
                </c:pt>
                <c:pt idx="375">
                  <c:v>45840</c:v>
                </c:pt>
                <c:pt idx="376">
                  <c:v>45841</c:v>
                </c:pt>
                <c:pt idx="377">
                  <c:v>45845</c:v>
                </c:pt>
                <c:pt idx="378">
                  <c:v>45846</c:v>
                </c:pt>
                <c:pt idx="379">
                  <c:v>45847</c:v>
                </c:pt>
                <c:pt idx="380">
                  <c:v>45848</c:v>
                </c:pt>
                <c:pt idx="381">
                  <c:v>45849</c:v>
                </c:pt>
                <c:pt idx="382">
                  <c:v>45852</c:v>
                </c:pt>
                <c:pt idx="383">
                  <c:v>45853</c:v>
                </c:pt>
                <c:pt idx="384">
                  <c:v>45854</c:v>
                </c:pt>
                <c:pt idx="385">
                  <c:v>45855</c:v>
                </c:pt>
                <c:pt idx="386">
                  <c:v>45856</c:v>
                </c:pt>
                <c:pt idx="387">
                  <c:v>45859</c:v>
                </c:pt>
                <c:pt idx="388">
                  <c:v>45860</c:v>
                </c:pt>
                <c:pt idx="389">
                  <c:v>45861</c:v>
                </c:pt>
                <c:pt idx="390">
                  <c:v>45862</c:v>
                </c:pt>
                <c:pt idx="391">
                  <c:v>45863</c:v>
                </c:pt>
                <c:pt idx="392">
                  <c:v>45866</c:v>
                </c:pt>
                <c:pt idx="393">
                  <c:v>45867</c:v>
                </c:pt>
                <c:pt idx="394">
                  <c:v>45868</c:v>
                </c:pt>
                <c:pt idx="395">
                  <c:v>45869</c:v>
                </c:pt>
                <c:pt idx="396">
                  <c:v>45870</c:v>
                </c:pt>
                <c:pt idx="397">
                  <c:v>45873</c:v>
                </c:pt>
                <c:pt idx="398">
                  <c:v>45874</c:v>
                </c:pt>
                <c:pt idx="399">
                  <c:v>45875</c:v>
                </c:pt>
                <c:pt idx="400">
                  <c:v>45876</c:v>
                </c:pt>
                <c:pt idx="401">
                  <c:v>45877</c:v>
                </c:pt>
                <c:pt idx="402">
                  <c:v>45880</c:v>
                </c:pt>
                <c:pt idx="403">
                  <c:v>45881</c:v>
                </c:pt>
                <c:pt idx="404">
                  <c:v>45882</c:v>
                </c:pt>
                <c:pt idx="405">
                  <c:v>45883</c:v>
                </c:pt>
                <c:pt idx="406">
                  <c:v>45884</c:v>
                </c:pt>
                <c:pt idx="407">
                  <c:v>45887</c:v>
                </c:pt>
                <c:pt idx="408">
                  <c:v>45888</c:v>
                </c:pt>
                <c:pt idx="409">
                  <c:v>45889</c:v>
                </c:pt>
                <c:pt idx="410">
                  <c:v>45890</c:v>
                </c:pt>
                <c:pt idx="411">
                  <c:v>45891</c:v>
                </c:pt>
                <c:pt idx="412">
                  <c:v>45894</c:v>
                </c:pt>
                <c:pt idx="413">
                  <c:v>45895</c:v>
                </c:pt>
                <c:pt idx="414">
                  <c:v>45896</c:v>
                </c:pt>
                <c:pt idx="415">
                  <c:v>45897</c:v>
                </c:pt>
                <c:pt idx="416">
                  <c:v>45898</c:v>
                </c:pt>
                <c:pt idx="417">
                  <c:v>45902</c:v>
                </c:pt>
                <c:pt idx="418">
                  <c:v>45903</c:v>
                </c:pt>
                <c:pt idx="419">
                  <c:v>45904</c:v>
                </c:pt>
                <c:pt idx="420">
                  <c:v>45905</c:v>
                </c:pt>
                <c:pt idx="421">
                  <c:v>45908</c:v>
                </c:pt>
                <c:pt idx="422">
                  <c:v>45909</c:v>
                </c:pt>
                <c:pt idx="423">
                  <c:v>45910</c:v>
                </c:pt>
                <c:pt idx="424">
                  <c:v>45911</c:v>
                </c:pt>
                <c:pt idx="425">
                  <c:v>45912</c:v>
                </c:pt>
                <c:pt idx="426">
                  <c:v>45915</c:v>
                </c:pt>
                <c:pt idx="427">
                  <c:v>45916</c:v>
                </c:pt>
                <c:pt idx="428">
                  <c:v>45917</c:v>
                </c:pt>
                <c:pt idx="429">
                  <c:v>45918</c:v>
                </c:pt>
                <c:pt idx="430">
                  <c:v>45919</c:v>
                </c:pt>
                <c:pt idx="431">
                  <c:v>45922</c:v>
                </c:pt>
                <c:pt idx="432">
                  <c:v>45923</c:v>
                </c:pt>
                <c:pt idx="433">
                  <c:v>45924</c:v>
                </c:pt>
                <c:pt idx="434">
                  <c:v>45925</c:v>
                </c:pt>
                <c:pt idx="435">
                  <c:v>45926</c:v>
                </c:pt>
                <c:pt idx="436">
                  <c:v>45929</c:v>
                </c:pt>
                <c:pt idx="437">
                  <c:v>45930</c:v>
                </c:pt>
                <c:pt idx="438">
                  <c:v>45931</c:v>
                </c:pt>
                <c:pt idx="439">
                  <c:v>45932</c:v>
                </c:pt>
                <c:pt idx="440">
                  <c:v>45933</c:v>
                </c:pt>
                <c:pt idx="441">
                  <c:v>45936</c:v>
                </c:pt>
                <c:pt idx="442">
                  <c:v>45937</c:v>
                </c:pt>
                <c:pt idx="443">
                  <c:v>45938</c:v>
                </c:pt>
                <c:pt idx="444">
                  <c:v>45939</c:v>
                </c:pt>
                <c:pt idx="445">
                  <c:v>45940</c:v>
                </c:pt>
                <c:pt idx="446">
                  <c:v>45943</c:v>
                </c:pt>
                <c:pt idx="447">
                  <c:v>45944</c:v>
                </c:pt>
                <c:pt idx="448">
                  <c:v>45945</c:v>
                </c:pt>
                <c:pt idx="449">
                  <c:v>45946</c:v>
                </c:pt>
                <c:pt idx="450">
                  <c:v>45947</c:v>
                </c:pt>
                <c:pt idx="451">
                  <c:v>45950</c:v>
                </c:pt>
                <c:pt idx="452">
                  <c:v>45951</c:v>
                </c:pt>
                <c:pt idx="453">
                  <c:v>45952</c:v>
                </c:pt>
                <c:pt idx="454">
                  <c:v>45953</c:v>
                </c:pt>
                <c:pt idx="455">
                  <c:v>45954</c:v>
                </c:pt>
                <c:pt idx="456">
                  <c:v>45957</c:v>
                </c:pt>
                <c:pt idx="457">
                  <c:v>45958</c:v>
                </c:pt>
                <c:pt idx="458">
                  <c:v>45959</c:v>
                </c:pt>
                <c:pt idx="459">
                  <c:v>45960</c:v>
                </c:pt>
                <c:pt idx="460">
                  <c:v>45961</c:v>
                </c:pt>
                <c:pt idx="461">
                  <c:v>45964</c:v>
                </c:pt>
                <c:pt idx="462">
                  <c:v>45965</c:v>
                </c:pt>
                <c:pt idx="463">
                  <c:v>45966</c:v>
                </c:pt>
                <c:pt idx="464">
                  <c:v>45967</c:v>
                </c:pt>
                <c:pt idx="465">
                  <c:v>45968</c:v>
                </c:pt>
                <c:pt idx="466">
                  <c:v>45971</c:v>
                </c:pt>
                <c:pt idx="467">
                  <c:v>45972</c:v>
                </c:pt>
                <c:pt idx="468">
                  <c:v>45973</c:v>
                </c:pt>
                <c:pt idx="469">
                  <c:v>45974</c:v>
                </c:pt>
                <c:pt idx="470">
                  <c:v>45975</c:v>
                </c:pt>
                <c:pt idx="471">
                  <c:v>45978</c:v>
                </c:pt>
                <c:pt idx="472">
                  <c:v>45979</c:v>
                </c:pt>
                <c:pt idx="473">
                  <c:v>45980</c:v>
                </c:pt>
                <c:pt idx="474">
                  <c:v>45981</c:v>
                </c:pt>
                <c:pt idx="475">
                  <c:v>45982</c:v>
                </c:pt>
                <c:pt idx="476">
                  <c:v>45985</c:v>
                </c:pt>
                <c:pt idx="477">
                  <c:v>45986</c:v>
                </c:pt>
                <c:pt idx="478">
                  <c:v>45987</c:v>
                </c:pt>
                <c:pt idx="479">
                  <c:v>45989</c:v>
                </c:pt>
                <c:pt idx="480">
                  <c:v>45992</c:v>
                </c:pt>
                <c:pt idx="481">
                  <c:v>45993</c:v>
                </c:pt>
                <c:pt idx="482">
                  <c:v>45994</c:v>
                </c:pt>
                <c:pt idx="483">
                  <c:v>45995</c:v>
                </c:pt>
                <c:pt idx="484">
                  <c:v>45996</c:v>
                </c:pt>
                <c:pt idx="485">
                  <c:v>45999</c:v>
                </c:pt>
                <c:pt idx="486">
                  <c:v>46000</c:v>
                </c:pt>
                <c:pt idx="487">
                  <c:v>46001</c:v>
                </c:pt>
                <c:pt idx="488">
                  <c:v>46002</c:v>
                </c:pt>
                <c:pt idx="489">
                  <c:v>46003</c:v>
                </c:pt>
                <c:pt idx="490">
                  <c:v>46006</c:v>
                </c:pt>
                <c:pt idx="491">
                  <c:v>46007</c:v>
                </c:pt>
                <c:pt idx="492">
                  <c:v>46008</c:v>
                </c:pt>
                <c:pt idx="493">
                  <c:v>46009</c:v>
                </c:pt>
                <c:pt idx="494">
                  <c:v>46010</c:v>
                </c:pt>
                <c:pt idx="495">
                  <c:v>46013</c:v>
                </c:pt>
                <c:pt idx="496">
                  <c:v>46014</c:v>
                </c:pt>
                <c:pt idx="497">
                  <c:v>46015</c:v>
                </c:pt>
                <c:pt idx="498">
                  <c:v>46017</c:v>
                </c:pt>
                <c:pt idx="499">
                  <c:v>46020</c:v>
                </c:pt>
                <c:pt idx="500">
                  <c:v>46021</c:v>
                </c:pt>
                <c:pt idx="501">
                  <c:v>46022</c:v>
                </c:pt>
                <c:pt idx="502">
                  <c:v>46024</c:v>
                </c:pt>
                <c:pt idx="503">
                  <c:v>46027</c:v>
                </c:pt>
                <c:pt idx="504">
                  <c:v>46028</c:v>
                </c:pt>
                <c:pt idx="505">
                  <c:v>46029</c:v>
                </c:pt>
                <c:pt idx="506">
                  <c:v>46030</c:v>
                </c:pt>
                <c:pt idx="507">
                  <c:v>46031</c:v>
                </c:pt>
                <c:pt idx="508">
                  <c:v>46034</c:v>
                </c:pt>
                <c:pt idx="509">
                  <c:v>46035</c:v>
                </c:pt>
                <c:pt idx="510">
                  <c:v>46036</c:v>
                </c:pt>
                <c:pt idx="511">
                  <c:v>46037</c:v>
                </c:pt>
                <c:pt idx="512">
                  <c:v>46038</c:v>
                </c:pt>
              </c:numCache>
            </c:numRef>
          </c:cat>
          <c:val>
            <c:numRef>
              <c:f>Data!$C$2:$C$514</c:f>
              <c:numCache>
                <c:formatCode>_([$$-409]* #,##0.00_);_([$$-409]* \(#,##0.00\);_([$$-409]* "-"??_);_(@_)</c:formatCode>
                <c:ptCount val="513"/>
                <c:pt idx="0">
                  <c:v>59.82</c:v>
                </c:pt>
                <c:pt idx="1">
                  <c:v>59.96</c:v>
                </c:pt>
                <c:pt idx="2">
                  <c:v>59.76</c:v>
                </c:pt>
                <c:pt idx="3">
                  <c:v>59.67</c:v>
                </c:pt>
                <c:pt idx="4">
                  <c:v>60.11</c:v>
                </c:pt>
                <c:pt idx="5">
                  <c:v>60</c:v>
                </c:pt>
                <c:pt idx="6">
                  <c:v>60.2</c:v>
                </c:pt>
                <c:pt idx="7">
                  <c:v>59.81</c:v>
                </c:pt>
                <c:pt idx="8">
                  <c:v>60.39</c:v>
                </c:pt>
                <c:pt idx="9">
                  <c:v>59.99</c:v>
                </c:pt>
                <c:pt idx="10">
                  <c:v>59.99</c:v>
                </c:pt>
                <c:pt idx="11">
                  <c:v>60.16</c:v>
                </c:pt>
                <c:pt idx="12">
                  <c:v>59.83</c:v>
                </c:pt>
                <c:pt idx="13">
                  <c:v>59.57</c:v>
                </c:pt>
                <c:pt idx="14">
                  <c:v>59.85</c:v>
                </c:pt>
                <c:pt idx="15">
                  <c:v>58.91</c:v>
                </c:pt>
                <c:pt idx="16">
                  <c:v>59.16</c:v>
                </c:pt>
                <c:pt idx="17">
                  <c:v>59.37</c:v>
                </c:pt>
                <c:pt idx="18">
                  <c:v>59.73</c:v>
                </c:pt>
                <c:pt idx="19">
                  <c:v>59.9</c:v>
                </c:pt>
                <c:pt idx="20">
                  <c:v>59.49</c:v>
                </c:pt>
                <c:pt idx="21">
                  <c:v>60.98</c:v>
                </c:pt>
                <c:pt idx="22">
                  <c:v>60.54</c:v>
                </c:pt>
                <c:pt idx="23">
                  <c:v>60.04</c:v>
                </c:pt>
                <c:pt idx="24">
                  <c:v>59.94</c:v>
                </c:pt>
                <c:pt idx="25">
                  <c:v>59.99</c:v>
                </c:pt>
                <c:pt idx="26">
                  <c:v>59.83</c:v>
                </c:pt>
                <c:pt idx="27">
                  <c:v>59.56</c:v>
                </c:pt>
                <c:pt idx="28">
                  <c:v>59.7</c:v>
                </c:pt>
                <c:pt idx="29">
                  <c:v>59.35</c:v>
                </c:pt>
                <c:pt idx="30">
                  <c:v>59.29</c:v>
                </c:pt>
                <c:pt idx="31">
                  <c:v>59.4</c:v>
                </c:pt>
                <c:pt idx="32">
                  <c:v>59.39</c:v>
                </c:pt>
                <c:pt idx="33">
                  <c:v>60.7</c:v>
                </c:pt>
                <c:pt idx="34">
                  <c:v>61.24</c:v>
                </c:pt>
                <c:pt idx="35">
                  <c:v>61.15</c:v>
                </c:pt>
                <c:pt idx="36">
                  <c:v>61.2</c:v>
                </c:pt>
                <c:pt idx="37">
                  <c:v>60.71</c:v>
                </c:pt>
                <c:pt idx="38">
                  <c:v>60.34</c:v>
                </c:pt>
                <c:pt idx="39">
                  <c:v>60.4</c:v>
                </c:pt>
                <c:pt idx="40">
                  <c:v>60.02</c:v>
                </c:pt>
                <c:pt idx="41">
                  <c:v>59.53</c:v>
                </c:pt>
                <c:pt idx="42">
                  <c:v>59.81</c:v>
                </c:pt>
                <c:pt idx="43">
                  <c:v>59.52</c:v>
                </c:pt>
                <c:pt idx="44">
                  <c:v>59.55</c:v>
                </c:pt>
                <c:pt idx="45">
                  <c:v>59.44</c:v>
                </c:pt>
                <c:pt idx="46">
                  <c:v>59.52</c:v>
                </c:pt>
                <c:pt idx="47">
                  <c:v>60.24</c:v>
                </c:pt>
                <c:pt idx="48">
                  <c:v>60.5</c:v>
                </c:pt>
                <c:pt idx="49">
                  <c:v>61.12</c:v>
                </c:pt>
                <c:pt idx="50">
                  <c:v>60.5</c:v>
                </c:pt>
                <c:pt idx="51">
                  <c:v>59.88</c:v>
                </c:pt>
                <c:pt idx="52">
                  <c:v>60.13</c:v>
                </c:pt>
                <c:pt idx="53">
                  <c:v>60.23</c:v>
                </c:pt>
                <c:pt idx="54">
                  <c:v>60.75</c:v>
                </c:pt>
                <c:pt idx="55">
                  <c:v>60.47</c:v>
                </c:pt>
                <c:pt idx="56">
                  <c:v>60.49</c:v>
                </c:pt>
                <c:pt idx="57">
                  <c:v>60.4</c:v>
                </c:pt>
                <c:pt idx="58">
                  <c:v>60.54</c:v>
                </c:pt>
                <c:pt idx="59">
                  <c:v>61.03</c:v>
                </c:pt>
                <c:pt idx="60">
                  <c:v>61.18</c:v>
                </c:pt>
                <c:pt idx="61">
                  <c:v>60.68</c:v>
                </c:pt>
                <c:pt idx="62">
                  <c:v>60.15</c:v>
                </c:pt>
                <c:pt idx="63">
                  <c:v>59.83</c:v>
                </c:pt>
                <c:pt idx="64">
                  <c:v>59.3</c:v>
                </c:pt>
                <c:pt idx="65">
                  <c:v>59.51</c:v>
                </c:pt>
                <c:pt idx="66">
                  <c:v>59.27</c:v>
                </c:pt>
                <c:pt idx="67">
                  <c:v>59.72</c:v>
                </c:pt>
                <c:pt idx="68">
                  <c:v>58.92</c:v>
                </c:pt>
                <c:pt idx="69">
                  <c:v>59.05</c:v>
                </c:pt>
                <c:pt idx="70">
                  <c:v>58.28</c:v>
                </c:pt>
                <c:pt idx="71">
                  <c:v>58.14</c:v>
                </c:pt>
                <c:pt idx="72">
                  <c:v>58.06</c:v>
                </c:pt>
                <c:pt idx="73">
                  <c:v>58.51</c:v>
                </c:pt>
                <c:pt idx="74">
                  <c:v>58.91</c:v>
                </c:pt>
                <c:pt idx="75">
                  <c:v>60.17</c:v>
                </c:pt>
                <c:pt idx="76">
                  <c:v>60.55</c:v>
                </c:pt>
                <c:pt idx="77">
                  <c:v>60.64</c:v>
                </c:pt>
                <c:pt idx="78">
                  <c:v>61.55</c:v>
                </c:pt>
                <c:pt idx="79">
                  <c:v>61.74</c:v>
                </c:pt>
                <c:pt idx="80">
                  <c:v>61.74</c:v>
                </c:pt>
                <c:pt idx="81">
                  <c:v>62.04</c:v>
                </c:pt>
                <c:pt idx="82">
                  <c:v>61.77</c:v>
                </c:pt>
                <c:pt idx="83">
                  <c:v>61.93</c:v>
                </c:pt>
                <c:pt idx="84">
                  <c:v>61.99</c:v>
                </c:pt>
                <c:pt idx="85">
                  <c:v>62.17</c:v>
                </c:pt>
                <c:pt idx="86">
                  <c:v>62.35</c:v>
                </c:pt>
                <c:pt idx="87">
                  <c:v>62.62</c:v>
                </c:pt>
                <c:pt idx="88">
                  <c:v>62.85</c:v>
                </c:pt>
                <c:pt idx="89">
                  <c:v>62.88</c:v>
                </c:pt>
                <c:pt idx="90">
                  <c:v>63.26</c:v>
                </c:pt>
                <c:pt idx="91">
                  <c:v>63.58</c:v>
                </c:pt>
                <c:pt idx="92">
                  <c:v>63.1</c:v>
                </c:pt>
                <c:pt idx="93">
                  <c:v>63.13</c:v>
                </c:pt>
                <c:pt idx="94">
                  <c:v>63.32</c:v>
                </c:pt>
                <c:pt idx="95">
                  <c:v>63.03</c:v>
                </c:pt>
                <c:pt idx="96">
                  <c:v>62.57</c:v>
                </c:pt>
                <c:pt idx="97">
                  <c:v>62.91</c:v>
                </c:pt>
                <c:pt idx="98">
                  <c:v>63</c:v>
                </c:pt>
                <c:pt idx="99">
                  <c:v>62.09</c:v>
                </c:pt>
                <c:pt idx="100">
                  <c:v>62</c:v>
                </c:pt>
                <c:pt idx="101">
                  <c:v>61.82</c:v>
                </c:pt>
                <c:pt idx="102">
                  <c:v>61.7</c:v>
                </c:pt>
                <c:pt idx="103">
                  <c:v>61.97</c:v>
                </c:pt>
                <c:pt idx="104">
                  <c:v>62.93</c:v>
                </c:pt>
                <c:pt idx="105">
                  <c:v>62.93</c:v>
                </c:pt>
                <c:pt idx="106">
                  <c:v>63.94</c:v>
                </c:pt>
                <c:pt idx="107">
                  <c:v>63.92</c:v>
                </c:pt>
                <c:pt idx="108">
                  <c:v>64.150000000000006</c:v>
                </c:pt>
                <c:pt idx="109">
                  <c:v>63.91</c:v>
                </c:pt>
                <c:pt idx="110">
                  <c:v>63.59</c:v>
                </c:pt>
                <c:pt idx="111">
                  <c:v>63.55</c:v>
                </c:pt>
                <c:pt idx="112">
                  <c:v>62.88</c:v>
                </c:pt>
                <c:pt idx="113">
                  <c:v>62.99</c:v>
                </c:pt>
                <c:pt idx="114">
                  <c:v>62.55</c:v>
                </c:pt>
                <c:pt idx="115">
                  <c:v>62.62</c:v>
                </c:pt>
                <c:pt idx="116">
                  <c:v>62.63</c:v>
                </c:pt>
                <c:pt idx="117">
                  <c:v>62.18</c:v>
                </c:pt>
                <c:pt idx="118">
                  <c:v>62.77</c:v>
                </c:pt>
                <c:pt idx="119">
                  <c:v>63.97</c:v>
                </c:pt>
                <c:pt idx="120">
                  <c:v>63.84</c:v>
                </c:pt>
                <c:pt idx="121">
                  <c:v>64.05</c:v>
                </c:pt>
                <c:pt idx="122">
                  <c:v>63.91</c:v>
                </c:pt>
                <c:pt idx="123">
                  <c:v>63.65</c:v>
                </c:pt>
                <c:pt idx="124">
                  <c:v>63.28</c:v>
                </c:pt>
                <c:pt idx="125">
                  <c:v>63.15</c:v>
                </c:pt>
                <c:pt idx="126">
                  <c:v>63.33</c:v>
                </c:pt>
                <c:pt idx="127">
                  <c:v>63.76</c:v>
                </c:pt>
                <c:pt idx="128">
                  <c:v>62.96</c:v>
                </c:pt>
                <c:pt idx="129">
                  <c:v>62.69</c:v>
                </c:pt>
                <c:pt idx="130">
                  <c:v>62.83</c:v>
                </c:pt>
                <c:pt idx="131">
                  <c:v>63.1</c:v>
                </c:pt>
                <c:pt idx="132">
                  <c:v>63.7</c:v>
                </c:pt>
                <c:pt idx="133">
                  <c:v>63.41</c:v>
                </c:pt>
                <c:pt idx="134">
                  <c:v>64.27</c:v>
                </c:pt>
                <c:pt idx="135">
                  <c:v>65.209999999999994</c:v>
                </c:pt>
                <c:pt idx="136">
                  <c:v>65.19</c:v>
                </c:pt>
                <c:pt idx="137">
                  <c:v>65.290000000000006</c:v>
                </c:pt>
                <c:pt idx="138">
                  <c:v>64.77</c:v>
                </c:pt>
                <c:pt idx="139">
                  <c:v>64.959999999999994</c:v>
                </c:pt>
                <c:pt idx="140">
                  <c:v>65.81</c:v>
                </c:pt>
                <c:pt idx="141">
                  <c:v>66.069999999999993</c:v>
                </c:pt>
                <c:pt idx="142">
                  <c:v>67.05</c:v>
                </c:pt>
                <c:pt idx="143">
                  <c:v>66.83</c:v>
                </c:pt>
                <c:pt idx="144">
                  <c:v>67.680000000000007</c:v>
                </c:pt>
                <c:pt idx="145">
                  <c:v>66.739999999999995</c:v>
                </c:pt>
                <c:pt idx="146">
                  <c:v>67.959999999999994</c:v>
                </c:pt>
                <c:pt idx="147">
                  <c:v>69.33</c:v>
                </c:pt>
                <c:pt idx="148">
                  <c:v>68.099999999999994</c:v>
                </c:pt>
                <c:pt idx="149">
                  <c:v>68.05</c:v>
                </c:pt>
                <c:pt idx="150">
                  <c:v>68.459999999999994</c:v>
                </c:pt>
                <c:pt idx="151">
                  <c:v>68.73</c:v>
                </c:pt>
                <c:pt idx="152">
                  <c:v>68.680000000000007</c:v>
                </c:pt>
                <c:pt idx="153">
                  <c:v>68.17</c:v>
                </c:pt>
                <c:pt idx="154">
                  <c:v>68.459999999999994</c:v>
                </c:pt>
                <c:pt idx="155">
                  <c:v>68.58</c:v>
                </c:pt>
                <c:pt idx="156">
                  <c:v>68.650000000000006</c:v>
                </c:pt>
                <c:pt idx="157">
                  <c:v>69.180000000000007</c:v>
                </c:pt>
                <c:pt idx="158">
                  <c:v>68.98</c:v>
                </c:pt>
                <c:pt idx="159">
                  <c:v>69.38</c:v>
                </c:pt>
                <c:pt idx="160">
                  <c:v>69.569999999999993</c:v>
                </c:pt>
                <c:pt idx="161">
                  <c:v>69.33</c:v>
                </c:pt>
                <c:pt idx="162">
                  <c:v>69.790000000000006</c:v>
                </c:pt>
                <c:pt idx="163">
                  <c:v>70.84</c:v>
                </c:pt>
                <c:pt idx="164">
                  <c:v>71.5</c:v>
                </c:pt>
                <c:pt idx="165">
                  <c:v>71.75</c:v>
                </c:pt>
                <c:pt idx="166">
                  <c:v>72.05</c:v>
                </c:pt>
                <c:pt idx="167">
                  <c:v>72.47</c:v>
                </c:pt>
                <c:pt idx="168">
                  <c:v>73.010000000000005</c:v>
                </c:pt>
                <c:pt idx="169">
                  <c:v>72.56</c:v>
                </c:pt>
                <c:pt idx="170">
                  <c:v>71.17</c:v>
                </c:pt>
                <c:pt idx="171">
                  <c:v>71.14</c:v>
                </c:pt>
                <c:pt idx="172">
                  <c:v>71.849999999999994</c:v>
                </c:pt>
                <c:pt idx="173">
                  <c:v>71.55</c:v>
                </c:pt>
                <c:pt idx="174">
                  <c:v>71.08</c:v>
                </c:pt>
                <c:pt idx="175">
                  <c:v>71.23</c:v>
                </c:pt>
                <c:pt idx="176">
                  <c:v>71.41</c:v>
                </c:pt>
                <c:pt idx="177">
                  <c:v>72.099999999999994</c:v>
                </c:pt>
                <c:pt idx="178">
                  <c:v>71.8</c:v>
                </c:pt>
                <c:pt idx="179">
                  <c:v>71.75</c:v>
                </c:pt>
                <c:pt idx="180">
                  <c:v>70.62</c:v>
                </c:pt>
                <c:pt idx="181">
                  <c:v>71.64</c:v>
                </c:pt>
                <c:pt idx="182">
                  <c:v>71.73</c:v>
                </c:pt>
                <c:pt idx="183">
                  <c:v>71.33</c:v>
                </c:pt>
                <c:pt idx="184">
                  <c:v>71.45</c:v>
                </c:pt>
                <c:pt idx="185">
                  <c:v>71.400000000000006</c:v>
                </c:pt>
                <c:pt idx="186">
                  <c:v>71.790000000000006</c:v>
                </c:pt>
                <c:pt idx="187">
                  <c:v>71.86</c:v>
                </c:pt>
                <c:pt idx="188">
                  <c:v>71.709999999999994</c:v>
                </c:pt>
                <c:pt idx="189">
                  <c:v>71.010000000000005</c:v>
                </c:pt>
                <c:pt idx="190">
                  <c:v>70.52</c:v>
                </c:pt>
                <c:pt idx="191">
                  <c:v>70.17</c:v>
                </c:pt>
                <c:pt idx="192">
                  <c:v>69.010000000000005</c:v>
                </c:pt>
                <c:pt idx="193">
                  <c:v>69.180000000000007</c:v>
                </c:pt>
                <c:pt idx="194">
                  <c:v>69.569999999999993</c:v>
                </c:pt>
                <c:pt idx="195">
                  <c:v>69.25</c:v>
                </c:pt>
                <c:pt idx="196">
                  <c:v>69.569999999999993</c:v>
                </c:pt>
                <c:pt idx="197">
                  <c:v>70.34</c:v>
                </c:pt>
                <c:pt idx="198">
                  <c:v>70.34</c:v>
                </c:pt>
                <c:pt idx="199">
                  <c:v>70.569999999999993</c:v>
                </c:pt>
                <c:pt idx="200">
                  <c:v>69.900000000000006</c:v>
                </c:pt>
                <c:pt idx="201">
                  <c:v>70.44</c:v>
                </c:pt>
                <c:pt idx="202">
                  <c:v>69.45</c:v>
                </c:pt>
                <c:pt idx="203">
                  <c:v>69.45</c:v>
                </c:pt>
                <c:pt idx="204">
                  <c:v>68.010000000000005</c:v>
                </c:pt>
                <c:pt idx="205">
                  <c:v>67.3</c:v>
                </c:pt>
                <c:pt idx="206">
                  <c:v>66.92</c:v>
                </c:pt>
                <c:pt idx="207">
                  <c:v>66.67</c:v>
                </c:pt>
                <c:pt idx="208">
                  <c:v>65.56</c:v>
                </c:pt>
                <c:pt idx="209">
                  <c:v>65.92</c:v>
                </c:pt>
                <c:pt idx="210">
                  <c:v>65.31</c:v>
                </c:pt>
                <c:pt idx="211">
                  <c:v>65.010000000000005</c:v>
                </c:pt>
                <c:pt idx="212">
                  <c:v>65.11</c:v>
                </c:pt>
                <c:pt idx="213">
                  <c:v>65.37</c:v>
                </c:pt>
                <c:pt idx="214">
                  <c:v>63.7</c:v>
                </c:pt>
                <c:pt idx="215">
                  <c:v>63.66</c:v>
                </c:pt>
                <c:pt idx="216">
                  <c:v>63.92</c:v>
                </c:pt>
                <c:pt idx="217">
                  <c:v>63.36</c:v>
                </c:pt>
                <c:pt idx="218">
                  <c:v>63.2</c:v>
                </c:pt>
                <c:pt idx="219">
                  <c:v>63</c:v>
                </c:pt>
                <c:pt idx="220">
                  <c:v>62.55</c:v>
                </c:pt>
                <c:pt idx="221">
                  <c:v>61.74</c:v>
                </c:pt>
                <c:pt idx="222">
                  <c:v>61.86</c:v>
                </c:pt>
                <c:pt idx="223">
                  <c:v>62.59</c:v>
                </c:pt>
                <c:pt idx="224">
                  <c:v>62.99</c:v>
                </c:pt>
                <c:pt idx="225">
                  <c:v>63.76</c:v>
                </c:pt>
                <c:pt idx="226">
                  <c:v>63.92</c:v>
                </c:pt>
                <c:pt idx="227">
                  <c:v>64.38</c:v>
                </c:pt>
                <c:pt idx="228">
                  <c:v>64.55</c:v>
                </c:pt>
                <c:pt idx="229">
                  <c:v>64.430000000000007</c:v>
                </c:pt>
                <c:pt idx="230">
                  <c:v>64.08</c:v>
                </c:pt>
                <c:pt idx="231">
                  <c:v>63.65</c:v>
                </c:pt>
                <c:pt idx="232">
                  <c:v>63.52</c:v>
                </c:pt>
                <c:pt idx="233">
                  <c:v>62.21</c:v>
                </c:pt>
                <c:pt idx="234">
                  <c:v>62.92</c:v>
                </c:pt>
                <c:pt idx="235">
                  <c:v>62.53</c:v>
                </c:pt>
                <c:pt idx="236">
                  <c:v>62.6</c:v>
                </c:pt>
                <c:pt idx="237">
                  <c:v>62.91</c:v>
                </c:pt>
                <c:pt idx="238">
                  <c:v>62.64</c:v>
                </c:pt>
                <c:pt idx="239">
                  <c:v>63.84</c:v>
                </c:pt>
                <c:pt idx="240">
                  <c:v>63.12</c:v>
                </c:pt>
                <c:pt idx="241">
                  <c:v>62.55</c:v>
                </c:pt>
                <c:pt idx="242">
                  <c:v>63.4</c:v>
                </c:pt>
                <c:pt idx="243">
                  <c:v>62.85</c:v>
                </c:pt>
                <c:pt idx="244">
                  <c:v>62.45</c:v>
                </c:pt>
                <c:pt idx="245">
                  <c:v>62.55</c:v>
                </c:pt>
                <c:pt idx="246">
                  <c:v>62.38</c:v>
                </c:pt>
                <c:pt idx="247">
                  <c:v>62.84</c:v>
                </c:pt>
                <c:pt idx="248">
                  <c:v>62.57</c:v>
                </c:pt>
                <c:pt idx="249">
                  <c:v>62.45</c:v>
                </c:pt>
                <c:pt idx="250">
                  <c:v>62.03</c:v>
                </c:pt>
                <c:pt idx="251">
                  <c:v>62.26</c:v>
                </c:pt>
                <c:pt idx="252">
                  <c:v>61.84</c:v>
                </c:pt>
                <c:pt idx="253">
                  <c:v>61.75</c:v>
                </c:pt>
                <c:pt idx="254">
                  <c:v>60.81</c:v>
                </c:pt>
                <c:pt idx="255">
                  <c:v>60.84</c:v>
                </c:pt>
                <c:pt idx="256">
                  <c:v>61.71</c:v>
                </c:pt>
                <c:pt idx="257">
                  <c:v>61.07</c:v>
                </c:pt>
                <c:pt idx="258">
                  <c:v>61.65</c:v>
                </c:pt>
                <c:pt idx="259">
                  <c:v>62.04</c:v>
                </c:pt>
                <c:pt idx="260">
                  <c:v>61.77</c:v>
                </c:pt>
                <c:pt idx="261">
                  <c:v>62.25</c:v>
                </c:pt>
                <c:pt idx="262">
                  <c:v>62.71</c:v>
                </c:pt>
                <c:pt idx="263">
                  <c:v>62.42</c:v>
                </c:pt>
                <c:pt idx="264">
                  <c:v>61.78</c:v>
                </c:pt>
                <c:pt idx="265">
                  <c:v>61.53</c:v>
                </c:pt>
                <c:pt idx="266">
                  <c:v>61.92</c:v>
                </c:pt>
                <c:pt idx="267">
                  <c:v>63.87</c:v>
                </c:pt>
                <c:pt idx="268">
                  <c:v>62.36</c:v>
                </c:pt>
                <c:pt idx="269">
                  <c:v>62.83</c:v>
                </c:pt>
                <c:pt idx="270">
                  <c:v>64.05</c:v>
                </c:pt>
                <c:pt idx="271">
                  <c:v>63.48</c:v>
                </c:pt>
                <c:pt idx="272">
                  <c:v>63.35</c:v>
                </c:pt>
                <c:pt idx="273">
                  <c:v>62.67</c:v>
                </c:pt>
                <c:pt idx="274">
                  <c:v>63.12</c:v>
                </c:pt>
                <c:pt idx="275">
                  <c:v>63.36</c:v>
                </c:pt>
                <c:pt idx="276">
                  <c:v>63.84</c:v>
                </c:pt>
                <c:pt idx="277">
                  <c:v>64.55</c:v>
                </c:pt>
                <c:pt idx="278">
                  <c:v>67.599999999999994</c:v>
                </c:pt>
                <c:pt idx="279">
                  <c:v>68.709999999999994</c:v>
                </c:pt>
                <c:pt idx="280">
                  <c:v>69.5</c:v>
                </c:pt>
                <c:pt idx="281">
                  <c:v>68.87</c:v>
                </c:pt>
                <c:pt idx="282">
                  <c:v>69.05</c:v>
                </c:pt>
                <c:pt idx="283">
                  <c:v>70.069999999999993</c:v>
                </c:pt>
                <c:pt idx="284">
                  <c:v>70.040000000000006</c:v>
                </c:pt>
                <c:pt idx="285">
                  <c:v>71.349999999999994</c:v>
                </c:pt>
                <c:pt idx="286">
                  <c:v>70.59</c:v>
                </c:pt>
                <c:pt idx="287">
                  <c:v>71.489999999999995</c:v>
                </c:pt>
                <c:pt idx="288">
                  <c:v>70.8</c:v>
                </c:pt>
                <c:pt idx="289">
                  <c:v>70.87</c:v>
                </c:pt>
                <c:pt idx="290">
                  <c:v>71.209999999999994</c:v>
                </c:pt>
                <c:pt idx="291">
                  <c:v>72.319999999999993</c:v>
                </c:pt>
                <c:pt idx="292">
                  <c:v>70.19</c:v>
                </c:pt>
                <c:pt idx="293">
                  <c:v>70.08</c:v>
                </c:pt>
                <c:pt idx="294">
                  <c:v>70.459999999999994</c:v>
                </c:pt>
                <c:pt idx="295">
                  <c:v>71.430000000000007</c:v>
                </c:pt>
                <c:pt idx="296">
                  <c:v>71.45</c:v>
                </c:pt>
                <c:pt idx="297">
                  <c:v>71.040000000000006</c:v>
                </c:pt>
                <c:pt idx="298">
                  <c:v>69.94</c:v>
                </c:pt>
                <c:pt idx="299">
                  <c:v>69.62</c:v>
                </c:pt>
                <c:pt idx="300">
                  <c:v>69.16</c:v>
                </c:pt>
                <c:pt idx="301">
                  <c:v>70.12</c:v>
                </c:pt>
                <c:pt idx="302">
                  <c:v>69.38</c:v>
                </c:pt>
                <c:pt idx="303">
                  <c:v>69.28</c:v>
                </c:pt>
                <c:pt idx="304">
                  <c:v>69.709999999999994</c:v>
                </c:pt>
                <c:pt idx="305">
                  <c:v>68.67</c:v>
                </c:pt>
                <c:pt idx="306">
                  <c:v>68.95</c:v>
                </c:pt>
                <c:pt idx="307">
                  <c:v>68.81</c:v>
                </c:pt>
                <c:pt idx="308">
                  <c:v>70.02</c:v>
                </c:pt>
                <c:pt idx="309">
                  <c:v>70.739999999999995</c:v>
                </c:pt>
                <c:pt idx="310">
                  <c:v>70.37</c:v>
                </c:pt>
                <c:pt idx="311">
                  <c:v>71.62</c:v>
                </c:pt>
                <c:pt idx="312">
                  <c:v>71.87</c:v>
                </c:pt>
                <c:pt idx="313">
                  <c:v>71.33</c:v>
                </c:pt>
                <c:pt idx="314">
                  <c:v>73.180000000000007</c:v>
                </c:pt>
                <c:pt idx="315">
                  <c:v>69.930000000000007</c:v>
                </c:pt>
                <c:pt idx="316">
                  <c:v>68.37</c:v>
                </c:pt>
                <c:pt idx="317">
                  <c:v>68.42</c:v>
                </c:pt>
                <c:pt idx="318">
                  <c:v>69.95</c:v>
                </c:pt>
                <c:pt idx="319">
                  <c:v>70.760000000000005</c:v>
                </c:pt>
                <c:pt idx="320">
                  <c:v>71.430000000000007</c:v>
                </c:pt>
                <c:pt idx="321">
                  <c:v>72.45</c:v>
                </c:pt>
                <c:pt idx="322">
                  <c:v>71.86</c:v>
                </c:pt>
                <c:pt idx="323">
                  <c:v>71.680000000000007</c:v>
                </c:pt>
                <c:pt idx="324">
                  <c:v>73</c:v>
                </c:pt>
                <c:pt idx="325">
                  <c:v>72.77</c:v>
                </c:pt>
                <c:pt idx="326">
                  <c:v>73.900000000000006</c:v>
                </c:pt>
                <c:pt idx="327">
                  <c:v>73.3</c:v>
                </c:pt>
                <c:pt idx="328">
                  <c:v>72.52</c:v>
                </c:pt>
                <c:pt idx="329">
                  <c:v>71.91</c:v>
                </c:pt>
                <c:pt idx="330">
                  <c:v>71.790000000000006</c:v>
                </c:pt>
                <c:pt idx="331">
                  <c:v>72.349999999999994</c:v>
                </c:pt>
                <c:pt idx="332">
                  <c:v>72.55</c:v>
                </c:pt>
                <c:pt idx="333">
                  <c:v>71.290000000000006</c:v>
                </c:pt>
                <c:pt idx="334">
                  <c:v>71.650000000000006</c:v>
                </c:pt>
                <c:pt idx="335">
                  <c:v>71.7</c:v>
                </c:pt>
                <c:pt idx="336">
                  <c:v>71.72</c:v>
                </c:pt>
                <c:pt idx="337">
                  <c:v>72.400000000000006</c:v>
                </c:pt>
                <c:pt idx="338">
                  <c:v>71.17</c:v>
                </c:pt>
                <c:pt idx="339">
                  <c:v>70.52</c:v>
                </c:pt>
                <c:pt idx="340">
                  <c:v>69.53</c:v>
                </c:pt>
                <c:pt idx="341">
                  <c:v>68.959999999999994</c:v>
                </c:pt>
                <c:pt idx="342">
                  <c:v>69.16</c:v>
                </c:pt>
                <c:pt idx="343">
                  <c:v>71.61</c:v>
                </c:pt>
                <c:pt idx="344">
                  <c:v>72</c:v>
                </c:pt>
                <c:pt idx="345">
                  <c:v>71.930000000000007</c:v>
                </c:pt>
                <c:pt idx="346">
                  <c:v>71.69</c:v>
                </c:pt>
                <c:pt idx="347">
                  <c:v>71.849999999999994</c:v>
                </c:pt>
                <c:pt idx="348">
                  <c:v>71.14</c:v>
                </c:pt>
                <c:pt idx="349">
                  <c:v>71.77</c:v>
                </c:pt>
                <c:pt idx="350">
                  <c:v>71.78</c:v>
                </c:pt>
                <c:pt idx="351">
                  <c:v>71.150000000000006</c:v>
                </c:pt>
                <c:pt idx="352">
                  <c:v>71.489999999999995</c:v>
                </c:pt>
                <c:pt idx="353">
                  <c:v>72.099999999999994</c:v>
                </c:pt>
                <c:pt idx="354">
                  <c:v>72</c:v>
                </c:pt>
                <c:pt idx="355">
                  <c:v>71.16</c:v>
                </c:pt>
                <c:pt idx="356">
                  <c:v>71.37</c:v>
                </c:pt>
                <c:pt idx="357">
                  <c:v>70.91</c:v>
                </c:pt>
                <c:pt idx="358">
                  <c:v>71.349999999999994</c:v>
                </c:pt>
                <c:pt idx="359">
                  <c:v>71.77</c:v>
                </c:pt>
                <c:pt idx="360">
                  <c:v>72.349999999999994</c:v>
                </c:pt>
                <c:pt idx="361">
                  <c:v>72.069999999999993</c:v>
                </c:pt>
                <c:pt idx="362">
                  <c:v>72.239999999999995</c:v>
                </c:pt>
                <c:pt idx="363">
                  <c:v>71.02</c:v>
                </c:pt>
                <c:pt idx="364">
                  <c:v>70.52</c:v>
                </c:pt>
                <c:pt idx="365">
                  <c:v>69.62</c:v>
                </c:pt>
                <c:pt idx="366">
                  <c:v>69.209999999999994</c:v>
                </c:pt>
                <c:pt idx="367">
                  <c:v>68.84</c:v>
                </c:pt>
                <c:pt idx="368">
                  <c:v>69.739999999999995</c:v>
                </c:pt>
                <c:pt idx="369">
                  <c:v>70.209999999999994</c:v>
                </c:pt>
                <c:pt idx="370">
                  <c:v>69.63</c:v>
                </c:pt>
                <c:pt idx="371">
                  <c:v>69.47</c:v>
                </c:pt>
                <c:pt idx="372">
                  <c:v>70.33</c:v>
                </c:pt>
                <c:pt idx="373">
                  <c:v>70.75</c:v>
                </c:pt>
                <c:pt idx="374">
                  <c:v>71.67</c:v>
                </c:pt>
                <c:pt idx="375">
                  <c:v>70.91</c:v>
                </c:pt>
                <c:pt idx="376">
                  <c:v>71.349999999999994</c:v>
                </c:pt>
                <c:pt idx="377">
                  <c:v>71.010000000000005</c:v>
                </c:pt>
                <c:pt idx="378">
                  <c:v>70.239999999999995</c:v>
                </c:pt>
                <c:pt idx="379">
                  <c:v>69.48</c:v>
                </c:pt>
                <c:pt idx="380">
                  <c:v>69.77</c:v>
                </c:pt>
                <c:pt idx="381">
                  <c:v>69.87</c:v>
                </c:pt>
                <c:pt idx="382">
                  <c:v>69.47</c:v>
                </c:pt>
                <c:pt idx="383">
                  <c:v>69.36</c:v>
                </c:pt>
                <c:pt idx="384">
                  <c:v>69.27</c:v>
                </c:pt>
                <c:pt idx="385">
                  <c:v>70.59</c:v>
                </c:pt>
                <c:pt idx="386">
                  <c:v>69.849999999999994</c:v>
                </c:pt>
                <c:pt idx="387">
                  <c:v>70.069999999999993</c:v>
                </c:pt>
                <c:pt idx="388">
                  <c:v>69.66</c:v>
                </c:pt>
                <c:pt idx="389">
                  <c:v>69.16</c:v>
                </c:pt>
                <c:pt idx="390">
                  <c:v>69.099999999999994</c:v>
                </c:pt>
                <c:pt idx="391">
                  <c:v>69.17</c:v>
                </c:pt>
                <c:pt idx="392">
                  <c:v>68.09</c:v>
                </c:pt>
                <c:pt idx="393">
                  <c:v>69.38</c:v>
                </c:pt>
                <c:pt idx="394">
                  <c:v>68.75</c:v>
                </c:pt>
                <c:pt idx="395">
                  <c:v>67.89</c:v>
                </c:pt>
                <c:pt idx="396">
                  <c:v>68.86</c:v>
                </c:pt>
                <c:pt idx="397">
                  <c:v>68.959999999999994</c:v>
                </c:pt>
                <c:pt idx="398">
                  <c:v>69.05</c:v>
                </c:pt>
                <c:pt idx="399">
                  <c:v>69.510000000000005</c:v>
                </c:pt>
                <c:pt idx="400">
                  <c:v>70.430000000000007</c:v>
                </c:pt>
                <c:pt idx="401">
                  <c:v>70.34</c:v>
                </c:pt>
                <c:pt idx="402">
                  <c:v>70.75</c:v>
                </c:pt>
                <c:pt idx="403">
                  <c:v>70.709999999999994</c:v>
                </c:pt>
                <c:pt idx="404">
                  <c:v>70.459999999999994</c:v>
                </c:pt>
                <c:pt idx="405">
                  <c:v>69.55</c:v>
                </c:pt>
                <c:pt idx="406">
                  <c:v>69.92</c:v>
                </c:pt>
                <c:pt idx="407">
                  <c:v>69.13</c:v>
                </c:pt>
                <c:pt idx="408">
                  <c:v>70.13</c:v>
                </c:pt>
                <c:pt idx="409">
                  <c:v>70.7</c:v>
                </c:pt>
                <c:pt idx="410">
                  <c:v>70.66</c:v>
                </c:pt>
                <c:pt idx="411">
                  <c:v>70.13</c:v>
                </c:pt>
                <c:pt idx="412">
                  <c:v>68.930000000000007</c:v>
                </c:pt>
                <c:pt idx="413">
                  <c:v>68.73</c:v>
                </c:pt>
                <c:pt idx="414">
                  <c:v>68.83</c:v>
                </c:pt>
                <c:pt idx="415">
                  <c:v>68.36</c:v>
                </c:pt>
                <c:pt idx="416">
                  <c:v>68.989999999999995</c:v>
                </c:pt>
                <c:pt idx="417">
                  <c:v>69.06</c:v>
                </c:pt>
                <c:pt idx="418">
                  <c:v>68.989999999999995</c:v>
                </c:pt>
                <c:pt idx="419">
                  <c:v>68.25</c:v>
                </c:pt>
                <c:pt idx="420">
                  <c:v>67.959999999999994</c:v>
                </c:pt>
                <c:pt idx="421">
                  <c:v>67.430000000000007</c:v>
                </c:pt>
                <c:pt idx="422">
                  <c:v>67.86</c:v>
                </c:pt>
                <c:pt idx="423">
                  <c:v>67.819999999999993</c:v>
                </c:pt>
                <c:pt idx="424">
                  <c:v>67.62</c:v>
                </c:pt>
                <c:pt idx="425">
                  <c:v>67.010000000000005</c:v>
                </c:pt>
                <c:pt idx="426">
                  <c:v>66.209999999999994</c:v>
                </c:pt>
                <c:pt idx="427">
                  <c:v>66.239999999999995</c:v>
                </c:pt>
                <c:pt idx="428">
                  <c:v>67.040000000000006</c:v>
                </c:pt>
                <c:pt idx="429">
                  <c:v>66.459999999999994</c:v>
                </c:pt>
                <c:pt idx="430">
                  <c:v>66.430000000000007</c:v>
                </c:pt>
                <c:pt idx="431">
                  <c:v>66.209999999999994</c:v>
                </c:pt>
                <c:pt idx="432">
                  <c:v>66.709999999999994</c:v>
                </c:pt>
                <c:pt idx="433">
                  <c:v>66.45</c:v>
                </c:pt>
                <c:pt idx="434">
                  <c:v>65.98</c:v>
                </c:pt>
                <c:pt idx="435">
                  <c:v>65.67</c:v>
                </c:pt>
                <c:pt idx="436">
                  <c:v>66.040000000000006</c:v>
                </c:pt>
                <c:pt idx="437">
                  <c:v>66.319999999999993</c:v>
                </c:pt>
                <c:pt idx="438">
                  <c:v>66.78</c:v>
                </c:pt>
                <c:pt idx="439">
                  <c:v>66.099999999999994</c:v>
                </c:pt>
                <c:pt idx="440">
                  <c:v>66.650000000000006</c:v>
                </c:pt>
                <c:pt idx="441">
                  <c:v>66.099999999999994</c:v>
                </c:pt>
                <c:pt idx="442">
                  <c:v>66.790000000000006</c:v>
                </c:pt>
                <c:pt idx="443">
                  <c:v>66.12</c:v>
                </c:pt>
                <c:pt idx="444">
                  <c:v>66.37</c:v>
                </c:pt>
                <c:pt idx="445">
                  <c:v>67.040000000000006</c:v>
                </c:pt>
                <c:pt idx="446">
                  <c:v>66.8</c:v>
                </c:pt>
                <c:pt idx="447">
                  <c:v>67.510000000000005</c:v>
                </c:pt>
                <c:pt idx="448">
                  <c:v>67.08</c:v>
                </c:pt>
                <c:pt idx="449">
                  <c:v>67.59</c:v>
                </c:pt>
                <c:pt idx="450">
                  <c:v>68.44</c:v>
                </c:pt>
                <c:pt idx="451">
                  <c:v>68.44</c:v>
                </c:pt>
                <c:pt idx="452">
                  <c:v>71.22</c:v>
                </c:pt>
                <c:pt idx="453">
                  <c:v>70.81</c:v>
                </c:pt>
                <c:pt idx="454">
                  <c:v>69.94</c:v>
                </c:pt>
                <c:pt idx="455">
                  <c:v>69.709999999999994</c:v>
                </c:pt>
                <c:pt idx="456">
                  <c:v>70.06</c:v>
                </c:pt>
                <c:pt idx="457">
                  <c:v>70.16</c:v>
                </c:pt>
                <c:pt idx="458">
                  <c:v>68.349999999999994</c:v>
                </c:pt>
                <c:pt idx="459">
                  <c:v>68.98</c:v>
                </c:pt>
                <c:pt idx="460">
                  <c:v>68.900000000000006</c:v>
                </c:pt>
                <c:pt idx="461">
                  <c:v>67.97</c:v>
                </c:pt>
                <c:pt idx="462">
                  <c:v>68.66</c:v>
                </c:pt>
                <c:pt idx="463">
                  <c:v>68.510000000000005</c:v>
                </c:pt>
                <c:pt idx="464">
                  <c:v>69.06</c:v>
                </c:pt>
                <c:pt idx="465">
                  <c:v>70.55</c:v>
                </c:pt>
                <c:pt idx="466">
                  <c:v>70.52</c:v>
                </c:pt>
                <c:pt idx="467">
                  <c:v>71.61</c:v>
                </c:pt>
                <c:pt idx="468">
                  <c:v>71.510000000000005</c:v>
                </c:pt>
                <c:pt idx="469">
                  <c:v>71.069999999999993</c:v>
                </c:pt>
                <c:pt idx="470">
                  <c:v>71.16</c:v>
                </c:pt>
                <c:pt idx="471">
                  <c:v>70.680000000000007</c:v>
                </c:pt>
                <c:pt idx="472">
                  <c:v>71.22</c:v>
                </c:pt>
                <c:pt idx="473">
                  <c:v>71.11</c:v>
                </c:pt>
                <c:pt idx="474">
                  <c:v>71.209999999999994</c:v>
                </c:pt>
                <c:pt idx="475">
                  <c:v>72.95</c:v>
                </c:pt>
                <c:pt idx="476">
                  <c:v>72.59</c:v>
                </c:pt>
                <c:pt idx="477">
                  <c:v>72.61</c:v>
                </c:pt>
                <c:pt idx="478">
                  <c:v>72.88</c:v>
                </c:pt>
                <c:pt idx="479">
                  <c:v>73.12</c:v>
                </c:pt>
                <c:pt idx="480">
                  <c:v>71.95</c:v>
                </c:pt>
                <c:pt idx="481">
                  <c:v>70.67</c:v>
                </c:pt>
                <c:pt idx="482">
                  <c:v>70.81</c:v>
                </c:pt>
                <c:pt idx="483">
                  <c:v>70.45</c:v>
                </c:pt>
                <c:pt idx="484">
                  <c:v>70</c:v>
                </c:pt>
                <c:pt idx="485">
                  <c:v>70.25</c:v>
                </c:pt>
                <c:pt idx="486">
                  <c:v>70.09</c:v>
                </c:pt>
                <c:pt idx="487">
                  <c:v>70.209999999999994</c:v>
                </c:pt>
                <c:pt idx="488">
                  <c:v>69.11</c:v>
                </c:pt>
                <c:pt idx="489">
                  <c:v>70.52</c:v>
                </c:pt>
                <c:pt idx="490">
                  <c:v>70.97</c:v>
                </c:pt>
                <c:pt idx="491">
                  <c:v>70.37</c:v>
                </c:pt>
                <c:pt idx="492">
                  <c:v>70.67</c:v>
                </c:pt>
                <c:pt idx="493">
                  <c:v>70.36</c:v>
                </c:pt>
                <c:pt idx="494">
                  <c:v>70.06</c:v>
                </c:pt>
                <c:pt idx="495">
                  <c:v>70.209999999999994</c:v>
                </c:pt>
                <c:pt idx="496">
                  <c:v>69.87</c:v>
                </c:pt>
                <c:pt idx="497">
                  <c:v>70.11</c:v>
                </c:pt>
                <c:pt idx="498">
                  <c:v>69.87</c:v>
                </c:pt>
                <c:pt idx="499">
                  <c:v>70.16</c:v>
                </c:pt>
                <c:pt idx="500">
                  <c:v>70.069999999999993</c:v>
                </c:pt>
                <c:pt idx="501">
                  <c:v>69.91</c:v>
                </c:pt>
                <c:pt idx="502">
                  <c:v>69.12</c:v>
                </c:pt>
                <c:pt idx="503">
                  <c:v>67.94</c:v>
                </c:pt>
                <c:pt idx="504">
                  <c:v>67.84</c:v>
                </c:pt>
                <c:pt idx="505">
                  <c:v>67.540000000000006</c:v>
                </c:pt>
                <c:pt idx="506">
                  <c:v>69.37</c:v>
                </c:pt>
                <c:pt idx="507">
                  <c:v>70.510000000000005</c:v>
                </c:pt>
                <c:pt idx="508">
                  <c:v>70.5</c:v>
                </c:pt>
                <c:pt idx="509">
                  <c:v>71.239999999999995</c:v>
                </c:pt>
                <c:pt idx="510">
                  <c:v>71.44</c:v>
                </c:pt>
                <c:pt idx="511">
                  <c:v>70.48</c:v>
                </c:pt>
                <c:pt idx="512">
                  <c:v>70.44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8BE-4453-82D7-D0DFD8977D3B}"/>
            </c:ext>
          </c:extLst>
        </c:ser>
        <c:ser>
          <c:idx val="1"/>
          <c:order val="1"/>
          <c:tx>
            <c:strRef>
              <c:f>Data!$F$1</c:f>
              <c:strCache>
                <c:ptCount val="1"/>
                <c:pt idx="0">
                  <c:v>VWAP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Data!$B$2:$B$514</c:f>
              <c:numCache>
                <c:formatCode>m/d/yyyy</c:formatCode>
                <c:ptCount val="513"/>
                <c:pt idx="0">
                  <c:v>45293</c:v>
                </c:pt>
                <c:pt idx="1">
                  <c:v>45294</c:v>
                </c:pt>
                <c:pt idx="2">
                  <c:v>45295</c:v>
                </c:pt>
                <c:pt idx="3">
                  <c:v>45296</c:v>
                </c:pt>
                <c:pt idx="4">
                  <c:v>45299</c:v>
                </c:pt>
                <c:pt idx="5">
                  <c:v>45300</c:v>
                </c:pt>
                <c:pt idx="6">
                  <c:v>45301</c:v>
                </c:pt>
                <c:pt idx="7">
                  <c:v>45302</c:v>
                </c:pt>
                <c:pt idx="8">
                  <c:v>45303</c:v>
                </c:pt>
                <c:pt idx="9">
                  <c:v>45307</c:v>
                </c:pt>
                <c:pt idx="10">
                  <c:v>45308</c:v>
                </c:pt>
                <c:pt idx="11">
                  <c:v>45309</c:v>
                </c:pt>
                <c:pt idx="12">
                  <c:v>45310</c:v>
                </c:pt>
                <c:pt idx="13">
                  <c:v>45313</c:v>
                </c:pt>
                <c:pt idx="14">
                  <c:v>45314</c:v>
                </c:pt>
                <c:pt idx="15">
                  <c:v>45315</c:v>
                </c:pt>
                <c:pt idx="16">
                  <c:v>45316</c:v>
                </c:pt>
                <c:pt idx="17">
                  <c:v>45317</c:v>
                </c:pt>
                <c:pt idx="18">
                  <c:v>45320</c:v>
                </c:pt>
                <c:pt idx="19">
                  <c:v>45321</c:v>
                </c:pt>
                <c:pt idx="20">
                  <c:v>45322</c:v>
                </c:pt>
                <c:pt idx="21">
                  <c:v>45323</c:v>
                </c:pt>
                <c:pt idx="22">
                  <c:v>45324</c:v>
                </c:pt>
                <c:pt idx="23">
                  <c:v>45327</c:v>
                </c:pt>
                <c:pt idx="24">
                  <c:v>45328</c:v>
                </c:pt>
                <c:pt idx="25">
                  <c:v>45329</c:v>
                </c:pt>
                <c:pt idx="26">
                  <c:v>45330</c:v>
                </c:pt>
                <c:pt idx="27">
                  <c:v>45331</c:v>
                </c:pt>
                <c:pt idx="28">
                  <c:v>45334</c:v>
                </c:pt>
                <c:pt idx="29">
                  <c:v>45335</c:v>
                </c:pt>
                <c:pt idx="30">
                  <c:v>45336</c:v>
                </c:pt>
                <c:pt idx="31">
                  <c:v>45337</c:v>
                </c:pt>
                <c:pt idx="32">
                  <c:v>45338</c:v>
                </c:pt>
                <c:pt idx="33">
                  <c:v>45342</c:v>
                </c:pt>
                <c:pt idx="34">
                  <c:v>45343</c:v>
                </c:pt>
                <c:pt idx="35">
                  <c:v>45344</c:v>
                </c:pt>
                <c:pt idx="36">
                  <c:v>45345</c:v>
                </c:pt>
                <c:pt idx="37">
                  <c:v>45348</c:v>
                </c:pt>
                <c:pt idx="38">
                  <c:v>45349</c:v>
                </c:pt>
                <c:pt idx="39">
                  <c:v>45350</c:v>
                </c:pt>
                <c:pt idx="40">
                  <c:v>45351</c:v>
                </c:pt>
                <c:pt idx="41">
                  <c:v>45352</c:v>
                </c:pt>
                <c:pt idx="42">
                  <c:v>45355</c:v>
                </c:pt>
                <c:pt idx="43">
                  <c:v>45356</c:v>
                </c:pt>
                <c:pt idx="44">
                  <c:v>45357</c:v>
                </c:pt>
                <c:pt idx="45">
                  <c:v>45358</c:v>
                </c:pt>
                <c:pt idx="46">
                  <c:v>45359</c:v>
                </c:pt>
                <c:pt idx="47">
                  <c:v>45362</c:v>
                </c:pt>
                <c:pt idx="48">
                  <c:v>45363</c:v>
                </c:pt>
                <c:pt idx="49">
                  <c:v>45364</c:v>
                </c:pt>
                <c:pt idx="50">
                  <c:v>45365</c:v>
                </c:pt>
                <c:pt idx="51">
                  <c:v>45366</c:v>
                </c:pt>
                <c:pt idx="52">
                  <c:v>45369</c:v>
                </c:pt>
                <c:pt idx="53">
                  <c:v>45370</c:v>
                </c:pt>
                <c:pt idx="54">
                  <c:v>45371</c:v>
                </c:pt>
                <c:pt idx="55">
                  <c:v>45372</c:v>
                </c:pt>
                <c:pt idx="56">
                  <c:v>45373</c:v>
                </c:pt>
                <c:pt idx="57">
                  <c:v>45376</c:v>
                </c:pt>
                <c:pt idx="58">
                  <c:v>45377</c:v>
                </c:pt>
                <c:pt idx="59">
                  <c:v>45378</c:v>
                </c:pt>
                <c:pt idx="60">
                  <c:v>45379</c:v>
                </c:pt>
                <c:pt idx="61">
                  <c:v>45383</c:v>
                </c:pt>
                <c:pt idx="62">
                  <c:v>45384</c:v>
                </c:pt>
                <c:pt idx="63">
                  <c:v>45385</c:v>
                </c:pt>
                <c:pt idx="64">
                  <c:v>45386</c:v>
                </c:pt>
                <c:pt idx="65">
                  <c:v>45387</c:v>
                </c:pt>
                <c:pt idx="66">
                  <c:v>45390</c:v>
                </c:pt>
                <c:pt idx="67">
                  <c:v>45391</c:v>
                </c:pt>
                <c:pt idx="68">
                  <c:v>45392</c:v>
                </c:pt>
                <c:pt idx="69">
                  <c:v>45393</c:v>
                </c:pt>
                <c:pt idx="70">
                  <c:v>45394</c:v>
                </c:pt>
                <c:pt idx="71">
                  <c:v>45397</c:v>
                </c:pt>
                <c:pt idx="72">
                  <c:v>45398</c:v>
                </c:pt>
                <c:pt idx="73">
                  <c:v>45399</c:v>
                </c:pt>
                <c:pt idx="74">
                  <c:v>45400</c:v>
                </c:pt>
                <c:pt idx="75">
                  <c:v>45401</c:v>
                </c:pt>
                <c:pt idx="76">
                  <c:v>45404</c:v>
                </c:pt>
                <c:pt idx="77">
                  <c:v>45405</c:v>
                </c:pt>
                <c:pt idx="78">
                  <c:v>45406</c:v>
                </c:pt>
                <c:pt idx="79">
                  <c:v>45407</c:v>
                </c:pt>
                <c:pt idx="80">
                  <c:v>45408</c:v>
                </c:pt>
                <c:pt idx="81">
                  <c:v>45411</c:v>
                </c:pt>
                <c:pt idx="82">
                  <c:v>45412</c:v>
                </c:pt>
                <c:pt idx="83">
                  <c:v>45413</c:v>
                </c:pt>
                <c:pt idx="84">
                  <c:v>45414</c:v>
                </c:pt>
                <c:pt idx="85">
                  <c:v>45415</c:v>
                </c:pt>
                <c:pt idx="86">
                  <c:v>45418</c:v>
                </c:pt>
                <c:pt idx="87">
                  <c:v>45419</c:v>
                </c:pt>
                <c:pt idx="88">
                  <c:v>45420</c:v>
                </c:pt>
                <c:pt idx="89">
                  <c:v>45421</c:v>
                </c:pt>
                <c:pt idx="90">
                  <c:v>45422</c:v>
                </c:pt>
                <c:pt idx="91">
                  <c:v>45425</c:v>
                </c:pt>
                <c:pt idx="92">
                  <c:v>45426</c:v>
                </c:pt>
                <c:pt idx="93">
                  <c:v>45427</c:v>
                </c:pt>
                <c:pt idx="94">
                  <c:v>45428</c:v>
                </c:pt>
                <c:pt idx="95">
                  <c:v>45429</c:v>
                </c:pt>
                <c:pt idx="96">
                  <c:v>45432</c:v>
                </c:pt>
                <c:pt idx="97">
                  <c:v>45433</c:v>
                </c:pt>
                <c:pt idx="98">
                  <c:v>45434</c:v>
                </c:pt>
                <c:pt idx="99">
                  <c:v>45435</c:v>
                </c:pt>
                <c:pt idx="100">
                  <c:v>45436</c:v>
                </c:pt>
                <c:pt idx="101">
                  <c:v>45440</c:v>
                </c:pt>
                <c:pt idx="102">
                  <c:v>45441</c:v>
                </c:pt>
                <c:pt idx="103">
                  <c:v>45442</c:v>
                </c:pt>
                <c:pt idx="104">
                  <c:v>45443</c:v>
                </c:pt>
                <c:pt idx="105">
                  <c:v>45446</c:v>
                </c:pt>
                <c:pt idx="106">
                  <c:v>45447</c:v>
                </c:pt>
                <c:pt idx="107">
                  <c:v>45448</c:v>
                </c:pt>
                <c:pt idx="108">
                  <c:v>45449</c:v>
                </c:pt>
                <c:pt idx="109">
                  <c:v>45450</c:v>
                </c:pt>
                <c:pt idx="110">
                  <c:v>45453</c:v>
                </c:pt>
                <c:pt idx="111">
                  <c:v>45454</c:v>
                </c:pt>
                <c:pt idx="112">
                  <c:v>45455</c:v>
                </c:pt>
                <c:pt idx="113">
                  <c:v>45456</c:v>
                </c:pt>
                <c:pt idx="114">
                  <c:v>45457</c:v>
                </c:pt>
                <c:pt idx="115">
                  <c:v>45460</c:v>
                </c:pt>
                <c:pt idx="116">
                  <c:v>45461</c:v>
                </c:pt>
                <c:pt idx="117">
                  <c:v>45463</c:v>
                </c:pt>
                <c:pt idx="118">
                  <c:v>45464</c:v>
                </c:pt>
                <c:pt idx="119">
                  <c:v>45467</c:v>
                </c:pt>
                <c:pt idx="120">
                  <c:v>45468</c:v>
                </c:pt>
                <c:pt idx="121">
                  <c:v>45469</c:v>
                </c:pt>
                <c:pt idx="122">
                  <c:v>45470</c:v>
                </c:pt>
                <c:pt idx="123">
                  <c:v>45471</c:v>
                </c:pt>
                <c:pt idx="124">
                  <c:v>45474</c:v>
                </c:pt>
                <c:pt idx="125">
                  <c:v>45475</c:v>
                </c:pt>
                <c:pt idx="126">
                  <c:v>45476</c:v>
                </c:pt>
                <c:pt idx="127">
                  <c:v>45478</c:v>
                </c:pt>
                <c:pt idx="128">
                  <c:v>45481</c:v>
                </c:pt>
                <c:pt idx="129">
                  <c:v>45482</c:v>
                </c:pt>
                <c:pt idx="130">
                  <c:v>45483</c:v>
                </c:pt>
                <c:pt idx="131">
                  <c:v>45484</c:v>
                </c:pt>
                <c:pt idx="132">
                  <c:v>45485</c:v>
                </c:pt>
                <c:pt idx="133">
                  <c:v>45488</c:v>
                </c:pt>
                <c:pt idx="134">
                  <c:v>45489</c:v>
                </c:pt>
                <c:pt idx="135">
                  <c:v>45490</c:v>
                </c:pt>
                <c:pt idx="136">
                  <c:v>45491</c:v>
                </c:pt>
                <c:pt idx="137">
                  <c:v>45492</c:v>
                </c:pt>
                <c:pt idx="138">
                  <c:v>45495</c:v>
                </c:pt>
                <c:pt idx="139">
                  <c:v>45496</c:v>
                </c:pt>
                <c:pt idx="140">
                  <c:v>45497</c:v>
                </c:pt>
                <c:pt idx="141">
                  <c:v>45498</c:v>
                </c:pt>
                <c:pt idx="142">
                  <c:v>45499</c:v>
                </c:pt>
                <c:pt idx="143">
                  <c:v>45502</c:v>
                </c:pt>
                <c:pt idx="144">
                  <c:v>45503</c:v>
                </c:pt>
                <c:pt idx="145">
                  <c:v>45504</c:v>
                </c:pt>
                <c:pt idx="146">
                  <c:v>45505</c:v>
                </c:pt>
                <c:pt idx="147">
                  <c:v>45506</c:v>
                </c:pt>
                <c:pt idx="148">
                  <c:v>45509</c:v>
                </c:pt>
                <c:pt idx="149">
                  <c:v>45510</c:v>
                </c:pt>
                <c:pt idx="150">
                  <c:v>45511</c:v>
                </c:pt>
                <c:pt idx="151">
                  <c:v>45512</c:v>
                </c:pt>
                <c:pt idx="152">
                  <c:v>45513</c:v>
                </c:pt>
                <c:pt idx="153">
                  <c:v>45516</c:v>
                </c:pt>
                <c:pt idx="154">
                  <c:v>45517</c:v>
                </c:pt>
                <c:pt idx="155">
                  <c:v>45518</c:v>
                </c:pt>
                <c:pt idx="156">
                  <c:v>45519</c:v>
                </c:pt>
                <c:pt idx="157">
                  <c:v>45520</c:v>
                </c:pt>
                <c:pt idx="158">
                  <c:v>45523</c:v>
                </c:pt>
                <c:pt idx="159">
                  <c:v>45524</c:v>
                </c:pt>
                <c:pt idx="160">
                  <c:v>45525</c:v>
                </c:pt>
                <c:pt idx="161">
                  <c:v>45526</c:v>
                </c:pt>
                <c:pt idx="162">
                  <c:v>45527</c:v>
                </c:pt>
                <c:pt idx="163">
                  <c:v>45530</c:v>
                </c:pt>
                <c:pt idx="164">
                  <c:v>45531</c:v>
                </c:pt>
                <c:pt idx="165">
                  <c:v>45532</c:v>
                </c:pt>
                <c:pt idx="166">
                  <c:v>45533</c:v>
                </c:pt>
                <c:pt idx="167">
                  <c:v>45534</c:v>
                </c:pt>
                <c:pt idx="168">
                  <c:v>45538</c:v>
                </c:pt>
                <c:pt idx="169">
                  <c:v>45539</c:v>
                </c:pt>
                <c:pt idx="170">
                  <c:v>45540</c:v>
                </c:pt>
                <c:pt idx="171">
                  <c:v>45541</c:v>
                </c:pt>
                <c:pt idx="172">
                  <c:v>45544</c:v>
                </c:pt>
                <c:pt idx="173">
                  <c:v>45545</c:v>
                </c:pt>
                <c:pt idx="174">
                  <c:v>45546</c:v>
                </c:pt>
                <c:pt idx="175">
                  <c:v>45547</c:v>
                </c:pt>
                <c:pt idx="176">
                  <c:v>45548</c:v>
                </c:pt>
                <c:pt idx="177">
                  <c:v>45551</c:v>
                </c:pt>
                <c:pt idx="178">
                  <c:v>45552</c:v>
                </c:pt>
                <c:pt idx="179">
                  <c:v>45553</c:v>
                </c:pt>
                <c:pt idx="180">
                  <c:v>45554</c:v>
                </c:pt>
                <c:pt idx="181">
                  <c:v>45555</c:v>
                </c:pt>
                <c:pt idx="182">
                  <c:v>45558</c:v>
                </c:pt>
                <c:pt idx="183">
                  <c:v>45559</c:v>
                </c:pt>
                <c:pt idx="184">
                  <c:v>45560</c:v>
                </c:pt>
                <c:pt idx="185">
                  <c:v>45561</c:v>
                </c:pt>
                <c:pt idx="186">
                  <c:v>45562</c:v>
                </c:pt>
                <c:pt idx="187">
                  <c:v>45565</c:v>
                </c:pt>
                <c:pt idx="188">
                  <c:v>45566</c:v>
                </c:pt>
                <c:pt idx="189">
                  <c:v>45567</c:v>
                </c:pt>
                <c:pt idx="190">
                  <c:v>45568</c:v>
                </c:pt>
                <c:pt idx="191">
                  <c:v>45569</c:v>
                </c:pt>
                <c:pt idx="192">
                  <c:v>45572</c:v>
                </c:pt>
                <c:pt idx="193">
                  <c:v>45573</c:v>
                </c:pt>
                <c:pt idx="194">
                  <c:v>45574</c:v>
                </c:pt>
                <c:pt idx="195">
                  <c:v>45575</c:v>
                </c:pt>
                <c:pt idx="196">
                  <c:v>45576</c:v>
                </c:pt>
                <c:pt idx="197">
                  <c:v>45579</c:v>
                </c:pt>
                <c:pt idx="198">
                  <c:v>45580</c:v>
                </c:pt>
                <c:pt idx="199">
                  <c:v>45581</c:v>
                </c:pt>
                <c:pt idx="200">
                  <c:v>45582</c:v>
                </c:pt>
                <c:pt idx="201">
                  <c:v>45583</c:v>
                </c:pt>
                <c:pt idx="202">
                  <c:v>45586</c:v>
                </c:pt>
                <c:pt idx="203">
                  <c:v>45587</c:v>
                </c:pt>
                <c:pt idx="204">
                  <c:v>45588</c:v>
                </c:pt>
                <c:pt idx="205">
                  <c:v>45589</c:v>
                </c:pt>
                <c:pt idx="206">
                  <c:v>45590</c:v>
                </c:pt>
                <c:pt idx="207">
                  <c:v>45593</c:v>
                </c:pt>
                <c:pt idx="208">
                  <c:v>45594</c:v>
                </c:pt>
                <c:pt idx="209">
                  <c:v>45595</c:v>
                </c:pt>
                <c:pt idx="210">
                  <c:v>45596</c:v>
                </c:pt>
                <c:pt idx="211">
                  <c:v>45597</c:v>
                </c:pt>
                <c:pt idx="212">
                  <c:v>45600</c:v>
                </c:pt>
                <c:pt idx="213">
                  <c:v>45601</c:v>
                </c:pt>
                <c:pt idx="214">
                  <c:v>45602</c:v>
                </c:pt>
                <c:pt idx="215">
                  <c:v>45603</c:v>
                </c:pt>
                <c:pt idx="216">
                  <c:v>45604</c:v>
                </c:pt>
                <c:pt idx="217">
                  <c:v>45607</c:v>
                </c:pt>
                <c:pt idx="218">
                  <c:v>45608</c:v>
                </c:pt>
                <c:pt idx="219">
                  <c:v>45609</c:v>
                </c:pt>
                <c:pt idx="220">
                  <c:v>45610</c:v>
                </c:pt>
                <c:pt idx="221">
                  <c:v>45611</c:v>
                </c:pt>
                <c:pt idx="222">
                  <c:v>45614</c:v>
                </c:pt>
                <c:pt idx="223">
                  <c:v>45615</c:v>
                </c:pt>
                <c:pt idx="224">
                  <c:v>45616</c:v>
                </c:pt>
                <c:pt idx="225">
                  <c:v>45617</c:v>
                </c:pt>
                <c:pt idx="226">
                  <c:v>45618</c:v>
                </c:pt>
                <c:pt idx="227">
                  <c:v>45621</c:v>
                </c:pt>
                <c:pt idx="228">
                  <c:v>45622</c:v>
                </c:pt>
                <c:pt idx="229">
                  <c:v>45623</c:v>
                </c:pt>
                <c:pt idx="230">
                  <c:v>45625</c:v>
                </c:pt>
                <c:pt idx="231">
                  <c:v>45628</c:v>
                </c:pt>
                <c:pt idx="232">
                  <c:v>45629</c:v>
                </c:pt>
                <c:pt idx="233">
                  <c:v>45630</c:v>
                </c:pt>
                <c:pt idx="234">
                  <c:v>45631</c:v>
                </c:pt>
                <c:pt idx="235">
                  <c:v>45632</c:v>
                </c:pt>
                <c:pt idx="236">
                  <c:v>45635</c:v>
                </c:pt>
                <c:pt idx="237">
                  <c:v>45636</c:v>
                </c:pt>
                <c:pt idx="238">
                  <c:v>45637</c:v>
                </c:pt>
                <c:pt idx="239">
                  <c:v>45638</c:v>
                </c:pt>
                <c:pt idx="240">
                  <c:v>45639</c:v>
                </c:pt>
                <c:pt idx="241">
                  <c:v>45642</c:v>
                </c:pt>
                <c:pt idx="242">
                  <c:v>45643</c:v>
                </c:pt>
                <c:pt idx="243">
                  <c:v>45644</c:v>
                </c:pt>
                <c:pt idx="244">
                  <c:v>45645</c:v>
                </c:pt>
                <c:pt idx="245">
                  <c:v>45646</c:v>
                </c:pt>
                <c:pt idx="246">
                  <c:v>45649</c:v>
                </c:pt>
                <c:pt idx="247">
                  <c:v>45650</c:v>
                </c:pt>
                <c:pt idx="248">
                  <c:v>45652</c:v>
                </c:pt>
                <c:pt idx="249">
                  <c:v>45653</c:v>
                </c:pt>
                <c:pt idx="250">
                  <c:v>45656</c:v>
                </c:pt>
                <c:pt idx="251">
                  <c:v>45657</c:v>
                </c:pt>
                <c:pt idx="252">
                  <c:v>45659</c:v>
                </c:pt>
                <c:pt idx="253">
                  <c:v>45660</c:v>
                </c:pt>
                <c:pt idx="254">
                  <c:v>45663</c:v>
                </c:pt>
                <c:pt idx="255">
                  <c:v>45664</c:v>
                </c:pt>
                <c:pt idx="256">
                  <c:v>45665</c:v>
                </c:pt>
                <c:pt idx="257">
                  <c:v>45667</c:v>
                </c:pt>
                <c:pt idx="258">
                  <c:v>45670</c:v>
                </c:pt>
                <c:pt idx="259">
                  <c:v>45671</c:v>
                </c:pt>
                <c:pt idx="260">
                  <c:v>45672</c:v>
                </c:pt>
                <c:pt idx="261">
                  <c:v>45673</c:v>
                </c:pt>
                <c:pt idx="262">
                  <c:v>45674</c:v>
                </c:pt>
                <c:pt idx="263">
                  <c:v>45678</c:v>
                </c:pt>
                <c:pt idx="264">
                  <c:v>45679</c:v>
                </c:pt>
                <c:pt idx="265">
                  <c:v>45680</c:v>
                </c:pt>
                <c:pt idx="266">
                  <c:v>45681</c:v>
                </c:pt>
                <c:pt idx="267">
                  <c:v>45684</c:v>
                </c:pt>
                <c:pt idx="268">
                  <c:v>45685</c:v>
                </c:pt>
                <c:pt idx="269">
                  <c:v>45686</c:v>
                </c:pt>
                <c:pt idx="270">
                  <c:v>45687</c:v>
                </c:pt>
                <c:pt idx="271">
                  <c:v>45688</c:v>
                </c:pt>
                <c:pt idx="272">
                  <c:v>45691</c:v>
                </c:pt>
                <c:pt idx="273">
                  <c:v>45692</c:v>
                </c:pt>
                <c:pt idx="274">
                  <c:v>45693</c:v>
                </c:pt>
                <c:pt idx="275">
                  <c:v>45694</c:v>
                </c:pt>
                <c:pt idx="276">
                  <c:v>45695</c:v>
                </c:pt>
                <c:pt idx="277">
                  <c:v>45698</c:v>
                </c:pt>
                <c:pt idx="278">
                  <c:v>45699</c:v>
                </c:pt>
                <c:pt idx="279">
                  <c:v>45700</c:v>
                </c:pt>
                <c:pt idx="280">
                  <c:v>45701</c:v>
                </c:pt>
                <c:pt idx="281">
                  <c:v>45702</c:v>
                </c:pt>
                <c:pt idx="282">
                  <c:v>45706</c:v>
                </c:pt>
                <c:pt idx="283">
                  <c:v>45707</c:v>
                </c:pt>
                <c:pt idx="284">
                  <c:v>45708</c:v>
                </c:pt>
                <c:pt idx="285">
                  <c:v>45709</c:v>
                </c:pt>
                <c:pt idx="286">
                  <c:v>45712</c:v>
                </c:pt>
                <c:pt idx="287">
                  <c:v>45713</c:v>
                </c:pt>
                <c:pt idx="288">
                  <c:v>45714</c:v>
                </c:pt>
                <c:pt idx="289">
                  <c:v>45715</c:v>
                </c:pt>
                <c:pt idx="290">
                  <c:v>45716</c:v>
                </c:pt>
                <c:pt idx="291">
                  <c:v>45719</c:v>
                </c:pt>
                <c:pt idx="292">
                  <c:v>45720</c:v>
                </c:pt>
                <c:pt idx="293">
                  <c:v>45721</c:v>
                </c:pt>
                <c:pt idx="294">
                  <c:v>45722</c:v>
                </c:pt>
                <c:pt idx="295">
                  <c:v>45723</c:v>
                </c:pt>
                <c:pt idx="296">
                  <c:v>45726</c:v>
                </c:pt>
                <c:pt idx="297">
                  <c:v>45727</c:v>
                </c:pt>
                <c:pt idx="298">
                  <c:v>45728</c:v>
                </c:pt>
                <c:pt idx="299">
                  <c:v>45729</c:v>
                </c:pt>
                <c:pt idx="300">
                  <c:v>45730</c:v>
                </c:pt>
                <c:pt idx="301">
                  <c:v>45733</c:v>
                </c:pt>
                <c:pt idx="302">
                  <c:v>45734</c:v>
                </c:pt>
                <c:pt idx="303">
                  <c:v>45735</c:v>
                </c:pt>
                <c:pt idx="304">
                  <c:v>45736</c:v>
                </c:pt>
                <c:pt idx="305">
                  <c:v>45737</c:v>
                </c:pt>
                <c:pt idx="306">
                  <c:v>45740</c:v>
                </c:pt>
                <c:pt idx="307">
                  <c:v>45741</c:v>
                </c:pt>
                <c:pt idx="308">
                  <c:v>45742</c:v>
                </c:pt>
                <c:pt idx="309">
                  <c:v>45743</c:v>
                </c:pt>
                <c:pt idx="310">
                  <c:v>45744</c:v>
                </c:pt>
                <c:pt idx="311">
                  <c:v>45747</c:v>
                </c:pt>
                <c:pt idx="312">
                  <c:v>45748</c:v>
                </c:pt>
                <c:pt idx="313">
                  <c:v>45749</c:v>
                </c:pt>
                <c:pt idx="314">
                  <c:v>45750</c:v>
                </c:pt>
                <c:pt idx="315">
                  <c:v>45751</c:v>
                </c:pt>
                <c:pt idx="316">
                  <c:v>45754</c:v>
                </c:pt>
                <c:pt idx="317">
                  <c:v>45755</c:v>
                </c:pt>
                <c:pt idx="318">
                  <c:v>45756</c:v>
                </c:pt>
                <c:pt idx="319">
                  <c:v>45757</c:v>
                </c:pt>
                <c:pt idx="320">
                  <c:v>45758</c:v>
                </c:pt>
                <c:pt idx="321">
                  <c:v>45761</c:v>
                </c:pt>
                <c:pt idx="322">
                  <c:v>45762</c:v>
                </c:pt>
                <c:pt idx="323">
                  <c:v>45763</c:v>
                </c:pt>
                <c:pt idx="324">
                  <c:v>45764</c:v>
                </c:pt>
                <c:pt idx="325">
                  <c:v>45768</c:v>
                </c:pt>
                <c:pt idx="326">
                  <c:v>45769</c:v>
                </c:pt>
                <c:pt idx="327">
                  <c:v>45770</c:v>
                </c:pt>
                <c:pt idx="328">
                  <c:v>45771</c:v>
                </c:pt>
                <c:pt idx="329">
                  <c:v>45772</c:v>
                </c:pt>
                <c:pt idx="330">
                  <c:v>45775</c:v>
                </c:pt>
                <c:pt idx="331">
                  <c:v>45776</c:v>
                </c:pt>
                <c:pt idx="332">
                  <c:v>45777</c:v>
                </c:pt>
                <c:pt idx="333">
                  <c:v>45778</c:v>
                </c:pt>
                <c:pt idx="334">
                  <c:v>45779</c:v>
                </c:pt>
                <c:pt idx="335">
                  <c:v>45782</c:v>
                </c:pt>
                <c:pt idx="336">
                  <c:v>45783</c:v>
                </c:pt>
                <c:pt idx="337">
                  <c:v>45784</c:v>
                </c:pt>
                <c:pt idx="338">
                  <c:v>45785</c:v>
                </c:pt>
                <c:pt idx="339">
                  <c:v>45786</c:v>
                </c:pt>
                <c:pt idx="340">
                  <c:v>45789</c:v>
                </c:pt>
                <c:pt idx="341">
                  <c:v>45790</c:v>
                </c:pt>
                <c:pt idx="342">
                  <c:v>45791</c:v>
                </c:pt>
                <c:pt idx="343">
                  <c:v>45792</c:v>
                </c:pt>
                <c:pt idx="344">
                  <c:v>45793</c:v>
                </c:pt>
                <c:pt idx="345">
                  <c:v>45796</c:v>
                </c:pt>
                <c:pt idx="346">
                  <c:v>45797</c:v>
                </c:pt>
                <c:pt idx="347">
                  <c:v>45798</c:v>
                </c:pt>
                <c:pt idx="348">
                  <c:v>45799</c:v>
                </c:pt>
                <c:pt idx="349">
                  <c:v>45800</c:v>
                </c:pt>
                <c:pt idx="350">
                  <c:v>45804</c:v>
                </c:pt>
                <c:pt idx="351">
                  <c:v>45805</c:v>
                </c:pt>
                <c:pt idx="352">
                  <c:v>45806</c:v>
                </c:pt>
                <c:pt idx="353">
                  <c:v>45807</c:v>
                </c:pt>
                <c:pt idx="354">
                  <c:v>45810</c:v>
                </c:pt>
                <c:pt idx="355">
                  <c:v>45811</c:v>
                </c:pt>
                <c:pt idx="356">
                  <c:v>45812</c:v>
                </c:pt>
                <c:pt idx="357">
                  <c:v>45813</c:v>
                </c:pt>
                <c:pt idx="358">
                  <c:v>45814</c:v>
                </c:pt>
                <c:pt idx="359">
                  <c:v>45817</c:v>
                </c:pt>
                <c:pt idx="360">
                  <c:v>45818</c:v>
                </c:pt>
                <c:pt idx="361">
                  <c:v>45819</c:v>
                </c:pt>
                <c:pt idx="362">
                  <c:v>45820</c:v>
                </c:pt>
                <c:pt idx="363">
                  <c:v>45821</c:v>
                </c:pt>
                <c:pt idx="364">
                  <c:v>45824</c:v>
                </c:pt>
                <c:pt idx="365">
                  <c:v>45825</c:v>
                </c:pt>
                <c:pt idx="366">
                  <c:v>45826</c:v>
                </c:pt>
                <c:pt idx="367">
                  <c:v>45828</c:v>
                </c:pt>
                <c:pt idx="368">
                  <c:v>45831</c:v>
                </c:pt>
                <c:pt idx="369">
                  <c:v>45832</c:v>
                </c:pt>
                <c:pt idx="370">
                  <c:v>45833</c:v>
                </c:pt>
                <c:pt idx="371">
                  <c:v>45834</c:v>
                </c:pt>
                <c:pt idx="372">
                  <c:v>45835</c:v>
                </c:pt>
                <c:pt idx="373">
                  <c:v>45838</c:v>
                </c:pt>
                <c:pt idx="374">
                  <c:v>45839</c:v>
                </c:pt>
                <c:pt idx="375">
                  <c:v>45840</c:v>
                </c:pt>
                <c:pt idx="376">
                  <c:v>45841</c:v>
                </c:pt>
                <c:pt idx="377">
                  <c:v>45845</c:v>
                </c:pt>
                <c:pt idx="378">
                  <c:v>45846</c:v>
                </c:pt>
                <c:pt idx="379">
                  <c:v>45847</c:v>
                </c:pt>
                <c:pt idx="380">
                  <c:v>45848</c:v>
                </c:pt>
                <c:pt idx="381">
                  <c:v>45849</c:v>
                </c:pt>
                <c:pt idx="382">
                  <c:v>45852</c:v>
                </c:pt>
                <c:pt idx="383">
                  <c:v>45853</c:v>
                </c:pt>
                <c:pt idx="384">
                  <c:v>45854</c:v>
                </c:pt>
                <c:pt idx="385">
                  <c:v>45855</c:v>
                </c:pt>
                <c:pt idx="386">
                  <c:v>45856</c:v>
                </c:pt>
                <c:pt idx="387">
                  <c:v>45859</c:v>
                </c:pt>
                <c:pt idx="388">
                  <c:v>45860</c:v>
                </c:pt>
                <c:pt idx="389">
                  <c:v>45861</c:v>
                </c:pt>
                <c:pt idx="390">
                  <c:v>45862</c:v>
                </c:pt>
                <c:pt idx="391">
                  <c:v>45863</c:v>
                </c:pt>
                <c:pt idx="392">
                  <c:v>45866</c:v>
                </c:pt>
                <c:pt idx="393">
                  <c:v>45867</c:v>
                </c:pt>
                <c:pt idx="394">
                  <c:v>45868</c:v>
                </c:pt>
                <c:pt idx="395">
                  <c:v>45869</c:v>
                </c:pt>
                <c:pt idx="396">
                  <c:v>45870</c:v>
                </c:pt>
                <c:pt idx="397">
                  <c:v>45873</c:v>
                </c:pt>
                <c:pt idx="398">
                  <c:v>45874</c:v>
                </c:pt>
                <c:pt idx="399">
                  <c:v>45875</c:v>
                </c:pt>
                <c:pt idx="400">
                  <c:v>45876</c:v>
                </c:pt>
                <c:pt idx="401">
                  <c:v>45877</c:v>
                </c:pt>
                <c:pt idx="402">
                  <c:v>45880</c:v>
                </c:pt>
                <c:pt idx="403">
                  <c:v>45881</c:v>
                </c:pt>
                <c:pt idx="404">
                  <c:v>45882</c:v>
                </c:pt>
                <c:pt idx="405">
                  <c:v>45883</c:v>
                </c:pt>
                <c:pt idx="406">
                  <c:v>45884</c:v>
                </c:pt>
                <c:pt idx="407">
                  <c:v>45887</c:v>
                </c:pt>
                <c:pt idx="408">
                  <c:v>45888</c:v>
                </c:pt>
                <c:pt idx="409">
                  <c:v>45889</c:v>
                </c:pt>
                <c:pt idx="410">
                  <c:v>45890</c:v>
                </c:pt>
                <c:pt idx="411">
                  <c:v>45891</c:v>
                </c:pt>
                <c:pt idx="412">
                  <c:v>45894</c:v>
                </c:pt>
                <c:pt idx="413">
                  <c:v>45895</c:v>
                </c:pt>
                <c:pt idx="414">
                  <c:v>45896</c:v>
                </c:pt>
                <c:pt idx="415">
                  <c:v>45897</c:v>
                </c:pt>
                <c:pt idx="416">
                  <c:v>45898</c:v>
                </c:pt>
                <c:pt idx="417">
                  <c:v>45902</c:v>
                </c:pt>
                <c:pt idx="418">
                  <c:v>45903</c:v>
                </c:pt>
                <c:pt idx="419">
                  <c:v>45904</c:v>
                </c:pt>
                <c:pt idx="420">
                  <c:v>45905</c:v>
                </c:pt>
                <c:pt idx="421">
                  <c:v>45908</c:v>
                </c:pt>
                <c:pt idx="422">
                  <c:v>45909</c:v>
                </c:pt>
                <c:pt idx="423">
                  <c:v>45910</c:v>
                </c:pt>
                <c:pt idx="424">
                  <c:v>45911</c:v>
                </c:pt>
                <c:pt idx="425">
                  <c:v>45912</c:v>
                </c:pt>
                <c:pt idx="426">
                  <c:v>45915</c:v>
                </c:pt>
                <c:pt idx="427">
                  <c:v>45916</c:v>
                </c:pt>
                <c:pt idx="428">
                  <c:v>45917</c:v>
                </c:pt>
                <c:pt idx="429">
                  <c:v>45918</c:v>
                </c:pt>
                <c:pt idx="430">
                  <c:v>45919</c:v>
                </c:pt>
                <c:pt idx="431">
                  <c:v>45922</c:v>
                </c:pt>
                <c:pt idx="432">
                  <c:v>45923</c:v>
                </c:pt>
                <c:pt idx="433">
                  <c:v>45924</c:v>
                </c:pt>
                <c:pt idx="434">
                  <c:v>45925</c:v>
                </c:pt>
                <c:pt idx="435">
                  <c:v>45926</c:v>
                </c:pt>
                <c:pt idx="436">
                  <c:v>45929</c:v>
                </c:pt>
                <c:pt idx="437">
                  <c:v>45930</c:v>
                </c:pt>
                <c:pt idx="438">
                  <c:v>45931</c:v>
                </c:pt>
                <c:pt idx="439">
                  <c:v>45932</c:v>
                </c:pt>
                <c:pt idx="440">
                  <c:v>45933</c:v>
                </c:pt>
                <c:pt idx="441">
                  <c:v>45936</c:v>
                </c:pt>
                <c:pt idx="442">
                  <c:v>45937</c:v>
                </c:pt>
                <c:pt idx="443">
                  <c:v>45938</c:v>
                </c:pt>
                <c:pt idx="444">
                  <c:v>45939</c:v>
                </c:pt>
                <c:pt idx="445">
                  <c:v>45940</c:v>
                </c:pt>
                <c:pt idx="446">
                  <c:v>45943</c:v>
                </c:pt>
                <c:pt idx="447">
                  <c:v>45944</c:v>
                </c:pt>
                <c:pt idx="448">
                  <c:v>45945</c:v>
                </c:pt>
                <c:pt idx="449">
                  <c:v>45946</c:v>
                </c:pt>
                <c:pt idx="450">
                  <c:v>45947</c:v>
                </c:pt>
                <c:pt idx="451">
                  <c:v>45950</c:v>
                </c:pt>
                <c:pt idx="452">
                  <c:v>45951</c:v>
                </c:pt>
                <c:pt idx="453">
                  <c:v>45952</c:v>
                </c:pt>
                <c:pt idx="454">
                  <c:v>45953</c:v>
                </c:pt>
                <c:pt idx="455">
                  <c:v>45954</c:v>
                </c:pt>
                <c:pt idx="456">
                  <c:v>45957</c:v>
                </c:pt>
                <c:pt idx="457">
                  <c:v>45958</c:v>
                </c:pt>
                <c:pt idx="458">
                  <c:v>45959</c:v>
                </c:pt>
                <c:pt idx="459">
                  <c:v>45960</c:v>
                </c:pt>
                <c:pt idx="460">
                  <c:v>45961</c:v>
                </c:pt>
                <c:pt idx="461">
                  <c:v>45964</c:v>
                </c:pt>
                <c:pt idx="462">
                  <c:v>45965</c:v>
                </c:pt>
                <c:pt idx="463">
                  <c:v>45966</c:v>
                </c:pt>
                <c:pt idx="464">
                  <c:v>45967</c:v>
                </c:pt>
                <c:pt idx="465">
                  <c:v>45968</c:v>
                </c:pt>
                <c:pt idx="466">
                  <c:v>45971</c:v>
                </c:pt>
                <c:pt idx="467">
                  <c:v>45972</c:v>
                </c:pt>
                <c:pt idx="468">
                  <c:v>45973</c:v>
                </c:pt>
                <c:pt idx="469">
                  <c:v>45974</c:v>
                </c:pt>
                <c:pt idx="470">
                  <c:v>45975</c:v>
                </c:pt>
                <c:pt idx="471">
                  <c:v>45978</c:v>
                </c:pt>
                <c:pt idx="472">
                  <c:v>45979</c:v>
                </c:pt>
                <c:pt idx="473">
                  <c:v>45980</c:v>
                </c:pt>
                <c:pt idx="474">
                  <c:v>45981</c:v>
                </c:pt>
                <c:pt idx="475">
                  <c:v>45982</c:v>
                </c:pt>
                <c:pt idx="476">
                  <c:v>45985</c:v>
                </c:pt>
                <c:pt idx="477">
                  <c:v>45986</c:v>
                </c:pt>
                <c:pt idx="478">
                  <c:v>45987</c:v>
                </c:pt>
                <c:pt idx="479">
                  <c:v>45989</c:v>
                </c:pt>
                <c:pt idx="480">
                  <c:v>45992</c:v>
                </c:pt>
                <c:pt idx="481">
                  <c:v>45993</c:v>
                </c:pt>
                <c:pt idx="482">
                  <c:v>45994</c:v>
                </c:pt>
                <c:pt idx="483">
                  <c:v>45995</c:v>
                </c:pt>
                <c:pt idx="484">
                  <c:v>45996</c:v>
                </c:pt>
                <c:pt idx="485">
                  <c:v>45999</c:v>
                </c:pt>
                <c:pt idx="486">
                  <c:v>46000</c:v>
                </c:pt>
                <c:pt idx="487">
                  <c:v>46001</c:v>
                </c:pt>
                <c:pt idx="488">
                  <c:v>46002</c:v>
                </c:pt>
                <c:pt idx="489">
                  <c:v>46003</c:v>
                </c:pt>
                <c:pt idx="490">
                  <c:v>46006</c:v>
                </c:pt>
                <c:pt idx="491">
                  <c:v>46007</c:v>
                </c:pt>
                <c:pt idx="492">
                  <c:v>46008</c:v>
                </c:pt>
                <c:pt idx="493">
                  <c:v>46009</c:v>
                </c:pt>
                <c:pt idx="494">
                  <c:v>46010</c:v>
                </c:pt>
                <c:pt idx="495">
                  <c:v>46013</c:v>
                </c:pt>
                <c:pt idx="496">
                  <c:v>46014</c:v>
                </c:pt>
                <c:pt idx="497">
                  <c:v>46015</c:v>
                </c:pt>
                <c:pt idx="498">
                  <c:v>46017</c:v>
                </c:pt>
                <c:pt idx="499">
                  <c:v>46020</c:v>
                </c:pt>
                <c:pt idx="500">
                  <c:v>46021</c:v>
                </c:pt>
                <c:pt idx="501">
                  <c:v>46022</c:v>
                </c:pt>
                <c:pt idx="502">
                  <c:v>46024</c:v>
                </c:pt>
                <c:pt idx="503">
                  <c:v>46027</c:v>
                </c:pt>
                <c:pt idx="504">
                  <c:v>46028</c:v>
                </c:pt>
                <c:pt idx="505">
                  <c:v>46029</c:v>
                </c:pt>
                <c:pt idx="506">
                  <c:v>46030</c:v>
                </c:pt>
                <c:pt idx="507">
                  <c:v>46031</c:v>
                </c:pt>
                <c:pt idx="508">
                  <c:v>46034</c:v>
                </c:pt>
                <c:pt idx="509">
                  <c:v>46035</c:v>
                </c:pt>
                <c:pt idx="510">
                  <c:v>46036</c:v>
                </c:pt>
                <c:pt idx="511">
                  <c:v>46037</c:v>
                </c:pt>
                <c:pt idx="512">
                  <c:v>46038</c:v>
                </c:pt>
              </c:numCache>
            </c:numRef>
          </c:cat>
          <c:val>
            <c:numRef>
              <c:f>Data!$F$2:$F$514</c:f>
              <c:numCache>
                <c:formatCode>General</c:formatCode>
                <c:ptCount val="513"/>
                <c:pt idx="0">
                  <c:v>59.82</c:v>
                </c:pt>
                <c:pt idx="1">
                  <c:v>59.886647630436492</c:v>
                </c:pt>
                <c:pt idx="2">
                  <c:v>59.849535439592373</c:v>
                </c:pt>
                <c:pt idx="3">
                  <c:v>59.815220052970545</c:v>
                </c:pt>
                <c:pt idx="4">
                  <c:v>59.866800993161277</c:v>
                </c:pt>
                <c:pt idx="5">
                  <c:v>59.885065655446752</c:v>
                </c:pt>
                <c:pt idx="6">
                  <c:v>59.928546538843442</c:v>
                </c:pt>
                <c:pt idx="7">
                  <c:v>59.912645180387301</c:v>
                </c:pt>
                <c:pt idx="8">
                  <c:v>59.967152939714182</c:v>
                </c:pt>
                <c:pt idx="9">
                  <c:v>59.969270833337411</c:v>
                </c:pt>
                <c:pt idx="10">
                  <c:v>59.970634213867214</c:v>
                </c:pt>
                <c:pt idx="11">
                  <c:v>59.984031799312191</c:v>
                </c:pt>
                <c:pt idx="12">
                  <c:v>59.970292568732077</c:v>
                </c:pt>
                <c:pt idx="13">
                  <c:v>59.937675390737397</c:v>
                </c:pt>
                <c:pt idx="14">
                  <c:v>59.930998211000869</c:v>
                </c:pt>
                <c:pt idx="15">
                  <c:v>59.850066689803043</c:v>
                </c:pt>
                <c:pt idx="16">
                  <c:v>59.803631585531335</c:v>
                </c:pt>
                <c:pt idx="17">
                  <c:v>59.779540599203585</c:v>
                </c:pt>
                <c:pt idx="18">
                  <c:v>59.776646282150097</c:v>
                </c:pt>
                <c:pt idx="19">
                  <c:v>59.786686151381822</c:v>
                </c:pt>
                <c:pt idx="20">
                  <c:v>59.763632155470965</c:v>
                </c:pt>
                <c:pt idx="21">
                  <c:v>59.825953164302582</c:v>
                </c:pt>
                <c:pt idx="22">
                  <c:v>59.864228528023581</c:v>
                </c:pt>
                <c:pt idx="23">
                  <c:v>59.870823568224644</c:v>
                </c:pt>
                <c:pt idx="24">
                  <c:v>59.873328563207977</c:v>
                </c:pt>
                <c:pt idx="25">
                  <c:v>59.876625221630199</c:v>
                </c:pt>
                <c:pt idx="26">
                  <c:v>59.875028627597707</c:v>
                </c:pt>
                <c:pt idx="27">
                  <c:v>59.862760365349907</c:v>
                </c:pt>
                <c:pt idx="28">
                  <c:v>59.857324688789717</c:v>
                </c:pt>
                <c:pt idx="29">
                  <c:v>59.828706679052637</c:v>
                </c:pt>
                <c:pt idx="30">
                  <c:v>59.809483255541565</c:v>
                </c:pt>
                <c:pt idx="31">
                  <c:v>59.79725149987808</c:v>
                </c:pt>
                <c:pt idx="32">
                  <c:v>59.785228991394327</c:v>
                </c:pt>
                <c:pt idx="33">
                  <c:v>59.819411668572613</c:v>
                </c:pt>
                <c:pt idx="34">
                  <c:v>59.859845465730068</c:v>
                </c:pt>
                <c:pt idx="35">
                  <c:v>59.892172020078782</c:v>
                </c:pt>
                <c:pt idx="36">
                  <c:v>59.925652248138654</c:v>
                </c:pt>
                <c:pt idx="37">
                  <c:v>59.940607413314247</c:v>
                </c:pt>
                <c:pt idx="38">
                  <c:v>59.947792609437414</c:v>
                </c:pt>
                <c:pt idx="39">
                  <c:v>59.954313344590645</c:v>
                </c:pt>
                <c:pt idx="40">
                  <c:v>59.956375393396662</c:v>
                </c:pt>
                <c:pt idx="41">
                  <c:v>59.94846739241752</c:v>
                </c:pt>
                <c:pt idx="42">
                  <c:v>59.946122316040608</c:v>
                </c:pt>
                <c:pt idx="43">
                  <c:v>59.937546131657143</c:v>
                </c:pt>
                <c:pt idx="44">
                  <c:v>59.929858299094427</c:v>
                </c:pt>
                <c:pt idx="45">
                  <c:v>59.919344658594071</c:v>
                </c:pt>
                <c:pt idx="46">
                  <c:v>59.911222741352361</c:v>
                </c:pt>
                <c:pt idx="47">
                  <c:v>59.91820022647002</c:v>
                </c:pt>
                <c:pt idx="48">
                  <c:v>59.92908916726352</c:v>
                </c:pt>
                <c:pt idx="49">
                  <c:v>59.953038886445803</c:v>
                </c:pt>
                <c:pt idx="50">
                  <c:v>59.963887877916079</c:v>
                </c:pt>
                <c:pt idx="51">
                  <c:v>59.959724566296217</c:v>
                </c:pt>
                <c:pt idx="52">
                  <c:v>59.963284897600253</c:v>
                </c:pt>
                <c:pt idx="53">
                  <c:v>59.968468446296342</c:v>
                </c:pt>
                <c:pt idx="54">
                  <c:v>59.983589541786458</c:v>
                </c:pt>
                <c:pt idx="55">
                  <c:v>59.991517509684719</c:v>
                </c:pt>
                <c:pt idx="56">
                  <c:v>59.998568477485428</c:v>
                </c:pt>
                <c:pt idx="57">
                  <c:v>60.004953912016767</c:v>
                </c:pt>
                <c:pt idx="58">
                  <c:v>60.01341470939181</c:v>
                </c:pt>
                <c:pt idx="59">
                  <c:v>60.028387168576664</c:v>
                </c:pt>
                <c:pt idx="60">
                  <c:v>60.046586275032119</c:v>
                </c:pt>
                <c:pt idx="61">
                  <c:v>60.055008781508121</c:v>
                </c:pt>
                <c:pt idx="62">
                  <c:v>60.056397262883188</c:v>
                </c:pt>
                <c:pt idx="63">
                  <c:v>60.052973904274651</c:v>
                </c:pt>
                <c:pt idx="64">
                  <c:v>60.041234678934281</c:v>
                </c:pt>
                <c:pt idx="65">
                  <c:v>60.035424308775816</c:v>
                </c:pt>
                <c:pt idx="66">
                  <c:v>60.027040846614</c:v>
                </c:pt>
                <c:pt idx="67">
                  <c:v>60.023552037085238</c:v>
                </c:pt>
                <c:pt idx="68">
                  <c:v>60.009939798024369</c:v>
                </c:pt>
                <c:pt idx="69">
                  <c:v>59.99897718210763</c:v>
                </c:pt>
                <c:pt idx="70">
                  <c:v>59.977597588666811</c:v>
                </c:pt>
                <c:pt idx="71">
                  <c:v>59.954706622016417</c:v>
                </c:pt>
                <c:pt idx="72">
                  <c:v>59.93359913908251</c:v>
                </c:pt>
                <c:pt idx="73">
                  <c:v>59.914378272359087</c:v>
                </c:pt>
                <c:pt idx="74">
                  <c:v>59.903566975550945</c:v>
                </c:pt>
                <c:pt idx="75">
                  <c:v>59.90892383737112</c:v>
                </c:pt>
                <c:pt idx="76">
                  <c:v>59.91828127332829</c:v>
                </c:pt>
                <c:pt idx="77">
                  <c:v>59.927394346223245</c:v>
                </c:pt>
                <c:pt idx="78">
                  <c:v>59.956134046830257</c:v>
                </c:pt>
                <c:pt idx="79">
                  <c:v>59.986399841568783</c:v>
                </c:pt>
                <c:pt idx="80">
                  <c:v>60.003405474299647</c:v>
                </c:pt>
                <c:pt idx="81">
                  <c:v>60.027232319401918</c:v>
                </c:pt>
                <c:pt idx="82">
                  <c:v>60.056140606763698</c:v>
                </c:pt>
                <c:pt idx="83">
                  <c:v>60.082637233009422</c:v>
                </c:pt>
                <c:pt idx="84">
                  <c:v>60.100192317469315</c:v>
                </c:pt>
                <c:pt idx="85">
                  <c:v>60.120152849563375</c:v>
                </c:pt>
                <c:pt idx="86">
                  <c:v>60.137238393161688</c:v>
                </c:pt>
                <c:pt idx="87">
                  <c:v>60.15711548877492</c:v>
                </c:pt>
                <c:pt idx="88">
                  <c:v>60.179968359733707</c:v>
                </c:pt>
                <c:pt idx="89">
                  <c:v>60.199740283292471</c:v>
                </c:pt>
                <c:pt idx="90">
                  <c:v>60.220188105092689</c:v>
                </c:pt>
                <c:pt idx="91">
                  <c:v>60.247154736068232</c:v>
                </c:pt>
                <c:pt idx="92">
                  <c:v>60.271457601720698</c:v>
                </c:pt>
                <c:pt idx="93">
                  <c:v>60.293365966495827</c:v>
                </c:pt>
                <c:pt idx="94">
                  <c:v>60.317289382649143</c:v>
                </c:pt>
                <c:pt idx="95">
                  <c:v>60.341266077020315</c:v>
                </c:pt>
                <c:pt idx="96">
                  <c:v>60.359889460141744</c:v>
                </c:pt>
                <c:pt idx="97">
                  <c:v>60.37872463840317</c:v>
                </c:pt>
                <c:pt idx="98">
                  <c:v>60.393306470980974</c:v>
                </c:pt>
                <c:pt idx="99">
                  <c:v>60.405725461848988</c:v>
                </c:pt>
                <c:pt idx="100">
                  <c:v>60.415400202081457</c:v>
                </c:pt>
                <c:pt idx="101">
                  <c:v>60.428113594779809</c:v>
                </c:pt>
                <c:pt idx="102">
                  <c:v>60.439078044384956</c:v>
                </c:pt>
                <c:pt idx="103">
                  <c:v>60.449505967045923</c:v>
                </c:pt>
                <c:pt idx="104">
                  <c:v>60.48448590252638</c:v>
                </c:pt>
                <c:pt idx="105">
                  <c:v>60.500682754801552</c:v>
                </c:pt>
                <c:pt idx="106">
                  <c:v>60.52936331917995</c:v>
                </c:pt>
                <c:pt idx="107">
                  <c:v>60.552105230343152</c:v>
                </c:pt>
                <c:pt idx="108">
                  <c:v>60.573666978289651</c:v>
                </c:pt>
                <c:pt idx="109">
                  <c:v>60.595513842346293</c:v>
                </c:pt>
                <c:pt idx="110">
                  <c:v>60.627469527643782</c:v>
                </c:pt>
                <c:pt idx="111">
                  <c:v>60.644066862790055</c:v>
                </c:pt>
                <c:pt idx="112">
                  <c:v>60.658446806539807</c:v>
                </c:pt>
                <c:pt idx="113">
                  <c:v>60.673499554038635</c:v>
                </c:pt>
                <c:pt idx="114">
                  <c:v>60.683692273510346</c:v>
                </c:pt>
                <c:pt idx="115">
                  <c:v>60.697142079797381</c:v>
                </c:pt>
                <c:pt idx="116">
                  <c:v>60.710624831172112</c:v>
                </c:pt>
                <c:pt idx="117">
                  <c:v>60.723318358868418</c:v>
                </c:pt>
                <c:pt idx="118">
                  <c:v>60.760220763053454</c:v>
                </c:pt>
                <c:pt idx="119">
                  <c:v>60.787031398853671</c:v>
                </c:pt>
                <c:pt idx="120">
                  <c:v>60.807252515522258</c:v>
                </c:pt>
                <c:pt idx="121">
                  <c:v>60.826287917672076</c:v>
                </c:pt>
                <c:pt idx="122">
                  <c:v>60.842554670491438</c:v>
                </c:pt>
                <c:pt idx="123">
                  <c:v>60.872496851696788</c:v>
                </c:pt>
                <c:pt idx="124">
                  <c:v>60.88724698894486</c:v>
                </c:pt>
                <c:pt idx="125">
                  <c:v>60.899447965418403</c:v>
                </c:pt>
                <c:pt idx="126">
                  <c:v>60.912886503042245</c:v>
                </c:pt>
                <c:pt idx="127">
                  <c:v>60.932924958369142</c:v>
                </c:pt>
                <c:pt idx="128">
                  <c:v>60.946492181220378</c:v>
                </c:pt>
                <c:pt idx="129">
                  <c:v>60.958519431459543</c:v>
                </c:pt>
                <c:pt idx="130">
                  <c:v>60.971636071083594</c:v>
                </c:pt>
                <c:pt idx="131">
                  <c:v>60.985837582566134</c:v>
                </c:pt>
                <c:pt idx="132">
                  <c:v>61.000333442212437</c:v>
                </c:pt>
                <c:pt idx="133">
                  <c:v>61.011758376111771</c:v>
                </c:pt>
                <c:pt idx="134">
                  <c:v>61.028657339877377</c:v>
                </c:pt>
                <c:pt idx="135">
                  <c:v>61.058499266440847</c:v>
                </c:pt>
                <c:pt idx="136">
                  <c:v>61.084566790966001</c:v>
                </c:pt>
                <c:pt idx="137">
                  <c:v>61.117158832501531</c:v>
                </c:pt>
                <c:pt idx="138">
                  <c:v>61.141236566824013</c:v>
                </c:pt>
                <c:pt idx="139">
                  <c:v>61.166276954845884</c:v>
                </c:pt>
                <c:pt idx="140">
                  <c:v>61.200175491968892</c:v>
                </c:pt>
                <c:pt idx="141">
                  <c:v>61.243611274007435</c:v>
                </c:pt>
                <c:pt idx="142">
                  <c:v>61.28620975171598</c:v>
                </c:pt>
                <c:pt idx="143">
                  <c:v>61.322464870500518</c:v>
                </c:pt>
                <c:pt idx="144">
                  <c:v>61.367547909268907</c:v>
                </c:pt>
                <c:pt idx="145">
                  <c:v>61.411939061522069</c:v>
                </c:pt>
                <c:pt idx="146">
                  <c:v>61.468739226399705</c:v>
                </c:pt>
                <c:pt idx="147">
                  <c:v>61.560722514166017</c:v>
                </c:pt>
                <c:pt idx="148">
                  <c:v>61.646197110868457</c:v>
                </c:pt>
                <c:pt idx="149">
                  <c:v>61.688513002314863</c:v>
                </c:pt>
                <c:pt idx="150">
                  <c:v>61.734313488740888</c:v>
                </c:pt>
                <c:pt idx="151">
                  <c:v>61.787857737135532</c:v>
                </c:pt>
                <c:pt idx="152">
                  <c:v>61.829418256010783</c:v>
                </c:pt>
                <c:pt idx="153">
                  <c:v>61.864081705380954</c:v>
                </c:pt>
                <c:pt idx="154">
                  <c:v>61.896267547001173</c:v>
                </c:pt>
                <c:pt idx="155">
                  <c:v>61.943244186116274</c:v>
                </c:pt>
                <c:pt idx="156">
                  <c:v>61.980167225151881</c:v>
                </c:pt>
                <c:pt idx="157">
                  <c:v>62.02433055236412</c:v>
                </c:pt>
                <c:pt idx="158">
                  <c:v>62.057370790400959</c:v>
                </c:pt>
                <c:pt idx="159">
                  <c:v>62.099379841741495</c:v>
                </c:pt>
                <c:pt idx="160">
                  <c:v>62.130761498062206</c:v>
                </c:pt>
                <c:pt idx="161">
                  <c:v>62.173531599540652</c:v>
                </c:pt>
                <c:pt idx="162">
                  <c:v>62.216101486784147</c:v>
                </c:pt>
                <c:pt idx="163">
                  <c:v>62.268371803796562</c:v>
                </c:pt>
                <c:pt idx="164">
                  <c:v>62.341406813192826</c:v>
                </c:pt>
                <c:pt idx="165">
                  <c:v>62.399203664919234</c:v>
                </c:pt>
                <c:pt idx="166">
                  <c:v>62.475431573588004</c:v>
                </c:pt>
                <c:pt idx="167">
                  <c:v>62.560178538265824</c:v>
                </c:pt>
                <c:pt idx="168">
                  <c:v>62.629912479757394</c:v>
                </c:pt>
                <c:pt idx="169">
                  <c:v>62.710717024496773</c:v>
                </c:pt>
                <c:pt idx="170">
                  <c:v>62.800318748066047</c:v>
                </c:pt>
                <c:pt idx="171">
                  <c:v>62.864539629204884</c:v>
                </c:pt>
                <c:pt idx="172">
                  <c:v>62.915452254347422</c:v>
                </c:pt>
                <c:pt idx="173">
                  <c:v>62.954138478141481</c:v>
                </c:pt>
                <c:pt idx="174">
                  <c:v>62.994385858539538</c:v>
                </c:pt>
                <c:pt idx="175">
                  <c:v>63.038237834996288</c:v>
                </c:pt>
                <c:pt idx="176">
                  <c:v>63.078048181147658</c:v>
                </c:pt>
                <c:pt idx="177">
                  <c:v>63.119644585913058</c:v>
                </c:pt>
                <c:pt idx="178">
                  <c:v>63.16751815982672</c:v>
                </c:pt>
                <c:pt idx="179">
                  <c:v>63.206448951810692</c:v>
                </c:pt>
                <c:pt idx="180">
                  <c:v>63.24897945559254</c:v>
                </c:pt>
                <c:pt idx="181">
                  <c:v>63.417041843136992</c:v>
                </c:pt>
                <c:pt idx="182">
                  <c:v>63.456654886773151</c:v>
                </c:pt>
                <c:pt idx="183">
                  <c:v>63.499487884487031</c:v>
                </c:pt>
                <c:pt idx="184">
                  <c:v>63.539290901042662</c:v>
                </c:pt>
                <c:pt idx="185">
                  <c:v>63.573661137759082</c:v>
                </c:pt>
                <c:pt idx="186">
                  <c:v>63.610616801253421</c:v>
                </c:pt>
                <c:pt idx="187">
                  <c:v>63.670000908716226</c:v>
                </c:pt>
                <c:pt idx="188">
                  <c:v>63.712484099156107</c:v>
                </c:pt>
                <c:pt idx="189">
                  <c:v>63.744697098885531</c:v>
                </c:pt>
                <c:pt idx="190">
                  <c:v>63.769738015327015</c:v>
                </c:pt>
                <c:pt idx="191">
                  <c:v>63.801591687270822</c:v>
                </c:pt>
                <c:pt idx="192">
                  <c:v>63.831073811559889</c:v>
                </c:pt>
                <c:pt idx="193">
                  <c:v>63.859195066537048</c:v>
                </c:pt>
                <c:pt idx="194">
                  <c:v>63.879151135878075</c:v>
                </c:pt>
                <c:pt idx="195">
                  <c:v>63.897023553080984</c:v>
                </c:pt>
                <c:pt idx="196">
                  <c:v>63.916167010179414</c:v>
                </c:pt>
                <c:pt idx="197">
                  <c:v>63.935008322217975</c:v>
                </c:pt>
                <c:pt idx="198">
                  <c:v>63.960314859608232</c:v>
                </c:pt>
                <c:pt idx="199">
                  <c:v>63.980265221492076</c:v>
                </c:pt>
                <c:pt idx="200">
                  <c:v>64.013116123417191</c:v>
                </c:pt>
                <c:pt idx="201">
                  <c:v>64.049576848846641</c:v>
                </c:pt>
                <c:pt idx="202">
                  <c:v>64.073797266967588</c:v>
                </c:pt>
                <c:pt idx="203">
                  <c:v>64.11097693535352</c:v>
                </c:pt>
                <c:pt idx="204">
                  <c:v>64.146388333983026</c:v>
                </c:pt>
                <c:pt idx="205">
                  <c:v>64.166666477093827</c:v>
                </c:pt>
                <c:pt idx="206">
                  <c:v>64.177844919224768</c:v>
                </c:pt>
                <c:pt idx="207">
                  <c:v>64.187582577406658</c:v>
                </c:pt>
                <c:pt idx="208">
                  <c:v>64.195768425960125</c:v>
                </c:pt>
                <c:pt idx="209">
                  <c:v>64.204546488546228</c:v>
                </c:pt>
                <c:pt idx="210">
                  <c:v>64.209833744562729</c:v>
                </c:pt>
                <c:pt idx="211">
                  <c:v>64.213296754685302</c:v>
                </c:pt>
                <c:pt idx="212">
                  <c:v>64.21678787204857</c:v>
                </c:pt>
                <c:pt idx="213">
                  <c:v>64.220365543906397</c:v>
                </c:pt>
                <c:pt idx="214">
                  <c:v>64.216189008537555</c:v>
                </c:pt>
                <c:pt idx="215">
                  <c:v>64.213307921383873</c:v>
                </c:pt>
                <c:pt idx="216">
                  <c:v>64.211810243082653</c:v>
                </c:pt>
                <c:pt idx="217">
                  <c:v>64.207698904299889</c:v>
                </c:pt>
                <c:pt idx="218">
                  <c:v>64.202500276313472</c:v>
                </c:pt>
                <c:pt idx="219">
                  <c:v>64.197082495248111</c:v>
                </c:pt>
                <c:pt idx="220">
                  <c:v>64.188171001175476</c:v>
                </c:pt>
                <c:pt idx="221">
                  <c:v>64.166483135575817</c:v>
                </c:pt>
                <c:pt idx="222">
                  <c:v>64.154050876601261</c:v>
                </c:pt>
                <c:pt idx="223">
                  <c:v>64.145574617351215</c:v>
                </c:pt>
                <c:pt idx="224">
                  <c:v>64.138336682007591</c:v>
                </c:pt>
                <c:pt idx="225">
                  <c:v>64.136181458765606</c:v>
                </c:pt>
                <c:pt idx="226">
                  <c:v>64.134797229243063</c:v>
                </c:pt>
                <c:pt idx="227">
                  <c:v>64.137716038687529</c:v>
                </c:pt>
                <c:pt idx="228">
                  <c:v>64.139636942087577</c:v>
                </c:pt>
                <c:pt idx="229">
                  <c:v>64.140871434310881</c:v>
                </c:pt>
                <c:pt idx="230">
                  <c:v>64.140664368597101</c:v>
                </c:pt>
                <c:pt idx="231">
                  <c:v>64.138091604536896</c:v>
                </c:pt>
                <c:pt idx="232">
                  <c:v>64.133244118450406</c:v>
                </c:pt>
                <c:pt idx="233">
                  <c:v>64.116332075450956</c:v>
                </c:pt>
                <c:pt idx="234">
                  <c:v>64.108517016946294</c:v>
                </c:pt>
                <c:pt idx="235">
                  <c:v>64.100917601286085</c:v>
                </c:pt>
                <c:pt idx="236">
                  <c:v>64.090624533369194</c:v>
                </c:pt>
                <c:pt idx="237">
                  <c:v>64.085233262334427</c:v>
                </c:pt>
                <c:pt idx="238">
                  <c:v>64.070888725991765</c:v>
                </c:pt>
                <c:pt idx="239">
                  <c:v>64.069670271758469</c:v>
                </c:pt>
                <c:pt idx="240">
                  <c:v>64.065849142318143</c:v>
                </c:pt>
                <c:pt idx="241">
                  <c:v>64.054776028623934</c:v>
                </c:pt>
                <c:pt idx="242">
                  <c:v>64.050538095196657</c:v>
                </c:pt>
                <c:pt idx="243">
                  <c:v>64.043152781102506</c:v>
                </c:pt>
                <c:pt idx="244">
                  <c:v>64.033248295021622</c:v>
                </c:pt>
                <c:pt idx="245">
                  <c:v>64.015092829780556</c:v>
                </c:pt>
                <c:pt idx="246">
                  <c:v>64.008982676926195</c:v>
                </c:pt>
                <c:pt idx="247">
                  <c:v>64.007299932916212</c:v>
                </c:pt>
                <c:pt idx="248">
                  <c:v>64.004032029312924</c:v>
                </c:pt>
                <c:pt idx="249">
                  <c:v>64.00024244666271</c:v>
                </c:pt>
                <c:pt idx="250">
                  <c:v>63.995209284934667</c:v>
                </c:pt>
                <c:pt idx="251">
                  <c:v>63.990648023781475</c:v>
                </c:pt>
                <c:pt idx="252">
                  <c:v>63.982743231641017</c:v>
                </c:pt>
                <c:pt idx="253">
                  <c:v>63.976190704207404</c:v>
                </c:pt>
                <c:pt idx="254">
                  <c:v>63.960261640316538</c:v>
                </c:pt>
                <c:pt idx="255">
                  <c:v>63.944750271255835</c:v>
                </c:pt>
                <c:pt idx="256">
                  <c:v>63.935791080510533</c:v>
                </c:pt>
                <c:pt idx="257">
                  <c:v>63.918025518664635</c:v>
                </c:pt>
                <c:pt idx="258">
                  <c:v>63.906785790711531</c:v>
                </c:pt>
                <c:pt idx="259">
                  <c:v>63.898270790559764</c:v>
                </c:pt>
                <c:pt idx="260">
                  <c:v>63.88887922812517</c:v>
                </c:pt>
                <c:pt idx="261">
                  <c:v>63.883275590225502</c:v>
                </c:pt>
                <c:pt idx="262">
                  <c:v>63.877582131500382</c:v>
                </c:pt>
                <c:pt idx="263">
                  <c:v>63.869814459049906</c:v>
                </c:pt>
                <c:pt idx="264">
                  <c:v>63.859640628784732</c:v>
                </c:pt>
                <c:pt idx="265">
                  <c:v>63.849381684421132</c:v>
                </c:pt>
                <c:pt idx="266">
                  <c:v>63.839539570848153</c:v>
                </c:pt>
                <c:pt idx="267">
                  <c:v>63.839706136593456</c:v>
                </c:pt>
                <c:pt idx="268">
                  <c:v>63.833894977270866</c:v>
                </c:pt>
                <c:pt idx="269">
                  <c:v>63.830918297331984</c:v>
                </c:pt>
                <c:pt idx="270">
                  <c:v>63.831672859625101</c:v>
                </c:pt>
                <c:pt idx="271">
                  <c:v>63.83056595054309</c:v>
                </c:pt>
                <c:pt idx="272">
                  <c:v>63.829062334628617</c:v>
                </c:pt>
                <c:pt idx="273">
                  <c:v>63.824370005522496</c:v>
                </c:pt>
                <c:pt idx="274">
                  <c:v>63.822431616550581</c:v>
                </c:pt>
                <c:pt idx="275">
                  <c:v>63.82083865258145</c:v>
                </c:pt>
                <c:pt idx="276">
                  <c:v>63.820903266210337</c:v>
                </c:pt>
                <c:pt idx="277">
                  <c:v>63.823903197857774</c:v>
                </c:pt>
                <c:pt idx="278">
                  <c:v>63.853096148477107</c:v>
                </c:pt>
                <c:pt idx="279">
                  <c:v>63.884844107100456</c:v>
                </c:pt>
                <c:pt idx="280">
                  <c:v>63.919026084239555</c:v>
                </c:pt>
                <c:pt idx="281">
                  <c:v>63.944567116184523</c:v>
                </c:pt>
                <c:pt idx="282">
                  <c:v>63.964225260546868</c:v>
                </c:pt>
                <c:pt idx="283">
                  <c:v>63.988338916456051</c:v>
                </c:pt>
                <c:pt idx="284">
                  <c:v>64.008246161862232</c:v>
                </c:pt>
                <c:pt idx="285">
                  <c:v>64.04708765943316</c:v>
                </c:pt>
                <c:pt idx="286">
                  <c:v>64.081135194130198</c:v>
                </c:pt>
                <c:pt idx="287">
                  <c:v>64.119733633967215</c:v>
                </c:pt>
                <c:pt idx="288">
                  <c:v>64.143112860203999</c:v>
                </c:pt>
                <c:pt idx="289">
                  <c:v>64.170204438923136</c:v>
                </c:pt>
                <c:pt idx="290">
                  <c:v>64.207439685568815</c:v>
                </c:pt>
                <c:pt idx="291">
                  <c:v>64.249261704670047</c:v>
                </c:pt>
                <c:pt idx="292">
                  <c:v>64.284882216194575</c:v>
                </c:pt>
                <c:pt idx="293">
                  <c:v>64.317424534704415</c:v>
                </c:pt>
                <c:pt idx="294">
                  <c:v>64.348531917528746</c:v>
                </c:pt>
                <c:pt idx="295">
                  <c:v>64.395159430420051</c:v>
                </c:pt>
                <c:pt idx="296">
                  <c:v>64.436230592407199</c:v>
                </c:pt>
                <c:pt idx="297">
                  <c:v>64.478702301405818</c:v>
                </c:pt>
                <c:pt idx="298">
                  <c:v>64.502273412862493</c:v>
                </c:pt>
                <c:pt idx="299">
                  <c:v>64.520587840109002</c:v>
                </c:pt>
                <c:pt idx="300">
                  <c:v>64.535517074917948</c:v>
                </c:pt>
                <c:pt idx="301">
                  <c:v>64.555226348973974</c:v>
                </c:pt>
                <c:pt idx="302">
                  <c:v>64.568972617368885</c:v>
                </c:pt>
                <c:pt idx="303">
                  <c:v>64.584593437657063</c:v>
                </c:pt>
                <c:pt idx="304">
                  <c:v>64.603262327414782</c:v>
                </c:pt>
                <c:pt idx="305">
                  <c:v>64.645969026119786</c:v>
                </c:pt>
                <c:pt idx="306">
                  <c:v>64.657907128126041</c:v>
                </c:pt>
                <c:pt idx="307">
                  <c:v>64.669335918054145</c:v>
                </c:pt>
                <c:pt idx="308">
                  <c:v>64.686326899403227</c:v>
                </c:pt>
                <c:pt idx="309">
                  <c:v>64.701768522487697</c:v>
                </c:pt>
                <c:pt idx="310">
                  <c:v>64.723272481661695</c:v>
                </c:pt>
                <c:pt idx="311">
                  <c:v>64.759172297210071</c:v>
                </c:pt>
                <c:pt idx="312">
                  <c:v>64.782688397663122</c:v>
                </c:pt>
                <c:pt idx="313">
                  <c:v>64.803282162625919</c:v>
                </c:pt>
                <c:pt idx="314">
                  <c:v>64.848064772253053</c:v>
                </c:pt>
                <c:pt idx="315">
                  <c:v>64.876765741620858</c:v>
                </c:pt>
                <c:pt idx="316">
                  <c:v>64.902068937672638</c:v>
                </c:pt>
                <c:pt idx="317">
                  <c:v>64.918927849709519</c:v>
                </c:pt>
                <c:pt idx="318">
                  <c:v>64.948311533391134</c:v>
                </c:pt>
                <c:pt idx="319">
                  <c:v>64.975478293331292</c:v>
                </c:pt>
                <c:pt idx="320">
                  <c:v>65.002229914522729</c:v>
                </c:pt>
                <c:pt idx="321">
                  <c:v>65.023680713661022</c:v>
                </c:pt>
                <c:pt idx="322">
                  <c:v>65.044768512771071</c:v>
                </c:pt>
                <c:pt idx="323">
                  <c:v>65.065595404808946</c:v>
                </c:pt>
                <c:pt idx="324">
                  <c:v>65.099287732235055</c:v>
                </c:pt>
                <c:pt idx="325">
                  <c:v>65.124374562532466</c:v>
                </c:pt>
                <c:pt idx="326">
                  <c:v>65.15222807979795</c:v>
                </c:pt>
                <c:pt idx="327">
                  <c:v>65.179225403195773</c:v>
                </c:pt>
                <c:pt idx="328">
                  <c:v>65.204266111364021</c:v>
                </c:pt>
                <c:pt idx="329">
                  <c:v>65.226285586201286</c:v>
                </c:pt>
                <c:pt idx="330">
                  <c:v>65.247350177192473</c:v>
                </c:pt>
                <c:pt idx="331">
                  <c:v>65.270420482394741</c:v>
                </c:pt>
                <c:pt idx="332">
                  <c:v>65.300968205704336</c:v>
                </c:pt>
                <c:pt idx="333">
                  <c:v>65.322397507406436</c:v>
                </c:pt>
                <c:pt idx="334">
                  <c:v>65.338213522248495</c:v>
                </c:pt>
                <c:pt idx="335">
                  <c:v>65.353202134893621</c:v>
                </c:pt>
                <c:pt idx="336">
                  <c:v>65.369134048787672</c:v>
                </c:pt>
                <c:pt idx="337">
                  <c:v>65.38987929901343</c:v>
                </c:pt>
                <c:pt idx="338">
                  <c:v>65.406145065573369</c:v>
                </c:pt>
                <c:pt idx="339">
                  <c:v>65.417364794079432</c:v>
                </c:pt>
                <c:pt idx="340">
                  <c:v>65.434600022116086</c:v>
                </c:pt>
                <c:pt idx="341">
                  <c:v>65.444442342181489</c:v>
                </c:pt>
                <c:pt idx="342">
                  <c:v>65.456146667697169</c:v>
                </c:pt>
                <c:pt idx="343">
                  <c:v>65.479643665829087</c:v>
                </c:pt>
                <c:pt idx="344">
                  <c:v>65.502729488456865</c:v>
                </c:pt>
                <c:pt idx="345">
                  <c:v>65.519078598418403</c:v>
                </c:pt>
                <c:pt idx="346">
                  <c:v>65.53338928003302</c:v>
                </c:pt>
                <c:pt idx="347">
                  <c:v>65.547951825945916</c:v>
                </c:pt>
                <c:pt idx="348">
                  <c:v>65.559760853534115</c:v>
                </c:pt>
                <c:pt idx="349">
                  <c:v>65.5748707319174</c:v>
                </c:pt>
                <c:pt idx="350">
                  <c:v>65.587404176022929</c:v>
                </c:pt>
                <c:pt idx="351">
                  <c:v>65.596565080994367</c:v>
                </c:pt>
                <c:pt idx="352">
                  <c:v>65.608012571915836</c:v>
                </c:pt>
                <c:pt idx="353">
                  <c:v>65.642155623060731</c:v>
                </c:pt>
                <c:pt idx="354">
                  <c:v>65.654307944080315</c:v>
                </c:pt>
                <c:pt idx="355">
                  <c:v>65.675002851898029</c:v>
                </c:pt>
                <c:pt idx="356">
                  <c:v>65.689385563560734</c:v>
                </c:pt>
                <c:pt idx="357">
                  <c:v>65.702507734617029</c:v>
                </c:pt>
                <c:pt idx="358">
                  <c:v>65.712478195097063</c:v>
                </c:pt>
                <c:pt idx="359">
                  <c:v>65.72623734693326</c:v>
                </c:pt>
                <c:pt idx="360">
                  <c:v>65.741228610783125</c:v>
                </c:pt>
                <c:pt idx="361">
                  <c:v>65.756047119400009</c:v>
                </c:pt>
                <c:pt idx="362">
                  <c:v>65.771298541916295</c:v>
                </c:pt>
                <c:pt idx="363">
                  <c:v>65.788083076318202</c:v>
                </c:pt>
                <c:pt idx="364">
                  <c:v>65.801081633154581</c:v>
                </c:pt>
                <c:pt idx="365">
                  <c:v>65.811814662417476</c:v>
                </c:pt>
                <c:pt idx="366">
                  <c:v>65.821824748500092</c:v>
                </c:pt>
                <c:pt idx="367">
                  <c:v>65.84404578744946</c:v>
                </c:pt>
                <c:pt idx="368">
                  <c:v>65.859305524280472</c:v>
                </c:pt>
                <c:pt idx="369">
                  <c:v>65.871155031618187</c:v>
                </c:pt>
                <c:pt idx="370">
                  <c:v>65.879573439526851</c:v>
                </c:pt>
                <c:pt idx="371">
                  <c:v>65.888817913851213</c:v>
                </c:pt>
                <c:pt idx="372">
                  <c:v>65.907308807907725</c:v>
                </c:pt>
                <c:pt idx="373">
                  <c:v>65.920526938097893</c:v>
                </c:pt>
                <c:pt idx="374">
                  <c:v>65.942543701103276</c:v>
                </c:pt>
                <c:pt idx="375">
                  <c:v>65.953941868343946</c:v>
                </c:pt>
                <c:pt idx="376">
                  <c:v>65.962883810690187</c:v>
                </c:pt>
                <c:pt idx="377">
                  <c:v>65.977886526897791</c:v>
                </c:pt>
                <c:pt idx="378">
                  <c:v>65.990615270163232</c:v>
                </c:pt>
                <c:pt idx="379">
                  <c:v>66.011016465457658</c:v>
                </c:pt>
                <c:pt idx="380">
                  <c:v>66.020522397994355</c:v>
                </c:pt>
                <c:pt idx="381">
                  <c:v>66.029106738190336</c:v>
                </c:pt>
                <c:pt idx="382">
                  <c:v>66.03739353277355</c:v>
                </c:pt>
                <c:pt idx="383">
                  <c:v>66.04461095893123</c:v>
                </c:pt>
                <c:pt idx="384">
                  <c:v>66.051899183367496</c:v>
                </c:pt>
                <c:pt idx="385">
                  <c:v>66.067767755051293</c:v>
                </c:pt>
                <c:pt idx="386">
                  <c:v>66.077390550370595</c:v>
                </c:pt>
                <c:pt idx="387">
                  <c:v>66.089474228783544</c:v>
                </c:pt>
                <c:pt idx="388">
                  <c:v>66.102976416814954</c:v>
                </c:pt>
                <c:pt idx="389">
                  <c:v>66.113820321972781</c:v>
                </c:pt>
                <c:pt idx="390">
                  <c:v>66.120108907168259</c:v>
                </c:pt>
                <c:pt idx="391">
                  <c:v>66.126550603022906</c:v>
                </c:pt>
                <c:pt idx="392">
                  <c:v>66.131048071289072</c:v>
                </c:pt>
                <c:pt idx="393">
                  <c:v>66.13985700942041</c:v>
                </c:pt>
                <c:pt idx="394">
                  <c:v>66.144406745300316</c:v>
                </c:pt>
                <c:pt idx="395">
                  <c:v>66.149399527261622</c:v>
                </c:pt>
                <c:pt idx="396">
                  <c:v>66.156643369239646</c:v>
                </c:pt>
                <c:pt idx="397">
                  <c:v>66.161611909011043</c:v>
                </c:pt>
                <c:pt idx="398">
                  <c:v>66.167337766052569</c:v>
                </c:pt>
                <c:pt idx="399">
                  <c:v>66.173284804969313</c:v>
                </c:pt>
                <c:pt idx="400">
                  <c:v>66.184346415183981</c:v>
                </c:pt>
                <c:pt idx="401">
                  <c:v>66.190650847247511</c:v>
                </c:pt>
                <c:pt idx="402">
                  <c:v>66.198809246633061</c:v>
                </c:pt>
                <c:pt idx="403">
                  <c:v>66.206981827826695</c:v>
                </c:pt>
                <c:pt idx="404">
                  <c:v>66.214181125566611</c:v>
                </c:pt>
                <c:pt idx="405">
                  <c:v>66.220017082104818</c:v>
                </c:pt>
                <c:pt idx="406">
                  <c:v>66.22747644272097</c:v>
                </c:pt>
                <c:pt idx="407">
                  <c:v>66.234122801584974</c:v>
                </c:pt>
                <c:pt idx="408">
                  <c:v>66.242876821339721</c:v>
                </c:pt>
                <c:pt idx="409">
                  <c:v>66.255506573604933</c:v>
                </c:pt>
                <c:pt idx="410">
                  <c:v>66.261791299941578</c:v>
                </c:pt>
                <c:pt idx="411">
                  <c:v>66.269890590268901</c:v>
                </c:pt>
                <c:pt idx="412">
                  <c:v>66.275719601216679</c:v>
                </c:pt>
                <c:pt idx="413">
                  <c:v>66.282784971744107</c:v>
                </c:pt>
                <c:pt idx="414">
                  <c:v>66.287496095998151</c:v>
                </c:pt>
                <c:pt idx="415">
                  <c:v>66.292855894191391</c:v>
                </c:pt>
                <c:pt idx="416">
                  <c:v>66.299124234884829</c:v>
                </c:pt>
                <c:pt idx="417">
                  <c:v>66.309966706235755</c:v>
                </c:pt>
                <c:pt idx="418">
                  <c:v>66.324160162392374</c:v>
                </c:pt>
                <c:pt idx="419">
                  <c:v>66.32922978126436</c:v>
                </c:pt>
                <c:pt idx="420">
                  <c:v>66.335357149950141</c:v>
                </c:pt>
                <c:pt idx="421">
                  <c:v>66.339061929709487</c:v>
                </c:pt>
                <c:pt idx="422">
                  <c:v>66.342408524533539</c:v>
                </c:pt>
                <c:pt idx="423">
                  <c:v>66.346092919722253</c:v>
                </c:pt>
                <c:pt idx="424">
                  <c:v>66.349081571267149</c:v>
                </c:pt>
                <c:pt idx="425">
                  <c:v>66.35099385727851</c:v>
                </c:pt>
                <c:pt idx="426">
                  <c:v>66.350646202633115</c:v>
                </c:pt>
                <c:pt idx="427">
                  <c:v>66.35033042450678</c:v>
                </c:pt>
                <c:pt idx="428">
                  <c:v>66.352168247229258</c:v>
                </c:pt>
                <c:pt idx="429">
                  <c:v>66.352460600017508</c:v>
                </c:pt>
                <c:pt idx="430">
                  <c:v>66.35282884378131</c:v>
                </c:pt>
                <c:pt idx="431">
                  <c:v>66.352540237397974</c:v>
                </c:pt>
                <c:pt idx="432">
                  <c:v>66.353357020619441</c:v>
                </c:pt>
                <c:pt idx="433">
                  <c:v>66.353572770835484</c:v>
                </c:pt>
                <c:pt idx="434">
                  <c:v>66.352761141102121</c:v>
                </c:pt>
                <c:pt idx="435">
                  <c:v>66.350929590866528</c:v>
                </c:pt>
                <c:pt idx="436">
                  <c:v>66.350237594596422</c:v>
                </c:pt>
                <c:pt idx="437">
                  <c:v>66.350174985957921</c:v>
                </c:pt>
                <c:pt idx="438">
                  <c:v>66.351131280816517</c:v>
                </c:pt>
                <c:pt idx="439">
                  <c:v>66.350593490962837</c:v>
                </c:pt>
                <c:pt idx="440">
                  <c:v>66.351139770974498</c:v>
                </c:pt>
                <c:pt idx="441">
                  <c:v>66.350604737441543</c:v>
                </c:pt>
                <c:pt idx="442">
                  <c:v>66.351473474526586</c:v>
                </c:pt>
                <c:pt idx="443">
                  <c:v>66.351041408957386</c:v>
                </c:pt>
                <c:pt idx="444">
                  <c:v>66.351077006400885</c:v>
                </c:pt>
                <c:pt idx="445">
                  <c:v>66.352903938091274</c:v>
                </c:pt>
                <c:pt idx="446">
                  <c:v>66.353804281382949</c:v>
                </c:pt>
                <c:pt idx="447">
                  <c:v>66.356221994819919</c:v>
                </c:pt>
                <c:pt idx="448">
                  <c:v>66.357409294731113</c:v>
                </c:pt>
                <c:pt idx="449">
                  <c:v>66.360240039088751</c:v>
                </c:pt>
                <c:pt idx="450">
                  <c:v>66.364955348171819</c:v>
                </c:pt>
                <c:pt idx="451">
                  <c:v>66.370325614351955</c:v>
                </c:pt>
                <c:pt idx="452">
                  <c:v>66.393955643781041</c:v>
                </c:pt>
                <c:pt idx="453">
                  <c:v>66.405621542109046</c:v>
                </c:pt>
                <c:pt idx="454">
                  <c:v>66.412747399030607</c:v>
                </c:pt>
                <c:pt idx="455">
                  <c:v>66.420185620256703</c:v>
                </c:pt>
                <c:pt idx="456">
                  <c:v>66.427394082255816</c:v>
                </c:pt>
                <c:pt idx="457">
                  <c:v>66.434200951346384</c:v>
                </c:pt>
                <c:pt idx="458">
                  <c:v>66.439616566745315</c:v>
                </c:pt>
                <c:pt idx="459">
                  <c:v>66.444958381477051</c:v>
                </c:pt>
                <c:pt idx="460">
                  <c:v>66.450803523609437</c:v>
                </c:pt>
                <c:pt idx="461">
                  <c:v>66.454179198801512</c:v>
                </c:pt>
                <c:pt idx="462">
                  <c:v>66.458160537116541</c:v>
                </c:pt>
                <c:pt idx="463">
                  <c:v>66.461888070961095</c:v>
                </c:pt>
                <c:pt idx="464">
                  <c:v>66.467717579355565</c:v>
                </c:pt>
                <c:pt idx="465">
                  <c:v>66.4821248060546</c:v>
                </c:pt>
                <c:pt idx="466">
                  <c:v>66.4908000238471</c:v>
                </c:pt>
                <c:pt idx="467">
                  <c:v>66.502376908937862</c:v>
                </c:pt>
                <c:pt idx="468">
                  <c:v>66.511898053993335</c:v>
                </c:pt>
                <c:pt idx="469">
                  <c:v>66.520795536386643</c:v>
                </c:pt>
                <c:pt idx="470">
                  <c:v>66.529298425511953</c:v>
                </c:pt>
                <c:pt idx="471">
                  <c:v>66.53781271010368</c:v>
                </c:pt>
                <c:pt idx="472">
                  <c:v>66.546145353019995</c:v>
                </c:pt>
                <c:pt idx="473">
                  <c:v>66.553977241830808</c:v>
                </c:pt>
                <c:pt idx="474">
                  <c:v>66.563875835721362</c:v>
                </c:pt>
                <c:pt idx="475">
                  <c:v>66.58715193306314</c:v>
                </c:pt>
                <c:pt idx="476">
                  <c:v>66.619857341026758</c:v>
                </c:pt>
                <c:pt idx="477">
                  <c:v>66.634126629165124</c:v>
                </c:pt>
                <c:pt idx="478">
                  <c:v>66.644166674092531</c:v>
                </c:pt>
                <c:pt idx="479">
                  <c:v>66.650711244638515</c:v>
                </c:pt>
                <c:pt idx="480">
                  <c:v>66.661071573627936</c:v>
                </c:pt>
                <c:pt idx="481">
                  <c:v>66.671866926371735</c:v>
                </c:pt>
                <c:pt idx="482">
                  <c:v>66.681379077160287</c:v>
                </c:pt>
                <c:pt idx="483">
                  <c:v>66.690381220505287</c:v>
                </c:pt>
                <c:pt idx="484">
                  <c:v>66.696609335395053</c:v>
                </c:pt>
                <c:pt idx="485">
                  <c:v>66.70509220928254</c:v>
                </c:pt>
                <c:pt idx="486">
                  <c:v>66.710996596021616</c:v>
                </c:pt>
                <c:pt idx="487">
                  <c:v>66.724915476033445</c:v>
                </c:pt>
                <c:pt idx="488">
                  <c:v>66.732257731630128</c:v>
                </c:pt>
                <c:pt idx="489">
                  <c:v>66.741535471524585</c:v>
                </c:pt>
                <c:pt idx="490">
                  <c:v>66.751987857604533</c:v>
                </c:pt>
                <c:pt idx="491">
                  <c:v>66.760293857955247</c:v>
                </c:pt>
                <c:pt idx="492">
                  <c:v>66.767346241938043</c:v>
                </c:pt>
                <c:pt idx="493">
                  <c:v>66.774689527619472</c:v>
                </c:pt>
                <c:pt idx="494">
                  <c:v>66.790577793840697</c:v>
                </c:pt>
                <c:pt idx="495">
                  <c:v>66.796315567781662</c:v>
                </c:pt>
                <c:pt idx="496">
                  <c:v>66.800118629143725</c:v>
                </c:pt>
                <c:pt idx="497">
                  <c:v>66.802069920391048</c:v>
                </c:pt>
                <c:pt idx="498">
                  <c:v>66.804355945331324</c:v>
                </c:pt>
                <c:pt idx="499">
                  <c:v>66.808591502309923</c:v>
                </c:pt>
                <c:pt idx="500">
                  <c:v>66.812246732597018</c:v>
                </c:pt>
                <c:pt idx="501">
                  <c:v>66.815520304620193</c:v>
                </c:pt>
                <c:pt idx="502">
                  <c:v>66.819155371221441</c:v>
                </c:pt>
                <c:pt idx="503">
                  <c:v>66.822229564497405</c:v>
                </c:pt>
                <c:pt idx="504">
                  <c:v>66.824991560960285</c:v>
                </c:pt>
                <c:pt idx="505">
                  <c:v>66.826853543189287</c:v>
                </c:pt>
                <c:pt idx="506">
                  <c:v>66.833137668970949</c:v>
                </c:pt>
                <c:pt idx="507">
                  <c:v>66.84238957635668</c:v>
                </c:pt>
                <c:pt idx="508">
                  <c:v>66.85200998590831</c:v>
                </c:pt>
                <c:pt idx="509">
                  <c:v>66.862261469518955</c:v>
                </c:pt>
                <c:pt idx="510">
                  <c:v>66.872010001443428</c:v>
                </c:pt>
                <c:pt idx="511">
                  <c:v>66.879094253206475</c:v>
                </c:pt>
                <c:pt idx="512">
                  <c:v>66.888126345085098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A8BE-4453-82D7-D0DFD8977D3B}"/>
            </c:ext>
          </c:extLst>
        </c:ser>
        <c:ser>
          <c:idx val="2"/>
          <c:order val="2"/>
          <c:tx>
            <c:strRef>
              <c:f>Data!$H$1</c:f>
              <c:strCache>
                <c:ptCount val="1"/>
                <c:pt idx="0">
                  <c:v>Plus 1 Sd</c:v>
                </c:pt>
              </c:strCache>
            </c:strRef>
          </c:tx>
          <c:spPr>
            <a:ln w="28575" cap="rnd">
              <a:solidFill>
                <a:schemeClr val="accent3"/>
              </a:solidFill>
              <a:prstDash val="sysDash"/>
              <a:round/>
            </a:ln>
            <a:effectLst/>
          </c:spPr>
          <c:marker>
            <c:symbol val="none"/>
          </c:marker>
          <c:cat>
            <c:numRef>
              <c:f>Data!$B$2:$B$514</c:f>
              <c:numCache>
                <c:formatCode>m/d/yyyy</c:formatCode>
                <c:ptCount val="513"/>
                <c:pt idx="0">
                  <c:v>45293</c:v>
                </c:pt>
                <c:pt idx="1">
                  <c:v>45294</c:v>
                </c:pt>
                <c:pt idx="2">
                  <c:v>45295</c:v>
                </c:pt>
                <c:pt idx="3">
                  <c:v>45296</c:v>
                </c:pt>
                <c:pt idx="4">
                  <c:v>45299</c:v>
                </c:pt>
                <c:pt idx="5">
                  <c:v>45300</c:v>
                </c:pt>
                <c:pt idx="6">
                  <c:v>45301</c:v>
                </c:pt>
                <c:pt idx="7">
                  <c:v>45302</c:v>
                </c:pt>
                <c:pt idx="8">
                  <c:v>45303</c:v>
                </c:pt>
                <c:pt idx="9">
                  <c:v>45307</c:v>
                </c:pt>
                <c:pt idx="10">
                  <c:v>45308</c:v>
                </c:pt>
                <c:pt idx="11">
                  <c:v>45309</c:v>
                </c:pt>
                <c:pt idx="12">
                  <c:v>45310</c:v>
                </c:pt>
                <c:pt idx="13">
                  <c:v>45313</c:v>
                </c:pt>
                <c:pt idx="14">
                  <c:v>45314</c:v>
                </c:pt>
                <c:pt idx="15">
                  <c:v>45315</c:v>
                </c:pt>
                <c:pt idx="16">
                  <c:v>45316</c:v>
                </c:pt>
                <c:pt idx="17">
                  <c:v>45317</c:v>
                </c:pt>
                <c:pt idx="18">
                  <c:v>45320</c:v>
                </c:pt>
                <c:pt idx="19">
                  <c:v>45321</c:v>
                </c:pt>
                <c:pt idx="20">
                  <c:v>45322</c:v>
                </c:pt>
                <c:pt idx="21">
                  <c:v>45323</c:v>
                </c:pt>
                <c:pt idx="22">
                  <c:v>45324</c:v>
                </c:pt>
                <c:pt idx="23">
                  <c:v>45327</c:v>
                </c:pt>
                <c:pt idx="24">
                  <c:v>45328</c:v>
                </c:pt>
                <c:pt idx="25">
                  <c:v>45329</c:v>
                </c:pt>
                <c:pt idx="26">
                  <c:v>45330</c:v>
                </c:pt>
                <c:pt idx="27">
                  <c:v>45331</c:v>
                </c:pt>
                <c:pt idx="28">
                  <c:v>45334</c:v>
                </c:pt>
                <c:pt idx="29">
                  <c:v>45335</c:v>
                </c:pt>
                <c:pt idx="30">
                  <c:v>45336</c:v>
                </c:pt>
                <c:pt idx="31">
                  <c:v>45337</c:v>
                </c:pt>
                <c:pt idx="32">
                  <c:v>45338</c:v>
                </c:pt>
                <c:pt idx="33">
                  <c:v>45342</c:v>
                </c:pt>
                <c:pt idx="34">
                  <c:v>45343</c:v>
                </c:pt>
                <c:pt idx="35">
                  <c:v>45344</c:v>
                </c:pt>
                <c:pt idx="36">
                  <c:v>45345</c:v>
                </c:pt>
                <c:pt idx="37">
                  <c:v>45348</c:v>
                </c:pt>
                <c:pt idx="38">
                  <c:v>45349</c:v>
                </c:pt>
                <c:pt idx="39">
                  <c:v>45350</c:v>
                </c:pt>
                <c:pt idx="40">
                  <c:v>45351</c:v>
                </c:pt>
                <c:pt idx="41">
                  <c:v>45352</c:v>
                </c:pt>
                <c:pt idx="42">
                  <c:v>45355</c:v>
                </c:pt>
                <c:pt idx="43">
                  <c:v>45356</c:v>
                </c:pt>
                <c:pt idx="44">
                  <c:v>45357</c:v>
                </c:pt>
                <c:pt idx="45">
                  <c:v>45358</c:v>
                </c:pt>
                <c:pt idx="46">
                  <c:v>45359</c:v>
                </c:pt>
                <c:pt idx="47">
                  <c:v>45362</c:v>
                </c:pt>
                <c:pt idx="48">
                  <c:v>45363</c:v>
                </c:pt>
                <c:pt idx="49">
                  <c:v>45364</c:v>
                </c:pt>
                <c:pt idx="50">
                  <c:v>45365</c:v>
                </c:pt>
                <c:pt idx="51">
                  <c:v>45366</c:v>
                </c:pt>
                <c:pt idx="52">
                  <c:v>45369</c:v>
                </c:pt>
                <c:pt idx="53">
                  <c:v>45370</c:v>
                </c:pt>
                <c:pt idx="54">
                  <c:v>45371</c:v>
                </c:pt>
                <c:pt idx="55">
                  <c:v>45372</c:v>
                </c:pt>
                <c:pt idx="56">
                  <c:v>45373</c:v>
                </c:pt>
                <c:pt idx="57">
                  <c:v>45376</c:v>
                </c:pt>
                <c:pt idx="58">
                  <c:v>45377</c:v>
                </c:pt>
                <c:pt idx="59">
                  <c:v>45378</c:v>
                </c:pt>
                <c:pt idx="60">
                  <c:v>45379</c:v>
                </c:pt>
                <c:pt idx="61">
                  <c:v>45383</c:v>
                </c:pt>
                <c:pt idx="62">
                  <c:v>45384</c:v>
                </c:pt>
                <c:pt idx="63">
                  <c:v>45385</c:v>
                </c:pt>
                <c:pt idx="64">
                  <c:v>45386</c:v>
                </c:pt>
                <c:pt idx="65">
                  <c:v>45387</c:v>
                </c:pt>
                <c:pt idx="66">
                  <c:v>45390</c:v>
                </c:pt>
                <c:pt idx="67">
                  <c:v>45391</c:v>
                </c:pt>
                <c:pt idx="68">
                  <c:v>45392</c:v>
                </c:pt>
                <c:pt idx="69">
                  <c:v>45393</c:v>
                </c:pt>
                <c:pt idx="70">
                  <c:v>45394</c:v>
                </c:pt>
                <c:pt idx="71">
                  <c:v>45397</c:v>
                </c:pt>
                <c:pt idx="72">
                  <c:v>45398</c:v>
                </c:pt>
                <c:pt idx="73">
                  <c:v>45399</c:v>
                </c:pt>
                <c:pt idx="74">
                  <c:v>45400</c:v>
                </c:pt>
                <c:pt idx="75">
                  <c:v>45401</c:v>
                </c:pt>
                <c:pt idx="76">
                  <c:v>45404</c:v>
                </c:pt>
                <c:pt idx="77">
                  <c:v>45405</c:v>
                </c:pt>
                <c:pt idx="78">
                  <c:v>45406</c:v>
                </c:pt>
                <c:pt idx="79">
                  <c:v>45407</c:v>
                </c:pt>
                <c:pt idx="80">
                  <c:v>45408</c:v>
                </c:pt>
                <c:pt idx="81">
                  <c:v>45411</c:v>
                </c:pt>
                <c:pt idx="82">
                  <c:v>45412</c:v>
                </c:pt>
                <c:pt idx="83">
                  <c:v>45413</c:v>
                </c:pt>
                <c:pt idx="84">
                  <c:v>45414</c:v>
                </c:pt>
                <c:pt idx="85">
                  <c:v>45415</c:v>
                </c:pt>
                <c:pt idx="86">
                  <c:v>45418</c:v>
                </c:pt>
                <c:pt idx="87">
                  <c:v>45419</c:v>
                </c:pt>
                <c:pt idx="88">
                  <c:v>45420</c:v>
                </c:pt>
                <c:pt idx="89">
                  <c:v>45421</c:v>
                </c:pt>
                <c:pt idx="90">
                  <c:v>45422</c:v>
                </c:pt>
                <c:pt idx="91">
                  <c:v>45425</c:v>
                </c:pt>
                <c:pt idx="92">
                  <c:v>45426</c:v>
                </c:pt>
                <c:pt idx="93">
                  <c:v>45427</c:v>
                </c:pt>
                <c:pt idx="94">
                  <c:v>45428</c:v>
                </c:pt>
                <c:pt idx="95">
                  <c:v>45429</c:v>
                </c:pt>
                <c:pt idx="96">
                  <c:v>45432</c:v>
                </c:pt>
                <c:pt idx="97">
                  <c:v>45433</c:v>
                </c:pt>
                <c:pt idx="98">
                  <c:v>45434</c:v>
                </c:pt>
                <c:pt idx="99">
                  <c:v>45435</c:v>
                </c:pt>
                <c:pt idx="100">
                  <c:v>45436</c:v>
                </c:pt>
                <c:pt idx="101">
                  <c:v>45440</c:v>
                </c:pt>
                <c:pt idx="102">
                  <c:v>45441</c:v>
                </c:pt>
                <c:pt idx="103">
                  <c:v>45442</c:v>
                </c:pt>
                <c:pt idx="104">
                  <c:v>45443</c:v>
                </c:pt>
                <c:pt idx="105">
                  <c:v>45446</c:v>
                </c:pt>
                <c:pt idx="106">
                  <c:v>45447</c:v>
                </c:pt>
                <c:pt idx="107">
                  <c:v>45448</c:v>
                </c:pt>
                <c:pt idx="108">
                  <c:v>45449</c:v>
                </c:pt>
                <c:pt idx="109">
                  <c:v>45450</c:v>
                </c:pt>
                <c:pt idx="110">
                  <c:v>45453</c:v>
                </c:pt>
                <c:pt idx="111">
                  <c:v>45454</c:v>
                </c:pt>
                <c:pt idx="112">
                  <c:v>45455</c:v>
                </c:pt>
                <c:pt idx="113">
                  <c:v>45456</c:v>
                </c:pt>
                <c:pt idx="114">
                  <c:v>45457</c:v>
                </c:pt>
                <c:pt idx="115">
                  <c:v>45460</c:v>
                </c:pt>
                <c:pt idx="116">
                  <c:v>45461</c:v>
                </c:pt>
                <c:pt idx="117">
                  <c:v>45463</c:v>
                </c:pt>
                <c:pt idx="118">
                  <c:v>45464</c:v>
                </c:pt>
                <c:pt idx="119">
                  <c:v>45467</c:v>
                </c:pt>
                <c:pt idx="120">
                  <c:v>45468</c:v>
                </c:pt>
                <c:pt idx="121">
                  <c:v>45469</c:v>
                </c:pt>
                <c:pt idx="122">
                  <c:v>45470</c:v>
                </c:pt>
                <c:pt idx="123">
                  <c:v>45471</c:v>
                </c:pt>
                <c:pt idx="124">
                  <c:v>45474</c:v>
                </c:pt>
                <c:pt idx="125">
                  <c:v>45475</c:v>
                </c:pt>
                <c:pt idx="126">
                  <c:v>45476</c:v>
                </c:pt>
                <c:pt idx="127">
                  <c:v>45478</c:v>
                </c:pt>
                <c:pt idx="128">
                  <c:v>45481</c:v>
                </c:pt>
                <c:pt idx="129">
                  <c:v>45482</c:v>
                </c:pt>
                <c:pt idx="130">
                  <c:v>45483</c:v>
                </c:pt>
                <c:pt idx="131">
                  <c:v>45484</c:v>
                </c:pt>
                <c:pt idx="132">
                  <c:v>45485</c:v>
                </c:pt>
                <c:pt idx="133">
                  <c:v>45488</c:v>
                </c:pt>
                <c:pt idx="134">
                  <c:v>45489</c:v>
                </c:pt>
                <c:pt idx="135">
                  <c:v>45490</c:v>
                </c:pt>
                <c:pt idx="136">
                  <c:v>45491</c:v>
                </c:pt>
                <c:pt idx="137">
                  <c:v>45492</c:v>
                </c:pt>
                <c:pt idx="138">
                  <c:v>45495</c:v>
                </c:pt>
                <c:pt idx="139">
                  <c:v>45496</c:v>
                </c:pt>
                <c:pt idx="140">
                  <c:v>45497</c:v>
                </c:pt>
                <c:pt idx="141">
                  <c:v>45498</c:v>
                </c:pt>
                <c:pt idx="142">
                  <c:v>45499</c:v>
                </c:pt>
                <c:pt idx="143">
                  <c:v>45502</c:v>
                </c:pt>
                <c:pt idx="144">
                  <c:v>45503</c:v>
                </c:pt>
                <c:pt idx="145">
                  <c:v>45504</c:v>
                </c:pt>
                <c:pt idx="146">
                  <c:v>45505</c:v>
                </c:pt>
                <c:pt idx="147">
                  <c:v>45506</c:v>
                </c:pt>
                <c:pt idx="148">
                  <c:v>45509</c:v>
                </c:pt>
                <c:pt idx="149">
                  <c:v>45510</c:v>
                </c:pt>
                <c:pt idx="150">
                  <c:v>45511</c:v>
                </c:pt>
                <c:pt idx="151">
                  <c:v>45512</c:v>
                </c:pt>
                <c:pt idx="152">
                  <c:v>45513</c:v>
                </c:pt>
                <c:pt idx="153">
                  <c:v>45516</c:v>
                </c:pt>
                <c:pt idx="154">
                  <c:v>45517</c:v>
                </c:pt>
                <c:pt idx="155">
                  <c:v>45518</c:v>
                </c:pt>
                <c:pt idx="156">
                  <c:v>45519</c:v>
                </c:pt>
                <c:pt idx="157">
                  <c:v>45520</c:v>
                </c:pt>
                <c:pt idx="158">
                  <c:v>45523</c:v>
                </c:pt>
                <c:pt idx="159">
                  <c:v>45524</c:v>
                </c:pt>
                <c:pt idx="160">
                  <c:v>45525</c:v>
                </c:pt>
                <c:pt idx="161">
                  <c:v>45526</c:v>
                </c:pt>
                <c:pt idx="162">
                  <c:v>45527</c:v>
                </c:pt>
                <c:pt idx="163">
                  <c:v>45530</c:v>
                </c:pt>
                <c:pt idx="164">
                  <c:v>45531</c:v>
                </c:pt>
                <c:pt idx="165">
                  <c:v>45532</c:v>
                </c:pt>
                <c:pt idx="166">
                  <c:v>45533</c:v>
                </c:pt>
                <c:pt idx="167">
                  <c:v>45534</c:v>
                </c:pt>
                <c:pt idx="168">
                  <c:v>45538</c:v>
                </c:pt>
                <c:pt idx="169">
                  <c:v>45539</c:v>
                </c:pt>
                <c:pt idx="170">
                  <c:v>45540</c:v>
                </c:pt>
                <c:pt idx="171">
                  <c:v>45541</c:v>
                </c:pt>
                <c:pt idx="172">
                  <c:v>45544</c:v>
                </c:pt>
                <c:pt idx="173">
                  <c:v>45545</c:v>
                </c:pt>
                <c:pt idx="174">
                  <c:v>45546</c:v>
                </c:pt>
                <c:pt idx="175">
                  <c:v>45547</c:v>
                </c:pt>
                <c:pt idx="176">
                  <c:v>45548</c:v>
                </c:pt>
                <c:pt idx="177">
                  <c:v>45551</c:v>
                </c:pt>
                <c:pt idx="178">
                  <c:v>45552</c:v>
                </c:pt>
                <c:pt idx="179">
                  <c:v>45553</c:v>
                </c:pt>
                <c:pt idx="180">
                  <c:v>45554</c:v>
                </c:pt>
                <c:pt idx="181">
                  <c:v>45555</c:v>
                </c:pt>
                <c:pt idx="182">
                  <c:v>45558</c:v>
                </c:pt>
                <c:pt idx="183">
                  <c:v>45559</c:v>
                </c:pt>
                <c:pt idx="184">
                  <c:v>45560</c:v>
                </c:pt>
                <c:pt idx="185">
                  <c:v>45561</c:v>
                </c:pt>
                <c:pt idx="186">
                  <c:v>45562</c:v>
                </c:pt>
                <c:pt idx="187">
                  <c:v>45565</c:v>
                </c:pt>
                <c:pt idx="188">
                  <c:v>45566</c:v>
                </c:pt>
                <c:pt idx="189">
                  <c:v>45567</c:v>
                </c:pt>
                <c:pt idx="190">
                  <c:v>45568</c:v>
                </c:pt>
                <c:pt idx="191">
                  <c:v>45569</c:v>
                </c:pt>
                <c:pt idx="192">
                  <c:v>45572</c:v>
                </c:pt>
                <c:pt idx="193">
                  <c:v>45573</c:v>
                </c:pt>
                <c:pt idx="194">
                  <c:v>45574</c:v>
                </c:pt>
                <c:pt idx="195">
                  <c:v>45575</c:v>
                </c:pt>
                <c:pt idx="196">
                  <c:v>45576</c:v>
                </c:pt>
                <c:pt idx="197">
                  <c:v>45579</c:v>
                </c:pt>
                <c:pt idx="198">
                  <c:v>45580</c:v>
                </c:pt>
                <c:pt idx="199">
                  <c:v>45581</c:v>
                </c:pt>
                <c:pt idx="200">
                  <c:v>45582</c:v>
                </c:pt>
                <c:pt idx="201">
                  <c:v>45583</c:v>
                </c:pt>
                <c:pt idx="202">
                  <c:v>45586</c:v>
                </c:pt>
                <c:pt idx="203">
                  <c:v>45587</c:v>
                </c:pt>
                <c:pt idx="204">
                  <c:v>45588</c:v>
                </c:pt>
                <c:pt idx="205">
                  <c:v>45589</c:v>
                </c:pt>
                <c:pt idx="206">
                  <c:v>45590</c:v>
                </c:pt>
                <c:pt idx="207">
                  <c:v>45593</c:v>
                </c:pt>
                <c:pt idx="208">
                  <c:v>45594</c:v>
                </c:pt>
                <c:pt idx="209">
                  <c:v>45595</c:v>
                </c:pt>
                <c:pt idx="210">
                  <c:v>45596</c:v>
                </c:pt>
                <c:pt idx="211">
                  <c:v>45597</c:v>
                </c:pt>
                <c:pt idx="212">
                  <c:v>45600</c:v>
                </c:pt>
                <c:pt idx="213">
                  <c:v>45601</c:v>
                </c:pt>
                <c:pt idx="214">
                  <c:v>45602</c:v>
                </c:pt>
                <c:pt idx="215">
                  <c:v>45603</c:v>
                </c:pt>
                <c:pt idx="216">
                  <c:v>45604</c:v>
                </c:pt>
                <c:pt idx="217">
                  <c:v>45607</c:v>
                </c:pt>
                <c:pt idx="218">
                  <c:v>45608</c:v>
                </c:pt>
                <c:pt idx="219">
                  <c:v>45609</c:v>
                </c:pt>
                <c:pt idx="220">
                  <c:v>45610</c:v>
                </c:pt>
                <c:pt idx="221">
                  <c:v>45611</c:v>
                </c:pt>
                <c:pt idx="222">
                  <c:v>45614</c:v>
                </c:pt>
                <c:pt idx="223">
                  <c:v>45615</c:v>
                </c:pt>
                <c:pt idx="224">
                  <c:v>45616</c:v>
                </c:pt>
                <c:pt idx="225">
                  <c:v>45617</c:v>
                </c:pt>
                <c:pt idx="226">
                  <c:v>45618</c:v>
                </c:pt>
                <c:pt idx="227">
                  <c:v>45621</c:v>
                </c:pt>
                <c:pt idx="228">
                  <c:v>45622</c:v>
                </c:pt>
                <c:pt idx="229">
                  <c:v>45623</c:v>
                </c:pt>
                <c:pt idx="230">
                  <c:v>45625</c:v>
                </c:pt>
                <c:pt idx="231">
                  <c:v>45628</c:v>
                </c:pt>
                <c:pt idx="232">
                  <c:v>45629</c:v>
                </c:pt>
                <c:pt idx="233">
                  <c:v>45630</c:v>
                </c:pt>
                <c:pt idx="234">
                  <c:v>45631</c:v>
                </c:pt>
                <c:pt idx="235">
                  <c:v>45632</c:v>
                </c:pt>
                <c:pt idx="236">
                  <c:v>45635</c:v>
                </c:pt>
                <c:pt idx="237">
                  <c:v>45636</c:v>
                </c:pt>
                <c:pt idx="238">
                  <c:v>45637</c:v>
                </c:pt>
                <c:pt idx="239">
                  <c:v>45638</c:v>
                </c:pt>
                <c:pt idx="240">
                  <c:v>45639</c:v>
                </c:pt>
                <c:pt idx="241">
                  <c:v>45642</c:v>
                </c:pt>
                <c:pt idx="242">
                  <c:v>45643</c:v>
                </c:pt>
                <c:pt idx="243">
                  <c:v>45644</c:v>
                </c:pt>
                <c:pt idx="244">
                  <c:v>45645</c:v>
                </c:pt>
                <c:pt idx="245">
                  <c:v>45646</c:v>
                </c:pt>
                <c:pt idx="246">
                  <c:v>45649</c:v>
                </c:pt>
                <c:pt idx="247">
                  <c:v>45650</c:v>
                </c:pt>
                <c:pt idx="248">
                  <c:v>45652</c:v>
                </c:pt>
                <c:pt idx="249">
                  <c:v>45653</c:v>
                </c:pt>
                <c:pt idx="250">
                  <c:v>45656</c:v>
                </c:pt>
                <c:pt idx="251">
                  <c:v>45657</c:v>
                </c:pt>
                <c:pt idx="252">
                  <c:v>45659</c:v>
                </c:pt>
                <c:pt idx="253">
                  <c:v>45660</c:v>
                </c:pt>
                <c:pt idx="254">
                  <c:v>45663</c:v>
                </c:pt>
                <c:pt idx="255">
                  <c:v>45664</c:v>
                </c:pt>
                <c:pt idx="256">
                  <c:v>45665</c:v>
                </c:pt>
                <c:pt idx="257">
                  <c:v>45667</c:v>
                </c:pt>
                <c:pt idx="258">
                  <c:v>45670</c:v>
                </c:pt>
                <c:pt idx="259">
                  <c:v>45671</c:v>
                </c:pt>
                <c:pt idx="260">
                  <c:v>45672</c:v>
                </c:pt>
                <c:pt idx="261">
                  <c:v>45673</c:v>
                </c:pt>
                <c:pt idx="262">
                  <c:v>45674</c:v>
                </c:pt>
                <c:pt idx="263">
                  <c:v>45678</c:v>
                </c:pt>
                <c:pt idx="264">
                  <c:v>45679</c:v>
                </c:pt>
                <c:pt idx="265">
                  <c:v>45680</c:v>
                </c:pt>
                <c:pt idx="266">
                  <c:v>45681</c:v>
                </c:pt>
                <c:pt idx="267">
                  <c:v>45684</c:v>
                </c:pt>
                <c:pt idx="268">
                  <c:v>45685</c:v>
                </c:pt>
                <c:pt idx="269">
                  <c:v>45686</c:v>
                </c:pt>
                <c:pt idx="270">
                  <c:v>45687</c:v>
                </c:pt>
                <c:pt idx="271">
                  <c:v>45688</c:v>
                </c:pt>
                <c:pt idx="272">
                  <c:v>45691</c:v>
                </c:pt>
                <c:pt idx="273">
                  <c:v>45692</c:v>
                </c:pt>
                <c:pt idx="274">
                  <c:v>45693</c:v>
                </c:pt>
                <c:pt idx="275">
                  <c:v>45694</c:v>
                </c:pt>
                <c:pt idx="276">
                  <c:v>45695</c:v>
                </c:pt>
                <c:pt idx="277">
                  <c:v>45698</c:v>
                </c:pt>
                <c:pt idx="278">
                  <c:v>45699</c:v>
                </c:pt>
                <c:pt idx="279">
                  <c:v>45700</c:v>
                </c:pt>
                <c:pt idx="280">
                  <c:v>45701</c:v>
                </c:pt>
                <c:pt idx="281">
                  <c:v>45702</c:v>
                </c:pt>
                <c:pt idx="282">
                  <c:v>45706</c:v>
                </c:pt>
                <c:pt idx="283">
                  <c:v>45707</c:v>
                </c:pt>
                <c:pt idx="284">
                  <c:v>45708</c:v>
                </c:pt>
                <c:pt idx="285">
                  <c:v>45709</c:v>
                </c:pt>
                <c:pt idx="286">
                  <c:v>45712</c:v>
                </c:pt>
                <c:pt idx="287">
                  <c:v>45713</c:v>
                </c:pt>
                <c:pt idx="288">
                  <c:v>45714</c:v>
                </c:pt>
                <c:pt idx="289">
                  <c:v>45715</c:v>
                </c:pt>
                <c:pt idx="290">
                  <c:v>45716</c:v>
                </c:pt>
                <c:pt idx="291">
                  <c:v>45719</c:v>
                </c:pt>
                <c:pt idx="292">
                  <c:v>45720</c:v>
                </c:pt>
                <c:pt idx="293">
                  <c:v>45721</c:v>
                </c:pt>
                <c:pt idx="294">
                  <c:v>45722</c:v>
                </c:pt>
                <c:pt idx="295">
                  <c:v>45723</c:v>
                </c:pt>
                <c:pt idx="296">
                  <c:v>45726</c:v>
                </c:pt>
                <c:pt idx="297">
                  <c:v>45727</c:v>
                </c:pt>
                <c:pt idx="298">
                  <c:v>45728</c:v>
                </c:pt>
                <c:pt idx="299">
                  <c:v>45729</c:v>
                </c:pt>
                <c:pt idx="300">
                  <c:v>45730</c:v>
                </c:pt>
                <c:pt idx="301">
                  <c:v>45733</c:v>
                </c:pt>
                <c:pt idx="302">
                  <c:v>45734</c:v>
                </c:pt>
                <c:pt idx="303">
                  <c:v>45735</c:v>
                </c:pt>
                <c:pt idx="304">
                  <c:v>45736</c:v>
                </c:pt>
                <c:pt idx="305">
                  <c:v>45737</c:v>
                </c:pt>
                <c:pt idx="306">
                  <c:v>45740</c:v>
                </c:pt>
                <c:pt idx="307">
                  <c:v>45741</c:v>
                </c:pt>
                <c:pt idx="308">
                  <c:v>45742</c:v>
                </c:pt>
                <c:pt idx="309">
                  <c:v>45743</c:v>
                </c:pt>
                <c:pt idx="310">
                  <c:v>45744</c:v>
                </c:pt>
                <c:pt idx="311">
                  <c:v>45747</c:v>
                </c:pt>
                <c:pt idx="312">
                  <c:v>45748</c:v>
                </c:pt>
                <c:pt idx="313">
                  <c:v>45749</c:v>
                </c:pt>
                <c:pt idx="314">
                  <c:v>45750</c:v>
                </c:pt>
                <c:pt idx="315">
                  <c:v>45751</c:v>
                </c:pt>
                <c:pt idx="316">
                  <c:v>45754</c:v>
                </c:pt>
                <c:pt idx="317">
                  <c:v>45755</c:v>
                </c:pt>
                <c:pt idx="318">
                  <c:v>45756</c:v>
                </c:pt>
                <c:pt idx="319">
                  <c:v>45757</c:v>
                </c:pt>
                <c:pt idx="320">
                  <c:v>45758</c:v>
                </c:pt>
                <c:pt idx="321">
                  <c:v>45761</c:v>
                </c:pt>
                <c:pt idx="322">
                  <c:v>45762</c:v>
                </c:pt>
                <c:pt idx="323">
                  <c:v>45763</c:v>
                </c:pt>
                <c:pt idx="324">
                  <c:v>45764</c:v>
                </c:pt>
                <c:pt idx="325">
                  <c:v>45768</c:v>
                </c:pt>
                <c:pt idx="326">
                  <c:v>45769</c:v>
                </c:pt>
                <c:pt idx="327">
                  <c:v>45770</c:v>
                </c:pt>
                <c:pt idx="328">
                  <c:v>45771</c:v>
                </c:pt>
                <c:pt idx="329">
                  <c:v>45772</c:v>
                </c:pt>
                <c:pt idx="330">
                  <c:v>45775</c:v>
                </c:pt>
                <c:pt idx="331">
                  <c:v>45776</c:v>
                </c:pt>
                <c:pt idx="332">
                  <c:v>45777</c:v>
                </c:pt>
                <c:pt idx="333">
                  <c:v>45778</c:v>
                </c:pt>
                <c:pt idx="334">
                  <c:v>45779</c:v>
                </c:pt>
                <c:pt idx="335">
                  <c:v>45782</c:v>
                </c:pt>
                <c:pt idx="336">
                  <c:v>45783</c:v>
                </c:pt>
                <c:pt idx="337">
                  <c:v>45784</c:v>
                </c:pt>
                <c:pt idx="338">
                  <c:v>45785</c:v>
                </c:pt>
                <c:pt idx="339">
                  <c:v>45786</c:v>
                </c:pt>
                <c:pt idx="340">
                  <c:v>45789</c:v>
                </c:pt>
                <c:pt idx="341">
                  <c:v>45790</c:v>
                </c:pt>
                <c:pt idx="342">
                  <c:v>45791</c:v>
                </c:pt>
                <c:pt idx="343">
                  <c:v>45792</c:v>
                </c:pt>
                <c:pt idx="344">
                  <c:v>45793</c:v>
                </c:pt>
                <c:pt idx="345">
                  <c:v>45796</c:v>
                </c:pt>
                <c:pt idx="346">
                  <c:v>45797</c:v>
                </c:pt>
                <c:pt idx="347">
                  <c:v>45798</c:v>
                </c:pt>
                <c:pt idx="348">
                  <c:v>45799</c:v>
                </c:pt>
                <c:pt idx="349">
                  <c:v>45800</c:v>
                </c:pt>
                <c:pt idx="350">
                  <c:v>45804</c:v>
                </c:pt>
                <c:pt idx="351">
                  <c:v>45805</c:v>
                </c:pt>
                <c:pt idx="352">
                  <c:v>45806</c:v>
                </c:pt>
                <c:pt idx="353">
                  <c:v>45807</c:v>
                </c:pt>
                <c:pt idx="354">
                  <c:v>45810</c:v>
                </c:pt>
                <c:pt idx="355">
                  <c:v>45811</c:v>
                </c:pt>
                <c:pt idx="356">
                  <c:v>45812</c:v>
                </c:pt>
                <c:pt idx="357">
                  <c:v>45813</c:v>
                </c:pt>
                <c:pt idx="358">
                  <c:v>45814</c:v>
                </c:pt>
                <c:pt idx="359">
                  <c:v>45817</c:v>
                </c:pt>
                <c:pt idx="360">
                  <c:v>45818</c:v>
                </c:pt>
                <c:pt idx="361">
                  <c:v>45819</c:v>
                </c:pt>
                <c:pt idx="362">
                  <c:v>45820</c:v>
                </c:pt>
                <c:pt idx="363">
                  <c:v>45821</c:v>
                </c:pt>
                <c:pt idx="364">
                  <c:v>45824</c:v>
                </c:pt>
                <c:pt idx="365">
                  <c:v>45825</c:v>
                </c:pt>
                <c:pt idx="366">
                  <c:v>45826</c:v>
                </c:pt>
                <c:pt idx="367">
                  <c:v>45828</c:v>
                </c:pt>
                <c:pt idx="368">
                  <c:v>45831</c:v>
                </c:pt>
                <c:pt idx="369">
                  <c:v>45832</c:v>
                </c:pt>
                <c:pt idx="370">
                  <c:v>45833</c:v>
                </c:pt>
                <c:pt idx="371">
                  <c:v>45834</c:v>
                </c:pt>
                <c:pt idx="372">
                  <c:v>45835</c:v>
                </c:pt>
                <c:pt idx="373">
                  <c:v>45838</c:v>
                </c:pt>
                <c:pt idx="374">
                  <c:v>45839</c:v>
                </c:pt>
                <c:pt idx="375">
                  <c:v>45840</c:v>
                </c:pt>
                <c:pt idx="376">
                  <c:v>45841</c:v>
                </c:pt>
                <c:pt idx="377">
                  <c:v>45845</c:v>
                </c:pt>
                <c:pt idx="378">
                  <c:v>45846</c:v>
                </c:pt>
                <c:pt idx="379">
                  <c:v>45847</c:v>
                </c:pt>
                <c:pt idx="380">
                  <c:v>45848</c:v>
                </c:pt>
                <c:pt idx="381">
                  <c:v>45849</c:v>
                </c:pt>
                <c:pt idx="382">
                  <c:v>45852</c:v>
                </c:pt>
                <c:pt idx="383">
                  <c:v>45853</c:v>
                </c:pt>
                <c:pt idx="384">
                  <c:v>45854</c:v>
                </c:pt>
                <c:pt idx="385">
                  <c:v>45855</c:v>
                </c:pt>
                <c:pt idx="386">
                  <c:v>45856</c:v>
                </c:pt>
                <c:pt idx="387">
                  <c:v>45859</c:v>
                </c:pt>
                <c:pt idx="388">
                  <c:v>45860</c:v>
                </c:pt>
                <c:pt idx="389">
                  <c:v>45861</c:v>
                </c:pt>
                <c:pt idx="390">
                  <c:v>45862</c:v>
                </c:pt>
                <c:pt idx="391">
                  <c:v>45863</c:v>
                </c:pt>
                <c:pt idx="392">
                  <c:v>45866</c:v>
                </c:pt>
                <c:pt idx="393">
                  <c:v>45867</c:v>
                </c:pt>
                <c:pt idx="394">
                  <c:v>45868</c:v>
                </c:pt>
                <c:pt idx="395">
                  <c:v>45869</c:v>
                </c:pt>
                <c:pt idx="396">
                  <c:v>45870</c:v>
                </c:pt>
                <c:pt idx="397">
                  <c:v>45873</c:v>
                </c:pt>
                <c:pt idx="398">
                  <c:v>45874</c:v>
                </c:pt>
                <c:pt idx="399">
                  <c:v>45875</c:v>
                </c:pt>
                <c:pt idx="400">
                  <c:v>45876</c:v>
                </c:pt>
                <c:pt idx="401">
                  <c:v>45877</c:v>
                </c:pt>
                <c:pt idx="402">
                  <c:v>45880</c:v>
                </c:pt>
                <c:pt idx="403">
                  <c:v>45881</c:v>
                </c:pt>
                <c:pt idx="404">
                  <c:v>45882</c:v>
                </c:pt>
                <c:pt idx="405">
                  <c:v>45883</c:v>
                </c:pt>
                <c:pt idx="406">
                  <c:v>45884</c:v>
                </c:pt>
                <c:pt idx="407">
                  <c:v>45887</c:v>
                </c:pt>
                <c:pt idx="408">
                  <c:v>45888</c:v>
                </c:pt>
                <c:pt idx="409">
                  <c:v>45889</c:v>
                </c:pt>
                <c:pt idx="410">
                  <c:v>45890</c:v>
                </c:pt>
                <c:pt idx="411">
                  <c:v>45891</c:v>
                </c:pt>
                <c:pt idx="412">
                  <c:v>45894</c:v>
                </c:pt>
                <c:pt idx="413">
                  <c:v>45895</c:v>
                </c:pt>
                <c:pt idx="414">
                  <c:v>45896</c:v>
                </c:pt>
                <c:pt idx="415">
                  <c:v>45897</c:v>
                </c:pt>
                <c:pt idx="416">
                  <c:v>45898</c:v>
                </c:pt>
                <c:pt idx="417">
                  <c:v>45902</c:v>
                </c:pt>
                <c:pt idx="418">
                  <c:v>45903</c:v>
                </c:pt>
                <c:pt idx="419">
                  <c:v>45904</c:v>
                </c:pt>
                <c:pt idx="420">
                  <c:v>45905</c:v>
                </c:pt>
                <c:pt idx="421">
                  <c:v>45908</c:v>
                </c:pt>
                <c:pt idx="422">
                  <c:v>45909</c:v>
                </c:pt>
                <c:pt idx="423">
                  <c:v>45910</c:v>
                </c:pt>
                <c:pt idx="424">
                  <c:v>45911</c:v>
                </c:pt>
                <c:pt idx="425">
                  <c:v>45912</c:v>
                </c:pt>
                <c:pt idx="426">
                  <c:v>45915</c:v>
                </c:pt>
                <c:pt idx="427">
                  <c:v>45916</c:v>
                </c:pt>
                <c:pt idx="428">
                  <c:v>45917</c:v>
                </c:pt>
                <c:pt idx="429">
                  <c:v>45918</c:v>
                </c:pt>
                <c:pt idx="430">
                  <c:v>45919</c:v>
                </c:pt>
                <c:pt idx="431">
                  <c:v>45922</c:v>
                </c:pt>
                <c:pt idx="432">
                  <c:v>45923</c:v>
                </c:pt>
                <c:pt idx="433">
                  <c:v>45924</c:v>
                </c:pt>
                <c:pt idx="434">
                  <c:v>45925</c:v>
                </c:pt>
                <c:pt idx="435">
                  <c:v>45926</c:v>
                </c:pt>
                <c:pt idx="436">
                  <c:v>45929</c:v>
                </c:pt>
                <c:pt idx="437">
                  <c:v>45930</c:v>
                </c:pt>
                <c:pt idx="438">
                  <c:v>45931</c:v>
                </c:pt>
                <c:pt idx="439">
                  <c:v>45932</c:v>
                </c:pt>
                <c:pt idx="440">
                  <c:v>45933</c:v>
                </c:pt>
                <c:pt idx="441">
                  <c:v>45936</c:v>
                </c:pt>
                <c:pt idx="442">
                  <c:v>45937</c:v>
                </c:pt>
                <c:pt idx="443">
                  <c:v>45938</c:v>
                </c:pt>
                <c:pt idx="444">
                  <c:v>45939</c:v>
                </c:pt>
                <c:pt idx="445">
                  <c:v>45940</c:v>
                </c:pt>
                <c:pt idx="446">
                  <c:v>45943</c:v>
                </c:pt>
                <c:pt idx="447">
                  <c:v>45944</c:v>
                </c:pt>
                <c:pt idx="448">
                  <c:v>45945</c:v>
                </c:pt>
                <c:pt idx="449">
                  <c:v>45946</c:v>
                </c:pt>
                <c:pt idx="450">
                  <c:v>45947</c:v>
                </c:pt>
                <c:pt idx="451">
                  <c:v>45950</c:v>
                </c:pt>
                <c:pt idx="452">
                  <c:v>45951</c:v>
                </c:pt>
                <c:pt idx="453">
                  <c:v>45952</c:v>
                </c:pt>
                <c:pt idx="454">
                  <c:v>45953</c:v>
                </c:pt>
                <c:pt idx="455">
                  <c:v>45954</c:v>
                </c:pt>
                <c:pt idx="456">
                  <c:v>45957</c:v>
                </c:pt>
                <c:pt idx="457">
                  <c:v>45958</c:v>
                </c:pt>
                <c:pt idx="458">
                  <c:v>45959</c:v>
                </c:pt>
                <c:pt idx="459">
                  <c:v>45960</c:v>
                </c:pt>
                <c:pt idx="460">
                  <c:v>45961</c:v>
                </c:pt>
                <c:pt idx="461">
                  <c:v>45964</c:v>
                </c:pt>
                <c:pt idx="462">
                  <c:v>45965</c:v>
                </c:pt>
                <c:pt idx="463">
                  <c:v>45966</c:v>
                </c:pt>
                <c:pt idx="464">
                  <c:v>45967</c:v>
                </c:pt>
                <c:pt idx="465">
                  <c:v>45968</c:v>
                </c:pt>
                <c:pt idx="466">
                  <c:v>45971</c:v>
                </c:pt>
                <c:pt idx="467">
                  <c:v>45972</c:v>
                </c:pt>
                <c:pt idx="468">
                  <c:v>45973</c:v>
                </c:pt>
                <c:pt idx="469">
                  <c:v>45974</c:v>
                </c:pt>
                <c:pt idx="470">
                  <c:v>45975</c:v>
                </c:pt>
                <c:pt idx="471">
                  <c:v>45978</c:v>
                </c:pt>
                <c:pt idx="472">
                  <c:v>45979</c:v>
                </c:pt>
                <c:pt idx="473">
                  <c:v>45980</c:v>
                </c:pt>
                <c:pt idx="474">
                  <c:v>45981</c:v>
                </c:pt>
                <c:pt idx="475">
                  <c:v>45982</c:v>
                </c:pt>
                <c:pt idx="476">
                  <c:v>45985</c:v>
                </c:pt>
                <c:pt idx="477">
                  <c:v>45986</c:v>
                </c:pt>
                <c:pt idx="478">
                  <c:v>45987</c:v>
                </c:pt>
                <c:pt idx="479">
                  <c:v>45989</c:v>
                </c:pt>
                <c:pt idx="480">
                  <c:v>45992</c:v>
                </c:pt>
                <c:pt idx="481">
                  <c:v>45993</c:v>
                </c:pt>
                <c:pt idx="482">
                  <c:v>45994</c:v>
                </c:pt>
                <c:pt idx="483">
                  <c:v>45995</c:v>
                </c:pt>
                <c:pt idx="484">
                  <c:v>45996</c:v>
                </c:pt>
                <c:pt idx="485">
                  <c:v>45999</c:v>
                </c:pt>
                <c:pt idx="486">
                  <c:v>46000</c:v>
                </c:pt>
                <c:pt idx="487">
                  <c:v>46001</c:v>
                </c:pt>
                <c:pt idx="488">
                  <c:v>46002</c:v>
                </c:pt>
                <c:pt idx="489">
                  <c:v>46003</c:v>
                </c:pt>
                <c:pt idx="490">
                  <c:v>46006</c:v>
                </c:pt>
                <c:pt idx="491">
                  <c:v>46007</c:v>
                </c:pt>
                <c:pt idx="492">
                  <c:v>46008</c:v>
                </c:pt>
                <c:pt idx="493">
                  <c:v>46009</c:v>
                </c:pt>
                <c:pt idx="494">
                  <c:v>46010</c:v>
                </c:pt>
                <c:pt idx="495">
                  <c:v>46013</c:v>
                </c:pt>
                <c:pt idx="496">
                  <c:v>46014</c:v>
                </c:pt>
                <c:pt idx="497">
                  <c:v>46015</c:v>
                </c:pt>
                <c:pt idx="498">
                  <c:v>46017</c:v>
                </c:pt>
                <c:pt idx="499">
                  <c:v>46020</c:v>
                </c:pt>
                <c:pt idx="500">
                  <c:v>46021</c:v>
                </c:pt>
                <c:pt idx="501">
                  <c:v>46022</c:v>
                </c:pt>
                <c:pt idx="502">
                  <c:v>46024</c:v>
                </c:pt>
                <c:pt idx="503">
                  <c:v>46027</c:v>
                </c:pt>
                <c:pt idx="504">
                  <c:v>46028</c:v>
                </c:pt>
                <c:pt idx="505">
                  <c:v>46029</c:v>
                </c:pt>
                <c:pt idx="506">
                  <c:v>46030</c:v>
                </c:pt>
                <c:pt idx="507">
                  <c:v>46031</c:v>
                </c:pt>
                <c:pt idx="508">
                  <c:v>46034</c:v>
                </c:pt>
                <c:pt idx="509">
                  <c:v>46035</c:v>
                </c:pt>
                <c:pt idx="510">
                  <c:v>46036</c:v>
                </c:pt>
                <c:pt idx="511">
                  <c:v>46037</c:v>
                </c:pt>
                <c:pt idx="512">
                  <c:v>46038</c:v>
                </c:pt>
              </c:numCache>
            </c:numRef>
          </c:cat>
          <c:val>
            <c:numRef>
              <c:f>Data!$H$2:$H$514</c:f>
              <c:numCache>
                <c:formatCode>General</c:formatCode>
                <c:ptCount val="513"/>
                <c:pt idx="0">
                  <c:v>59.82</c:v>
                </c:pt>
                <c:pt idx="1">
                  <c:v>59.956647630436493</c:v>
                </c:pt>
                <c:pt idx="2">
                  <c:v>59.933334140192216</c:v>
                </c:pt>
                <c:pt idx="3">
                  <c:v>59.920665536515358</c:v>
                </c:pt>
                <c:pt idx="4">
                  <c:v>60.02179776732126</c:v>
                </c:pt>
                <c:pt idx="5">
                  <c:v>60.035361659681357</c:v>
                </c:pt>
                <c:pt idx="6">
                  <c:v>60.105700916349015</c:v>
                </c:pt>
                <c:pt idx="7">
                  <c:v>60.083154527638413</c:v>
                </c:pt>
                <c:pt idx="8">
                  <c:v>60.186264501579842</c:v>
                </c:pt>
                <c:pt idx="9">
                  <c:v>60.177234772519185</c:v>
                </c:pt>
                <c:pt idx="10">
                  <c:v>60.168995267095958</c:v>
                </c:pt>
                <c:pt idx="11">
                  <c:v>60.18087494047343</c:v>
                </c:pt>
                <c:pt idx="12">
                  <c:v>60.164062394974785</c:v>
                </c:pt>
                <c:pt idx="13">
                  <c:v>60.151699040012375</c:v>
                </c:pt>
                <c:pt idx="14">
                  <c:v>60.139179755705378</c:v>
                </c:pt>
                <c:pt idx="15">
                  <c:v>60.170805582829757</c:v>
                </c:pt>
                <c:pt idx="16">
                  <c:v>60.157501931072311</c:v>
                </c:pt>
                <c:pt idx="17">
                  <c:v>60.139498158430285</c:v>
                </c:pt>
                <c:pt idx="18">
                  <c:v>60.127439605459806</c:v>
                </c:pt>
                <c:pt idx="19">
                  <c:v>60.129233958264308</c:v>
                </c:pt>
                <c:pt idx="20">
                  <c:v>60.104757410926048</c:v>
                </c:pt>
                <c:pt idx="21">
                  <c:v>60.240834656891202</c:v>
                </c:pt>
                <c:pt idx="22">
                  <c:v>60.293848749814458</c:v>
                </c:pt>
                <c:pt idx="23">
                  <c:v>60.292644809655442</c:v>
                </c:pt>
                <c:pt idx="24">
                  <c:v>60.286769925434832</c:v>
                </c:pt>
                <c:pt idx="25">
                  <c:v>60.282523305436797</c:v>
                </c:pt>
                <c:pt idx="26">
                  <c:v>60.273504461743023</c:v>
                </c:pt>
                <c:pt idx="27">
                  <c:v>60.258776721175813</c:v>
                </c:pt>
                <c:pt idx="28">
                  <c:v>60.247787994801001</c:v>
                </c:pt>
                <c:pt idx="29">
                  <c:v>60.223821289710806</c:v>
                </c:pt>
                <c:pt idx="30">
                  <c:v>60.21071419192112</c:v>
                </c:pt>
                <c:pt idx="31">
                  <c:v>60.199356192208015</c:v>
                </c:pt>
                <c:pt idx="32">
                  <c:v>60.188045749585349</c:v>
                </c:pt>
                <c:pt idx="33">
                  <c:v>60.243885289273926</c:v>
                </c:pt>
                <c:pt idx="34">
                  <c:v>60.339263991080287</c:v>
                </c:pt>
                <c:pt idx="35">
                  <c:v>60.409249738883169</c:v>
                </c:pt>
                <c:pt idx="36">
                  <c:v>60.476909394303632</c:v>
                </c:pt>
                <c:pt idx="37">
                  <c:v>60.498171366889864</c:v>
                </c:pt>
                <c:pt idx="38">
                  <c:v>60.50134001224334</c:v>
                </c:pt>
                <c:pt idx="39">
                  <c:v>60.504912790649215</c:v>
                </c:pt>
                <c:pt idx="40">
                  <c:v>60.500244800684136</c:v>
                </c:pt>
                <c:pt idx="41">
                  <c:v>60.490308180757872</c:v>
                </c:pt>
                <c:pt idx="42">
                  <c:v>60.48220600541373</c:v>
                </c:pt>
                <c:pt idx="43">
                  <c:v>60.471760043992113</c:v>
                </c:pt>
                <c:pt idx="44">
                  <c:v>60.461572043672128</c:v>
                </c:pt>
                <c:pt idx="45">
                  <c:v>60.450525575374414</c:v>
                </c:pt>
                <c:pt idx="46">
                  <c:v>60.440223952669854</c:v>
                </c:pt>
                <c:pt idx="47">
                  <c:v>60.443505651847062</c:v>
                </c:pt>
                <c:pt idx="48">
                  <c:v>60.455032440374424</c:v>
                </c:pt>
                <c:pt idx="49">
                  <c:v>60.498854276481666</c:v>
                </c:pt>
                <c:pt idx="50">
                  <c:v>60.509235260582962</c:v>
                </c:pt>
                <c:pt idx="51">
                  <c:v>60.499990601739178</c:v>
                </c:pt>
                <c:pt idx="52">
                  <c:v>60.498809912563921</c:v>
                </c:pt>
                <c:pt idx="53">
                  <c:v>60.500042867128833</c:v>
                </c:pt>
                <c:pt idx="54">
                  <c:v>60.520031261834653</c:v>
                </c:pt>
                <c:pt idx="55">
                  <c:v>60.526734630180158</c:v>
                </c:pt>
                <c:pt idx="56">
                  <c:v>60.532780357759115</c:v>
                </c:pt>
                <c:pt idx="57">
                  <c:v>60.536849765143231</c:v>
                </c:pt>
                <c:pt idx="58">
                  <c:v>60.544937538856253</c:v>
                </c:pt>
                <c:pt idx="59">
                  <c:v>60.57063810986984</c:v>
                </c:pt>
                <c:pt idx="60">
                  <c:v>60.603138895789698</c:v>
                </c:pt>
                <c:pt idx="61">
                  <c:v>60.612377287440047</c:v>
                </c:pt>
                <c:pt idx="62">
                  <c:v>60.609394046035561</c:v>
                </c:pt>
                <c:pt idx="63">
                  <c:v>60.60251541683165</c:v>
                </c:pt>
                <c:pt idx="64">
                  <c:v>60.59485527402952</c:v>
                </c:pt>
                <c:pt idx="65">
                  <c:v>60.589003115224813</c:v>
                </c:pt>
                <c:pt idx="66">
                  <c:v>60.584691497256649</c:v>
                </c:pt>
                <c:pt idx="67">
                  <c:v>60.578467220448104</c:v>
                </c:pt>
                <c:pt idx="68">
                  <c:v>60.576851639421974</c:v>
                </c:pt>
                <c:pt idx="69">
                  <c:v>60.573567719546496</c:v>
                </c:pt>
                <c:pt idx="70">
                  <c:v>60.583455686668074</c:v>
                </c:pt>
                <c:pt idx="71">
                  <c:v>60.593940103965259</c:v>
                </c:pt>
                <c:pt idx="72">
                  <c:v>60.605757265712391</c:v>
                </c:pt>
                <c:pt idx="73">
                  <c:v>60.601926251958531</c:v>
                </c:pt>
                <c:pt idx="74">
                  <c:v>60.596170437537353</c:v>
                </c:pt>
                <c:pt idx="75">
                  <c:v>60.597636391842855</c:v>
                </c:pt>
                <c:pt idx="76">
                  <c:v>60.60639452578296</c:v>
                </c:pt>
                <c:pt idx="77">
                  <c:v>60.615953666978221</c:v>
                </c:pt>
                <c:pt idx="78">
                  <c:v>60.664098760790033</c:v>
                </c:pt>
                <c:pt idx="79">
                  <c:v>60.717701495727312</c:v>
                </c:pt>
                <c:pt idx="80">
                  <c:v>60.756126514989212</c:v>
                </c:pt>
                <c:pt idx="81">
                  <c:v>60.808530193604319</c:v>
                </c:pt>
                <c:pt idx="82">
                  <c:v>60.856037755036745</c:v>
                </c:pt>
                <c:pt idx="83">
                  <c:v>60.903926550053207</c:v>
                </c:pt>
                <c:pt idx="84">
                  <c:v>60.942838881476973</c:v>
                </c:pt>
                <c:pt idx="85">
                  <c:v>60.987357139307974</c:v>
                </c:pt>
                <c:pt idx="86">
                  <c:v>61.032083423591317</c:v>
                </c:pt>
                <c:pt idx="87">
                  <c:v>61.085204005811171</c:v>
                </c:pt>
                <c:pt idx="88">
                  <c:v>61.145478939929305</c:v>
                </c:pt>
                <c:pt idx="89">
                  <c:v>61.200486726925647</c:v>
                </c:pt>
                <c:pt idx="90">
                  <c:v>61.264736959335465</c:v>
                </c:pt>
                <c:pt idx="91">
                  <c:v>61.341853526545073</c:v>
                </c:pt>
                <c:pt idx="92">
                  <c:v>61.398237823694892</c:v>
                </c:pt>
                <c:pt idx="93">
                  <c:v>61.450682135593873</c:v>
                </c:pt>
                <c:pt idx="94">
                  <c:v>61.507799438845993</c:v>
                </c:pt>
                <c:pt idx="95">
                  <c:v>61.555765390688009</c:v>
                </c:pt>
                <c:pt idx="96">
                  <c:v>61.587719352710131</c:v>
                </c:pt>
                <c:pt idx="97">
                  <c:v>61.625467938656421</c:v>
                </c:pt>
                <c:pt idx="98">
                  <c:v>61.659593858013032</c:v>
                </c:pt>
                <c:pt idx="99">
                  <c:v>61.675812214791478</c:v>
                </c:pt>
                <c:pt idx="100">
                  <c:v>61.68792887469565</c:v>
                </c:pt>
                <c:pt idx="101">
                  <c:v>61.700943271676863</c:v>
                </c:pt>
                <c:pt idx="102">
                  <c:v>61.71095600289074</c:v>
                </c:pt>
                <c:pt idx="103">
                  <c:v>61.72297766609119</c:v>
                </c:pt>
                <c:pt idx="104">
                  <c:v>61.772808125287391</c:v>
                </c:pt>
                <c:pt idx="105">
                  <c:v>61.803027031134633</c:v>
                </c:pt>
                <c:pt idx="106">
                  <c:v>61.864999520859499</c:v>
                </c:pt>
                <c:pt idx="107">
                  <c:v>61.918489607869027</c:v>
                </c:pt>
                <c:pt idx="108">
                  <c:v>61.973982903301192</c:v>
                </c:pt>
                <c:pt idx="109">
                  <c:v>62.022610024247392</c:v>
                </c:pt>
                <c:pt idx="110">
                  <c:v>62.073829323601231</c:v>
                </c:pt>
                <c:pt idx="111">
                  <c:v>62.107971078663674</c:v>
                </c:pt>
                <c:pt idx="112">
                  <c:v>62.129223448260113</c:v>
                </c:pt>
                <c:pt idx="113">
                  <c:v>62.152157014542325</c:v>
                </c:pt>
                <c:pt idx="114">
                  <c:v>62.164786448311993</c:v>
                </c:pt>
                <c:pt idx="115">
                  <c:v>62.181187258907009</c:v>
                </c:pt>
                <c:pt idx="116">
                  <c:v>62.197509152013325</c:v>
                </c:pt>
                <c:pt idx="117">
                  <c:v>62.208886508172952</c:v>
                </c:pt>
                <c:pt idx="118">
                  <c:v>62.249740448535903</c:v>
                </c:pt>
                <c:pt idx="119">
                  <c:v>62.296710715426862</c:v>
                </c:pt>
                <c:pt idx="120">
                  <c:v>62.333983480039755</c:v>
                </c:pt>
                <c:pt idx="121">
                  <c:v>62.37256858718051</c:v>
                </c:pt>
                <c:pt idx="122">
                  <c:v>62.40523683384324</c:v>
                </c:pt>
                <c:pt idx="123">
                  <c:v>62.447096884736247</c:v>
                </c:pt>
                <c:pt idx="124">
                  <c:v>62.468631221065564</c:v>
                </c:pt>
                <c:pt idx="125">
                  <c:v>62.485859334832341</c:v>
                </c:pt>
                <c:pt idx="126">
                  <c:v>62.506001798064133</c:v>
                </c:pt>
                <c:pt idx="127">
                  <c:v>62.537596314102807</c:v>
                </c:pt>
                <c:pt idx="128">
                  <c:v>62.553461794205973</c:v>
                </c:pt>
                <c:pt idx="129">
                  <c:v>62.565394306459247</c:v>
                </c:pt>
                <c:pt idx="130">
                  <c:v>62.579419775462888</c:v>
                </c:pt>
                <c:pt idx="131">
                  <c:v>62.596743344114444</c:v>
                </c:pt>
                <c:pt idx="132">
                  <c:v>62.620457571238838</c:v>
                </c:pt>
                <c:pt idx="133">
                  <c:v>62.637512446571506</c:v>
                </c:pt>
                <c:pt idx="134">
                  <c:v>62.670101723734142</c:v>
                </c:pt>
                <c:pt idx="135">
                  <c:v>62.729589316383489</c:v>
                </c:pt>
                <c:pt idx="136">
                  <c:v>62.783521291725926</c:v>
                </c:pt>
                <c:pt idx="137">
                  <c:v>62.844321197210903</c:v>
                </c:pt>
                <c:pt idx="138">
                  <c:v>62.887313311038753</c:v>
                </c:pt>
                <c:pt idx="139">
                  <c:v>62.933168453021857</c:v>
                </c:pt>
                <c:pt idx="140">
                  <c:v>63.000514303980765</c:v>
                </c:pt>
                <c:pt idx="141">
                  <c:v>63.080328335121308</c:v>
                </c:pt>
                <c:pt idx="142">
                  <c:v>63.176225370583147</c:v>
                </c:pt>
                <c:pt idx="143">
                  <c:v>63.258505538306771</c:v>
                </c:pt>
                <c:pt idx="144">
                  <c:v>63.364175727484124</c:v>
                </c:pt>
                <c:pt idx="145">
                  <c:v>63.447885296951625</c:v>
                </c:pt>
                <c:pt idx="146">
                  <c:v>63.565069699654877</c:v>
                </c:pt>
                <c:pt idx="147">
                  <c:v>63.74400307901233</c:v>
                </c:pt>
                <c:pt idx="148">
                  <c:v>63.885064056796125</c:v>
                </c:pt>
                <c:pt idx="149">
                  <c:v>63.979178820126116</c:v>
                </c:pt>
                <c:pt idx="150">
                  <c:v>64.081724311948761</c:v>
                </c:pt>
                <c:pt idx="151">
                  <c:v>64.194149017315311</c:v>
                </c:pt>
                <c:pt idx="152">
                  <c:v>64.290699058983165</c:v>
                </c:pt>
                <c:pt idx="153">
                  <c:v>64.369074039809803</c:v>
                </c:pt>
                <c:pt idx="154">
                  <c:v>64.447699961807743</c:v>
                </c:pt>
                <c:pt idx="155">
                  <c:v>64.540965412091637</c:v>
                </c:pt>
                <c:pt idx="156">
                  <c:v>64.623231976068254</c:v>
                </c:pt>
                <c:pt idx="157">
                  <c:v>64.719281991461514</c:v>
                </c:pt>
                <c:pt idx="158">
                  <c:v>64.798672396620532</c:v>
                </c:pt>
                <c:pt idx="159">
                  <c:v>64.891319464902253</c:v>
                </c:pt>
                <c:pt idx="160">
                  <c:v>64.974129187464456</c:v>
                </c:pt>
                <c:pt idx="161">
                  <c:v>65.062392296353607</c:v>
                </c:pt>
                <c:pt idx="162">
                  <c:v>65.155534695763137</c:v>
                </c:pt>
                <c:pt idx="163">
                  <c:v>65.273232700044531</c:v>
                </c:pt>
                <c:pt idx="164">
                  <c:v>65.420069212210592</c:v>
                </c:pt>
                <c:pt idx="165">
                  <c:v>65.55250021625389</c:v>
                </c:pt>
                <c:pt idx="166">
                  <c:v>65.705028396145323</c:v>
                </c:pt>
                <c:pt idx="167">
                  <c:v>65.869775556983342</c:v>
                </c:pt>
                <c:pt idx="168">
                  <c:v>66.025205020198328</c:v>
                </c:pt>
                <c:pt idx="169">
                  <c:v>66.179865334462747</c:v>
                </c:pt>
                <c:pt idx="170">
                  <c:v>66.319025085949448</c:v>
                </c:pt>
                <c:pt idx="171">
                  <c:v>66.430467433199112</c:v>
                </c:pt>
                <c:pt idx="172">
                  <c:v>66.53661029459839</c:v>
                </c:pt>
                <c:pt idx="173">
                  <c:v>66.624215462080741</c:v>
                </c:pt>
                <c:pt idx="174">
                  <c:v>66.705482883651641</c:v>
                </c:pt>
                <c:pt idx="175">
                  <c:v>66.790728994030673</c:v>
                </c:pt>
                <c:pt idx="176">
                  <c:v>66.872666351398436</c:v>
                </c:pt>
                <c:pt idx="177">
                  <c:v>66.963625807230969</c:v>
                </c:pt>
                <c:pt idx="178">
                  <c:v>67.055248214739166</c:v>
                </c:pt>
                <c:pt idx="179">
                  <c:v>67.13576476375556</c:v>
                </c:pt>
                <c:pt idx="180">
                  <c:v>67.205907228108089</c:v>
                </c:pt>
                <c:pt idx="181">
                  <c:v>67.411706191823171</c:v>
                </c:pt>
                <c:pt idx="182">
                  <c:v>67.488795114371129</c:v>
                </c:pt>
                <c:pt idx="183">
                  <c:v>67.563479616933606</c:v>
                </c:pt>
                <c:pt idx="184">
                  <c:v>67.635354882863524</c:v>
                </c:pt>
                <c:pt idx="185">
                  <c:v>67.700233521902732</c:v>
                </c:pt>
                <c:pt idx="186">
                  <c:v>67.770774537562815</c:v>
                </c:pt>
                <c:pt idx="187">
                  <c:v>67.863391104053775</c:v>
                </c:pt>
                <c:pt idx="188">
                  <c:v>67.936497879463388</c:v>
                </c:pt>
                <c:pt idx="189">
                  <c:v>67.99166276458746</c:v>
                </c:pt>
                <c:pt idx="190">
                  <c:v>68.034673579991619</c:v>
                </c:pt>
                <c:pt idx="191">
                  <c:v>68.081106339625947</c:v>
                </c:pt>
                <c:pt idx="192">
                  <c:v>68.116491420223767</c:v>
                </c:pt>
                <c:pt idx="193">
                  <c:v>68.151363699836764</c:v>
                </c:pt>
                <c:pt idx="194">
                  <c:v>68.180411276905232</c:v>
                </c:pt>
                <c:pt idx="195">
                  <c:v>68.204939250815556</c:v>
                </c:pt>
                <c:pt idx="196">
                  <c:v>68.232579760562302</c:v>
                </c:pt>
                <c:pt idx="197">
                  <c:v>68.26508845304626</c:v>
                </c:pt>
                <c:pt idx="198">
                  <c:v>68.303638297181308</c:v>
                </c:pt>
                <c:pt idx="199">
                  <c:v>68.338141054681913</c:v>
                </c:pt>
                <c:pt idx="200">
                  <c:v>68.380322793209771</c:v>
                </c:pt>
                <c:pt idx="201">
                  <c:v>68.429572077454452</c:v>
                </c:pt>
                <c:pt idx="202">
                  <c:v>68.459616001202932</c:v>
                </c:pt>
                <c:pt idx="203">
                  <c:v>68.502392798474659</c:v>
                </c:pt>
                <c:pt idx="204">
                  <c:v>68.535741472885078</c:v>
                </c:pt>
                <c:pt idx="205">
                  <c:v>68.551091512589849</c:v>
                </c:pt>
                <c:pt idx="206">
                  <c:v>68.556068513326551</c:v>
                </c:pt>
                <c:pt idx="207">
                  <c:v>68.558876935522136</c:v>
                </c:pt>
                <c:pt idx="208">
                  <c:v>68.557732082739548</c:v>
                </c:pt>
                <c:pt idx="209">
                  <c:v>68.557871869303824</c:v>
                </c:pt>
                <c:pt idx="210">
                  <c:v>68.553586090035949</c:v>
                </c:pt>
                <c:pt idx="211">
                  <c:v>68.547205760721994</c:v>
                </c:pt>
                <c:pt idx="212">
                  <c:v>68.541019370371956</c:v>
                </c:pt>
                <c:pt idx="213">
                  <c:v>68.535290736216552</c:v>
                </c:pt>
                <c:pt idx="214">
                  <c:v>68.521177019430482</c:v>
                </c:pt>
                <c:pt idx="215">
                  <c:v>68.508447191022668</c:v>
                </c:pt>
                <c:pt idx="216">
                  <c:v>68.497068870066329</c:v>
                </c:pt>
                <c:pt idx="217">
                  <c:v>68.483446959468338</c:v>
                </c:pt>
                <c:pt idx="218">
                  <c:v>68.468947589688</c:v>
                </c:pt>
                <c:pt idx="219">
                  <c:v>68.454509806663239</c:v>
                </c:pt>
                <c:pt idx="220">
                  <c:v>68.437282339718976</c:v>
                </c:pt>
                <c:pt idx="221">
                  <c:v>68.409020966422474</c:v>
                </c:pt>
                <c:pt idx="222">
                  <c:v>68.389744517239833</c:v>
                </c:pt>
                <c:pt idx="223">
                  <c:v>68.373008431119644</c:v>
                </c:pt>
                <c:pt idx="224">
                  <c:v>68.357008961818437</c:v>
                </c:pt>
                <c:pt idx="225">
                  <c:v>68.345567906990439</c:v>
                </c:pt>
                <c:pt idx="226">
                  <c:v>68.33491694560594</c:v>
                </c:pt>
                <c:pt idx="227">
                  <c:v>68.328658565293111</c:v>
                </c:pt>
                <c:pt idx="228">
                  <c:v>68.32152817120955</c:v>
                </c:pt>
                <c:pt idx="229">
                  <c:v>68.31372039831264</c:v>
                </c:pt>
                <c:pt idx="230">
                  <c:v>68.304471512857802</c:v>
                </c:pt>
                <c:pt idx="231">
                  <c:v>68.293017600368984</c:v>
                </c:pt>
                <c:pt idx="232">
                  <c:v>68.279413619011279</c:v>
                </c:pt>
                <c:pt idx="233">
                  <c:v>68.255451093538113</c:v>
                </c:pt>
                <c:pt idx="234">
                  <c:v>68.239513221321374</c:v>
                </c:pt>
                <c:pt idx="235">
                  <c:v>68.224377989449408</c:v>
                </c:pt>
                <c:pt idx="236">
                  <c:v>68.206481140577736</c:v>
                </c:pt>
                <c:pt idx="237">
                  <c:v>68.193113269255335</c:v>
                </c:pt>
                <c:pt idx="238">
                  <c:v>68.171190461587386</c:v>
                </c:pt>
                <c:pt idx="239">
                  <c:v>68.161444027994534</c:v>
                </c:pt>
                <c:pt idx="240">
                  <c:v>68.149565505686681</c:v>
                </c:pt>
                <c:pt idx="241">
                  <c:v>68.131181011596794</c:v>
                </c:pt>
                <c:pt idx="242">
                  <c:v>68.118755088797116</c:v>
                </c:pt>
                <c:pt idx="243">
                  <c:v>68.103737017751044</c:v>
                </c:pt>
                <c:pt idx="244">
                  <c:v>68.086797912306665</c:v>
                </c:pt>
                <c:pt idx="245">
                  <c:v>68.061489727489771</c:v>
                </c:pt>
                <c:pt idx="246">
                  <c:v>68.048527819465477</c:v>
                </c:pt>
                <c:pt idx="247">
                  <c:v>68.039381905684081</c:v>
                </c:pt>
                <c:pt idx="248">
                  <c:v>68.029042205002497</c:v>
                </c:pt>
                <c:pt idx="249">
                  <c:v>68.018394845166284</c:v>
                </c:pt>
                <c:pt idx="250">
                  <c:v>68.007268475933742</c:v>
                </c:pt>
                <c:pt idx="251">
                  <c:v>67.996218896241274</c:v>
                </c:pt>
                <c:pt idx="252">
                  <c:v>67.982654974328398</c:v>
                </c:pt>
                <c:pt idx="253">
                  <c:v>67.970654922608759</c:v>
                </c:pt>
                <c:pt idx="254">
                  <c:v>67.951767890316759</c:v>
                </c:pt>
                <c:pt idx="255">
                  <c:v>67.933189882881351</c:v>
                </c:pt>
                <c:pt idx="256">
                  <c:v>67.918890666463298</c:v>
                </c:pt>
                <c:pt idx="257">
                  <c:v>67.897380948472403</c:v>
                </c:pt>
                <c:pt idx="258">
                  <c:v>67.880953260135627</c:v>
                </c:pt>
                <c:pt idx="259">
                  <c:v>67.866485086464763</c:v>
                </c:pt>
                <c:pt idx="260">
                  <c:v>67.851684907759008</c:v>
                </c:pt>
                <c:pt idx="261">
                  <c:v>67.839818531176249</c:v>
                </c:pt>
                <c:pt idx="262">
                  <c:v>67.827266976836938</c:v>
                </c:pt>
                <c:pt idx="263">
                  <c:v>67.813043585589099</c:v>
                </c:pt>
                <c:pt idx="264">
                  <c:v>67.797533956317181</c:v>
                </c:pt>
                <c:pt idx="265">
                  <c:v>67.782484848989483</c:v>
                </c:pt>
                <c:pt idx="266">
                  <c:v>67.767069894568522</c:v>
                </c:pt>
                <c:pt idx="267">
                  <c:v>67.75990218970648</c:v>
                </c:pt>
                <c:pt idx="268">
                  <c:v>67.747860688421824</c:v>
                </c:pt>
                <c:pt idx="269">
                  <c:v>67.738123667569468</c:v>
                </c:pt>
                <c:pt idx="270">
                  <c:v>67.73168165264947</c:v>
                </c:pt>
                <c:pt idx="271">
                  <c:v>67.723463492811561</c:v>
                </c:pt>
                <c:pt idx="272">
                  <c:v>67.714940352949853</c:v>
                </c:pt>
                <c:pt idx="273">
                  <c:v>67.703799871396427</c:v>
                </c:pt>
                <c:pt idx="274">
                  <c:v>67.695045907006659</c:v>
                </c:pt>
                <c:pt idx="275">
                  <c:v>67.686538603405154</c:v>
                </c:pt>
                <c:pt idx="276">
                  <c:v>67.679619111483191</c:v>
                </c:pt>
                <c:pt idx="277">
                  <c:v>67.675908261483229</c:v>
                </c:pt>
                <c:pt idx="278">
                  <c:v>67.704748532057479</c:v>
                </c:pt>
                <c:pt idx="279">
                  <c:v>67.74050814222926</c:v>
                </c:pt>
                <c:pt idx="280">
                  <c:v>67.782388581807794</c:v>
                </c:pt>
                <c:pt idx="281">
                  <c:v>67.812410500299507</c:v>
                </c:pt>
                <c:pt idx="282">
                  <c:v>67.837259683302577</c:v>
                </c:pt>
                <c:pt idx="283">
                  <c:v>67.871631147907379</c:v>
                </c:pt>
                <c:pt idx="284">
                  <c:v>67.901414086098669</c:v>
                </c:pt>
                <c:pt idx="285">
                  <c:v>67.957778041921955</c:v>
                </c:pt>
                <c:pt idx="286">
                  <c:v>68.004292959761713</c:v>
                </c:pt>
                <c:pt idx="287">
                  <c:v>68.060652067123144</c:v>
                </c:pt>
                <c:pt idx="288">
                  <c:v>68.097152142355341</c:v>
                </c:pt>
                <c:pt idx="289">
                  <c:v>68.137505125737249</c:v>
                </c:pt>
                <c:pt idx="290">
                  <c:v>68.189762106267722</c:v>
                </c:pt>
                <c:pt idx="291">
                  <c:v>68.253541466606052</c:v>
                </c:pt>
                <c:pt idx="292">
                  <c:v>68.297840702944129</c:v>
                </c:pt>
                <c:pt idx="293">
                  <c:v>68.338325833351178</c:v>
                </c:pt>
                <c:pt idx="294">
                  <c:v>68.379145661645893</c:v>
                </c:pt>
                <c:pt idx="295">
                  <c:v>68.440729468468092</c:v>
                </c:pt>
                <c:pt idx="296">
                  <c:v>68.496575642675836</c:v>
                </c:pt>
                <c:pt idx="297">
                  <c:v>68.551173897903894</c:v>
                </c:pt>
                <c:pt idx="298">
                  <c:v>68.581048856358521</c:v>
                </c:pt>
                <c:pt idx="299">
                  <c:v>68.60410139858071</c:v>
                </c:pt>
                <c:pt idx="300">
                  <c:v>68.621764254822239</c:v>
                </c:pt>
                <c:pt idx="301">
                  <c:v>68.648236136591123</c:v>
                </c:pt>
                <c:pt idx="302">
                  <c:v>68.665393120898486</c:v>
                </c:pt>
                <c:pt idx="303">
                  <c:v>68.683935912464676</c:v>
                </c:pt>
                <c:pt idx="304">
                  <c:v>68.70719329395456</c:v>
                </c:pt>
                <c:pt idx="305">
                  <c:v>68.750428702485195</c:v>
                </c:pt>
                <c:pt idx="306">
                  <c:v>68.763818392569462</c:v>
                </c:pt>
                <c:pt idx="307">
                  <c:v>68.776145207419063</c:v>
                </c:pt>
                <c:pt idx="308">
                  <c:v>68.798700928961395</c:v>
                </c:pt>
                <c:pt idx="309">
                  <c:v>68.822911800107661</c:v>
                </c:pt>
                <c:pt idx="310">
                  <c:v>68.851267412004063</c:v>
                </c:pt>
                <c:pt idx="311">
                  <c:v>68.900145862885452</c:v>
                </c:pt>
                <c:pt idx="312">
                  <c:v>68.937777339818368</c:v>
                </c:pt>
                <c:pt idx="313">
                  <c:v>68.969317079410374</c:v>
                </c:pt>
                <c:pt idx="314">
                  <c:v>69.0355970926948</c:v>
                </c:pt>
                <c:pt idx="315">
                  <c:v>69.068387647237756</c:v>
                </c:pt>
                <c:pt idx="316">
                  <c:v>69.092374878488698</c:v>
                </c:pt>
                <c:pt idx="317">
                  <c:v>69.108033548461734</c:v>
                </c:pt>
                <c:pt idx="318">
                  <c:v>69.141380238390738</c:v>
                </c:pt>
                <c:pt idx="319">
                  <c:v>69.175842812018189</c:v>
                </c:pt>
                <c:pt idx="320">
                  <c:v>69.212921553986106</c:v>
                </c:pt>
                <c:pt idx="321">
                  <c:v>69.249924550233445</c:v>
                </c:pt>
                <c:pt idx="322">
                  <c:v>69.283081856430485</c:v>
                </c:pt>
                <c:pt idx="323">
                  <c:v>69.314839548932994</c:v>
                </c:pt>
                <c:pt idx="324">
                  <c:v>69.366458672159126</c:v>
                </c:pt>
                <c:pt idx="325">
                  <c:v>69.407809747860014</c:v>
                </c:pt>
                <c:pt idx="326">
                  <c:v>69.458453913984187</c:v>
                </c:pt>
                <c:pt idx="327">
                  <c:v>69.50411424947626</c:v>
                </c:pt>
                <c:pt idx="328">
                  <c:v>69.54309246742605</c:v>
                </c:pt>
                <c:pt idx="329">
                  <c:v>69.575693892328317</c:v>
                </c:pt>
                <c:pt idx="330">
                  <c:v>69.606572632215048</c:v>
                </c:pt>
                <c:pt idx="331">
                  <c:v>69.64202570160495</c:v>
                </c:pt>
                <c:pt idx="332">
                  <c:v>69.68575829430128</c:v>
                </c:pt>
                <c:pt idx="333">
                  <c:v>69.714193136931854</c:v>
                </c:pt>
                <c:pt idx="334">
                  <c:v>69.738458461663058</c:v>
                </c:pt>
                <c:pt idx="335">
                  <c:v>69.76196546769809</c:v>
                </c:pt>
                <c:pt idx="336">
                  <c:v>69.786349519597678</c:v>
                </c:pt>
                <c:pt idx="337">
                  <c:v>69.818567394932643</c:v>
                </c:pt>
                <c:pt idx="338">
                  <c:v>69.840632717934398</c:v>
                </c:pt>
                <c:pt idx="339">
                  <c:v>69.855068247576128</c:v>
                </c:pt>
                <c:pt idx="340">
                  <c:v>69.872235645115708</c:v>
                </c:pt>
                <c:pt idx="341">
                  <c:v>69.880428695845453</c:v>
                </c:pt>
                <c:pt idx="342">
                  <c:v>69.890979428102384</c:v>
                </c:pt>
                <c:pt idx="343">
                  <c:v>69.921683527359193</c:v>
                </c:pt>
                <c:pt idx="344">
                  <c:v>69.953526611590647</c:v>
                </c:pt>
                <c:pt idx="345">
                  <c:v>69.978171248800663</c:v>
                </c:pt>
                <c:pt idx="346">
                  <c:v>69.999609907497302</c:v>
                </c:pt>
                <c:pt idx="347">
                  <c:v>70.021841815587749</c:v>
                </c:pt>
                <c:pt idx="348">
                  <c:v>70.038351062298915</c:v>
                </c:pt>
                <c:pt idx="349">
                  <c:v>70.060546655320238</c:v>
                </c:pt>
                <c:pt idx="350">
                  <c:v>70.080079050728315</c:v>
                </c:pt>
                <c:pt idx="351">
                  <c:v>70.093664702202119</c:v>
                </c:pt>
                <c:pt idx="352">
                  <c:v>70.110728438606856</c:v>
                </c:pt>
                <c:pt idx="353">
                  <c:v>70.1528455291363</c:v>
                </c:pt>
                <c:pt idx="354">
                  <c:v>70.17241608084386</c:v>
                </c:pt>
                <c:pt idx="355">
                  <c:v>70.197166933472715</c:v>
                </c:pt>
                <c:pt idx="356">
                  <c:v>70.216283479605352</c:v>
                </c:pt>
                <c:pt idx="357">
                  <c:v>70.232423234271124</c:v>
                </c:pt>
                <c:pt idx="358">
                  <c:v>70.246881276711463</c:v>
                </c:pt>
                <c:pt idx="359">
                  <c:v>70.266609537243568</c:v>
                </c:pt>
                <c:pt idx="360">
                  <c:v>70.289790586286657</c:v>
                </c:pt>
                <c:pt idx="361">
                  <c:v>70.311518164899525</c:v>
                </c:pt>
                <c:pt idx="362">
                  <c:v>70.334240488346268</c:v>
                </c:pt>
                <c:pt idx="363">
                  <c:v>70.35388624188208</c:v>
                </c:pt>
                <c:pt idx="364">
                  <c:v>70.368108748855661</c:v>
                </c:pt>
                <c:pt idx="365">
                  <c:v>70.377582424399336</c:v>
                </c:pt>
                <c:pt idx="366">
                  <c:v>70.385367976228849</c:v>
                </c:pt>
                <c:pt idx="367">
                  <c:v>70.404591021438037</c:v>
                </c:pt>
                <c:pt idx="368">
                  <c:v>70.418837753095943</c:v>
                </c:pt>
                <c:pt idx="369">
                  <c:v>70.430874106557638</c:v>
                </c:pt>
                <c:pt idx="370">
                  <c:v>70.437962799886463</c:v>
                </c:pt>
                <c:pt idx="371">
                  <c:v>70.445486567609251</c:v>
                </c:pt>
                <c:pt idx="372">
                  <c:v>70.464407242288104</c:v>
                </c:pt>
                <c:pt idx="373">
                  <c:v>70.479226362444038</c:v>
                </c:pt>
                <c:pt idx="374">
                  <c:v>70.505783980651231</c:v>
                </c:pt>
                <c:pt idx="375">
                  <c:v>70.519149132072144</c:v>
                </c:pt>
                <c:pt idx="376">
                  <c:v>70.531396728335324</c:v>
                </c:pt>
                <c:pt idx="377">
                  <c:v>70.548556724746376</c:v>
                </c:pt>
                <c:pt idx="378">
                  <c:v>70.561202124993585</c:v>
                </c:pt>
                <c:pt idx="379">
                  <c:v>70.579676311266226</c:v>
                </c:pt>
                <c:pt idx="380">
                  <c:v>70.587892742023996</c:v>
                </c:pt>
                <c:pt idx="381">
                  <c:v>70.595403385609274</c:v>
                </c:pt>
                <c:pt idx="382">
                  <c:v>70.60169911330226</c:v>
                </c:pt>
                <c:pt idx="383">
                  <c:v>70.606684696911742</c:v>
                </c:pt>
                <c:pt idx="384">
                  <c:v>70.611550431892994</c:v>
                </c:pt>
                <c:pt idx="385">
                  <c:v>70.628104601485305</c:v>
                </c:pt>
                <c:pt idx="386">
                  <c:v>70.636518053353981</c:v>
                </c:pt>
                <c:pt idx="387">
                  <c:v>70.647891639104827</c:v>
                </c:pt>
                <c:pt idx="388">
                  <c:v>70.659723222989413</c:v>
                </c:pt>
                <c:pt idx="389">
                  <c:v>70.667872472040443</c:v>
                </c:pt>
                <c:pt idx="390">
                  <c:v>70.671351180259606</c:v>
                </c:pt>
                <c:pt idx="391">
                  <c:v>70.6751097660661</c:v>
                </c:pt>
                <c:pt idx="392">
                  <c:v>70.675235385072909</c:v>
                </c:pt>
                <c:pt idx="393">
                  <c:v>70.681764016575045</c:v>
                </c:pt>
                <c:pt idx="394">
                  <c:v>70.68289970865996</c:v>
                </c:pt>
                <c:pt idx="395">
                  <c:v>70.683305304699985</c:v>
                </c:pt>
                <c:pt idx="396">
                  <c:v>70.687325969028478</c:v>
                </c:pt>
                <c:pt idx="397">
                  <c:v>70.689240991777027</c:v>
                </c:pt>
                <c:pt idx="398">
                  <c:v>70.692068841939829</c:v>
                </c:pt>
                <c:pt idx="399">
                  <c:v>70.695977426005484</c:v>
                </c:pt>
                <c:pt idx="400">
                  <c:v>70.707053946482063</c:v>
                </c:pt>
                <c:pt idx="401">
                  <c:v>70.713124031401676</c:v>
                </c:pt>
                <c:pt idx="402">
                  <c:v>70.722060783580929</c:v>
                </c:pt>
                <c:pt idx="403">
                  <c:v>70.73087139798163</c:v>
                </c:pt>
                <c:pt idx="404">
                  <c:v>70.738042822631257</c:v>
                </c:pt>
                <c:pt idx="405">
                  <c:v>70.74182061373358</c:v>
                </c:pt>
                <c:pt idx="406">
                  <c:v>70.747970749804324</c:v>
                </c:pt>
                <c:pt idx="407">
                  <c:v>70.751774132601469</c:v>
                </c:pt>
                <c:pt idx="408">
                  <c:v>70.759655884920264</c:v>
                </c:pt>
                <c:pt idx="409">
                  <c:v>70.772753719611913</c:v>
                </c:pt>
                <c:pt idx="410">
                  <c:v>70.779374641291028</c:v>
                </c:pt>
                <c:pt idx="411">
                  <c:v>70.786535173326072</c:v>
                </c:pt>
                <c:pt idx="412">
                  <c:v>70.789155719478543</c:v>
                </c:pt>
                <c:pt idx="413">
                  <c:v>70.79271568184582</c:v>
                </c:pt>
                <c:pt idx="414">
                  <c:v>70.794072586589849</c:v>
                </c:pt>
                <c:pt idx="415">
                  <c:v>70.795442937609508</c:v>
                </c:pt>
                <c:pt idx="416">
                  <c:v>70.798610591841154</c:v>
                </c:pt>
                <c:pt idx="417">
                  <c:v>70.806464441623078</c:v>
                </c:pt>
                <c:pt idx="418">
                  <c:v>70.817560265174649</c:v>
                </c:pt>
                <c:pt idx="419">
                  <c:v>70.818535545510983</c:v>
                </c:pt>
                <c:pt idx="420">
                  <c:v>70.820267246564015</c:v>
                </c:pt>
                <c:pt idx="421">
                  <c:v>70.819136552843503</c:v>
                </c:pt>
                <c:pt idx="422">
                  <c:v>70.818017198711388</c:v>
                </c:pt>
                <c:pt idx="423">
                  <c:v>70.817211447002677</c:v>
                </c:pt>
                <c:pt idx="424">
                  <c:v>70.815551610947622</c:v>
                </c:pt>
                <c:pt idx="425">
                  <c:v>70.812438637873242</c:v>
                </c:pt>
                <c:pt idx="426">
                  <c:v>70.806867136358676</c:v>
                </c:pt>
                <c:pt idx="427">
                  <c:v>70.801347836042538</c:v>
                </c:pt>
                <c:pt idx="428">
                  <c:v>70.798227591828507</c:v>
                </c:pt>
                <c:pt idx="429">
                  <c:v>70.793381125247791</c:v>
                </c:pt>
                <c:pt idx="430">
                  <c:v>70.788622923884091</c:v>
                </c:pt>
                <c:pt idx="431">
                  <c:v>70.783200435799884</c:v>
                </c:pt>
                <c:pt idx="432">
                  <c:v>70.778994589601226</c:v>
                </c:pt>
                <c:pt idx="433">
                  <c:v>70.774140163402294</c:v>
                </c:pt>
                <c:pt idx="434">
                  <c:v>70.768248437479897</c:v>
                </c:pt>
                <c:pt idx="435">
                  <c:v>70.76139895827194</c:v>
                </c:pt>
                <c:pt idx="436">
                  <c:v>70.755658760409545</c:v>
                </c:pt>
                <c:pt idx="437">
                  <c:v>70.750576588454621</c:v>
                </c:pt>
                <c:pt idx="438">
                  <c:v>70.746636938197724</c:v>
                </c:pt>
                <c:pt idx="439">
                  <c:v>70.741101418007034</c:v>
                </c:pt>
                <c:pt idx="440">
                  <c:v>70.736743933012448</c:v>
                </c:pt>
                <c:pt idx="441">
                  <c:v>70.731245006043366</c:v>
                </c:pt>
                <c:pt idx="442">
                  <c:v>70.72728741772228</c:v>
                </c:pt>
                <c:pt idx="443">
                  <c:v>70.721924902532379</c:v>
                </c:pt>
                <c:pt idx="444">
                  <c:v>70.717064450823159</c:v>
                </c:pt>
                <c:pt idx="445">
                  <c:v>70.714217213746579</c:v>
                </c:pt>
                <c:pt idx="446">
                  <c:v>70.710358630215694</c:v>
                </c:pt>
                <c:pt idx="447">
                  <c:v>70.708412352055262</c:v>
                </c:pt>
                <c:pt idx="448">
                  <c:v>70.70498894064167</c:v>
                </c:pt>
                <c:pt idx="449">
                  <c:v>70.703540912109204</c:v>
                </c:pt>
                <c:pt idx="450">
                  <c:v>70.704811263185675</c:v>
                </c:pt>
                <c:pt idx="451">
                  <c:v>70.706743030720745</c:v>
                </c:pt>
                <c:pt idx="452">
                  <c:v>70.732167186716069</c:v>
                </c:pt>
                <c:pt idx="453">
                  <c:v>70.744577547503866</c:v>
                </c:pt>
                <c:pt idx="454">
                  <c:v>70.75056289052587</c:v>
                </c:pt>
                <c:pt idx="455">
                  <c:v>70.756424003810125</c:v>
                </c:pt>
                <c:pt idx="456">
                  <c:v>70.762703174089722</c:v>
                </c:pt>
                <c:pt idx="457">
                  <c:v>70.768765727611878</c:v>
                </c:pt>
                <c:pt idx="458">
                  <c:v>70.770634098206912</c:v>
                </c:pt>
                <c:pt idx="459">
                  <c:v>70.773217864148847</c:v>
                </c:pt>
                <c:pt idx="460">
                  <c:v>70.776196842263914</c:v>
                </c:pt>
                <c:pt idx="461">
                  <c:v>70.775670781610685</c:v>
                </c:pt>
                <c:pt idx="462">
                  <c:v>70.776487039052043</c:v>
                </c:pt>
                <c:pt idx="463">
                  <c:v>70.77687682770123</c:v>
                </c:pt>
                <c:pt idx="464">
                  <c:v>70.780078101851984</c:v>
                </c:pt>
                <c:pt idx="465">
                  <c:v>70.79451038195225</c:v>
                </c:pt>
                <c:pt idx="466">
                  <c:v>70.803126681792804</c:v>
                </c:pt>
                <c:pt idx="467">
                  <c:v>70.817225211915854</c:v>
                </c:pt>
                <c:pt idx="468">
                  <c:v>70.828963851829883</c:v>
                </c:pt>
                <c:pt idx="469">
                  <c:v>70.838951839679169</c:v>
                </c:pt>
                <c:pt idx="470">
                  <c:v>70.84873002350551</c:v>
                </c:pt>
                <c:pt idx="471">
                  <c:v>70.857399860468604</c:v>
                </c:pt>
                <c:pt idx="472">
                  <c:v>70.867095595929882</c:v>
                </c:pt>
                <c:pt idx="473">
                  <c:v>70.875998936709792</c:v>
                </c:pt>
                <c:pt idx="474">
                  <c:v>70.887176104493037</c:v>
                </c:pt>
                <c:pt idx="475">
                  <c:v>70.916553706277881</c:v>
                </c:pt>
                <c:pt idx="476">
                  <c:v>70.954164452908103</c:v>
                </c:pt>
                <c:pt idx="477">
                  <c:v>70.97333382919058</c:v>
                </c:pt>
                <c:pt idx="478">
                  <c:v>70.989035034191858</c:v>
                </c:pt>
                <c:pt idx="479">
                  <c:v>71.001927108749811</c:v>
                </c:pt>
                <c:pt idx="480">
                  <c:v>71.015130472727975</c:v>
                </c:pt>
                <c:pt idx="481">
                  <c:v>71.025738779371437</c:v>
                </c:pt>
                <c:pt idx="482">
                  <c:v>71.035334333247633</c:v>
                </c:pt>
                <c:pt idx="483">
                  <c:v>71.043682931202071</c:v>
                </c:pt>
                <c:pt idx="484">
                  <c:v>71.048436666991535</c:v>
                </c:pt>
                <c:pt idx="485">
                  <c:v>71.055873599190832</c:v>
                </c:pt>
                <c:pt idx="486">
                  <c:v>71.060441166457124</c:v>
                </c:pt>
                <c:pt idx="487">
                  <c:v>71.073224211489304</c:v>
                </c:pt>
                <c:pt idx="488">
                  <c:v>71.077768257862843</c:v>
                </c:pt>
                <c:pt idx="489">
                  <c:v>71.086465543059759</c:v>
                </c:pt>
                <c:pt idx="490">
                  <c:v>71.097223399866564</c:v>
                </c:pt>
                <c:pt idx="491">
                  <c:v>71.104641390564353</c:v>
                </c:pt>
                <c:pt idx="492">
                  <c:v>71.111358312492769</c:v>
                </c:pt>
                <c:pt idx="493">
                  <c:v>71.11777189571518</c:v>
                </c:pt>
                <c:pt idx="494">
                  <c:v>71.132204103926227</c:v>
                </c:pt>
                <c:pt idx="495">
                  <c:v>71.136731227211968</c:v>
                </c:pt>
                <c:pt idx="496">
                  <c:v>71.138761735646383</c:v>
                </c:pt>
                <c:pt idx="497">
                  <c:v>71.139320415926022</c:v>
                </c:pt>
                <c:pt idx="498">
                  <c:v>71.139824594934638</c:v>
                </c:pt>
                <c:pt idx="499">
                  <c:v>71.1427383681187</c:v>
                </c:pt>
                <c:pt idx="500">
                  <c:v>71.144917113476694</c:v>
                </c:pt>
                <c:pt idx="501">
                  <c:v>71.146456029782598</c:v>
                </c:pt>
                <c:pt idx="502">
                  <c:v>71.147283283154195</c:v>
                </c:pt>
                <c:pt idx="503">
                  <c:v>71.14649281391074</c:v>
                </c:pt>
                <c:pt idx="504">
                  <c:v>71.145339946397712</c:v>
                </c:pt>
                <c:pt idx="505">
                  <c:v>71.143144410354552</c:v>
                </c:pt>
                <c:pt idx="506">
                  <c:v>71.146952790028109</c:v>
                </c:pt>
                <c:pt idx="507">
                  <c:v>71.15547523931491</c:v>
                </c:pt>
                <c:pt idx="508">
                  <c:v>71.164337329511937</c:v>
                </c:pt>
                <c:pt idx="509">
                  <c:v>71.175255092104777</c:v>
                </c:pt>
                <c:pt idx="510">
                  <c:v>71.186076856093564</c:v>
                </c:pt>
                <c:pt idx="511">
                  <c:v>71.192324235404669</c:v>
                </c:pt>
                <c:pt idx="512">
                  <c:v>71.200440150572234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A8BE-4453-82D7-D0DFD8977D3B}"/>
            </c:ext>
          </c:extLst>
        </c:ser>
        <c:ser>
          <c:idx val="3"/>
          <c:order val="3"/>
          <c:tx>
            <c:strRef>
              <c:f>Data!$I$1</c:f>
              <c:strCache>
                <c:ptCount val="1"/>
                <c:pt idx="0">
                  <c:v>Minus 1 Sd</c:v>
                </c:pt>
              </c:strCache>
            </c:strRef>
          </c:tx>
          <c:spPr>
            <a:ln w="28575" cap="rnd">
              <a:solidFill>
                <a:schemeClr val="accent4"/>
              </a:solidFill>
              <a:prstDash val="sysDash"/>
              <a:round/>
            </a:ln>
            <a:effectLst/>
          </c:spPr>
          <c:marker>
            <c:symbol val="none"/>
          </c:marker>
          <c:cat>
            <c:numRef>
              <c:f>Data!$B$2:$B$514</c:f>
              <c:numCache>
                <c:formatCode>m/d/yyyy</c:formatCode>
                <c:ptCount val="513"/>
                <c:pt idx="0">
                  <c:v>45293</c:v>
                </c:pt>
                <c:pt idx="1">
                  <c:v>45294</c:v>
                </c:pt>
                <c:pt idx="2">
                  <c:v>45295</c:v>
                </c:pt>
                <c:pt idx="3">
                  <c:v>45296</c:v>
                </c:pt>
                <c:pt idx="4">
                  <c:v>45299</c:v>
                </c:pt>
                <c:pt idx="5">
                  <c:v>45300</c:v>
                </c:pt>
                <c:pt idx="6">
                  <c:v>45301</c:v>
                </c:pt>
                <c:pt idx="7">
                  <c:v>45302</c:v>
                </c:pt>
                <c:pt idx="8">
                  <c:v>45303</c:v>
                </c:pt>
                <c:pt idx="9">
                  <c:v>45307</c:v>
                </c:pt>
                <c:pt idx="10">
                  <c:v>45308</c:v>
                </c:pt>
                <c:pt idx="11">
                  <c:v>45309</c:v>
                </c:pt>
                <c:pt idx="12">
                  <c:v>45310</c:v>
                </c:pt>
                <c:pt idx="13">
                  <c:v>45313</c:v>
                </c:pt>
                <c:pt idx="14">
                  <c:v>45314</c:v>
                </c:pt>
                <c:pt idx="15">
                  <c:v>45315</c:v>
                </c:pt>
                <c:pt idx="16">
                  <c:v>45316</c:v>
                </c:pt>
                <c:pt idx="17">
                  <c:v>45317</c:v>
                </c:pt>
                <c:pt idx="18">
                  <c:v>45320</c:v>
                </c:pt>
                <c:pt idx="19">
                  <c:v>45321</c:v>
                </c:pt>
                <c:pt idx="20">
                  <c:v>45322</c:v>
                </c:pt>
                <c:pt idx="21">
                  <c:v>45323</c:v>
                </c:pt>
                <c:pt idx="22">
                  <c:v>45324</c:v>
                </c:pt>
                <c:pt idx="23">
                  <c:v>45327</c:v>
                </c:pt>
                <c:pt idx="24">
                  <c:v>45328</c:v>
                </c:pt>
                <c:pt idx="25">
                  <c:v>45329</c:v>
                </c:pt>
                <c:pt idx="26">
                  <c:v>45330</c:v>
                </c:pt>
                <c:pt idx="27">
                  <c:v>45331</c:v>
                </c:pt>
                <c:pt idx="28">
                  <c:v>45334</c:v>
                </c:pt>
                <c:pt idx="29">
                  <c:v>45335</c:v>
                </c:pt>
                <c:pt idx="30">
                  <c:v>45336</c:v>
                </c:pt>
                <c:pt idx="31">
                  <c:v>45337</c:v>
                </c:pt>
                <c:pt idx="32">
                  <c:v>45338</c:v>
                </c:pt>
                <c:pt idx="33">
                  <c:v>45342</c:v>
                </c:pt>
                <c:pt idx="34">
                  <c:v>45343</c:v>
                </c:pt>
                <c:pt idx="35">
                  <c:v>45344</c:v>
                </c:pt>
                <c:pt idx="36">
                  <c:v>45345</c:v>
                </c:pt>
                <c:pt idx="37">
                  <c:v>45348</c:v>
                </c:pt>
                <c:pt idx="38">
                  <c:v>45349</c:v>
                </c:pt>
                <c:pt idx="39">
                  <c:v>45350</c:v>
                </c:pt>
                <c:pt idx="40">
                  <c:v>45351</c:v>
                </c:pt>
                <c:pt idx="41">
                  <c:v>45352</c:v>
                </c:pt>
                <c:pt idx="42">
                  <c:v>45355</c:v>
                </c:pt>
                <c:pt idx="43">
                  <c:v>45356</c:v>
                </c:pt>
                <c:pt idx="44">
                  <c:v>45357</c:v>
                </c:pt>
                <c:pt idx="45">
                  <c:v>45358</c:v>
                </c:pt>
                <c:pt idx="46">
                  <c:v>45359</c:v>
                </c:pt>
                <c:pt idx="47">
                  <c:v>45362</c:v>
                </c:pt>
                <c:pt idx="48">
                  <c:v>45363</c:v>
                </c:pt>
                <c:pt idx="49">
                  <c:v>45364</c:v>
                </c:pt>
                <c:pt idx="50">
                  <c:v>45365</c:v>
                </c:pt>
                <c:pt idx="51">
                  <c:v>45366</c:v>
                </c:pt>
                <c:pt idx="52">
                  <c:v>45369</c:v>
                </c:pt>
                <c:pt idx="53">
                  <c:v>45370</c:v>
                </c:pt>
                <c:pt idx="54">
                  <c:v>45371</c:v>
                </c:pt>
                <c:pt idx="55">
                  <c:v>45372</c:v>
                </c:pt>
                <c:pt idx="56">
                  <c:v>45373</c:v>
                </c:pt>
                <c:pt idx="57">
                  <c:v>45376</c:v>
                </c:pt>
                <c:pt idx="58">
                  <c:v>45377</c:v>
                </c:pt>
                <c:pt idx="59">
                  <c:v>45378</c:v>
                </c:pt>
                <c:pt idx="60">
                  <c:v>45379</c:v>
                </c:pt>
                <c:pt idx="61">
                  <c:v>45383</c:v>
                </c:pt>
                <c:pt idx="62">
                  <c:v>45384</c:v>
                </c:pt>
                <c:pt idx="63">
                  <c:v>45385</c:v>
                </c:pt>
                <c:pt idx="64">
                  <c:v>45386</c:v>
                </c:pt>
                <c:pt idx="65">
                  <c:v>45387</c:v>
                </c:pt>
                <c:pt idx="66">
                  <c:v>45390</c:v>
                </c:pt>
                <c:pt idx="67">
                  <c:v>45391</c:v>
                </c:pt>
                <c:pt idx="68">
                  <c:v>45392</c:v>
                </c:pt>
                <c:pt idx="69">
                  <c:v>45393</c:v>
                </c:pt>
                <c:pt idx="70">
                  <c:v>45394</c:v>
                </c:pt>
                <c:pt idx="71">
                  <c:v>45397</c:v>
                </c:pt>
                <c:pt idx="72">
                  <c:v>45398</c:v>
                </c:pt>
                <c:pt idx="73">
                  <c:v>45399</c:v>
                </c:pt>
                <c:pt idx="74">
                  <c:v>45400</c:v>
                </c:pt>
                <c:pt idx="75">
                  <c:v>45401</c:v>
                </c:pt>
                <c:pt idx="76">
                  <c:v>45404</c:v>
                </c:pt>
                <c:pt idx="77">
                  <c:v>45405</c:v>
                </c:pt>
                <c:pt idx="78">
                  <c:v>45406</c:v>
                </c:pt>
                <c:pt idx="79">
                  <c:v>45407</c:v>
                </c:pt>
                <c:pt idx="80">
                  <c:v>45408</c:v>
                </c:pt>
                <c:pt idx="81">
                  <c:v>45411</c:v>
                </c:pt>
                <c:pt idx="82">
                  <c:v>45412</c:v>
                </c:pt>
                <c:pt idx="83">
                  <c:v>45413</c:v>
                </c:pt>
                <c:pt idx="84">
                  <c:v>45414</c:v>
                </c:pt>
                <c:pt idx="85">
                  <c:v>45415</c:v>
                </c:pt>
                <c:pt idx="86">
                  <c:v>45418</c:v>
                </c:pt>
                <c:pt idx="87">
                  <c:v>45419</c:v>
                </c:pt>
                <c:pt idx="88">
                  <c:v>45420</c:v>
                </c:pt>
                <c:pt idx="89">
                  <c:v>45421</c:v>
                </c:pt>
                <c:pt idx="90">
                  <c:v>45422</c:v>
                </c:pt>
                <c:pt idx="91">
                  <c:v>45425</c:v>
                </c:pt>
                <c:pt idx="92">
                  <c:v>45426</c:v>
                </c:pt>
                <c:pt idx="93">
                  <c:v>45427</c:v>
                </c:pt>
                <c:pt idx="94">
                  <c:v>45428</c:v>
                </c:pt>
                <c:pt idx="95">
                  <c:v>45429</c:v>
                </c:pt>
                <c:pt idx="96">
                  <c:v>45432</c:v>
                </c:pt>
                <c:pt idx="97">
                  <c:v>45433</c:v>
                </c:pt>
                <c:pt idx="98">
                  <c:v>45434</c:v>
                </c:pt>
                <c:pt idx="99">
                  <c:v>45435</c:v>
                </c:pt>
                <c:pt idx="100">
                  <c:v>45436</c:v>
                </c:pt>
                <c:pt idx="101">
                  <c:v>45440</c:v>
                </c:pt>
                <c:pt idx="102">
                  <c:v>45441</c:v>
                </c:pt>
                <c:pt idx="103">
                  <c:v>45442</c:v>
                </c:pt>
                <c:pt idx="104">
                  <c:v>45443</c:v>
                </c:pt>
                <c:pt idx="105">
                  <c:v>45446</c:v>
                </c:pt>
                <c:pt idx="106">
                  <c:v>45447</c:v>
                </c:pt>
                <c:pt idx="107">
                  <c:v>45448</c:v>
                </c:pt>
                <c:pt idx="108">
                  <c:v>45449</c:v>
                </c:pt>
                <c:pt idx="109">
                  <c:v>45450</c:v>
                </c:pt>
                <c:pt idx="110">
                  <c:v>45453</c:v>
                </c:pt>
                <c:pt idx="111">
                  <c:v>45454</c:v>
                </c:pt>
                <c:pt idx="112">
                  <c:v>45455</c:v>
                </c:pt>
                <c:pt idx="113">
                  <c:v>45456</c:v>
                </c:pt>
                <c:pt idx="114">
                  <c:v>45457</c:v>
                </c:pt>
                <c:pt idx="115">
                  <c:v>45460</c:v>
                </c:pt>
                <c:pt idx="116">
                  <c:v>45461</c:v>
                </c:pt>
                <c:pt idx="117">
                  <c:v>45463</c:v>
                </c:pt>
                <c:pt idx="118">
                  <c:v>45464</c:v>
                </c:pt>
                <c:pt idx="119">
                  <c:v>45467</c:v>
                </c:pt>
                <c:pt idx="120">
                  <c:v>45468</c:v>
                </c:pt>
                <c:pt idx="121">
                  <c:v>45469</c:v>
                </c:pt>
                <c:pt idx="122">
                  <c:v>45470</c:v>
                </c:pt>
                <c:pt idx="123">
                  <c:v>45471</c:v>
                </c:pt>
                <c:pt idx="124">
                  <c:v>45474</c:v>
                </c:pt>
                <c:pt idx="125">
                  <c:v>45475</c:v>
                </c:pt>
                <c:pt idx="126">
                  <c:v>45476</c:v>
                </c:pt>
                <c:pt idx="127">
                  <c:v>45478</c:v>
                </c:pt>
                <c:pt idx="128">
                  <c:v>45481</c:v>
                </c:pt>
                <c:pt idx="129">
                  <c:v>45482</c:v>
                </c:pt>
                <c:pt idx="130">
                  <c:v>45483</c:v>
                </c:pt>
                <c:pt idx="131">
                  <c:v>45484</c:v>
                </c:pt>
                <c:pt idx="132">
                  <c:v>45485</c:v>
                </c:pt>
                <c:pt idx="133">
                  <c:v>45488</c:v>
                </c:pt>
                <c:pt idx="134">
                  <c:v>45489</c:v>
                </c:pt>
                <c:pt idx="135">
                  <c:v>45490</c:v>
                </c:pt>
                <c:pt idx="136">
                  <c:v>45491</c:v>
                </c:pt>
                <c:pt idx="137">
                  <c:v>45492</c:v>
                </c:pt>
                <c:pt idx="138">
                  <c:v>45495</c:v>
                </c:pt>
                <c:pt idx="139">
                  <c:v>45496</c:v>
                </c:pt>
                <c:pt idx="140">
                  <c:v>45497</c:v>
                </c:pt>
                <c:pt idx="141">
                  <c:v>45498</c:v>
                </c:pt>
                <c:pt idx="142">
                  <c:v>45499</c:v>
                </c:pt>
                <c:pt idx="143">
                  <c:v>45502</c:v>
                </c:pt>
                <c:pt idx="144">
                  <c:v>45503</c:v>
                </c:pt>
                <c:pt idx="145">
                  <c:v>45504</c:v>
                </c:pt>
                <c:pt idx="146">
                  <c:v>45505</c:v>
                </c:pt>
                <c:pt idx="147">
                  <c:v>45506</c:v>
                </c:pt>
                <c:pt idx="148">
                  <c:v>45509</c:v>
                </c:pt>
                <c:pt idx="149">
                  <c:v>45510</c:v>
                </c:pt>
                <c:pt idx="150">
                  <c:v>45511</c:v>
                </c:pt>
                <c:pt idx="151">
                  <c:v>45512</c:v>
                </c:pt>
                <c:pt idx="152">
                  <c:v>45513</c:v>
                </c:pt>
                <c:pt idx="153">
                  <c:v>45516</c:v>
                </c:pt>
                <c:pt idx="154">
                  <c:v>45517</c:v>
                </c:pt>
                <c:pt idx="155">
                  <c:v>45518</c:v>
                </c:pt>
                <c:pt idx="156">
                  <c:v>45519</c:v>
                </c:pt>
                <c:pt idx="157">
                  <c:v>45520</c:v>
                </c:pt>
                <c:pt idx="158">
                  <c:v>45523</c:v>
                </c:pt>
                <c:pt idx="159">
                  <c:v>45524</c:v>
                </c:pt>
                <c:pt idx="160">
                  <c:v>45525</c:v>
                </c:pt>
                <c:pt idx="161">
                  <c:v>45526</c:v>
                </c:pt>
                <c:pt idx="162">
                  <c:v>45527</c:v>
                </c:pt>
                <c:pt idx="163">
                  <c:v>45530</c:v>
                </c:pt>
                <c:pt idx="164">
                  <c:v>45531</c:v>
                </c:pt>
                <c:pt idx="165">
                  <c:v>45532</c:v>
                </c:pt>
                <c:pt idx="166">
                  <c:v>45533</c:v>
                </c:pt>
                <c:pt idx="167">
                  <c:v>45534</c:v>
                </c:pt>
                <c:pt idx="168">
                  <c:v>45538</c:v>
                </c:pt>
                <c:pt idx="169">
                  <c:v>45539</c:v>
                </c:pt>
                <c:pt idx="170">
                  <c:v>45540</c:v>
                </c:pt>
                <c:pt idx="171">
                  <c:v>45541</c:v>
                </c:pt>
                <c:pt idx="172">
                  <c:v>45544</c:v>
                </c:pt>
                <c:pt idx="173">
                  <c:v>45545</c:v>
                </c:pt>
                <c:pt idx="174">
                  <c:v>45546</c:v>
                </c:pt>
                <c:pt idx="175">
                  <c:v>45547</c:v>
                </c:pt>
                <c:pt idx="176">
                  <c:v>45548</c:v>
                </c:pt>
                <c:pt idx="177">
                  <c:v>45551</c:v>
                </c:pt>
                <c:pt idx="178">
                  <c:v>45552</c:v>
                </c:pt>
                <c:pt idx="179">
                  <c:v>45553</c:v>
                </c:pt>
                <c:pt idx="180">
                  <c:v>45554</c:v>
                </c:pt>
                <c:pt idx="181">
                  <c:v>45555</c:v>
                </c:pt>
                <c:pt idx="182">
                  <c:v>45558</c:v>
                </c:pt>
                <c:pt idx="183">
                  <c:v>45559</c:v>
                </c:pt>
                <c:pt idx="184">
                  <c:v>45560</c:v>
                </c:pt>
                <c:pt idx="185">
                  <c:v>45561</c:v>
                </c:pt>
                <c:pt idx="186">
                  <c:v>45562</c:v>
                </c:pt>
                <c:pt idx="187">
                  <c:v>45565</c:v>
                </c:pt>
                <c:pt idx="188">
                  <c:v>45566</c:v>
                </c:pt>
                <c:pt idx="189">
                  <c:v>45567</c:v>
                </c:pt>
                <c:pt idx="190">
                  <c:v>45568</c:v>
                </c:pt>
                <c:pt idx="191">
                  <c:v>45569</c:v>
                </c:pt>
                <c:pt idx="192">
                  <c:v>45572</c:v>
                </c:pt>
                <c:pt idx="193">
                  <c:v>45573</c:v>
                </c:pt>
                <c:pt idx="194">
                  <c:v>45574</c:v>
                </c:pt>
                <c:pt idx="195">
                  <c:v>45575</c:v>
                </c:pt>
                <c:pt idx="196">
                  <c:v>45576</c:v>
                </c:pt>
                <c:pt idx="197">
                  <c:v>45579</c:v>
                </c:pt>
                <c:pt idx="198">
                  <c:v>45580</c:v>
                </c:pt>
                <c:pt idx="199">
                  <c:v>45581</c:v>
                </c:pt>
                <c:pt idx="200">
                  <c:v>45582</c:v>
                </c:pt>
                <c:pt idx="201">
                  <c:v>45583</c:v>
                </c:pt>
                <c:pt idx="202">
                  <c:v>45586</c:v>
                </c:pt>
                <c:pt idx="203">
                  <c:v>45587</c:v>
                </c:pt>
                <c:pt idx="204">
                  <c:v>45588</c:v>
                </c:pt>
                <c:pt idx="205">
                  <c:v>45589</c:v>
                </c:pt>
                <c:pt idx="206">
                  <c:v>45590</c:v>
                </c:pt>
                <c:pt idx="207">
                  <c:v>45593</c:v>
                </c:pt>
                <c:pt idx="208">
                  <c:v>45594</c:v>
                </c:pt>
                <c:pt idx="209">
                  <c:v>45595</c:v>
                </c:pt>
                <c:pt idx="210">
                  <c:v>45596</c:v>
                </c:pt>
                <c:pt idx="211">
                  <c:v>45597</c:v>
                </c:pt>
                <c:pt idx="212">
                  <c:v>45600</c:v>
                </c:pt>
                <c:pt idx="213">
                  <c:v>45601</c:v>
                </c:pt>
                <c:pt idx="214">
                  <c:v>45602</c:v>
                </c:pt>
                <c:pt idx="215">
                  <c:v>45603</c:v>
                </c:pt>
                <c:pt idx="216">
                  <c:v>45604</c:v>
                </c:pt>
                <c:pt idx="217">
                  <c:v>45607</c:v>
                </c:pt>
                <c:pt idx="218">
                  <c:v>45608</c:v>
                </c:pt>
                <c:pt idx="219">
                  <c:v>45609</c:v>
                </c:pt>
                <c:pt idx="220">
                  <c:v>45610</c:v>
                </c:pt>
                <c:pt idx="221">
                  <c:v>45611</c:v>
                </c:pt>
                <c:pt idx="222">
                  <c:v>45614</c:v>
                </c:pt>
                <c:pt idx="223">
                  <c:v>45615</c:v>
                </c:pt>
                <c:pt idx="224">
                  <c:v>45616</c:v>
                </c:pt>
                <c:pt idx="225">
                  <c:v>45617</c:v>
                </c:pt>
                <c:pt idx="226">
                  <c:v>45618</c:v>
                </c:pt>
                <c:pt idx="227">
                  <c:v>45621</c:v>
                </c:pt>
                <c:pt idx="228">
                  <c:v>45622</c:v>
                </c:pt>
                <c:pt idx="229">
                  <c:v>45623</c:v>
                </c:pt>
                <c:pt idx="230">
                  <c:v>45625</c:v>
                </c:pt>
                <c:pt idx="231">
                  <c:v>45628</c:v>
                </c:pt>
                <c:pt idx="232">
                  <c:v>45629</c:v>
                </c:pt>
                <c:pt idx="233">
                  <c:v>45630</c:v>
                </c:pt>
                <c:pt idx="234">
                  <c:v>45631</c:v>
                </c:pt>
                <c:pt idx="235">
                  <c:v>45632</c:v>
                </c:pt>
                <c:pt idx="236">
                  <c:v>45635</c:v>
                </c:pt>
                <c:pt idx="237">
                  <c:v>45636</c:v>
                </c:pt>
                <c:pt idx="238">
                  <c:v>45637</c:v>
                </c:pt>
                <c:pt idx="239">
                  <c:v>45638</c:v>
                </c:pt>
                <c:pt idx="240">
                  <c:v>45639</c:v>
                </c:pt>
                <c:pt idx="241">
                  <c:v>45642</c:v>
                </c:pt>
                <c:pt idx="242">
                  <c:v>45643</c:v>
                </c:pt>
                <c:pt idx="243">
                  <c:v>45644</c:v>
                </c:pt>
                <c:pt idx="244">
                  <c:v>45645</c:v>
                </c:pt>
                <c:pt idx="245">
                  <c:v>45646</c:v>
                </c:pt>
                <c:pt idx="246">
                  <c:v>45649</c:v>
                </c:pt>
                <c:pt idx="247">
                  <c:v>45650</c:v>
                </c:pt>
                <c:pt idx="248">
                  <c:v>45652</c:v>
                </c:pt>
                <c:pt idx="249">
                  <c:v>45653</c:v>
                </c:pt>
                <c:pt idx="250">
                  <c:v>45656</c:v>
                </c:pt>
                <c:pt idx="251">
                  <c:v>45657</c:v>
                </c:pt>
                <c:pt idx="252">
                  <c:v>45659</c:v>
                </c:pt>
                <c:pt idx="253">
                  <c:v>45660</c:v>
                </c:pt>
                <c:pt idx="254">
                  <c:v>45663</c:v>
                </c:pt>
                <c:pt idx="255">
                  <c:v>45664</c:v>
                </c:pt>
                <c:pt idx="256">
                  <c:v>45665</c:v>
                </c:pt>
                <c:pt idx="257">
                  <c:v>45667</c:v>
                </c:pt>
                <c:pt idx="258">
                  <c:v>45670</c:v>
                </c:pt>
                <c:pt idx="259">
                  <c:v>45671</c:v>
                </c:pt>
                <c:pt idx="260">
                  <c:v>45672</c:v>
                </c:pt>
                <c:pt idx="261">
                  <c:v>45673</c:v>
                </c:pt>
                <c:pt idx="262">
                  <c:v>45674</c:v>
                </c:pt>
                <c:pt idx="263">
                  <c:v>45678</c:v>
                </c:pt>
                <c:pt idx="264">
                  <c:v>45679</c:v>
                </c:pt>
                <c:pt idx="265">
                  <c:v>45680</c:v>
                </c:pt>
                <c:pt idx="266">
                  <c:v>45681</c:v>
                </c:pt>
                <c:pt idx="267">
                  <c:v>45684</c:v>
                </c:pt>
                <c:pt idx="268">
                  <c:v>45685</c:v>
                </c:pt>
                <c:pt idx="269">
                  <c:v>45686</c:v>
                </c:pt>
                <c:pt idx="270">
                  <c:v>45687</c:v>
                </c:pt>
                <c:pt idx="271">
                  <c:v>45688</c:v>
                </c:pt>
                <c:pt idx="272">
                  <c:v>45691</c:v>
                </c:pt>
                <c:pt idx="273">
                  <c:v>45692</c:v>
                </c:pt>
                <c:pt idx="274">
                  <c:v>45693</c:v>
                </c:pt>
                <c:pt idx="275">
                  <c:v>45694</c:v>
                </c:pt>
                <c:pt idx="276">
                  <c:v>45695</c:v>
                </c:pt>
                <c:pt idx="277">
                  <c:v>45698</c:v>
                </c:pt>
                <c:pt idx="278">
                  <c:v>45699</c:v>
                </c:pt>
                <c:pt idx="279">
                  <c:v>45700</c:v>
                </c:pt>
                <c:pt idx="280">
                  <c:v>45701</c:v>
                </c:pt>
                <c:pt idx="281">
                  <c:v>45702</c:v>
                </c:pt>
                <c:pt idx="282">
                  <c:v>45706</c:v>
                </c:pt>
                <c:pt idx="283">
                  <c:v>45707</c:v>
                </c:pt>
                <c:pt idx="284">
                  <c:v>45708</c:v>
                </c:pt>
                <c:pt idx="285">
                  <c:v>45709</c:v>
                </c:pt>
                <c:pt idx="286">
                  <c:v>45712</c:v>
                </c:pt>
                <c:pt idx="287">
                  <c:v>45713</c:v>
                </c:pt>
                <c:pt idx="288">
                  <c:v>45714</c:v>
                </c:pt>
                <c:pt idx="289">
                  <c:v>45715</c:v>
                </c:pt>
                <c:pt idx="290">
                  <c:v>45716</c:v>
                </c:pt>
                <c:pt idx="291">
                  <c:v>45719</c:v>
                </c:pt>
                <c:pt idx="292">
                  <c:v>45720</c:v>
                </c:pt>
                <c:pt idx="293">
                  <c:v>45721</c:v>
                </c:pt>
                <c:pt idx="294">
                  <c:v>45722</c:v>
                </c:pt>
                <c:pt idx="295">
                  <c:v>45723</c:v>
                </c:pt>
                <c:pt idx="296">
                  <c:v>45726</c:v>
                </c:pt>
                <c:pt idx="297">
                  <c:v>45727</c:v>
                </c:pt>
                <c:pt idx="298">
                  <c:v>45728</c:v>
                </c:pt>
                <c:pt idx="299">
                  <c:v>45729</c:v>
                </c:pt>
                <c:pt idx="300">
                  <c:v>45730</c:v>
                </c:pt>
                <c:pt idx="301">
                  <c:v>45733</c:v>
                </c:pt>
                <c:pt idx="302">
                  <c:v>45734</c:v>
                </c:pt>
                <c:pt idx="303">
                  <c:v>45735</c:v>
                </c:pt>
                <c:pt idx="304">
                  <c:v>45736</c:v>
                </c:pt>
                <c:pt idx="305">
                  <c:v>45737</c:v>
                </c:pt>
                <c:pt idx="306">
                  <c:v>45740</c:v>
                </c:pt>
                <c:pt idx="307">
                  <c:v>45741</c:v>
                </c:pt>
                <c:pt idx="308">
                  <c:v>45742</c:v>
                </c:pt>
                <c:pt idx="309">
                  <c:v>45743</c:v>
                </c:pt>
                <c:pt idx="310">
                  <c:v>45744</c:v>
                </c:pt>
                <c:pt idx="311">
                  <c:v>45747</c:v>
                </c:pt>
                <c:pt idx="312">
                  <c:v>45748</c:v>
                </c:pt>
                <c:pt idx="313">
                  <c:v>45749</c:v>
                </c:pt>
                <c:pt idx="314">
                  <c:v>45750</c:v>
                </c:pt>
                <c:pt idx="315">
                  <c:v>45751</c:v>
                </c:pt>
                <c:pt idx="316">
                  <c:v>45754</c:v>
                </c:pt>
                <c:pt idx="317">
                  <c:v>45755</c:v>
                </c:pt>
                <c:pt idx="318">
                  <c:v>45756</c:v>
                </c:pt>
                <c:pt idx="319">
                  <c:v>45757</c:v>
                </c:pt>
                <c:pt idx="320">
                  <c:v>45758</c:v>
                </c:pt>
                <c:pt idx="321">
                  <c:v>45761</c:v>
                </c:pt>
                <c:pt idx="322">
                  <c:v>45762</c:v>
                </c:pt>
                <c:pt idx="323">
                  <c:v>45763</c:v>
                </c:pt>
                <c:pt idx="324">
                  <c:v>45764</c:v>
                </c:pt>
                <c:pt idx="325">
                  <c:v>45768</c:v>
                </c:pt>
                <c:pt idx="326">
                  <c:v>45769</c:v>
                </c:pt>
                <c:pt idx="327">
                  <c:v>45770</c:v>
                </c:pt>
                <c:pt idx="328">
                  <c:v>45771</c:v>
                </c:pt>
                <c:pt idx="329">
                  <c:v>45772</c:v>
                </c:pt>
                <c:pt idx="330">
                  <c:v>45775</c:v>
                </c:pt>
                <c:pt idx="331">
                  <c:v>45776</c:v>
                </c:pt>
                <c:pt idx="332">
                  <c:v>45777</c:v>
                </c:pt>
                <c:pt idx="333">
                  <c:v>45778</c:v>
                </c:pt>
                <c:pt idx="334">
                  <c:v>45779</c:v>
                </c:pt>
                <c:pt idx="335">
                  <c:v>45782</c:v>
                </c:pt>
                <c:pt idx="336">
                  <c:v>45783</c:v>
                </c:pt>
                <c:pt idx="337">
                  <c:v>45784</c:v>
                </c:pt>
                <c:pt idx="338">
                  <c:v>45785</c:v>
                </c:pt>
                <c:pt idx="339">
                  <c:v>45786</c:v>
                </c:pt>
                <c:pt idx="340">
                  <c:v>45789</c:v>
                </c:pt>
                <c:pt idx="341">
                  <c:v>45790</c:v>
                </c:pt>
                <c:pt idx="342">
                  <c:v>45791</c:v>
                </c:pt>
                <c:pt idx="343">
                  <c:v>45792</c:v>
                </c:pt>
                <c:pt idx="344">
                  <c:v>45793</c:v>
                </c:pt>
                <c:pt idx="345">
                  <c:v>45796</c:v>
                </c:pt>
                <c:pt idx="346">
                  <c:v>45797</c:v>
                </c:pt>
                <c:pt idx="347">
                  <c:v>45798</c:v>
                </c:pt>
                <c:pt idx="348">
                  <c:v>45799</c:v>
                </c:pt>
                <c:pt idx="349">
                  <c:v>45800</c:v>
                </c:pt>
                <c:pt idx="350">
                  <c:v>45804</c:v>
                </c:pt>
                <c:pt idx="351">
                  <c:v>45805</c:v>
                </c:pt>
                <c:pt idx="352">
                  <c:v>45806</c:v>
                </c:pt>
                <c:pt idx="353">
                  <c:v>45807</c:v>
                </c:pt>
                <c:pt idx="354">
                  <c:v>45810</c:v>
                </c:pt>
                <c:pt idx="355">
                  <c:v>45811</c:v>
                </c:pt>
                <c:pt idx="356">
                  <c:v>45812</c:v>
                </c:pt>
                <c:pt idx="357">
                  <c:v>45813</c:v>
                </c:pt>
                <c:pt idx="358">
                  <c:v>45814</c:v>
                </c:pt>
                <c:pt idx="359">
                  <c:v>45817</c:v>
                </c:pt>
                <c:pt idx="360">
                  <c:v>45818</c:v>
                </c:pt>
                <c:pt idx="361">
                  <c:v>45819</c:v>
                </c:pt>
                <c:pt idx="362">
                  <c:v>45820</c:v>
                </c:pt>
                <c:pt idx="363">
                  <c:v>45821</c:v>
                </c:pt>
                <c:pt idx="364">
                  <c:v>45824</c:v>
                </c:pt>
                <c:pt idx="365">
                  <c:v>45825</c:v>
                </c:pt>
                <c:pt idx="366">
                  <c:v>45826</c:v>
                </c:pt>
                <c:pt idx="367">
                  <c:v>45828</c:v>
                </c:pt>
                <c:pt idx="368">
                  <c:v>45831</c:v>
                </c:pt>
                <c:pt idx="369">
                  <c:v>45832</c:v>
                </c:pt>
                <c:pt idx="370">
                  <c:v>45833</c:v>
                </c:pt>
                <c:pt idx="371">
                  <c:v>45834</c:v>
                </c:pt>
                <c:pt idx="372">
                  <c:v>45835</c:v>
                </c:pt>
                <c:pt idx="373">
                  <c:v>45838</c:v>
                </c:pt>
                <c:pt idx="374">
                  <c:v>45839</c:v>
                </c:pt>
                <c:pt idx="375">
                  <c:v>45840</c:v>
                </c:pt>
                <c:pt idx="376">
                  <c:v>45841</c:v>
                </c:pt>
                <c:pt idx="377">
                  <c:v>45845</c:v>
                </c:pt>
                <c:pt idx="378">
                  <c:v>45846</c:v>
                </c:pt>
                <c:pt idx="379">
                  <c:v>45847</c:v>
                </c:pt>
                <c:pt idx="380">
                  <c:v>45848</c:v>
                </c:pt>
                <c:pt idx="381">
                  <c:v>45849</c:v>
                </c:pt>
                <c:pt idx="382">
                  <c:v>45852</c:v>
                </c:pt>
                <c:pt idx="383">
                  <c:v>45853</c:v>
                </c:pt>
                <c:pt idx="384">
                  <c:v>45854</c:v>
                </c:pt>
                <c:pt idx="385">
                  <c:v>45855</c:v>
                </c:pt>
                <c:pt idx="386">
                  <c:v>45856</c:v>
                </c:pt>
                <c:pt idx="387">
                  <c:v>45859</c:v>
                </c:pt>
                <c:pt idx="388">
                  <c:v>45860</c:v>
                </c:pt>
                <c:pt idx="389">
                  <c:v>45861</c:v>
                </c:pt>
                <c:pt idx="390">
                  <c:v>45862</c:v>
                </c:pt>
                <c:pt idx="391">
                  <c:v>45863</c:v>
                </c:pt>
                <c:pt idx="392">
                  <c:v>45866</c:v>
                </c:pt>
                <c:pt idx="393">
                  <c:v>45867</c:v>
                </c:pt>
                <c:pt idx="394">
                  <c:v>45868</c:v>
                </c:pt>
                <c:pt idx="395">
                  <c:v>45869</c:v>
                </c:pt>
                <c:pt idx="396">
                  <c:v>45870</c:v>
                </c:pt>
                <c:pt idx="397">
                  <c:v>45873</c:v>
                </c:pt>
                <c:pt idx="398">
                  <c:v>45874</c:v>
                </c:pt>
                <c:pt idx="399">
                  <c:v>45875</c:v>
                </c:pt>
                <c:pt idx="400">
                  <c:v>45876</c:v>
                </c:pt>
                <c:pt idx="401">
                  <c:v>45877</c:v>
                </c:pt>
                <c:pt idx="402">
                  <c:v>45880</c:v>
                </c:pt>
                <c:pt idx="403">
                  <c:v>45881</c:v>
                </c:pt>
                <c:pt idx="404">
                  <c:v>45882</c:v>
                </c:pt>
                <c:pt idx="405">
                  <c:v>45883</c:v>
                </c:pt>
                <c:pt idx="406">
                  <c:v>45884</c:v>
                </c:pt>
                <c:pt idx="407">
                  <c:v>45887</c:v>
                </c:pt>
                <c:pt idx="408">
                  <c:v>45888</c:v>
                </c:pt>
                <c:pt idx="409">
                  <c:v>45889</c:v>
                </c:pt>
                <c:pt idx="410">
                  <c:v>45890</c:v>
                </c:pt>
                <c:pt idx="411">
                  <c:v>45891</c:v>
                </c:pt>
                <c:pt idx="412">
                  <c:v>45894</c:v>
                </c:pt>
                <c:pt idx="413">
                  <c:v>45895</c:v>
                </c:pt>
                <c:pt idx="414">
                  <c:v>45896</c:v>
                </c:pt>
                <c:pt idx="415">
                  <c:v>45897</c:v>
                </c:pt>
                <c:pt idx="416">
                  <c:v>45898</c:v>
                </c:pt>
                <c:pt idx="417">
                  <c:v>45902</c:v>
                </c:pt>
                <c:pt idx="418">
                  <c:v>45903</c:v>
                </c:pt>
                <c:pt idx="419">
                  <c:v>45904</c:v>
                </c:pt>
                <c:pt idx="420">
                  <c:v>45905</c:v>
                </c:pt>
                <c:pt idx="421">
                  <c:v>45908</c:v>
                </c:pt>
                <c:pt idx="422">
                  <c:v>45909</c:v>
                </c:pt>
                <c:pt idx="423">
                  <c:v>45910</c:v>
                </c:pt>
                <c:pt idx="424">
                  <c:v>45911</c:v>
                </c:pt>
                <c:pt idx="425">
                  <c:v>45912</c:v>
                </c:pt>
                <c:pt idx="426">
                  <c:v>45915</c:v>
                </c:pt>
                <c:pt idx="427">
                  <c:v>45916</c:v>
                </c:pt>
                <c:pt idx="428">
                  <c:v>45917</c:v>
                </c:pt>
                <c:pt idx="429">
                  <c:v>45918</c:v>
                </c:pt>
                <c:pt idx="430">
                  <c:v>45919</c:v>
                </c:pt>
                <c:pt idx="431">
                  <c:v>45922</c:v>
                </c:pt>
                <c:pt idx="432">
                  <c:v>45923</c:v>
                </c:pt>
                <c:pt idx="433">
                  <c:v>45924</c:v>
                </c:pt>
                <c:pt idx="434">
                  <c:v>45925</c:v>
                </c:pt>
                <c:pt idx="435">
                  <c:v>45926</c:v>
                </c:pt>
                <c:pt idx="436">
                  <c:v>45929</c:v>
                </c:pt>
                <c:pt idx="437">
                  <c:v>45930</c:v>
                </c:pt>
                <c:pt idx="438">
                  <c:v>45931</c:v>
                </c:pt>
                <c:pt idx="439">
                  <c:v>45932</c:v>
                </c:pt>
                <c:pt idx="440">
                  <c:v>45933</c:v>
                </c:pt>
                <c:pt idx="441">
                  <c:v>45936</c:v>
                </c:pt>
                <c:pt idx="442">
                  <c:v>45937</c:v>
                </c:pt>
                <c:pt idx="443">
                  <c:v>45938</c:v>
                </c:pt>
                <c:pt idx="444">
                  <c:v>45939</c:v>
                </c:pt>
                <c:pt idx="445">
                  <c:v>45940</c:v>
                </c:pt>
                <c:pt idx="446">
                  <c:v>45943</c:v>
                </c:pt>
                <c:pt idx="447">
                  <c:v>45944</c:v>
                </c:pt>
                <c:pt idx="448">
                  <c:v>45945</c:v>
                </c:pt>
                <c:pt idx="449">
                  <c:v>45946</c:v>
                </c:pt>
                <c:pt idx="450">
                  <c:v>45947</c:v>
                </c:pt>
                <c:pt idx="451">
                  <c:v>45950</c:v>
                </c:pt>
                <c:pt idx="452">
                  <c:v>45951</c:v>
                </c:pt>
                <c:pt idx="453">
                  <c:v>45952</c:v>
                </c:pt>
                <c:pt idx="454">
                  <c:v>45953</c:v>
                </c:pt>
                <c:pt idx="455">
                  <c:v>45954</c:v>
                </c:pt>
                <c:pt idx="456">
                  <c:v>45957</c:v>
                </c:pt>
                <c:pt idx="457">
                  <c:v>45958</c:v>
                </c:pt>
                <c:pt idx="458">
                  <c:v>45959</c:v>
                </c:pt>
                <c:pt idx="459">
                  <c:v>45960</c:v>
                </c:pt>
                <c:pt idx="460">
                  <c:v>45961</c:v>
                </c:pt>
                <c:pt idx="461">
                  <c:v>45964</c:v>
                </c:pt>
                <c:pt idx="462">
                  <c:v>45965</c:v>
                </c:pt>
                <c:pt idx="463">
                  <c:v>45966</c:v>
                </c:pt>
                <c:pt idx="464">
                  <c:v>45967</c:v>
                </c:pt>
                <c:pt idx="465">
                  <c:v>45968</c:v>
                </c:pt>
                <c:pt idx="466">
                  <c:v>45971</c:v>
                </c:pt>
                <c:pt idx="467">
                  <c:v>45972</c:v>
                </c:pt>
                <c:pt idx="468">
                  <c:v>45973</c:v>
                </c:pt>
                <c:pt idx="469">
                  <c:v>45974</c:v>
                </c:pt>
                <c:pt idx="470">
                  <c:v>45975</c:v>
                </c:pt>
                <c:pt idx="471">
                  <c:v>45978</c:v>
                </c:pt>
                <c:pt idx="472">
                  <c:v>45979</c:v>
                </c:pt>
                <c:pt idx="473">
                  <c:v>45980</c:v>
                </c:pt>
                <c:pt idx="474">
                  <c:v>45981</c:v>
                </c:pt>
                <c:pt idx="475">
                  <c:v>45982</c:v>
                </c:pt>
                <c:pt idx="476">
                  <c:v>45985</c:v>
                </c:pt>
                <c:pt idx="477">
                  <c:v>45986</c:v>
                </c:pt>
                <c:pt idx="478">
                  <c:v>45987</c:v>
                </c:pt>
                <c:pt idx="479">
                  <c:v>45989</c:v>
                </c:pt>
                <c:pt idx="480">
                  <c:v>45992</c:v>
                </c:pt>
                <c:pt idx="481">
                  <c:v>45993</c:v>
                </c:pt>
                <c:pt idx="482">
                  <c:v>45994</c:v>
                </c:pt>
                <c:pt idx="483">
                  <c:v>45995</c:v>
                </c:pt>
                <c:pt idx="484">
                  <c:v>45996</c:v>
                </c:pt>
                <c:pt idx="485">
                  <c:v>45999</c:v>
                </c:pt>
                <c:pt idx="486">
                  <c:v>46000</c:v>
                </c:pt>
                <c:pt idx="487">
                  <c:v>46001</c:v>
                </c:pt>
                <c:pt idx="488">
                  <c:v>46002</c:v>
                </c:pt>
                <c:pt idx="489">
                  <c:v>46003</c:v>
                </c:pt>
                <c:pt idx="490">
                  <c:v>46006</c:v>
                </c:pt>
                <c:pt idx="491">
                  <c:v>46007</c:v>
                </c:pt>
                <c:pt idx="492">
                  <c:v>46008</c:v>
                </c:pt>
                <c:pt idx="493">
                  <c:v>46009</c:v>
                </c:pt>
                <c:pt idx="494">
                  <c:v>46010</c:v>
                </c:pt>
                <c:pt idx="495">
                  <c:v>46013</c:v>
                </c:pt>
                <c:pt idx="496">
                  <c:v>46014</c:v>
                </c:pt>
                <c:pt idx="497">
                  <c:v>46015</c:v>
                </c:pt>
                <c:pt idx="498">
                  <c:v>46017</c:v>
                </c:pt>
                <c:pt idx="499">
                  <c:v>46020</c:v>
                </c:pt>
                <c:pt idx="500">
                  <c:v>46021</c:v>
                </c:pt>
                <c:pt idx="501">
                  <c:v>46022</c:v>
                </c:pt>
                <c:pt idx="502">
                  <c:v>46024</c:v>
                </c:pt>
                <c:pt idx="503">
                  <c:v>46027</c:v>
                </c:pt>
                <c:pt idx="504">
                  <c:v>46028</c:v>
                </c:pt>
                <c:pt idx="505">
                  <c:v>46029</c:v>
                </c:pt>
                <c:pt idx="506">
                  <c:v>46030</c:v>
                </c:pt>
                <c:pt idx="507">
                  <c:v>46031</c:v>
                </c:pt>
                <c:pt idx="508">
                  <c:v>46034</c:v>
                </c:pt>
                <c:pt idx="509">
                  <c:v>46035</c:v>
                </c:pt>
                <c:pt idx="510">
                  <c:v>46036</c:v>
                </c:pt>
                <c:pt idx="511">
                  <c:v>46037</c:v>
                </c:pt>
                <c:pt idx="512">
                  <c:v>46038</c:v>
                </c:pt>
              </c:numCache>
            </c:numRef>
          </c:cat>
          <c:val>
            <c:numRef>
              <c:f>Data!$I$2:$I$514</c:f>
              <c:numCache>
                <c:formatCode>General</c:formatCode>
                <c:ptCount val="513"/>
                <c:pt idx="0">
                  <c:v>59.82</c:v>
                </c:pt>
                <c:pt idx="1">
                  <c:v>59.816647630436492</c:v>
                </c:pt>
                <c:pt idx="2">
                  <c:v>59.76573673899253</c:v>
                </c:pt>
                <c:pt idx="3">
                  <c:v>59.709774569425733</c:v>
                </c:pt>
                <c:pt idx="4">
                  <c:v>59.711804219001294</c:v>
                </c:pt>
                <c:pt idx="5">
                  <c:v>59.734769651212147</c:v>
                </c:pt>
                <c:pt idx="6">
                  <c:v>59.751392161337868</c:v>
                </c:pt>
                <c:pt idx="7">
                  <c:v>59.742135833136189</c:v>
                </c:pt>
                <c:pt idx="8">
                  <c:v>59.748041377848523</c:v>
                </c:pt>
                <c:pt idx="9">
                  <c:v>59.761306894155638</c:v>
                </c:pt>
                <c:pt idx="10">
                  <c:v>59.77227316063847</c:v>
                </c:pt>
                <c:pt idx="11">
                  <c:v>59.787188658150953</c:v>
                </c:pt>
                <c:pt idx="12">
                  <c:v>59.776522742489369</c:v>
                </c:pt>
                <c:pt idx="13">
                  <c:v>59.723651741462419</c:v>
                </c:pt>
                <c:pt idx="14">
                  <c:v>59.72281666629636</c:v>
                </c:pt>
                <c:pt idx="15">
                  <c:v>59.529327796776329</c:v>
                </c:pt>
                <c:pt idx="16">
                  <c:v>59.449761239990359</c:v>
                </c:pt>
                <c:pt idx="17">
                  <c:v>59.419583039976885</c:v>
                </c:pt>
                <c:pt idx="18">
                  <c:v>59.425852958840387</c:v>
                </c:pt>
                <c:pt idx="19">
                  <c:v>59.444138344499336</c:v>
                </c:pt>
                <c:pt idx="20">
                  <c:v>59.422506900015883</c:v>
                </c:pt>
                <c:pt idx="21">
                  <c:v>59.411071671713962</c:v>
                </c:pt>
                <c:pt idx="22">
                  <c:v>59.434608306232704</c:v>
                </c:pt>
                <c:pt idx="23">
                  <c:v>59.449002326793845</c:v>
                </c:pt>
                <c:pt idx="24">
                  <c:v>59.459887200981122</c:v>
                </c:pt>
                <c:pt idx="25">
                  <c:v>59.470727137823602</c:v>
                </c:pt>
                <c:pt idx="26">
                  <c:v>59.476552793452392</c:v>
                </c:pt>
                <c:pt idx="27">
                  <c:v>59.466744009524</c:v>
                </c:pt>
                <c:pt idx="28">
                  <c:v>59.466861382778433</c:v>
                </c:pt>
                <c:pt idx="29">
                  <c:v>59.433592068394468</c:v>
                </c:pt>
                <c:pt idx="30">
                  <c:v>59.40825231916201</c:v>
                </c:pt>
                <c:pt idx="31">
                  <c:v>59.395146807548144</c:v>
                </c:pt>
                <c:pt idx="32">
                  <c:v>59.382412233203304</c:v>
                </c:pt>
                <c:pt idx="33">
                  <c:v>59.3949380478713</c:v>
                </c:pt>
                <c:pt idx="34">
                  <c:v>59.380426940379849</c:v>
                </c:pt>
                <c:pt idx="35">
                  <c:v>59.375094301274395</c:v>
                </c:pt>
                <c:pt idx="36">
                  <c:v>59.374395101973676</c:v>
                </c:pt>
                <c:pt idx="37">
                  <c:v>59.38304345973863</c:v>
                </c:pt>
                <c:pt idx="38">
                  <c:v>59.394245206631489</c:v>
                </c:pt>
                <c:pt idx="39">
                  <c:v>59.403713898532075</c:v>
                </c:pt>
                <c:pt idx="40">
                  <c:v>59.412505986109188</c:v>
                </c:pt>
                <c:pt idx="41">
                  <c:v>59.406626604077168</c:v>
                </c:pt>
                <c:pt idx="42">
                  <c:v>59.410038626667486</c:v>
                </c:pt>
                <c:pt idx="43">
                  <c:v>59.403332219322174</c:v>
                </c:pt>
                <c:pt idx="44">
                  <c:v>59.398144554516726</c:v>
                </c:pt>
                <c:pt idx="45">
                  <c:v>59.388163741813727</c:v>
                </c:pt>
                <c:pt idx="46">
                  <c:v>59.382221530034869</c:v>
                </c:pt>
                <c:pt idx="47">
                  <c:v>59.392894801092979</c:v>
                </c:pt>
                <c:pt idx="48">
                  <c:v>59.403145894152615</c:v>
                </c:pt>
                <c:pt idx="49">
                  <c:v>59.407223496409941</c:v>
                </c:pt>
                <c:pt idx="50">
                  <c:v>59.418540495249196</c:v>
                </c:pt>
                <c:pt idx="51">
                  <c:v>59.419458530853255</c:v>
                </c:pt>
                <c:pt idx="52">
                  <c:v>59.427759882636586</c:v>
                </c:pt>
                <c:pt idx="53">
                  <c:v>59.43689402546385</c:v>
                </c:pt>
                <c:pt idx="54">
                  <c:v>59.447147821738263</c:v>
                </c:pt>
                <c:pt idx="55">
                  <c:v>59.456300389189281</c:v>
                </c:pt>
                <c:pt idx="56">
                  <c:v>59.46435659721174</c:v>
                </c:pt>
                <c:pt idx="57">
                  <c:v>59.473058058890302</c:v>
                </c:pt>
                <c:pt idx="58">
                  <c:v>59.481891879927367</c:v>
                </c:pt>
                <c:pt idx="59">
                  <c:v>59.486136227283488</c:v>
                </c:pt>
                <c:pt idx="60">
                  <c:v>59.490033654274541</c:v>
                </c:pt>
                <c:pt idx="61">
                  <c:v>59.497640275576195</c:v>
                </c:pt>
                <c:pt idx="62">
                  <c:v>59.503400479730814</c:v>
                </c:pt>
                <c:pt idx="63">
                  <c:v>59.503432391717652</c:v>
                </c:pt>
                <c:pt idx="64">
                  <c:v>59.487614083839041</c:v>
                </c:pt>
                <c:pt idx="65">
                  <c:v>59.48184550232682</c:v>
                </c:pt>
                <c:pt idx="66">
                  <c:v>59.46939019597135</c:v>
                </c:pt>
                <c:pt idx="67">
                  <c:v>59.468636853722373</c:v>
                </c:pt>
                <c:pt idx="68">
                  <c:v>59.443027956626764</c:v>
                </c:pt>
                <c:pt idx="69">
                  <c:v>59.424386644668765</c:v>
                </c:pt>
                <c:pt idx="70">
                  <c:v>59.371739490665547</c:v>
                </c:pt>
                <c:pt idx="71">
                  <c:v>59.315473140067574</c:v>
                </c:pt>
                <c:pt idx="72">
                  <c:v>59.261441012452629</c:v>
                </c:pt>
                <c:pt idx="73">
                  <c:v>59.226830292759644</c:v>
                </c:pt>
                <c:pt idx="74">
                  <c:v>59.210963513564536</c:v>
                </c:pt>
                <c:pt idx="75">
                  <c:v>59.220211282899385</c:v>
                </c:pt>
                <c:pt idx="76">
                  <c:v>59.23016802087362</c:v>
                </c:pt>
                <c:pt idx="77">
                  <c:v>59.238835025468269</c:v>
                </c:pt>
                <c:pt idx="78">
                  <c:v>59.248169332870482</c:v>
                </c:pt>
                <c:pt idx="79">
                  <c:v>59.255098187410255</c:v>
                </c:pt>
                <c:pt idx="80">
                  <c:v>59.250684433610083</c:v>
                </c:pt>
                <c:pt idx="81">
                  <c:v>59.245934445199516</c:v>
                </c:pt>
                <c:pt idx="82">
                  <c:v>59.256243458490651</c:v>
                </c:pt>
                <c:pt idx="83">
                  <c:v>59.261347915965636</c:v>
                </c:pt>
                <c:pt idx="84">
                  <c:v>59.257545753461656</c:v>
                </c:pt>
                <c:pt idx="85">
                  <c:v>59.252948559818776</c:v>
                </c:pt>
                <c:pt idx="86">
                  <c:v>59.242393362732059</c:v>
                </c:pt>
                <c:pt idx="87">
                  <c:v>59.229026971738669</c:v>
                </c:pt>
                <c:pt idx="88">
                  <c:v>59.214457779538108</c:v>
                </c:pt>
                <c:pt idx="89">
                  <c:v>59.198993839659295</c:v>
                </c:pt>
                <c:pt idx="90">
                  <c:v>59.175639250849912</c:v>
                </c:pt>
                <c:pt idx="91">
                  <c:v>59.152455945591392</c:v>
                </c:pt>
                <c:pt idx="92">
                  <c:v>59.144677379746504</c:v>
                </c:pt>
                <c:pt idx="93">
                  <c:v>59.136049797397781</c:v>
                </c:pt>
                <c:pt idx="94">
                  <c:v>59.126779326452294</c:v>
                </c:pt>
                <c:pt idx="95">
                  <c:v>59.12676676335262</c:v>
                </c:pt>
                <c:pt idx="96">
                  <c:v>59.132059567573357</c:v>
                </c:pt>
                <c:pt idx="97">
                  <c:v>59.13198133814992</c:v>
                </c:pt>
                <c:pt idx="98">
                  <c:v>59.127019083948916</c:v>
                </c:pt>
                <c:pt idx="99">
                  <c:v>59.135638708906498</c:v>
                </c:pt>
                <c:pt idx="100">
                  <c:v>59.142871529467264</c:v>
                </c:pt>
                <c:pt idx="101">
                  <c:v>59.155283917882755</c:v>
                </c:pt>
                <c:pt idx="102">
                  <c:v>59.167200085879173</c:v>
                </c:pt>
                <c:pt idx="103">
                  <c:v>59.176034268000656</c:v>
                </c:pt>
                <c:pt idx="104">
                  <c:v>59.19616367976537</c:v>
                </c:pt>
                <c:pt idx="105">
                  <c:v>59.198338478468472</c:v>
                </c:pt>
                <c:pt idx="106">
                  <c:v>59.193727117500401</c:v>
                </c:pt>
                <c:pt idx="107">
                  <c:v>59.185720852817276</c:v>
                </c:pt>
                <c:pt idx="108">
                  <c:v>59.173351053278111</c:v>
                </c:pt>
                <c:pt idx="109">
                  <c:v>59.168417660445193</c:v>
                </c:pt>
                <c:pt idx="110">
                  <c:v>59.181109731686334</c:v>
                </c:pt>
                <c:pt idx="111">
                  <c:v>59.180162646916436</c:v>
                </c:pt>
                <c:pt idx="112">
                  <c:v>59.187670164819501</c:v>
                </c:pt>
                <c:pt idx="113">
                  <c:v>59.194842093534945</c:v>
                </c:pt>
                <c:pt idx="114">
                  <c:v>59.202598098708698</c:v>
                </c:pt>
                <c:pt idx="115">
                  <c:v>59.213096900687752</c:v>
                </c:pt>
                <c:pt idx="116">
                  <c:v>59.223740510330899</c:v>
                </c:pt>
                <c:pt idx="117">
                  <c:v>59.237750209563885</c:v>
                </c:pt>
                <c:pt idx="118">
                  <c:v>59.270701077571005</c:v>
                </c:pt>
                <c:pt idx="119">
                  <c:v>59.27735208228048</c:v>
                </c:pt>
                <c:pt idx="120">
                  <c:v>59.28052155100476</c:v>
                </c:pt>
                <c:pt idx="121">
                  <c:v>59.280007248163642</c:v>
                </c:pt>
                <c:pt idx="122">
                  <c:v>59.279872507139636</c:v>
                </c:pt>
                <c:pt idx="123">
                  <c:v>59.297896818657328</c:v>
                </c:pt>
                <c:pt idx="124">
                  <c:v>59.305862756824155</c:v>
                </c:pt>
                <c:pt idx="125">
                  <c:v>59.313036596004466</c:v>
                </c:pt>
                <c:pt idx="126">
                  <c:v>59.319771208020356</c:v>
                </c:pt>
                <c:pt idx="127">
                  <c:v>59.328253602635478</c:v>
                </c:pt>
                <c:pt idx="128">
                  <c:v>59.339522568234784</c:v>
                </c:pt>
                <c:pt idx="129">
                  <c:v>59.351644556459838</c:v>
                </c:pt>
                <c:pt idx="130">
                  <c:v>59.3638523667043</c:v>
                </c:pt>
                <c:pt idx="131">
                  <c:v>59.374931821017825</c:v>
                </c:pt>
                <c:pt idx="132">
                  <c:v>59.380209313186036</c:v>
                </c:pt>
                <c:pt idx="133">
                  <c:v>59.386004305652037</c:v>
                </c:pt>
                <c:pt idx="134">
                  <c:v>59.387212956020612</c:v>
                </c:pt>
                <c:pt idx="135">
                  <c:v>59.387409216498206</c:v>
                </c:pt>
                <c:pt idx="136">
                  <c:v>59.385612290206076</c:v>
                </c:pt>
                <c:pt idx="137">
                  <c:v>59.389996467792159</c:v>
                </c:pt>
                <c:pt idx="138">
                  <c:v>59.395159822609273</c:v>
                </c:pt>
                <c:pt idx="139">
                  <c:v>59.399385456669911</c:v>
                </c:pt>
                <c:pt idx="140">
                  <c:v>59.399836679957019</c:v>
                </c:pt>
                <c:pt idx="141">
                  <c:v>59.406894212893562</c:v>
                </c:pt>
                <c:pt idx="142">
                  <c:v>59.396194132848812</c:v>
                </c:pt>
                <c:pt idx="143">
                  <c:v>59.386424202694265</c:v>
                </c:pt>
                <c:pt idx="144">
                  <c:v>59.370920091053691</c:v>
                </c:pt>
                <c:pt idx="145">
                  <c:v>59.375992826092514</c:v>
                </c:pt>
                <c:pt idx="146">
                  <c:v>59.372408753144533</c:v>
                </c:pt>
                <c:pt idx="147">
                  <c:v>59.377441949319703</c:v>
                </c:pt>
                <c:pt idx="148">
                  <c:v>59.407330164940788</c:v>
                </c:pt>
                <c:pt idx="149">
                  <c:v>59.397847184503611</c:v>
                </c:pt>
                <c:pt idx="150">
                  <c:v>59.386902665533015</c:v>
                </c:pt>
                <c:pt idx="151">
                  <c:v>59.381566456955753</c:v>
                </c:pt>
                <c:pt idx="152">
                  <c:v>59.368137453038408</c:v>
                </c:pt>
                <c:pt idx="153">
                  <c:v>59.359089370952105</c:v>
                </c:pt>
                <c:pt idx="154">
                  <c:v>59.344835132194603</c:v>
                </c:pt>
                <c:pt idx="155">
                  <c:v>59.345522960140904</c:v>
                </c:pt>
                <c:pt idx="156">
                  <c:v>59.337102474235508</c:v>
                </c:pt>
                <c:pt idx="157">
                  <c:v>59.329379113266732</c:v>
                </c:pt>
                <c:pt idx="158">
                  <c:v>59.316069184181387</c:v>
                </c:pt>
                <c:pt idx="159">
                  <c:v>59.307440218580744</c:v>
                </c:pt>
                <c:pt idx="160">
                  <c:v>59.287393808659957</c:v>
                </c:pt>
                <c:pt idx="161">
                  <c:v>59.284670902727704</c:v>
                </c:pt>
                <c:pt idx="162">
                  <c:v>59.27666827780515</c:v>
                </c:pt>
                <c:pt idx="163">
                  <c:v>59.2635109075486</c:v>
                </c:pt>
                <c:pt idx="164">
                  <c:v>59.26274441417506</c:v>
                </c:pt>
                <c:pt idx="165">
                  <c:v>59.245907113584579</c:v>
                </c:pt>
                <c:pt idx="166">
                  <c:v>59.245834751030678</c:v>
                </c:pt>
                <c:pt idx="167">
                  <c:v>59.250581519548312</c:v>
                </c:pt>
                <c:pt idx="168">
                  <c:v>59.23461993931646</c:v>
                </c:pt>
                <c:pt idx="169">
                  <c:v>59.2415687145308</c:v>
                </c:pt>
                <c:pt idx="170">
                  <c:v>59.281612410182639</c:v>
                </c:pt>
                <c:pt idx="171">
                  <c:v>59.298611825210656</c:v>
                </c:pt>
                <c:pt idx="172">
                  <c:v>59.29429421409646</c:v>
                </c:pt>
                <c:pt idx="173">
                  <c:v>59.28406149420222</c:v>
                </c:pt>
                <c:pt idx="174">
                  <c:v>59.283288833427434</c:v>
                </c:pt>
                <c:pt idx="175">
                  <c:v>59.28574667596191</c:v>
                </c:pt>
                <c:pt idx="176">
                  <c:v>59.283430010896879</c:v>
                </c:pt>
                <c:pt idx="177">
                  <c:v>59.275663364595147</c:v>
                </c:pt>
                <c:pt idx="178">
                  <c:v>59.279788104914275</c:v>
                </c:pt>
                <c:pt idx="179">
                  <c:v>59.277133139865818</c:v>
                </c:pt>
                <c:pt idx="180">
                  <c:v>59.292051683076991</c:v>
                </c:pt>
                <c:pt idx="181">
                  <c:v>59.422377494450807</c:v>
                </c:pt>
                <c:pt idx="182">
                  <c:v>59.424514659175173</c:v>
                </c:pt>
                <c:pt idx="183">
                  <c:v>59.43549615204045</c:v>
                </c:pt>
                <c:pt idx="184">
                  <c:v>59.4432269192218</c:v>
                </c:pt>
                <c:pt idx="185">
                  <c:v>59.447088753615425</c:v>
                </c:pt>
                <c:pt idx="186">
                  <c:v>59.450459064944035</c:v>
                </c:pt>
                <c:pt idx="187">
                  <c:v>59.476610713378676</c:v>
                </c:pt>
                <c:pt idx="188">
                  <c:v>59.488470318848833</c:v>
                </c:pt>
                <c:pt idx="189">
                  <c:v>59.49773143318361</c:v>
                </c:pt>
                <c:pt idx="190">
                  <c:v>59.504802450662417</c:v>
                </c:pt>
                <c:pt idx="191">
                  <c:v>59.522077034915696</c:v>
                </c:pt>
                <c:pt idx="192">
                  <c:v>59.545656202896005</c:v>
                </c:pt>
                <c:pt idx="193">
                  <c:v>59.567026433237338</c:v>
                </c:pt>
                <c:pt idx="194">
                  <c:v>59.577890994850918</c:v>
                </c:pt>
                <c:pt idx="195">
                  <c:v>59.589107855346406</c:v>
                </c:pt>
                <c:pt idx="196">
                  <c:v>59.599754259796534</c:v>
                </c:pt>
                <c:pt idx="197">
                  <c:v>59.604928191389682</c:v>
                </c:pt>
                <c:pt idx="198">
                  <c:v>59.616991422035156</c:v>
                </c:pt>
                <c:pt idx="199">
                  <c:v>59.622389388302238</c:v>
                </c:pt>
                <c:pt idx="200">
                  <c:v>59.645909453624611</c:v>
                </c:pt>
                <c:pt idx="201">
                  <c:v>59.66958162023883</c:v>
                </c:pt>
                <c:pt idx="202">
                  <c:v>59.687978532732238</c:v>
                </c:pt>
                <c:pt idx="203">
                  <c:v>59.719561072232381</c:v>
                </c:pt>
                <c:pt idx="204">
                  <c:v>59.757035195080974</c:v>
                </c:pt>
                <c:pt idx="205">
                  <c:v>59.782241441597812</c:v>
                </c:pt>
                <c:pt idx="206">
                  <c:v>59.799621325122978</c:v>
                </c:pt>
                <c:pt idx="207">
                  <c:v>59.816288219291188</c:v>
                </c:pt>
                <c:pt idx="208">
                  <c:v>59.833804769180709</c:v>
                </c:pt>
                <c:pt idx="209">
                  <c:v>59.851221107788632</c:v>
                </c:pt>
                <c:pt idx="210">
                  <c:v>59.866081399089502</c:v>
                </c:pt>
                <c:pt idx="211">
                  <c:v>59.879387748648611</c:v>
                </c:pt>
                <c:pt idx="212">
                  <c:v>59.892556373725178</c:v>
                </c:pt>
                <c:pt idx="213">
                  <c:v>59.905440351596248</c:v>
                </c:pt>
                <c:pt idx="214">
                  <c:v>59.911200997644627</c:v>
                </c:pt>
                <c:pt idx="215">
                  <c:v>59.918168651745077</c:v>
                </c:pt>
                <c:pt idx="216">
                  <c:v>59.926551616098976</c:v>
                </c:pt>
                <c:pt idx="217">
                  <c:v>59.931950849131432</c:v>
                </c:pt>
                <c:pt idx="218">
                  <c:v>59.936052962938945</c:v>
                </c:pt>
                <c:pt idx="219">
                  <c:v>59.939655183832983</c:v>
                </c:pt>
                <c:pt idx="220">
                  <c:v>59.939059662631976</c:v>
                </c:pt>
                <c:pt idx="221">
                  <c:v>59.923945304729159</c:v>
                </c:pt>
                <c:pt idx="222">
                  <c:v>59.918357235962688</c:v>
                </c:pt>
                <c:pt idx="223">
                  <c:v>59.91814080358278</c:v>
                </c:pt>
                <c:pt idx="224">
                  <c:v>59.919664402196744</c:v>
                </c:pt>
                <c:pt idx="225">
                  <c:v>59.926795010540772</c:v>
                </c:pt>
                <c:pt idx="226">
                  <c:v>59.934677512880185</c:v>
                </c:pt>
                <c:pt idx="227">
                  <c:v>59.946773512081947</c:v>
                </c:pt>
                <c:pt idx="228">
                  <c:v>59.957745712965611</c:v>
                </c:pt>
                <c:pt idx="229">
                  <c:v>59.96802247030913</c:v>
                </c:pt>
                <c:pt idx="230">
                  <c:v>59.976857224336399</c:v>
                </c:pt>
                <c:pt idx="231">
                  <c:v>59.983165608704809</c:v>
                </c:pt>
                <c:pt idx="232">
                  <c:v>59.987074617889526</c:v>
                </c:pt>
                <c:pt idx="233">
                  <c:v>59.977213057363791</c:v>
                </c:pt>
                <c:pt idx="234">
                  <c:v>59.977520812571214</c:v>
                </c:pt>
                <c:pt idx="235">
                  <c:v>59.977457213122754</c:v>
                </c:pt>
                <c:pt idx="236">
                  <c:v>59.974767926160652</c:v>
                </c:pt>
                <c:pt idx="237">
                  <c:v>59.977353255413519</c:v>
                </c:pt>
                <c:pt idx="238">
                  <c:v>59.970586990396136</c:v>
                </c:pt>
                <c:pt idx="239">
                  <c:v>59.977896515522403</c:v>
                </c:pt>
                <c:pt idx="240">
                  <c:v>59.982132778949605</c:v>
                </c:pt>
                <c:pt idx="241">
                  <c:v>59.97837104565108</c:v>
                </c:pt>
                <c:pt idx="242">
                  <c:v>59.982321101596192</c:v>
                </c:pt>
                <c:pt idx="243">
                  <c:v>59.982568544453969</c:v>
                </c:pt>
                <c:pt idx="244">
                  <c:v>59.979698677736572</c:v>
                </c:pt>
                <c:pt idx="245">
                  <c:v>59.968695932071341</c:v>
                </c:pt>
                <c:pt idx="246">
                  <c:v>59.96943753438692</c:v>
                </c:pt>
                <c:pt idx="247">
                  <c:v>59.975217960148335</c:v>
                </c:pt>
                <c:pt idx="248">
                  <c:v>59.979021853623351</c:v>
                </c:pt>
                <c:pt idx="249">
                  <c:v>59.982090048159137</c:v>
                </c:pt>
                <c:pt idx="250">
                  <c:v>59.983150093935592</c:v>
                </c:pt>
                <c:pt idx="251">
                  <c:v>59.985077151321683</c:v>
                </c:pt>
                <c:pt idx="252">
                  <c:v>59.982831488953636</c:v>
                </c:pt>
                <c:pt idx="253">
                  <c:v>59.981726485806043</c:v>
                </c:pt>
                <c:pt idx="254">
                  <c:v>59.968755390316311</c:v>
                </c:pt>
                <c:pt idx="255">
                  <c:v>59.956310659630319</c:v>
                </c:pt>
                <c:pt idx="256">
                  <c:v>59.952691494557762</c:v>
                </c:pt>
                <c:pt idx="257">
                  <c:v>59.938670088856867</c:v>
                </c:pt>
                <c:pt idx="258">
                  <c:v>59.932618321287443</c:v>
                </c:pt>
                <c:pt idx="259">
                  <c:v>59.930056494654757</c:v>
                </c:pt>
                <c:pt idx="260">
                  <c:v>59.926073548491324</c:v>
                </c:pt>
                <c:pt idx="261">
                  <c:v>59.926732649274754</c:v>
                </c:pt>
                <c:pt idx="262">
                  <c:v>59.927897286163827</c:v>
                </c:pt>
                <c:pt idx="263">
                  <c:v>59.926585332510712</c:v>
                </c:pt>
                <c:pt idx="264">
                  <c:v>59.921747301252282</c:v>
                </c:pt>
                <c:pt idx="265">
                  <c:v>59.916278519852789</c:v>
                </c:pt>
                <c:pt idx="266">
                  <c:v>59.912009247127777</c:v>
                </c:pt>
                <c:pt idx="267">
                  <c:v>59.919510083480432</c:v>
                </c:pt>
                <c:pt idx="268">
                  <c:v>59.919929266119908</c:v>
                </c:pt>
                <c:pt idx="269">
                  <c:v>59.923712927094499</c:v>
                </c:pt>
                <c:pt idx="270">
                  <c:v>59.931664066600732</c:v>
                </c:pt>
                <c:pt idx="271">
                  <c:v>59.937668408274618</c:v>
                </c:pt>
                <c:pt idx="272">
                  <c:v>59.943184316307381</c:v>
                </c:pt>
                <c:pt idx="273">
                  <c:v>59.944940139648565</c:v>
                </c:pt>
                <c:pt idx="274">
                  <c:v>59.949817326094504</c:v>
                </c:pt>
                <c:pt idx="275">
                  <c:v>59.955138701757747</c:v>
                </c:pt>
                <c:pt idx="276">
                  <c:v>59.962187420937482</c:v>
                </c:pt>
                <c:pt idx="277">
                  <c:v>59.971898134232319</c:v>
                </c:pt>
                <c:pt idx="278">
                  <c:v>60.001443764896742</c:v>
                </c:pt>
                <c:pt idx="279">
                  <c:v>60.029180071971652</c:v>
                </c:pt>
                <c:pt idx="280">
                  <c:v>60.055663586671322</c:v>
                </c:pt>
                <c:pt idx="281">
                  <c:v>60.076723732069539</c:v>
                </c:pt>
                <c:pt idx="282">
                  <c:v>60.09119083779116</c:v>
                </c:pt>
                <c:pt idx="283">
                  <c:v>60.105046685004723</c:v>
                </c:pt>
                <c:pt idx="284">
                  <c:v>60.115078237625788</c:v>
                </c:pt>
                <c:pt idx="285">
                  <c:v>60.136397276944365</c:v>
                </c:pt>
                <c:pt idx="286">
                  <c:v>60.157977428498683</c:v>
                </c:pt>
                <c:pt idx="287">
                  <c:v>60.178815200811286</c:v>
                </c:pt>
                <c:pt idx="288">
                  <c:v>60.189073578052657</c:v>
                </c:pt>
                <c:pt idx="289">
                  <c:v>60.202903752109023</c:v>
                </c:pt>
                <c:pt idx="290">
                  <c:v>60.225117264869901</c:v>
                </c:pt>
                <c:pt idx="291">
                  <c:v>60.244981942734043</c:v>
                </c:pt>
                <c:pt idx="292">
                  <c:v>60.271923729445021</c:v>
                </c:pt>
                <c:pt idx="293">
                  <c:v>60.296523236057652</c:v>
                </c:pt>
                <c:pt idx="294">
                  <c:v>60.317918173411599</c:v>
                </c:pt>
                <c:pt idx="295">
                  <c:v>60.34958939237201</c:v>
                </c:pt>
                <c:pt idx="296">
                  <c:v>60.375885542138569</c:v>
                </c:pt>
                <c:pt idx="297">
                  <c:v>60.406230704907742</c:v>
                </c:pt>
                <c:pt idx="298">
                  <c:v>60.423497969366466</c:v>
                </c:pt>
                <c:pt idx="299">
                  <c:v>60.437074281637301</c:v>
                </c:pt>
                <c:pt idx="300">
                  <c:v>60.449269895013657</c:v>
                </c:pt>
                <c:pt idx="301">
                  <c:v>60.462216561356826</c:v>
                </c:pt>
                <c:pt idx="302">
                  <c:v>60.472552113839278</c:v>
                </c:pt>
                <c:pt idx="303">
                  <c:v>60.485250962849456</c:v>
                </c:pt>
                <c:pt idx="304">
                  <c:v>60.499331360875004</c:v>
                </c:pt>
                <c:pt idx="305">
                  <c:v>60.541509349754378</c:v>
                </c:pt>
                <c:pt idx="306">
                  <c:v>60.551995863682613</c:v>
                </c:pt>
                <c:pt idx="307">
                  <c:v>60.56252662868922</c:v>
                </c:pt>
                <c:pt idx="308">
                  <c:v>60.573952869845058</c:v>
                </c:pt>
                <c:pt idx="309">
                  <c:v>60.580625244867733</c:v>
                </c:pt>
                <c:pt idx="310">
                  <c:v>60.59527755131932</c:v>
                </c:pt>
                <c:pt idx="311">
                  <c:v>60.61819873153469</c:v>
                </c:pt>
                <c:pt idx="312">
                  <c:v>60.627599455507877</c:v>
                </c:pt>
                <c:pt idx="313">
                  <c:v>60.637247245841465</c:v>
                </c:pt>
                <c:pt idx="314">
                  <c:v>60.660532451811299</c:v>
                </c:pt>
                <c:pt idx="315">
                  <c:v>60.685143836003952</c:v>
                </c:pt>
                <c:pt idx="316">
                  <c:v>60.711762996856585</c:v>
                </c:pt>
                <c:pt idx="317">
                  <c:v>60.729822150957311</c:v>
                </c:pt>
                <c:pt idx="318">
                  <c:v>60.75524282839153</c:v>
                </c:pt>
                <c:pt idx="319">
                  <c:v>60.775113774644403</c:v>
                </c:pt>
                <c:pt idx="320">
                  <c:v>60.791538275059359</c:v>
                </c:pt>
                <c:pt idx="321">
                  <c:v>60.797436877088593</c:v>
                </c:pt>
                <c:pt idx="322">
                  <c:v>60.806455169111651</c:v>
                </c:pt>
                <c:pt idx="323">
                  <c:v>60.816351260684897</c:v>
                </c:pt>
                <c:pt idx="324">
                  <c:v>60.832116792310977</c:v>
                </c:pt>
                <c:pt idx="325">
                  <c:v>60.840939377204919</c:v>
                </c:pt>
                <c:pt idx="326">
                  <c:v>60.846002245611714</c:v>
                </c:pt>
                <c:pt idx="327">
                  <c:v>60.854336556915278</c:v>
                </c:pt>
                <c:pt idx="328">
                  <c:v>60.865439755301992</c:v>
                </c:pt>
                <c:pt idx="329">
                  <c:v>60.876877280074254</c:v>
                </c:pt>
                <c:pt idx="330">
                  <c:v>60.888127722169898</c:v>
                </c:pt>
                <c:pt idx="331">
                  <c:v>60.898815263184531</c:v>
                </c:pt>
                <c:pt idx="332">
                  <c:v>60.916178117107393</c:v>
                </c:pt>
                <c:pt idx="333">
                  <c:v>60.930601877881024</c:v>
                </c:pt>
                <c:pt idx="334">
                  <c:v>60.937968582833939</c:v>
                </c:pt>
                <c:pt idx="335">
                  <c:v>60.944438802089152</c:v>
                </c:pt>
                <c:pt idx="336">
                  <c:v>60.951918577977672</c:v>
                </c:pt>
                <c:pt idx="337">
                  <c:v>60.961191203094209</c:v>
                </c:pt>
                <c:pt idx="338">
                  <c:v>60.971657413212341</c:v>
                </c:pt>
                <c:pt idx="339">
                  <c:v>60.979661340582737</c:v>
                </c:pt>
                <c:pt idx="340">
                  <c:v>60.996964399116457</c:v>
                </c:pt>
                <c:pt idx="341">
                  <c:v>61.008455988517518</c:v>
                </c:pt>
                <c:pt idx="342">
                  <c:v>61.021313907291947</c:v>
                </c:pt>
                <c:pt idx="343">
                  <c:v>61.037603804298982</c:v>
                </c:pt>
                <c:pt idx="344">
                  <c:v>61.051932365323083</c:v>
                </c:pt>
                <c:pt idx="345">
                  <c:v>61.059985948036143</c:v>
                </c:pt>
                <c:pt idx="346">
                  <c:v>61.067168652568746</c:v>
                </c:pt>
                <c:pt idx="347">
                  <c:v>61.074061836304082</c:v>
                </c:pt>
                <c:pt idx="348">
                  <c:v>61.081170644769323</c:v>
                </c:pt>
                <c:pt idx="349">
                  <c:v>61.089194808514563</c:v>
                </c:pt>
                <c:pt idx="350">
                  <c:v>61.09472930131755</c:v>
                </c:pt>
                <c:pt idx="351">
                  <c:v>61.099465459786614</c:v>
                </c:pt>
                <c:pt idx="352">
                  <c:v>61.105296705224823</c:v>
                </c:pt>
                <c:pt idx="353">
                  <c:v>61.131465716985161</c:v>
                </c:pt>
                <c:pt idx="354">
                  <c:v>61.136199807316764</c:v>
                </c:pt>
                <c:pt idx="355">
                  <c:v>61.152838770323342</c:v>
                </c:pt>
                <c:pt idx="356">
                  <c:v>61.162487647516123</c:v>
                </c:pt>
                <c:pt idx="357">
                  <c:v>61.172592234962934</c:v>
                </c:pt>
                <c:pt idx="358">
                  <c:v>61.17807511348267</c:v>
                </c:pt>
                <c:pt idx="359">
                  <c:v>61.185865156622953</c:v>
                </c:pt>
                <c:pt idx="360">
                  <c:v>61.192666635279593</c:v>
                </c:pt>
                <c:pt idx="361">
                  <c:v>61.2005760739005</c:v>
                </c:pt>
                <c:pt idx="362">
                  <c:v>61.208356595486322</c:v>
                </c:pt>
                <c:pt idx="363">
                  <c:v>61.222279910754324</c:v>
                </c:pt>
                <c:pt idx="364">
                  <c:v>61.234054517453508</c:v>
                </c:pt>
                <c:pt idx="365">
                  <c:v>61.246046900435616</c:v>
                </c:pt>
                <c:pt idx="366">
                  <c:v>61.258281520771341</c:v>
                </c:pt>
                <c:pt idx="367">
                  <c:v>61.28350055346089</c:v>
                </c:pt>
                <c:pt idx="368">
                  <c:v>61.299773295464995</c:v>
                </c:pt>
                <c:pt idx="369">
                  <c:v>61.311435956678736</c:v>
                </c:pt>
                <c:pt idx="370">
                  <c:v>61.321184079167246</c:v>
                </c:pt>
                <c:pt idx="371">
                  <c:v>61.332149260093175</c:v>
                </c:pt>
                <c:pt idx="372">
                  <c:v>61.350210373527354</c:v>
                </c:pt>
                <c:pt idx="373">
                  <c:v>61.361827513751741</c:v>
                </c:pt>
                <c:pt idx="374">
                  <c:v>61.379303421555321</c:v>
                </c:pt>
                <c:pt idx="375">
                  <c:v>61.388734604615749</c:v>
                </c:pt>
                <c:pt idx="376">
                  <c:v>61.39437089304505</c:v>
                </c:pt>
                <c:pt idx="377">
                  <c:v>61.407216329049213</c:v>
                </c:pt>
                <c:pt idx="378">
                  <c:v>61.420028415332879</c:v>
                </c:pt>
                <c:pt idx="379">
                  <c:v>61.44235661964909</c:v>
                </c:pt>
                <c:pt idx="380">
                  <c:v>61.453152053964708</c:v>
                </c:pt>
                <c:pt idx="381">
                  <c:v>61.462810090771406</c:v>
                </c:pt>
                <c:pt idx="382">
                  <c:v>61.473087952244839</c:v>
                </c:pt>
                <c:pt idx="383">
                  <c:v>61.482537220950718</c:v>
                </c:pt>
                <c:pt idx="384">
                  <c:v>61.492247934841998</c:v>
                </c:pt>
                <c:pt idx="385">
                  <c:v>61.50743090861728</c:v>
                </c:pt>
                <c:pt idx="386">
                  <c:v>61.518263047387201</c:v>
                </c:pt>
                <c:pt idx="387">
                  <c:v>61.531056818462268</c:v>
                </c:pt>
                <c:pt idx="388">
                  <c:v>61.546229610640488</c:v>
                </c:pt>
                <c:pt idx="389">
                  <c:v>61.559768171905127</c:v>
                </c:pt>
                <c:pt idx="390">
                  <c:v>61.568866634076912</c:v>
                </c:pt>
                <c:pt idx="391">
                  <c:v>61.577991439979705</c:v>
                </c:pt>
                <c:pt idx="392">
                  <c:v>61.586860757505242</c:v>
                </c:pt>
                <c:pt idx="393">
                  <c:v>61.597950002265783</c:v>
                </c:pt>
                <c:pt idx="394">
                  <c:v>61.605913781940671</c:v>
                </c:pt>
                <c:pt idx="395">
                  <c:v>61.615493749823266</c:v>
                </c:pt>
                <c:pt idx="396">
                  <c:v>61.625960769450813</c:v>
                </c:pt>
                <c:pt idx="397">
                  <c:v>61.633982826245067</c:v>
                </c:pt>
                <c:pt idx="398">
                  <c:v>61.642606690165316</c:v>
                </c:pt>
                <c:pt idx="399">
                  <c:v>61.650592183933142</c:v>
                </c:pt>
                <c:pt idx="400">
                  <c:v>61.6616388838859</c:v>
                </c:pt>
                <c:pt idx="401">
                  <c:v>61.668177663093346</c:v>
                </c:pt>
                <c:pt idx="402">
                  <c:v>61.675557709685194</c:v>
                </c:pt>
                <c:pt idx="403">
                  <c:v>61.68309225767176</c:v>
                </c:pt>
                <c:pt idx="404">
                  <c:v>61.690319428501972</c:v>
                </c:pt>
                <c:pt idx="405">
                  <c:v>61.698213550476062</c:v>
                </c:pt>
                <c:pt idx="406">
                  <c:v>61.706982135637624</c:v>
                </c:pt>
                <c:pt idx="407">
                  <c:v>61.716471470568479</c:v>
                </c:pt>
                <c:pt idx="408">
                  <c:v>61.726097757759185</c:v>
                </c:pt>
                <c:pt idx="409">
                  <c:v>61.738259427597946</c:v>
                </c:pt>
                <c:pt idx="410">
                  <c:v>61.744207958592128</c:v>
                </c:pt>
                <c:pt idx="411">
                  <c:v>61.753246007211729</c:v>
                </c:pt>
                <c:pt idx="412">
                  <c:v>61.762283482954814</c:v>
                </c:pt>
                <c:pt idx="413">
                  <c:v>61.772854261642394</c:v>
                </c:pt>
                <c:pt idx="414">
                  <c:v>61.780919605406453</c:v>
                </c:pt>
                <c:pt idx="415">
                  <c:v>61.790268850773266</c:v>
                </c:pt>
                <c:pt idx="416">
                  <c:v>61.799637877928504</c:v>
                </c:pt>
                <c:pt idx="417">
                  <c:v>61.813468970848433</c:v>
                </c:pt>
                <c:pt idx="418">
                  <c:v>61.8307600596101</c:v>
                </c:pt>
                <c:pt idx="419">
                  <c:v>61.839924017017736</c:v>
                </c:pt>
                <c:pt idx="420">
                  <c:v>61.850447053336275</c:v>
                </c:pt>
                <c:pt idx="421">
                  <c:v>61.858987306575479</c:v>
                </c:pt>
                <c:pt idx="422">
                  <c:v>61.866799850355683</c:v>
                </c:pt>
                <c:pt idx="423">
                  <c:v>61.874974392441835</c:v>
                </c:pt>
                <c:pt idx="424">
                  <c:v>61.882611531586669</c:v>
                </c:pt>
                <c:pt idx="425">
                  <c:v>61.889549076683778</c:v>
                </c:pt>
                <c:pt idx="426">
                  <c:v>61.894425268907554</c:v>
                </c:pt>
                <c:pt idx="427">
                  <c:v>61.899313012971014</c:v>
                </c:pt>
                <c:pt idx="428">
                  <c:v>61.906108902630017</c:v>
                </c:pt>
                <c:pt idx="429">
                  <c:v>61.911540074787233</c:v>
                </c:pt>
                <c:pt idx="430">
                  <c:v>61.917034763678522</c:v>
                </c:pt>
                <c:pt idx="431">
                  <c:v>61.921880038996065</c:v>
                </c:pt>
                <c:pt idx="432">
                  <c:v>61.927719451637657</c:v>
                </c:pt>
                <c:pt idx="433">
                  <c:v>61.933005378268675</c:v>
                </c:pt>
                <c:pt idx="434">
                  <c:v>61.937273844724345</c:v>
                </c:pt>
                <c:pt idx="435">
                  <c:v>61.940460223461116</c:v>
                </c:pt>
                <c:pt idx="436">
                  <c:v>61.944816428783305</c:v>
                </c:pt>
                <c:pt idx="437">
                  <c:v>61.949773383461213</c:v>
                </c:pt>
                <c:pt idx="438">
                  <c:v>61.955625623435303</c:v>
                </c:pt>
                <c:pt idx="439">
                  <c:v>61.960085563918632</c:v>
                </c:pt>
                <c:pt idx="440">
                  <c:v>61.965535608936548</c:v>
                </c:pt>
                <c:pt idx="441">
                  <c:v>61.969964468839713</c:v>
                </c:pt>
                <c:pt idx="442">
                  <c:v>61.975659531330898</c:v>
                </c:pt>
                <c:pt idx="443">
                  <c:v>61.980157915382399</c:v>
                </c:pt>
                <c:pt idx="444">
                  <c:v>61.985089561978612</c:v>
                </c:pt>
                <c:pt idx="445">
                  <c:v>61.991590662435975</c:v>
                </c:pt>
                <c:pt idx="446">
                  <c:v>61.997249932550197</c:v>
                </c:pt>
                <c:pt idx="447">
                  <c:v>62.004031637584582</c:v>
                </c:pt>
                <c:pt idx="448">
                  <c:v>62.009829648820549</c:v>
                </c:pt>
                <c:pt idx="449">
                  <c:v>62.016939166068298</c:v>
                </c:pt>
                <c:pt idx="450">
                  <c:v>62.025099433157962</c:v>
                </c:pt>
                <c:pt idx="451">
                  <c:v>62.033908197983159</c:v>
                </c:pt>
                <c:pt idx="452">
                  <c:v>62.055744100846006</c:v>
                </c:pt>
                <c:pt idx="453">
                  <c:v>62.066665536714233</c:v>
                </c:pt>
                <c:pt idx="454">
                  <c:v>62.074931907535351</c:v>
                </c:pt>
                <c:pt idx="455">
                  <c:v>62.083947236703281</c:v>
                </c:pt>
                <c:pt idx="456">
                  <c:v>62.09208499042191</c:v>
                </c:pt>
                <c:pt idx="457">
                  <c:v>62.099636175080896</c:v>
                </c:pt>
                <c:pt idx="458">
                  <c:v>62.108599035283717</c:v>
                </c:pt>
                <c:pt idx="459">
                  <c:v>62.116698898805247</c:v>
                </c:pt>
                <c:pt idx="460">
                  <c:v>62.12541020495496</c:v>
                </c:pt>
                <c:pt idx="461">
                  <c:v>62.132687615992346</c:v>
                </c:pt>
                <c:pt idx="462">
                  <c:v>62.139834035181039</c:v>
                </c:pt>
                <c:pt idx="463">
                  <c:v>62.146899314220967</c:v>
                </c:pt>
                <c:pt idx="464">
                  <c:v>62.155357056859138</c:v>
                </c:pt>
                <c:pt idx="465">
                  <c:v>62.169739230156949</c:v>
                </c:pt>
                <c:pt idx="466">
                  <c:v>62.17847336590139</c:v>
                </c:pt>
                <c:pt idx="467">
                  <c:v>62.187528605959869</c:v>
                </c:pt>
                <c:pt idx="468">
                  <c:v>62.194832256156793</c:v>
                </c:pt>
                <c:pt idx="469">
                  <c:v>62.202639233094111</c:v>
                </c:pt>
                <c:pt idx="470">
                  <c:v>62.209866827518397</c:v>
                </c:pt>
                <c:pt idx="471">
                  <c:v>62.218225559738755</c:v>
                </c:pt>
                <c:pt idx="472">
                  <c:v>62.225195110110114</c:v>
                </c:pt>
                <c:pt idx="473">
                  <c:v>62.231955546951816</c:v>
                </c:pt>
                <c:pt idx="474">
                  <c:v>62.240575566949687</c:v>
                </c:pt>
                <c:pt idx="475">
                  <c:v>62.257750159848399</c:v>
                </c:pt>
                <c:pt idx="476">
                  <c:v>62.285550229145414</c:v>
                </c:pt>
                <c:pt idx="477">
                  <c:v>62.294919429139675</c:v>
                </c:pt>
                <c:pt idx="478">
                  <c:v>62.299298313993198</c:v>
                </c:pt>
                <c:pt idx="479">
                  <c:v>62.299495380527226</c:v>
                </c:pt>
                <c:pt idx="480">
                  <c:v>62.307012674527897</c:v>
                </c:pt>
                <c:pt idx="481">
                  <c:v>62.317995073372025</c:v>
                </c:pt>
                <c:pt idx="482">
                  <c:v>62.327423821072934</c:v>
                </c:pt>
                <c:pt idx="483">
                  <c:v>62.337079509808504</c:v>
                </c:pt>
                <c:pt idx="484">
                  <c:v>62.344782003798571</c:v>
                </c:pt>
                <c:pt idx="485">
                  <c:v>62.354310819374255</c:v>
                </c:pt>
                <c:pt idx="486">
                  <c:v>62.361552025586107</c:v>
                </c:pt>
                <c:pt idx="487">
                  <c:v>62.376606740577586</c:v>
                </c:pt>
                <c:pt idx="488">
                  <c:v>62.38674720539742</c:v>
                </c:pt>
                <c:pt idx="489">
                  <c:v>62.396605399989419</c:v>
                </c:pt>
                <c:pt idx="490">
                  <c:v>62.406752315342509</c:v>
                </c:pt>
                <c:pt idx="491">
                  <c:v>62.415946325346141</c:v>
                </c:pt>
                <c:pt idx="492">
                  <c:v>62.423334171383317</c:v>
                </c:pt>
                <c:pt idx="493">
                  <c:v>62.431607159523757</c:v>
                </c:pt>
                <c:pt idx="494">
                  <c:v>62.448951483755167</c:v>
                </c:pt>
                <c:pt idx="495">
                  <c:v>62.455899908351348</c:v>
                </c:pt>
                <c:pt idx="496">
                  <c:v>62.461475522641067</c:v>
                </c:pt>
                <c:pt idx="497">
                  <c:v>62.464819424856074</c:v>
                </c:pt>
                <c:pt idx="498">
                  <c:v>62.468887295728017</c:v>
                </c:pt>
                <c:pt idx="499">
                  <c:v>62.474444636501147</c:v>
                </c:pt>
                <c:pt idx="500">
                  <c:v>62.479576351717341</c:v>
                </c:pt>
                <c:pt idx="501">
                  <c:v>62.484584579457788</c:v>
                </c:pt>
                <c:pt idx="502">
                  <c:v>62.491027459288688</c:v>
                </c:pt>
                <c:pt idx="503">
                  <c:v>62.497966315084071</c:v>
                </c:pt>
                <c:pt idx="504">
                  <c:v>62.504643175522858</c:v>
                </c:pt>
                <c:pt idx="505">
                  <c:v>62.510562676024023</c:v>
                </c:pt>
                <c:pt idx="506">
                  <c:v>62.519322547913795</c:v>
                </c:pt>
                <c:pt idx="507">
                  <c:v>62.529303913398451</c:v>
                </c:pt>
                <c:pt idx="508">
                  <c:v>62.539682642304676</c:v>
                </c:pt>
                <c:pt idx="509">
                  <c:v>62.549267846933134</c:v>
                </c:pt>
                <c:pt idx="510">
                  <c:v>62.557943146793299</c:v>
                </c:pt>
                <c:pt idx="511">
                  <c:v>62.565864271008273</c:v>
                </c:pt>
                <c:pt idx="512">
                  <c:v>62.575812539597962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A8BE-4453-82D7-D0DFD8977D3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656332768"/>
        <c:axId val="1656352448"/>
      </c:lineChart>
      <c:dateAx>
        <c:axId val="1656332768"/>
        <c:scaling>
          <c:orientation val="minMax"/>
          <c:min val="45658"/>
        </c:scaling>
        <c:delete val="0"/>
        <c:axPos val="b"/>
        <c:numFmt formatCode="m/d/yyyy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56352448"/>
        <c:crosses val="autoZero"/>
        <c:auto val="1"/>
        <c:lblOffset val="100"/>
        <c:baseTimeUnit val="days"/>
      </c:dateAx>
      <c:valAx>
        <c:axId val="1656352448"/>
        <c:scaling>
          <c:orientation val="minMax"/>
          <c:max val="75"/>
          <c:min val="55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[$$-409]* #,##0.00_);_([$$-409]* \(#,##0.00\);_([$$-409]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5633276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Bollinger Bands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Data!$C$1</c:f>
              <c:strCache>
                <c:ptCount val="1"/>
                <c:pt idx="0">
                  <c:v>Close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Data!$B$2:$B$514</c:f>
              <c:numCache>
                <c:formatCode>m/d/yyyy</c:formatCode>
                <c:ptCount val="513"/>
                <c:pt idx="0">
                  <c:v>45293</c:v>
                </c:pt>
                <c:pt idx="1">
                  <c:v>45294</c:v>
                </c:pt>
                <c:pt idx="2">
                  <c:v>45295</c:v>
                </c:pt>
                <c:pt idx="3">
                  <c:v>45296</c:v>
                </c:pt>
                <c:pt idx="4">
                  <c:v>45299</c:v>
                </c:pt>
                <c:pt idx="5">
                  <c:v>45300</c:v>
                </c:pt>
                <c:pt idx="6">
                  <c:v>45301</c:v>
                </c:pt>
                <c:pt idx="7">
                  <c:v>45302</c:v>
                </c:pt>
                <c:pt idx="8">
                  <c:v>45303</c:v>
                </c:pt>
                <c:pt idx="9">
                  <c:v>45307</c:v>
                </c:pt>
                <c:pt idx="10">
                  <c:v>45308</c:v>
                </c:pt>
                <c:pt idx="11">
                  <c:v>45309</c:v>
                </c:pt>
                <c:pt idx="12">
                  <c:v>45310</c:v>
                </c:pt>
                <c:pt idx="13">
                  <c:v>45313</c:v>
                </c:pt>
                <c:pt idx="14">
                  <c:v>45314</c:v>
                </c:pt>
                <c:pt idx="15">
                  <c:v>45315</c:v>
                </c:pt>
                <c:pt idx="16">
                  <c:v>45316</c:v>
                </c:pt>
                <c:pt idx="17">
                  <c:v>45317</c:v>
                </c:pt>
                <c:pt idx="18">
                  <c:v>45320</c:v>
                </c:pt>
                <c:pt idx="19">
                  <c:v>45321</c:v>
                </c:pt>
                <c:pt idx="20">
                  <c:v>45322</c:v>
                </c:pt>
                <c:pt idx="21">
                  <c:v>45323</c:v>
                </c:pt>
                <c:pt idx="22">
                  <c:v>45324</c:v>
                </c:pt>
                <c:pt idx="23">
                  <c:v>45327</c:v>
                </c:pt>
                <c:pt idx="24">
                  <c:v>45328</c:v>
                </c:pt>
                <c:pt idx="25">
                  <c:v>45329</c:v>
                </c:pt>
                <c:pt idx="26">
                  <c:v>45330</c:v>
                </c:pt>
                <c:pt idx="27">
                  <c:v>45331</c:v>
                </c:pt>
                <c:pt idx="28">
                  <c:v>45334</c:v>
                </c:pt>
                <c:pt idx="29">
                  <c:v>45335</c:v>
                </c:pt>
                <c:pt idx="30">
                  <c:v>45336</c:v>
                </c:pt>
                <c:pt idx="31">
                  <c:v>45337</c:v>
                </c:pt>
                <c:pt idx="32">
                  <c:v>45338</c:v>
                </c:pt>
                <c:pt idx="33">
                  <c:v>45342</c:v>
                </c:pt>
                <c:pt idx="34">
                  <c:v>45343</c:v>
                </c:pt>
                <c:pt idx="35">
                  <c:v>45344</c:v>
                </c:pt>
                <c:pt idx="36">
                  <c:v>45345</c:v>
                </c:pt>
                <c:pt idx="37">
                  <c:v>45348</c:v>
                </c:pt>
                <c:pt idx="38">
                  <c:v>45349</c:v>
                </c:pt>
                <c:pt idx="39">
                  <c:v>45350</c:v>
                </c:pt>
                <c:pt idx="40">
                  <c:v>45351</c:v>
                </c:pt>
                <c:pt idx="41">
                  <c:v>45352</c:v>
                </c:pt>
                <c:pt idx="42">
                  <c:v>45355</c:v>
                </c:pt>
                <c:pt idx="43">
                  <c:v>45356</c:v>
                </c:pt>
                <c:pt idx="44">
                  <c:v>45357</c:v>
                </c:pt>
                <c:pt idx="45">
                  <c:v>45358</c:v>
                </c:pt>
                <c:pt idx="46">
                  <c:v>45359</c:v>
                </c:pt>
                <c:pt idx="47">
                  <c:v>45362</c:v>
                </c:pt>
                <c:pt idx="48">
                  <c:v>45363</c:v>
                </c:pt>
                <c:pt idx="49">
                  <c:v>45364</c:v>
                </c:pt>
                <c:pt idx="50">
                  <c:v>45365</c:v>
                </c:pt>
                <c:pt idx="51">
                  <c:v>45366</c:v>
                </c:pt>
                <c:pt idx="52">
                  <c:v>45369</c:v>
                </c:pt>
                <c:pt idx="53">
                  <c:v>45370</c:v>
                </c:pt>
                <c:pt idx="54">
                  <c:v>45371</c:v>
                </c:pt>
                <c:pt idx="55">
                  <c:v>45372</c:v>
                </c:pt>
                <c:pt idx="56">
                  <c:v>45373</c:v>
                </c:pt>
                <c:pt idx="57">
                  <c:v>45376</c:v>
                </c:pt>
                <c:pt idx="58">
                  <c:v>45377</c:v>
                </c:pt>
                <c:pt idx="59">
                  <c:v>45378</c:v>
                </c:pt>
                <c:pt idx="60">
                  <c:v>45379</c:v>
                </c:pt>
                <c:pt idx="61">
                  <c:v>45383</c:v>
                </c:pt>
                <c:pt idx="62">
                  <c:v>45384</c:v>
                </c:pt>
                <c:pt idx="63">
                  <c:v>45385</c:v>
                </c:pt>
                <c:pt idx="64">
                  <c:v>45386</c:v>
                </c:pt>
                <c:pt idx="65">
                  <c:v>45387</c:v>
                </c:pt>
                <c:pt idx="66">
                  <c:v>45390</c:v>
                </c:pt>
                <c:pt idx="67">
                  <c:v>45391</c:v>
                </c:pt>
                <c:pt idx="68">
                  <c:v>45392</c:v>
                </c:pt>
                <c:pt idx="69">
                  <c:v>45393</c:v>
                </c:pt>
                <c:pt idx="70">
                  <c:v>45394</c:v>
                </c:pt>
                <c:pt idx="71">
                  <c:v>45397</c:v>
                </c:pt>
                <c:pt idx="72">
                  <c:v>45398</c:v>
                </c:pt>
                <c:pt idx="73">
                  <c:v>45399</c:v>
                </c:pt>
                <c:pt idx="74">
                  <c:v>45400</c:v>
                </c:pt>
                <c:pt idx="75">
                  <c:v>45401</c:v>
                </c:pt>
                <c:pt idx="76">
                  <c:v>45404</c:v>
                </c:pt>
                <c:pt idx="77">
                  <c:v>45405</c:v>
                </c:pt>
                <c:pt idx="78">
                  <c:v>45406</c:v>
                </c:pt>
                <c:pt idx="79">
                  <c:v>45407</c:v>
                </c:pt>
                <c:pt idx="80">
                  <c:v>45408</c:v>
                </c:pt>
                <c:pt idx="81">
                  <c:v>45411</c:v>
                </c:pt>
                <c:pt idx="82">
                  <c:v>45412</c:v>
                </c:pt>
                <c:pt idx="83">
                  <c:v>45413</c:v>
                </c:pt>
                <c:pt idx="84">
                  <c:v>45414</c:v>
                </c:pt>
                <c:pt idx="85">
                  <c:v>45415</c:v>
                </c:pt>
                <c:pt idx="86">
                  <c:v>45418</c:v>
                </c:pt>
                <c:pt idx="87">
                  <c:v>45419</c:v>
                </c:pt>
                <c:pt idx="88">
                  <c:v>45420</c:v>
                </c:pt>
                <c:pt idx="89">
                  <c:v>45421</c:v>
                </c:pt>
                <c:pt idx="90">
                  <c:v>45422</c:v>
                </c:pt>
                <c:pt idx="91">
                  <c:v>45425</c:v>
                </c:pt>
                <c:pt idx="92">
                  <c:v>45426</c:v>
                </c:pt>
                <c:pt idx="93">
                  <c:v>45427</c:v>
                </c:pt>
                <c:pt idx="94">
                  <c:v>45428</c:v>
                </c:pt>
                <c:pt idx="95">
                  <c:v>45429</c:v>
                </c:pt>
                <c:pt idx="96">
                  <c:v>45432</c:v>
                </c:pt>
                <c:pt idx="97">
                  <c:v>45433</c:v>
                </c:pt>
                <c:pt idx="98">
                  <c:v>45434</c:v>
                </c:pt>
                <c:pt idx="99">
                  <c:v>45435</c:v>
                </c:pt>
                <c:pt idx="100">
                  <c:v>45436</c:v>
                </c:pt>
                <c:pt idx="101">
                  <c:v>45440</c:v>
                </c:pt>
                <c:pt idx="102">
                  <c:v>45441</c:v>
                </c:pt>
                <c:pt idx="103">
                  <c:v>45442</c:v>
                </c:pt>
                <c:pt idx="104">
                  <c:v>45443</c:v>
                </c:pt>
                <c:pt idx="105">
                  <c:v>45446</c:v>
                </c:pt>
                <c:pt idx="106">
                  <c:v>45447</c:v>
                </c:pt>
                <c:pt idx="107">
                  <c:v>45448</c:v>
                </c:pt>
                <c:pt idx="108">
                  <c:v>45449</c:v>
                </c:pt>
                <c:pt idx="109">
                  <c:v>45450</c:v>
                </c:pt>
                <c:pt idx="110">
                  <c:v>45453</c:v>
                </c:pt>
                <c:pt idx="111">
                  <c:v>45454</c:v>
                </c:pt>
                <c:pt idx="112">
                  <c:v>45455</c:v>
                </c:pt>
                <c:pt idx="113">
                  <c:v>45456</c:v>
                </c:pt>
                <c:pt idx="114">
                  <c:v>45457</c:v>
                </c:pt>
                <c:pt idx="115">
                  <c:v>45460</c:v>
                </c:pt>
                <c:pt idx="116">
                  <c:v>45461</c:v>
                </c:pt>
                <c:pt idx="117">
                  <c:v>45463</c:v>
                </c:pt>
                <c:pt idx="118">
                  <c:v>45464</c:v>
                </c:pt>
                <c:pt idx="119">
                  <c:v>45467</c:v>
                </c:pt>
                <c:pt idx="120">
                  <c:v>45468</c:v>
                </c:pt>
                <c:pt idx="121">
                  <c:v>45469</c:v>
                </c:pt>
                <c:pt idx="122">
                  <c:v>45470</c:v>
                </c:pt>
                <c:pt idx="123">
                  <c:v>45471</c:v>
                </c:pt>
                <c:pt idx="124">
                  <c:v>45474</c:v>
                </c:pt>
                <c:pt idx="125">
                  <c:v>45475</c:v>
                </c:pt>
                <c:pt idx="126">
                  <c:v>45476</c:v>
                </c:pt>
                <c:pt idx="127">
                  <c:v>45478</c:v>
                </c:pt>
                <c:pt idx="128">
                  <c:v>45481</c:v>
                </c:pt>
                <c:pt idx="129">
                  <c:v>45482</c:v>
                </c:pt>
                <c:pt idx="130">
                  <c:v>45483</c:v>
                </c:pt>
                <c:pt idx="131">
                  <c:v>45484</c:v>
                </c:pt>
                <c:pt idx="132">
                  <c:v>45485</c:v>
                </c:pt>
                <c:pt idx="133">
                  <c:v>45488</c:v>
                </c:pt>
                <c:pt idx="134">
                  <c:v>45489</c:v>
                </c:pt>
                <c:pt idx="135">
                  <c:v>45490</c:v>
                </c:pt>
                <c:pt idx="136">
                  <c:v>45491</c:v>
                </c:pt>
                <c:pt idx="137">
                  <c:v>45492</c:v>
                </c:pt>
                <c:pt idx="138">
                  <c:v>45495</c:v>
                </c:pt>
                <c:pt idx="139">
                  <c:v>45496</c:v>
                </c:pt>
                <c:pt idx="140">
                  <c:v>45497</c:v>
                </c:pt>
                <c:pt idx="141">
                  <c:v>45498</c:v>
                </c:pt>
                <c:pt idx="142">
                  <c:v>45499</c:v>
                </c:pt>
                <c:pt idx="143">
                  <c:v>45502</c:v>
                </c:pt>
                <c:pt idx="144">
                  <c:v>45503</c:v>
                </c:pt>
                <c:pt idx="145">
                  <c:v>45504</c:v>
                </c:pt>
                <c:pt idx="146">
                  <c:v>45505</c:v>
                </c:pt>
                <c:pt idx="147">
                  <c:v>45506</c:v>
                </c:pt>
                <c:pt idx="148">
                  <c:v>45509</c:v>
                </c:pt>
                <c:pt idx="149">
                  <c:v>45510</c:v>
                </c:pt>
                <c:pt idx="150">
                  <c:v>45511</c:v>
                </c:pt>
                <c:pt idx="151">
                  <c:v>45512</c:v>
                </c:pt>
                <c:pt idx="152">
                  <c:v>45513</c:v>
                </c:pt>
                <c:pt idx="153">
                  <c:v>45516</c:v>
                </c:pt>
                <c:pt idx="154">
                  <c:v>45517</c:v>
                </c:pt>
                <c:pt idx="155">
                  <c:v>45518</c:v>
                </c:pt>
                <c:pt idx="156">
                  <c:v>45519</c:v>
                </c:pt>
                <c:pt idx="157">
                  <c:v>45520</c:v>
                </c:pt>
                <c:pt idx="158">
                  <c:v>45523</c:v>
                </c:pt>
                <c:pt idx="159">
                  <c:v>45524</c:v>
                </c:pt>
                <c:pt idx="160">
                  <c:v>45525</c:v>
                </c:pt>
                <c:pt idx="161">
                  <c:v>45526</c:v>
                </c:pt>
                <c:pt idx="162">
                  <c:v>45527</c:v>
                </c:pt>
                <c:pt idx="163">
                  <c:v>45530</c:v>
                </c:pt>
                <c:pt idx="164">
                  <c:v>45531</c:v>
                </c:pt>
                <c:pt idx="165">
                  <c:v>45532</c:v>
                </c:pt>
                <c:pt idx="166">
                  <c:v>45533</c:v>
                </c:pt>
                <c:pt idx="167">
                  <c:v>45534</c:v>
                </c:pt>
                <c:pt idx="168">
                  <c:v>45538</c:v>
                </c:pt>
                <c:pt idx="169">
                  <c:v>45539</c:v>
                </c:pt>
                <c:pt idx="170">
                  <c:v>45540</c:v>
                </c:pt>
                <c:pt idx="171">
                  <c:v>45541</c:v>
                </c:pt>
                <c:pt idx="172">
                  <c:v>45544</c:v>
                </c:pt>
                <c:pt idx="173">
                  <c:v>45545</c:v>
                </c:pt>
                <c:pt idx="174">
                  <c:v>45546</c:v>
                </c:pt>
                <c:pt idx="175">
                  <c:v>45547</c:v>
                </c:pt>
                <c:pt idx="176">
                  <c:v>45548</c:v>
                </c:pt>
                <c:pt idx="177">
                  <c:v>45551</c:v>
                </c:pt>
                <c:pt idx="178">
                  <c:v>45552</c:v>
                </c:pt>
                <c:pt idx="179">
                  <c:v>45553</c:v>
                </c:pt>
                <c:pt idx="180">
                  <c:v>45554</c:v>
                </c:pt>
                <c:pt idx="181">
                  <c:v>45555</c:v>
                </c:pt>
                <c:pt idx="182">
                  <c:v>45558</c:v>
                </c:pt>
                <c:pt idx="183">
                  <c:v>45559</c:v>
                </c:pt>
                <c:pt idx="184">
                  <c:v>45560</c:v>
                </c:pt>
                <c:pt idx="185">
                  <c:v>45561</c:v>
                </c:pt>
                <c:pt idx="186">
                  <c:v>45562</c:v>
                </c:pt>
                <c:pt idx="187">
                  <c:v>45565</c:v>
                </c:pt>
                <c:pt idx="188">
                  <c:v>45566</c:v>
                </c:pt>
                <c:pt idx="189">
                  <c:v>45567</c:v>
                </c:pt>
                <c:pt idx="190">
                  <c:v>45568</c:v>
                </c:pt>
                <c:pt idx="191">
                  <c:v>45569</c:v>
                </c:pt>
                <c:pt idx="192">
                  <c:v>45572</c:v>
                </c:pt>
                <c:pt idx="193">
                  <c:v>45573</c:v>
                </c:pt>
                <c:pt idx="194">
                  <c:v>45574</c:v>
                </c:pt>
                <c:pt idx="195">
                  <c:v>45575</c:v>
                </c:pt>
                <c:pt idx="196">
                  <c:v>45576</c:v>
                </c:pt>
                <c:pt idx="197">
                  <c:v>45579</c:v>
                </c:pt>
                <c:pt idx="198">
                  <c:v>45580</c:v>
                </c:pt>
                <c:pt idx="199">
                  <c:v>45581</c:v>
                </c:pt>
                <c:pt idx="200">
                  <c:v>45582</c:v>
                </c:pt>
                <c:pt idx="201">
                  <c:v>45583</c:v>
                </c:pt>
                <c:pt idx="202">
                  <c:v>45586</c:v>
                </c:pt>
                <c:pt idx="203">
                  <c:v>45587</c:v>
                </c:pt>
                <c:pt idx="204">
                  <c:v>45588</c:v>
                </c:pt>
                <c:pt idx="205">
                  <c:v>45589</c:v>
                </c:pt>
                <c:pt idx="206">
                  <c:v>45590</c:v>
                </c:pt>
                <c:pt idx="207">
                  <c:v>45593</c:v>
                </c:pt>
                <c:pt idx="208">
                  <c:v>45594</c:v>
                </c:pt>
                <c:pt idx="209">
                  <c:v>45595</c:v>
                </c:pt>
                <c:pt idx="210">
                  <c:v>45596</c:v>
                </c:pt>
                <c:pt idx="211">
                  <c:v>45597</c:v>
                </c:pt>
                <c:pt idx="212">
                  <c:v>45600</c:v>
                </c:pt>
                <c:pt idx="213">
                  <c:v>45601</c:v>
                </c:pt>
                <c:pt idx="214">
                  <c:v>45602</c:v>
                </c:pt>
                <c:pt idx="215">
                  <c:v>45603</c:v>
                </c:pt>
                <c:pt idx="216">
                  <c:v>45604</c:v>
                </c:pt>
                <c:pt idx="217">
                  <c:v>45607</c:v>
                </c:pt>
                <c:pt idx="218">
                  <c:v>45608</c:v>
                </c:pt>
                <c:pt idx="219">
                  <c:v>45609</c:v>
                </c:pt>
                <c:pt idx="220">
                  <c:v>45610</c:v>
                </c:pt>
                <c:pt idx="221">
                  <c:v>45611</c:v>
                </c:pt>
                <c:pt idx="222">
                  <c:v>45614</c:v>
                </c:pt>
                <c:pt idx="223">
                  <c:v>45615</c:v>
                </c:pt>
                <c:pt idx="224">
                  <c:v>45616</c:v>
                </c:pt>
                <c:pt idx="225">
                  <c:v>45617</c:v>
                </c:pt>
                <c:pt idx="226">
                  <c:v>45618</c:v>
                </c:pt>
                <c:pt idx="227">
                  <c:v>45621</c:v>
                </c:pt>
                <c:pt idx="228">
                  <c:v>45622</c:v>
                </c:pt>
                <c:pt idx="229">
                  <c:v>45623</c:v>
                </c:pt>
                <c:pt idx="230">
                  <c:v>45625</c:v>
                </c:pt>
                <c:pt idx="231">
                  <c:v>45628</c:v>
                </c:pt>
                <c:pt idx="232">
                  <c:v>45629</c:v>
                </c:pt>
                <c:pt idx="233">
                  <c:v>45630</c:v>
                </c:pt>
                <c:pt idx="234">
                  <c:v>45631</c:v>
                </c:pt>
                <c:pt idx="235">
                  <c:v>45632</c:v>
                </c:pt>
                <c:pt idx="236">
                  <c:v>45635</c:v>
                </c:pt>
                <c:pt idx="237">
                  <c:v>45636</c:v>
                </c:pt>
                <c:pt idx="238">
                  <c:v>45637</c:v>
                </c:pt>
                <c:pt idx="239">
                  <c:v>45638</c:v>
                </c:pt>
                <c:pt idx="240">
                  <c:v>45639</c:v>
                </c:pt>
                <c:pt idx="241">
                  <c:v>45642</c:v>
                </c:pt>
                <c:pt idx="242">
                  <c:v>45643</c:v>
                </c:pt>
                <c:pt idx="243">
                  <c:v>45644</c:v>
                </c:pt>
                <c:pt idx="244">
                  <c:v>45645</c:v>
                </c:pt>
                <c:pt idx="245">
                  <c:v>45646</c:v>
                </c:pt>
                <c:pt idx="246">
                  <c:v>45649</c:v>
                </c:pt>
                <c:pt idx="247">
                  <c:v>45650</c:v>
                </c:pt>
                <c:pt idx="248">
                  <c:v>45652</c:v>
                </c:pt>
                <c:pt idx="249">
                  <c:v>45653</c:v>
                </c:pt>
                <c:pt idx="250">
                  <c:v>45656</c:v>
                </c:pt>
                <c:pt idx="251">
                  <c:v>45657</c:v>
                </c:pt>
                <c:pt idx="252">
                  <c:v>45659</c:v>
                </c:pt>
                <c:pt idx="253">
                  <c:v>45660</c:v>
                </c:pt>
                <c:pt idx="254">
                  <c:v>45663</c:v>
                </c:pt>
                <c:pt idx="255">
                  <c:v>45664</c:v>
                </c:pt>
                <c:pt idx="256">
                  <c:v>45665</c:v>
                </c:pt>
                <c:pt idx="257">
                  <c:v>45667</c:v>
                </c:pt>
                <c:pt idx="258">
                  <c:v>45670</c:v>
                </c:pt>
                <c:pt idx="259">
                  <c:v>45671</c:v>
                </c:pt>
                <c:pt idx="260">
                  <c:v>45672</c:v>
                </c:pt>
                <c:pt idx="261">
                  <c:v>45673</c:v>
                </c:pt>
                <c:pt idx="262">
                  <c:v>45674</c:v>
                </c:pt>
                <c:pt idx="263">
                  <c:v>45678</c:v>
                </c:pt>
                <c:pt idx="264">
                  <c:v>45679</c:v>
                </c:pt>
                <c:pt idx="265">
                  <c:v>45680</c:v>
                </c:pt>
                <c:pt idx="266">
                  <c:v>45681</c:v>
                </c:pt>
                <c:pt idx="267">
                  <c:v>45684</c:v>
                </c:pt>
                <c:pt idx="268">
                  <c:v>45685</c:v>
                </c:pt>
                <c:pt idx="269">
                  <c:v>45686</c:v>
                </c:pt>
                <c:pt idx="270">
                  <c:v>45687</c:v>
                </c:pt>
                <c:pt idx="271">
                  <c:v>45688</c:v>
                </c:pt>
                <c:pt idx="272">
                  <c:v>45691</c:v>
                </c:pt>
                <c:pt idx="273">
                  <c:v>45692</c:v>
                </c:pt>
                <c:pt idx="274">
                  <c:v>45693</c:v>
                </c:pt>
                <c:pt idx="275">
                  <c:v>45694</c:v>
                </c:pt>
                <c:pt idx="276">
                  <c:v>45695</c:v>
                </c:pt>
                <c:pt idx="277">
                  <c:v>45698</c:v>
                </c:pt>
                <c:pt idx="278">
                  <c:v>45699</c:v>
                </c:pt>
                <c:pt idx="279">
                  <c:v>45700</c:v>
                </c:pt>
                <c:pt idx="280">
                  <c:v>45701</c:v>
                </c:pt>
                <c:pt idx="281">
                  <c:v>45702</c:v>
                </c:pt>
                <c:pt idx="282">
                  <c:v>45706</c:v>
                </c:pt>
                <c:pt idx="283">
                  <c:v>45707</c:v>
                </c:pt>
                <c:pt idx="284">
                  <c:v>45708</c:v>
                </c:pt>
                <c:pt idx="285">
                  <c:v>45709</c:v>
                </c:pt>
                <c:pt idx="286">
                  <c:v>45712</c:v>
                </c:pt>
                <c:pt idx="287">
                  <c:v>45713</c:v>
                </c:pt>
                <c:pt idx="288">
                  <c:v>45714</c:v>
                </c:pt>
                <c:pt idx="289">
                  <c:v>45715</c:v>
                </c:pt>
                <c:pt idx="290">
                  <c:v>45716</c:v>
                </c:pt>
                <c:pt idx="291">
                  <c:v>45719</c:v>
                </c:pt>
                <c:pt idx="292">
                  <c:v>45720</c:v>
                </c:pt>
                <c:pt idx="293">
                  <c:v>45721</c:v>
                </c:pt>
                <c:pt idx="294">
                  <c:v>45722</c:v>
                </c:pt>
                <c:pt idx="295">
                  <c:v>45723</c:v>
                </c:pt>
                <c:pt idx="296">
                  <c:v>45726</c:v>
                </c:pt>
                <c:pt idx="297">
                  <c:v>45727</c:v>
                </c:pt>
                <c:pt idx="298">
                  <c:v>45728</c:v>
                </c:pt>
                <c:pt idx="299">
                  <c:v>45729</c:v>
                </c:pt>
                <c:pt idx="300">
                  <c:v>45730</c:v>
                </c:pt>
                <c:pt idx="301">
                  <c:v>45733</c:v>
                </c:pt>
                <c:pt idx="302">
                  <c:v>45734</c:v>
                </c:pt>
                <c:pt idx="303">
                  <c:v>45735</c:v>
                </c:pt>
                <c:pt idx="304">
                  <c:v>45736</c:v>
                </c:pt>
                <c:pt idx="305">
                  <c:v>45737</c:v>
                </c:pt>
                <c:pt idx="306">
                  <c:v>45740</c:v>
                </c:pt>
                <c:pt idx="307">
                  <c:v>45741</c:v>
                </c:pt>
                <c:pt idx="308">
                  <c:v>45742</c:v>
                </c:pt>
                <c:pt idx="309">
                  <c:v>45743</c:v>
                </c:pt>
                <c:pt idx="310">
                  <c:v>45744</c:v>
                </c:pt>
                <c:pt idx="311">
                  <c:v>45747</c:v>
                </c:pt>
                <c:pt idx="312">
                  <c:v>45748</c:v>
                </c:pt>
                <c:pt idx="313">
                  <c:v>45749</c:v>
                </c:pt>
                <c:pt idx="314">
                  <c:v>45750</c:v>
                </c:pt>
                <c:pt idx="315">
                  <c:v>45751</c:v>
                </c:pt>
                <c:pt idx="316">
                  <c:v>45754</c:v>
                </c:pt>
                <c:pt idx="317">
                  <c:v>45755</c:v>
                </c:pt>
                <c:pt idx="318">
                  <c:v>45756</c:v>
                </c:pt>
                <c:pt idx="319">
                  <c:v>45757</c:v>
                </c:pt>
                <c:pt idx="320">
                  <c:v>45758</c:v>
                </c:pt>
                <c:pt idx="321">
                  <c:v>45761</c:v>
                </c:pt>
                <c:pt idx="322">
                  <c:v>45762</c:v>
                </c:pt>
                <c:pt idx="323">
                  <c:v>45763</c:v>
                </c:pt>
                <c:pt idx="324">
                  <c:v>45764</c:v>
                </c:pt>
                <c:pt idx="325">
                  <c:v>45768</c:v>
                </c:pt>
                <c:pt idx="326">
                  <c:v>45769</c:v>
                </c:pt>
                <c:pt idx="327">
                  <c:v>45770</c:v>
                </c:pt>
                <c:pt idx="328">
                  <c:v>45771</c:v>
                </c:pt>
                <c:pt idx="329">
                  <c:v>45772</c:v>
                </c:pt>
                <c:pt idx="330">
                  <c:v>45775</c:v>
                </c:pt>
                <c:pt idx="331">
                  <c:v>45776</c:v>
                </c:pt>
                <c:pt idx="332">
                  <c:v>45777</c:v>
                </c:pt>
                <c:pt idx="333">
                  <c:v>45778</c:v>
                </c:pt>
                <c:pt idx="334">
                  <c:v>45779</c:v>
                </c:pt>
                <c:pt idx="335">
                  <c:v>45782</c:v>
                </c:pt>
                <c:pt idx="336">
                  <c:v>45783</c:v>
                </c:pt>
                <c:pt idx="337">
                  <c:v>45784</c:v>
                </c:pt>
                <c:pt idx="338">
                  <c:v>45785</c:v>
                </c:pt>
                <c:pt idx="339">
                  <c:v>45786</c:v>
                </c:pt>
                <c:pt idx="340">
                  <c:v>45789</c:v>
                </c:pt>
                <c:pt idx="341">
                  <c:v>45790</c:v>
                </c:pt>
                <c:pt idx="342">
                  <c:v>45791</c:v>
                </c:pt>
                <c:pt idx="343">
                  <c:v>45792</c:v>
                </c:pt>
                <c:pt idx="344">
                  <c:v>45793</c:v>
                </c:pt>
                <c:pt idx="345">
                  <c:v>45796</c:v>
                </c:pt>
                <c:pt idx="346">
                  <c:v>45797</c:v>
                </c:pt>
                <c:pt idx="347">
                  <c:v>45798</c:v>
                </c:pt>
                <c:pt idx="348">
                  <c:v>45799</c:v>
                </c:pt>
                <c:pt idx="349">
                  <c:v>45800</c:v>
                </c:pt>
                <c:pt idx="350">
                  <c:v>45804</c:v>
                </c:pt>
                <c:pt idx="351">
                  <c:v>45805</c:v>
                </c:pt>
                <c:pt idx="352">
                  <c:v>45806</c:v>
                </c:pt>
                <c:pt idx="353">
                  <c:v>45807</c:v>
                </c:pt>
                <c:pt idx="354">
                  <c:v>45810</c:v>
                </c:pt>
                <c:pt idx="355">
                  <c:v>45811</c:v>
                </c:pt>
                <c:pt idx="356">
                  <c:v>45812</c:v>
                </c:pt>
                <c:pt idx="357">
                  <c:v>45813</c:v>
                </c:pt>
                <c:pt idx="358">
                  <c:v>45814</c:v>
                </c:pt>
                <c:pt idx="359">
                  <c:v>45817</c:v>
                </c:pt>
                <c:pt idx="360">
                  <c:v>45818</c:v>
                </c:pt>
                <c:pt idx="361">
                  <c:v>45819</c:v>
                </c:pt>
                <c:pt idx="362">
                  <c:v>45820</c:v>
                </c:pt>
                <c:pt idx="363">
                  <c:v>45821</c:v>
                </c:pt>
                <c:pt idx="364">
                  <c:v>45824</c:v>
                </c:pt>
                <c:pt idx="365">
                  <c:v>45825</c:v>
                </c:pt>
                <c:pt idx="366">
                  <c:v>45826</c:v>
                </c:pt>
                <c:pt idx="367">
                  <c:v>45828</c:v>
                </c:pt>
                <c:pt idx="368">
                  <c:v>45831</c:v>
                </c:pt>
                <c:pt idx="369">
                  <c:v>45832</c:v>
                </c:pt>
                <c:pt idx="370">
                  <c:v>45833</c:v>
                </c:pt>
                <c:pt idx="371">
                  <c:v>45834</c:v>
                </c:pt>
                <c:pt idx="372">
                  <c:v>45835</c:v>
                </c:pt>
                <c:pt idx="373">
                  <c:v>45838</c:v>
                </c:pt>
                <c:pt idx="374">
                  <c:v>45839</c:v>
                </c:pt>
                <c:pt idx="375">
                  <c:v>45840</c:v>
                </c:pt>
                <c:pt idx="376">
                  <c:v>45841</c:v>
                </c:pt>
                <c:pt idx="377">
                  <c:v>45845</c:v>
                </c:pt>
                <c:pt idx="378">
                  <c:v>45846</c:v>
                </c:pt>
                <c:pt idx="379">
                  <c:v>45847</c:v>
                </c:pt>
                <c:pt idx="380">
                  <c:v>45848</c:v>
                </c:pt>
                <c:pt idx="381">
                  <c:v>45849</c:v>
                </c:pt>
                <c:pt idx="382">
                  <c:v>45852</c:v>
                </c:pt>
                <c:pt idx="383">
                  <c:v>45853</c:v>
                </c:pt>
                <c:pt idx="384">
                  <c:v>45854</c:v>
                </c:pt>
                <c:pt idx="385">
                  <c:v>45855</c:v>
                </c:pt>
                <c:pt idx="386">
                  <c:v>45856</c:v>
                </c:pt>
                <c:pt idx="387">
                  <c:v>45859</c:v>
                </c:pt>
                <c:pt idx="388">
                  <c:v>45860</c:v>
                </c:pt>
                <c:pt idx="389">
                  <c:v>45861</c:v>
                </c:pt>
                <c:pt idx="390">
                  <c:v>45862</c:v>
                </c:pt>
                <c:pt idx="391">
                  <c:v>45863</c:v>
                </c:pt>
                <c:pt idx="392">
                  <c:v>45866</c:v>
                </c:pt>
                <c:pt idx="393">
                  <c:v>45867</c:v>
                </c:pt>
                <c:pt idx="394">
                  <c:v>45868</c:v>
                </c:pt>
                <c:pt idx="395">
                  <c:v>45869</c:v>
                </c:pt>
                <c:pt idx="396">
                  <c:v>45870</c:v>
                </c:pt>
                <c:pt idx="397">
                  <c:v>45873</c:v>
                </c:pt>
                <c:pt idx="398">
                  <c:v>45874</c:v>
                </c:pt>
                <c:pt idx="399">
                  <c:v>45875</c:v>
                </c:pt>
                <c:pt idx="400">
                  <c:v>45876</c:v>
                </c:pt>
                <c:pt idx="401">
                  <c:v>45877</c:v>
                </c:pt>
                <c:pt idx="402">
                  <c:v>45880</c:v>
                </c:pt>
                <c:pt idx="403">
                  <c:v>45881</c:v>
                </c:pt>
                <c:pt idx="404">
                  <c:v>45882</c:v>
                </c:pt>
                <c:pt idx="405">
                  <c:v>45883</c:v>
                </c:pt>
                <c:pt idx="406">
                  <c:v>45884</c:v>
                </c:pt>
                <c:pt idx="407">
                  <c:v>45887</c:v>
                </c:pt>
                <c:pt idx="408">
                  <c:v>45888</c:v>
                </c:pt>
                <c:pt idx="409">
                  <c:v>45889</c:v>
                </c:pt>
                <c:pt idx="410">
                  <c:v>45890</c:v>
                </c:pt>
                <c:pt idx="411">
                  <c:v>45891</c:v>
                </c:pt>
                <c:pt idx="412">
                  <c:v>45894</c:v>
                </c:pt>
                <c:pt idx="413">
                  <c:v>45895</c:v>
                </c:pt>
                <c:pt idx="414">
                  <c:v>45896</c:v>
                </c:pt>
                <c:pt idx="415">
                  <c:v>45897</c:v>
                </c:pt>
                <c:pt idx="416">
                  <c:v>45898</c:v>
                </c:pt>
                <c:pt idx="417">
                  <c:v>45902</c:v>
                </c:pt>
                <c:pt idx="418">
                  <c:v>45903</c:v>
                </c:pt>
                <c:pt idx="419">
                  <c:v>45904</c:v>
                </c:pt>
                <c:pt idx="420">
                  <c:v>45905</c:v>
                </c:pt>
                <c:pt idx="421">
                  <c:v>45908</c:v>
                </c:pt>
                <c:pt idx="422">
                  <c:v>45909</c:v>
                </c:pt>
                <c:pt idx="423">
                  <c:v>45910</c:v>
                </c:pt>
                <c:pt idx="424">
                  <c:v>45911</c:v>
                </c:pt>
                <c:pt idx="425">
                  <c:v>45912</c:v>
                </c:pt>
                <c:pt idx="426">
                  <c:v>45915</c:v>
                </c:pt>
                <c:pt idx="427">
                  <c:v>45916</c:v>
                </c:pt>
                <c:pt idx="428">
                  <c:v>45917</c:v>
                </c:pt>
                <c:pt idx="429">
                  <c:v>45918</c:v>
                </c:pt>
                <c:pt idx="430">
                  <c:v>45919</c:v>
                </c:pt>
                <c:pt idx="431">
                  <c:v>45922</c:v>
                </c:pt>
                <c:pt idx="432">
                  <c:v>45923</c:v>
                </c:pt>
                <c:pt idx="433">
                  <c:v>45924</c:v>
                </c:pt>
                <c:pt idx="434">
                  <c:v>45925</c:v>
                </c:pt>
                <c:pt idx="435">
                  <c:v>45926</c:v>
                </c:pt>
                <c:pt idx="436">
                  <c:v>45929</c:v>
                </c:pt>
                <c:pt idx="437">
                  <c:v>45930</c:v>
                </c:pt>
                <c:pt idx="438">
                  <c:v>45931</c:v>
                </c:pt>
                <c:pt idx="439">
                  <c:v>45932</c:v>
                </c:pt>
                <c:pt idx="440">
                  <c:v>45933</c:v>
                </c:pt>
                <c:pt idx="441">
                  <c:v>45936</c:v>
                </c:pt>
                <c:pt idx="442">
                  <c:v>45937</c:v>
                </c:pt>
                <c:pt idx="443">
                  <c:v>45938</c:v>
                </c:pt>
                <c:pt idx="444">
                  <c:v>45939</c:v>
                </c:pt>
                <c:pt idx="445">
                  <c:v>45940</c:v>
                </c:pt>
                <c:pt idx="446">
                  <c:v>45943</c:v>
                </c:pt>
                <c:pt idx="447">
                  <c:v>45944</c:v>
                </c:pt>
                <c:pt idx="448">
                  <c:v>45945</c:v>
                </c:pt>
                <c:pt idx="449">
                  <c:v>45946</c:v>
                </c:pt>
                <c:pt idx="450">
                  <c:v>45947</c:v>
                </c:pt>
                <c:pt idx="451">
                  <c:v>45950</c:v>
                </c:pt>
                <c:pt idx="452">
                  <c:v>45951</c:v>
                </c:pt>
                <c:pt idx="453">
                  <c:v>45952</c:v>
                </c:pt>
                <c:pt idx="454">
                  <c:v>45953</c:v>
                </c:pt>
                <c:pt idx="455">
                  <c:v>45954</c:v>
                </c:pt>
                <c:pt idx="456">
                  <c:v>45957</c:v>
                </c:pt>
                <c:pt idx="457">
                  <c:v>45958</c:v>
                </c:pt>
                <c:pt idx="458">
                  <c:v>45959</c:v>
                </c:pt>
                <c:pt idx="459">
                  <c:v>45960</c:v>
                </c:pt>
                <c:pt idx="460">
                  <c:v>45961</c:v>
                </c:pt>
                <c:pt idx="461">
                  <c:v>45964</c:v>
                </c:pt>
                <c:pt idx="462">
                  <c:v>45965</c:v>
                </c:pt>
                <c:pt idx="463">
                  <c:v>45966</c:v>
                </c:pt>
                <c:pt idx="464">
                  <c:v>45967</c:v>
                </c:pt>
                <c:pt idx="465">
                  <c:v>45968</c:v>
                </c:pt>
                <c:pt idx="466">
                  <c:v>45971</c:v>
                </c:pt>
                <c:pt idx="467">
                  <c:v>45972</c:v>
                </c:pt>
                <c:pt idx="468">
                  <c:v>45973</c:v>
                </c:pt>
                <c:pt idx="469">
                  <c:v>45974</c:v>
                </c:pt>
                <c:pt idx="470">
                  <c:v>45975</c:v>
                </c:pt>
                <c:pt idx="471">
                  <c:v>45978</c:v>
                </c:pt>
                <c:pt idx="472">
                  <c:v>45979</c:v>
                </c:pt>
                <c:pt idx="473">
                  <c:v>45980</c:v>
                </c:pt>
                <c:pt idx="474">
                  <c:v>45981</c:v>
                </c:pt>
                <c:pt idx="475">
                  <c:v>45982</c:v>
                </c:pt>
                <c:pt idx="476">
                  <c:v>45985</c:v>
                </c:pt>
                <c:pt idx="477">
                  <c:v>45986</c:v>
                </c:pt>
                <c:pt idx="478">
                  <c:v>45987</c:v>
                </c:pt>
                <c:pt idx="479">
                  <c:v>45989</c:v>
                </c:pt>
                <c:pt idx="480">
                  <c:v>45992</c:v>
                </c:pt>
                <c:pt idx="481">
                  <c:v>45993</c:v>
                </c:pt>
                <c:pt idx="482">
                  <c:v>45994</c:v>
                </c:pt>
                <c:pt idx="483">
                  <c:v>45995</c:v>
                </c:pt>
                <c:pt idx="484">
                  <c:v>45996</c:v>
                </c:pt>
                <c:pt idx="485">
                  <c:v>45999</c:v>
                </c:pt>
                <c:pt idx="486">
                  <c:v>46000</c:v>
                </c:pt>
                <c:pt idx="487">
                  <c:v>46001</c:v>
                </c:pt>
                <c:pt idx="488">
                  <c:v>46002</c:v>
                </c:pt>
                <c:pt idx="489">
                  <c:v>46003</c:v>
                </c:pt>
                <c:pt idx="490">
                  <c:v>46006</c:v>
                </c:pt>
                <c:pt idx="491">
                  <c:v>46007</c:v>
                </c:pt>
                <c:pt idx="492">
                  <c:v>46008</c:v>
                </c:pt>
                <c:pt idx="493">
                  <c:v>46009</c:v>
                </c:pt>
                <c:pt idx="494">
                  <c:v>46010</c:v>
                </c:pt>
                <c:pt idx="495">
                  <c:v>46013</c:v>
                </c:pt>
                <c:pt idx="496">
                  <c:v>46014</c:v>
                </c:pt>
                <c:pt idx="497">
                  <c:v>46015</c:v>
                </c:pt>
                <c:pt idx="498">
                  <c:v>46017</c:v>
                </c:pt>
                <c:pt idx="499">
                  <c:v>46020</c:v>
                </c:pt>
                <c:pt idx="500">
                  <c:v>46021</c:v>
                </c:pt>
                <c:pt idx="501">
                  <c:v>46022</c:v>
                </c:pt>
                <c:pt idx="502">
                  <c:v>46024</c:v>
                </c:pt>
                <c:pt idx="503">
                  <c:v>46027</c:v>
                </c:pt>
                <c:pt idx="504">
                  <c:v>46028</c:v>
                </c:pt>
                <c:pt idx="505">
                  <c:v>46029</c:v>
                </c:pt>
                <c:pt idx="506">
                  <c:v>46030</c:v>
                </c:pt>
                <c:pt idx="507">
                  <c:v>46031</c:v>
                </c:pt>
                <c:pt idx="508">
                  <c:v>46034</c:v>
                </c:pt>
                <c:pt idx="509">
                  <c:v>46035</c:v>
                </c:pt>
                <c:pt idx="510">
                  <c:v>46036</c:v>
                </c:pt>
                <c:pt idx="511">
                  <c:v>46037</c:v>
                </c:pt>
                <c:pt idx="512">
                  <c:v>46038</c:v>
                </c:pt>
              </c:numCache>
            </c:numRef>
          </c:cat>
          <c:val>
            <c:numRef>
              <c:f>Data!$C$2:$C$514</c:f>
              <c:numCache>
                <c:formatCode>_([$$-409]* #,##0.00_);_([$$-409]* \(#,##0.00\);_([$$-409]* "-"??_);_(@_)</c:formatCode>
                <c:ptCount val="513"/>
                <c:pt idx="0">
                  <c:v>59.82</c:v>
                </c:pt>
                <c:pt idx="1">
                  <c:v>59.96</c:v>
                </c:pt>
                <c:pt idx="2">
                  <c:v>59.76</c:v>
                </c:pt>
                <c:pt idx="3">
                  <c:v>59.67</c:v>
                </c:pt>
                <c:pt idx="4">
                  <c:v>60.11</c:v>
                </c:pt>
                <c:pt idx="5">
                  <c:v>60</c:v>
                </c:pt>
                <c:pt idx="6">
                  <c:v>60.2</c:v>
                </c:pt>
                <c:pt idx="7">
                  <c:v>59.81</c:v>
                </c:pt>
                <c:pt idx="8">
                  <c:v>60.39</c:v>
                </c:pt>
                <c:pt idx="9">
                  <c:v>59.99</c:v>
                </c:pt>
                <c:pt idx="10">
                  <c:v>59.99</c:v>
                </c:pt>
                <c:pt idx="11">
                  <c:v>60.16</c:v>
                </c:pt>
                <c:pt idx="12">
                  <c:v>59.83</c:v>
                </c:pt>
                <c:pt idx="13">
                  <c:v>59.57</c:v>
                </c:pt>
                <c:pt idx="14">
                  <c:v>59.85</c:v>
                </c:pt>
                <c:pt idx="15">
                  <c:v>58.91</c:v>
                </c:pt>
                <c:pt idx="16">
                  <c:v>59.16</c:v>
                </c:pt>
                <c:pt idx="17">
                  <c:v>59.37</c:v>
                </c:pt>
                <c:pt idx="18">
                  <c:v>59.73</c:v>
                </c:pt>
                <c:pt idx="19">
                  <c:v>59.9</c:v>
                </c:pt>
                <c:pt idx="20">
                  <c:v>59.49</c:v>
                </c:pt>
                <c:pt idx="21">
                  <c:v>60.98</c:v>
                </c:pt>
                <c:pt idx="22">
                  <c:v>60.54</c:v>
                </c:pt>
                <c:pt idx="23">
                  <c:v>60.04</c:v>
                </c:pt>
                <c:pt idx="24">
                  <c:v>59.94</c:v>
                </c:pt>
                <c:pt idx="25">
                  <c:v>59.99</c:v>
                </c:pt>
                <c:pt idx="26">
                  <c:v>59.83</c:v>
                </c:pt>
                <c:pt idx="27">
                  <c:v>59.56</c:v>
                </c:pt>
                <c:pt idx="28">
                  <c:v>59.7</c:v>
                </c:pt>
                <c:pt idx="29">
                  <c:v>59.35</c:v>
                </c:pt>
                <c:pt idx="30">
                  <c:v>59.29</c:v>
                </c:pt>
                <c:pt idx="31">
                  <c:v>59.4</c:v>
                </c:pt>
                <c:pt idx="32">
                  <c:v>59.39</c:v>
                </c:pt>
                <c:pt idx="33">
                  <c:v>60.7</c:v>
                </c:pt>
                <c:pt idx="34">
                  <c:v>61.24</c:v>
                </c:pt>
                <c:pt idx="35">
                  <c:v>61.15</c:v>
                </c:pt>
                <c:pt idx="36">
                  <c:v>61.2</c:v>
                </c:pt>
                <c:pt idx="37">
                  <c:v>60.71</c:v>
                </c:pt>
                <c:pt idx="38">
                  <c:v>60.34</c:v>
                </c:pt>
                <c:pt idx="39">
                  <c:v>60.4</c:v>
                </c:pt>
                <c:pt idx="40">
                  <c:v>60.02</c:v>
                </c:pt>
                <c:pt idx="41">
                  <c:v>59.53</c:v>
                </c:pt>
                <c:pt idx="42">
                  <c:v>59.81</c:v>
                </c:pt>
                <c:pt idx="43">
                  <c:v>59.52</c:v>
                </c:pt>
                <c:pt idx="44">
                  <c:v>59.55</c:v>
                </c:pt>
                <c:pt idx="45">
                  <c:v>59.44</c:v>
                </c:pt>
                <c:pt idx="46">
                  <c:v>59.52</c:v>
                </c:pt>
                <c:pt idx="47">
                  <c:v>60.24</c:v>
                </c:pt>
                <c:pt idx="48">
                  <c:v>60.5</c:v>
                </c:pt>
                <c:pt idx="49">
                  <c:v>61.12</c:v>
                </c:pt>
                <c:pt idx="50">
                  <c:v>60.5</c:v>
                </c:pt>
                <c:pt idx="51">
                  <c:v>59.88</c:v>
                </c:pt>
                <c:pt idx="52">
                  <c:v>60.13</c:v>
                </c:pt>
                <c:pt idx="53">
                  <c:v>60.23</c:v>
                </c:pt>
                <c:pt idx="54">
                  <c:v>60.75</c:v>
                </c:pt>
                <c:pt idx="55">
                  <c:v>60.47</c:v>
                </c:pt>
                <c:pt idx="56">
                  <c:v>60.49</c:v>
                </c:pt>
                <c:pt idx="57">
                  <c:v>60.4</c:v>
                </c:pt>
                <c:pt idx="58">
                  <c:v>60.54</c:v>
                </c:pt>
                <c:pt idx="59">
                  <c:v>61.03</c:v>
                </c:pt>
                <c:pt idx="60">
                  <c:v>61.18</c:v>
                </c:pt>
                <c:pt idx="61">
                  <c:v>60.68</c:v>
                </c:pt>
                <c:pt idx="62">
                  <c:v>60.15</c:v>
                </c:pt>
                <c:pt idx="63">
                  <c:v>59.83</c:v>
                </c:pt>
                <c:pt idx="64">
                  <c:v>59.3</c:v>
                </c:pt>
                <c:pt idx="65">
                  <c:v>59.51</c:v>
                </c:pt>
                <c:pt idx="66">
                  <c:v>59.27</c:v>
                </c:pt>
                <c:pt idx="67">
                  <c:v>59.72</c:v>
                </c:pt>
                <c:pt idx="68">
                  <c:v>58.92</c:v>
                </c:pt>
                <c:pt idx="69">
                  <c:v>59.05</c:v>
                </c:pt>
                <c:pt idx="70">
                  <c:v>58.28</c:v>
                </c:pt>
                <c:pt idx="71">
                  <c:v>58.14</c:v>
                </c:pt>
                <c:pt idx="72">
                  <c:v>58.06</c:v>
                </c:pt>
                <c:pt idx="73">
                  <c:v>58.51</c:v>
                </c:pt>
                <c:pt idx="74">
                  <c:v>58.91</c:v>
                </c:pt>
                <c:pt idx="75">
                  <c:v>60.17</c:v>
                </c:pt>
                <c:pt idx="76">
                  <c:v>60.55</c:v>
                </c:pt>
                <c:pt idx="77">
                  <c:v>60.64</c:v>
                </c:pt>
                <c:pt idx="78">
                  <c:v>61.55</c:v>
                </c:pt>
                <c:pt idx="79">
                  <c:v>61.74</c:v>
                </c:pt>
                <c:pt idx="80">
                  <c:v>61.74</c:v>
                </c:pt>
                <c:pt idx="81">
                  <c:v>62.04</c:v>
                </c:pt>
                <c:pt idx="82">
                  <c:v>61.77</c:v>
                </c:pt>
                <c:pt idx="83">
                  <c:v>61.93</c:v>
                </c:pt>
                <c:pt idx="84">
                  <c:v>61.99</c:v>
                </c:pt>
                <c:pt idx="85">
                  <c:v>62.17</c:v>
                </c:pt>
                <c:pt idx="86">
                  <c:v>62.35</c:v>
                </c:pt>
                <c:pt idx="87">
                  <c:v>62.62</c:v>
                </c:pt>
                <c:pt idx="88">
                  <c:v>62.85</c:v>
                </c:pt>
                <c:pt idx="89">
                  <c:v>62.88</c:v>
                </c:pt>
                <c:pt idx="90">
                  <c:v>63.26</c:v>
                </c:pt>
                <c:pt idx="91">
                  <c:v>63.58</c:v>
                </c:pt>
                <c:pt idx="92">
                  <c:v>63.1</c:v>
                </c:pt>
                <c:pt idx="93">
                  <c:v>63.13</c:v>
                </c:pt>
                <c:pt idx="94">
                  <c:v>63.32</c:v>
                </c:pt>
                <c:pt idx="95">
                  <c:v>63.03</c:v>
                </c:pt>
                <c:pt idx="96">
                  <c:v>62.57</c:v>
                </c:pt>
                <c:pt idx="97">
                  <c:v>62.91</c:v>
                </c:pt>
                <c:pt idx="98">
                  <c:v>63</c:v>
                </c:pt>
                <c:pt idx="99">
                  <c:v>62.09</c:v>
                </c:pt>
                <c:pt idx="100">
                  <c:v>62</c:v>
                </c:pt>
                <c:pt idx="101">
                  <c:v>61.82</c:v>
                </c:pt>
                <c:pt idx="102">
                  <c:v>61.7</c:v>
                </c:pt>
                <c:pt idx="103">
                  <c:v>61.97</c:v>
                </c:pt>
                <c:pt idx="104">
                  <c:v>62.93</c:v>
                </c:pt>
                <c:pt idx="105">
                  <c:v>62.93</c:v>
                </c:pt>
                <c:pt idx="106">
                  <c:v>63.94</c:v>
                </c:pt>
                <c:pt idx="107">
                  <c:v>63.92</c:v>
                </c:pt>
                <c:pt idx="108">
                  <c:v>64.150000000000006</c:v>
                </c:pt>
                <c:pt idx="109">
                  <c:v>63.91</c:v>
                </c:pt>
                <c:pt idx="110">
                  <c:v>63.59</c:v>
                </c:pt>
                <c:pt idx="111">
                  <c:v>63.55</c:v>
                </c:pt>
                <c:pt idx="112">
                  <c:v>62.88</c:v>
                </c:pt>
                <c:pt idx="113">
                  <c:v>62.99</c:v>
                </c:pt>
                <c:pt idx="114">
                  <c:v>62.55</c:v>
                </c:pt>
                <c:pt idx="115">
                  <c:v>62.62</c:v>
                </c:pt>
                <c:pt idx="116">
                  <c:v>62.63</c:v>
                </c:pt>
                <c:pt idx="117">
                  <c:v>62.18</c:v>
                </c:pt>
                <c:pt idx="118">
                  <c:v>62.77</c:v>
                </c:pt>
                <c:pt idx="119">
                  <c:v>63.97</c:v>
                </c:pt>
                <c:pt idx="120">
                  <c:v>63.84</c:v>
                </c:pt>
                <c:pt idx="121">
                  <c:v>64.05</c:v>
                </c:pt>
                <c:pt idx="122">
                  <c:v>63.91</c:v>
                </c:pt>
                <c:pt idx="123">
                  <c:v>63.65</c:v>
                </c:pt>
                <c:pt idx="124">
                  <c:v>63.28</c:v>
                </c:pt>
                <c:pt idx="125">
                  <c:v>63.15</c:v>
                </c:pt>
                <c:pt idx="126">
                  <c:v>63.33</c:v>
                </c:pt>
                <c:pt idx="127">
                  <c:v>63.76</c:v>
                </c:pt>
                <c:pt idx="128">
                  <c:v>62.96</c:v>
                </c:pt>
                <c:pt idx="129">
                  <c:v>62.69</c:v>
                </c:pt>
                <c:pt idx="130">
                  <c:v>62.83</c:v>
                </c:pt>
                <c:pt idx="131">
                  <c:v>63.1</c:v>
                </c:pt>
                <c:pt idx="132">
                  <c:v>63.7</c:v>
                </c:pt>
                <c:pt idx="133">
                  <c:v>63.41</c:v>
                </c:pt>
                <c:pt idx="134">
                  <c:v>64.27</c:v>
                </c:pt>
                <c:pt idx="135">
                  <c:v>65.209999999999994</c:v>
                </c:pt>
                <c:pt idx="136">
                  <c:v>65.19</c:v>
                </c:pt>
                <c:pt idx="137">
                  <c:v>65.290000000000006</c:v>
                </c:pt>
                <c:pt idx="138">
                  <c:v>64.77</c:v>
                </c:pt>
                <c:pt idx="139">
                  <c:v>64.959999999999994</c:v>
                </c:pt>
                <c:pt idx="140">
                  <c:v>65.81</c:v>
                </c:pt>
                <c:pt idx="141">
                  <c:v>66.069999999999993</c:v>
                </c:pt>
                <c:pt idx="142">
                  <c:v>67.05</c:v>
                </c:pt>
                <c:pt idx="143">
                  <c:v>66.83</c:v>
                </c:pt>
                <c:pt idx="144">
                  <c:v>67.680000000000007</c:v>
                </c:pt>
                <c:pt idx="145">
                  <c:v>66.739999999999995</c:v>
                </c:pt>
                <c:pt idx="146">
                  <c:v>67.959999999999994</c:v>
                </c:pt>
                <c:pt idx="147">
                  <c:v>69.33</c:v>
                </c:pt>
                <c:pt idx="148">
                  <c:v>68.099999999999994</c:v>
                </c:pt>
                <c:pt idx="149">
                  <c:v>68.05</c:v>
                </c:pt>
                <c:pt idx="150">
                  <c:v>68.459999999999994</c:v>
                </c:pt>
                <c:pt idx="151">
                  <c:v>68.73</c:v>
                </c:pt>
                <c:pt idx="152">
                  <c:v>68.680000000000007</c:v>
                </c:pt>
                <c:pt idx="153">
                  <c:v>68.17</c:v>
                </c:pt>
                <c:pt idx="154">
                  <c:v>68.459999999999994</c:v>
                </c:pt>
                <c:pt idx="155">
                  <c:v>68.58</c:v>
                </c:pt>
                <c:pt idx="156">
                  <c:v>68.650000000000006</c:v>
                </c:pt>
                <c:pt idx="157">
                  <c:v>69.180000000000007</c:v>
                </c:pt>
                <c:pt idx="158">
                  <c:v>68.98</c:v>
                </c:pt>
                <c:pt idx="159">
                  <c:v>69.38</c:v>
                </c:pt>
                <c:pt idx="160">
                  <c:v>69.569999999999993</c:v>
                </c:pt>
                <c:pt idx="161">
                  <c:v>69.33</c:v>
                </c:pt>
                <c:pt idx="162">
                  <c:v>69.790000000000006</c:v>
                </c:pt>
                <c:pt idx="163">
                  <c:v>70.84</c:v>
                </c:pt>
                <c:pt idx="164">
                  <c:v>71.5</c:v>
                </c:pt>
                <c:pt idx="165">
                  <c:v>71.75</c:v>
                </c:pt>
                <c:pt idx="166">
                  <c:v>72.05</c:v>
                </c:pt>
                <c:pt idx="167">
                  <c:v>72.47</c:v>
                </c:pt>
                <c:pt idx="168">
                  <c:v>73.010000000000005</c:v>
                </c:pt>
                <c:pt idx="169">
                  <c:v>72.56</c:v>
                </c:pt>
                <c:pt idx="170">
                  <c:v>71.17</c:v>
                </c:pt>
                <c:pt idx="171">
                  <c:v>71.14</c:v>
                </c:pt>
                <c:pt idx="172">
                  <c:v>71.849999999999994</c:v>
                </c:pt>
                <c:pt idx="173">
                  <c:v>71.55</c:v>
                </c:pt>
                <c:pt idx="174">
                  <c:v>71.08</c:v>
                </c:pt>
                <c:pt idx="175">
                  <c:v>71.23</c:v>
                </c:pt>
                <c:pt idx="176">
                  <c:v>71.41</c:v>
                </c:pt>
                <c:pt idx="177">
                  <c:v>72.099999999999994</c:v>
                </c:pt>
                <c:pt idx="178">
                  <c:v>71.8</c:v>
                </c:pt>
                <c:pt idx="179">
                  <c:v>71.75</c:v>
                </c:pt>
                <c:pt idx="180">
                  <c:v>70.62</c:v>
                </c:pt>
                <c:pt idx="181">
                  <c:v>71.64</c:v>
                </c:pt>
                <c:pt idx="182">
                  <c:v>71.73</c:v>
                </c:pt>
                <c:pt idx="183">
                  <c:v>71.33</c:v>
                </c:pt>
                <c:pt idx="184">
                  <c:v>71.45</c:v>
                </c:pt>
                <c:pt idx="185">
                  <c:v>71.400000000000006</c:v>
                </c:pt>
                <c:pt idx="186">
                  <c:v>71.790000000000006</c:v>
                </c:pt>
                <c:pt idx="187">
                  <c:v>71.86</c:v>
                </c:pt>
                <c:pt idx="188">
                  <c:v>71.709999999999994</c:v>
                </c:pt>
                <c:pt idx="189">
                  <c:v>71.010000000000005</c:v>
                </c:pt>
                <c:pt idx="190">
                  <c:v>70.52</c:v>
                </c:pt>
                <c:pt idx="191">
                  <c:v>70.17</c:v>
                </c:pt>
                <c:pt idx="192">
                  <c:v>69.010000000000005</c:v>
                </c:pt>
                <c:pt idx="193">
                  <c:v>69.180000000000007</c:v>
                </c:pt>
                <c:pt idx="194">
                  <c:v>69.569999999999993</c:v>
                </c:pt>
                <c:pt idx="195">
                  <c:v>69.25</c:v>
                </c:pt>
                <c:pt idx="196">
                  <c:v>69.569999999999993</c:v>
                </c:pt>
                <c:pt idx="197">
                  <c:v>70.34</c:v>
                </c:pt>
                <c:pt idx="198">
                  <c:v>70.34</c:v>
                </c:pt>
                <c:pt idx="199">
                  <c:v>70.569999999999993</c:v>
                </c:pt>
                <c:pt idx="200">
                  <c:v>69.900000000000006</c:v>
                </c:pt>
                <c:pt idx="201">
                  <c:v>70.44</c:v>
                </c:pt>
                <c:pt idx="202">
                  <c:v>69.45</c:v>
                </c:pt>
                <c:pt idx="203">
                  <c:v>69.45</c:v>
                </c:pt>
                <c:pt idx="204">
                  <c:v>68.010000000000005</c:v>
                </c:pt>
                <c:pt idx="205">
                  <c:v>67.3</c:v>
                </c:pt>
                <c:pt idx="206">
                  <c:v>66.92</c:v>
                </c:pt>
                <c:pt idx="207">
                  <c:v>66.67</c:v>
                </c:pt>
                <c:pt idx="208">
                  <c:v>65.56</c:v>
                </c:pt>
                <c:pt idx="209">
                  <c:v>65.92</c:v>
                </c:pt>
                <c:pt idx="210">
                  <c:v>65.31</c:v>
                </c:pt>
                <c:pt idx="211">
                  <c:v>65.010000000000005</c:v>
                </c:pt>
                <c:pt idx="212">
                  <c:v>65.11</c:v>
                </c:pt>
                <c:pt idx="213">
                  <c:v>65.37</c:v>
                </c:pt>
                <c:pt idx="214">
                  <c:v>63.7</c:v>
                </c:pt>
                <c:pt idx="215">
                  <c:v>63.66</c:v>
                </c:pt>
                <c:pt idx="216">
                  <c:v>63.92</c:v>
                </c:pt>
                <c:pt idx="217">
                  <c:v>63.36</c:v>
                </c:pt>
                <c:pt idx="218">
                  <c:v>63.2</c:v>
                </c:pt>
                <c:pt idx="219">
                  <c:v>63</c:v>
                </c:pt>
                <c:pt idx="220">
                  <c:v>62.55</c:v>
                </c:pt>
                <c:pt idx="221">
                  <c:v>61.74</c:v>
                </c:pt>
                <c:pt idx="222">
                  <c:v>61.86</c:v>
                </c:pt>
                <c:pt idx="223">
                  <c:v>62.59</c:v>
                </c:pt>
                <c:pt idx="224">
                  <c:v>62.99</c:v>
                </c:pt>
                <c:pt idx="225">
                  <c:v>63.76</c:v>
                </c:pt>
                <c:pt idx="226">
                  <c:v>63.92</c:v>
                </c:pt>
                <c:pt idx="227">
                  <c:v>64.38</c:v>
                </c:pt>
                <c:pt idx="228">
                  <c:v>64.55</c:v>
                </c:pt>
                <c:pt idx="229">
                  <c:v>64.430000000000007</c:v>
                </c:pt>
                <c:pt idx="230">
                  <c:v>64.08</c:v>
                </c:pt>
                <c:pt idx="231">
                  <c:v>63.65</c:v>
                </c:pt>
                <c:pt idx="232">
                  <c:v>63.52</c:v>
                </c:pt>
                <c:pt idx="233">
                  <c:v>62.21</c:v>
                </c:pt>
                <c:pt idx="234">
                  <c:v>62.92</c:v>
                </c:pt>
                <c:pt idx="235">
                  <c:v>62.53</c:v>
                </c:pt>
                <c:pt idx="236">
                  <c:v>62.6</c:v>
                </c:pt>
                <c:pt idx="237">
                  <c:v>62.91</c:v>
                </c:pt>
                <c:pt idx="238">
                  <c:v>62.64</c:v>
                </c:pt>
                <c:pt idx="239">
                  <c:v>63.84</c:v>
                </c:pt>
                <c:pt idx="240">
                  <c:v>63.12</c:v>
                </c:pt>
                <c:pt idx="241">
                  <c:v>62.55</c:v>
                </c:pt>
                <c:pt idx="242">
                  <c:v>63.4</c:v>
                </c:pt>
                <c:pt idx="243">
                  <c:v>62.85</c:v>
                </c:pt>
                <c:pt idx="244">
                  <c:v>62.45</c:v>
                </c:pt>
                <c:pt idx="245">
                  <c:v>62.55</c:v>
                </c:pt>
                <c:pt idx="246">
                  <c:v>62.38</c:v>
                </c:pt>
                <c:pt idx="247">
                  <c:v>62.84</c:v>
                </c:pt>
                <c:pt idx="248">
                  <c:v>62.57</c:v>
                </c:pt>
                <c:pt idx="249">
                  <c:v>62.45</c:v>
                </c:pt>
                <c:pt idx="250">
                  <c:v>62.03</c:v>
                </c:pt>
                <c:pt idx="251">
                  <c:v>62.26</c:v>
                </c:pt>
                <c:pt idx="252">
                  <c:v>61.84</c:v>
                </c:pt>
                <c:pt idx="253">
                  <c:v>61.75</c:v>
                </c:pt>
                <c:pt idx="254">
                  <c:v>60.81</c:v>
                </c:pt>
                <c:pt idx="255">
                  <c:v>60.84</c:v>
                </c:pt>
                <c:pt idx="256">
                  <c:v>61.71</c:v>
                </c:pt>
                <c:pt idx="257">
                  <c:v>61.07</c:v>
                </c:pt>
                <c:pt idx="258">
                  <c:v>61.65</c:v>
                </c:pt>
                <c:pt idx="259">
                  <c:v>62.04</c:v>
                </c:pt>
                <c:pt idx="260">
                  <c:v>61.77</c:v>
                </c:pt>
                <c:pt idx="261">
                  <c:v>62.25</c:v>
                </c:pt>
                <c:pt idx="262">
                  <c:v>62.71</c:v>
                </c:pt>
                <c:pt idx="263">
                  <c:v>62.42</c:v>
                </c:pt>
                <c:pt idx="264">
                  <c:v>61.78</c:v>
                </c:pt>
                <c:pt idx="265">
                  <c:v>61.53</c:v>
                </c:pt>
                <c:pt idx="266">
                  <c:v>61.92</c:v>
                </c:pt>
                <c:pt idx="267">
                  <c:v>63.87</c:v>
                </c:pt>
                <c:pt idx="268">
                  <c:v>62.36</c:v>
                </c:pt>
                <c:pt idx="269">
                  <c:v>62.83</c:v>
                </c:pt>
                <c:pt idx="270">
                  <c:v>64.05</c:v>
                </c:pt>
                <c:pt idx="271">
                  <c:v>63.48</c:v>
                </c:pt>
                <c:pt idx="272">
                  <c:v>63.35</c:v>
                </c:pt>
                <c:pt idx="273">
                  <c:v>62.67</c:v>
                </c:pt>
                <c:pt idx="274">
                  <c:v>63.12</c:v>
                </c:pt>
                <c:pt idx="275">
                  <c:v>63.36</c:v>
                </c:pt>
                <c:pt idx="276">
                  <c:v>63.84</c:v>
                </c:pt>
                <c:pt idx="277">
                  <c:v>64.55</c:v>
                </c:pt>
                <c:pt idx="278">
                  <c:v>67.599999999999994</c:v>
                </c:pt>
                <c:pt idx="279">
                  <c:v>68.709999999999994</c:v>
                </c:pt>
                <c:pt idx="280">
                  <c:v>69.5</c:v>
                </c:pt>
                <c:pt idx="281">
                  <c:v>68.87</c:v>
                </c:pt>
                <c:pt idx="282">
                  <c:v>69.05</c:v>
                </c:pt>
                <c:pt idx="283">
                  <c:v>70.069999999999993</c:v>
                </c:pt>
                <c:pt idx="284">
                  <c:v>70.040000000000006</c:v>
                </c:pt>
                <c:pt idx="285">
                  <c:v>71.349999999999994</c:v>
                </c:pt>
                <c:pt idx="286">
                  <c:v>70.59</c:v>
                </c:pt>
                <c:pt idx="287">
                  <c:v>71.489999999999995</c:v>
                </c:pt>
                <c:pt idx="288">
                  <c:v>70.8</c:v>
                </c:pt>
                <c:pt idx="289">
                  <c:v>70.87</c:v>
                </c:pt>
                <c:pt idx="290">
                  <c:v>71.209999999999994</c:v>
                </c:pt>
                <c:pt idx="291">
                  <c:v>72.319999999999993</c:v>
                </c:pt>
                <c:pt idx="292">
                  <c:v>70.19</c:v>
                </c:pt>
                <c:pt idx="293">
                  <c:v>70.08</c:v>
                </c:pt>
                <c:pt idx="294">
                  <c:v>70.459999999999994</c:v>
                </c:pt>
                <c:pt idx="295">
                  <c:v>71.430000000000007</c:v>
                </c:pt>
                <c:pt idx="296">
                  <c:v>71.45</c:v>
                </c:pt>
                <c:pt idx="297">
                  <c:v>71.040000000000006</c:v>
                </c:pt>
                <c:pt idx="298">
                  <c:v>69.94</c:v>
                </c:pt>
                <c:pt idx="299">
                  <c:v>69.62</c:v>
                </c:pt>
                <c:pt idx="300">
                  <c:v>69.16</c:v>
                </c:pt>
                <c:pt idx="301">
                  <c:v>70.12</c:v>
                </c:pt>
                <c:pt idx="302">
                  <c:v>69.38</c:v>
                </c:pt>
                <c:pt idx="303">
                  <c:v>69.28</c:v>
                </c:pt>
                <c:pt idx="304">
                  <c:v>69.709999999999994</c:v>
                </c:pt>
                <c:pt idx="305">
                  <c:v>68.67</c:v>
                </c:pt>
                <c:pt idx="306">
                  <c:v>68.95</c:v>
                </c:pt>
                <c:pt idx="307">
                  <c:v>68.81</c:v>
                </c:pt>
                <c:pt idx="308">
                  <c:v>70.02</c:v>
                </c:pt>
                <c:pt idx="309">
                  <c:v>70.739999999999995</c:v>
                </c:pt>
                <c:pt idx="310">
                  <c:v>70.37</c:v>
                </c:pt>
                <c:pt idx="311">
                  <c:v>71.62</c:v>
                </c:pt>
                <c:pt idx="312">
                  <c:v>71.87</c:v>
                </c:pt>
                <c:pt idx="313">
                  <c:v>71.33</c:v>
                </c:pt>
                <c:pt idx="314">
                  <c:v>73.180000000000007</c:v>
                </c:pt>
                <c:pt idx="315">
                  <c:v>69.930000000000007</c:v>
                </c:pt>
                <c:pt idx="316">
                  <c:v>68.37</c:v>
                </c:pt>
                <c:pt idx="317">
                  <c:v>68.42</c:v>
                </c:pt>
                <c:pt idx="318">
                  <c:v>69.95</c:v>
                </c:pt>
                <c:pt idx="319">
                  <c:v>70.760000000000005</c:v>
                </c:pt>
                <c:pt idx="320">
                  <c:v>71.430000000000007</c:v>
                </c:pt>
                <c:pt idx="321">
                  <c:v>72.45</c:v>
                </c:pt>
                <c:pt idx="322">
                  <c:v>71.86</c:v>
                </c:pt>
                <c:pt idx="323">
                  <c:v>71.680000000000007</c:v>
                </c:pt>
                <c:pt idx="324">
                  <c:v>73</c:v>
                </c:pt>
                <c:pt idx="325">
                  <c:v>72.77</c:v>
                </c:pt>
                <c:pt idx="326">
                  <c:v>73.900000000000006</c:v>
                </c:pt>
                <c:pt idx="327">
                  <c:v>73.3</c:v>
                </c:pt>
                <c:pt idx="328">
                  <c:v>72.52</c:v>
                </c:pt>
                <c:pt idx="329">
                  <c:v>71.91</c:v>
                </c:pt>
                <c:pt idx="330">
                  <c:v>71.790000000000006</c:v>
                </c:pt>
                <c:pt idx="331">
                  <c:v>72.349999999999994</c:v>
                </c:pt>
                <c:pt idx="332">
                  <c:v>72.55</c:v>
                </c:pt>
                <c:pt idx="333">
                  <c:v>71.290000000000006</c:v>
                </c:pt>
                <c:pt idx="334">
                  <c:v>71.650000000000006</c:v>
                </c:pt>
                <c:pt idx="335">
                  <c:v>71.7</c:v>
                </c:pt>
                <c:pt idx="336">
                  <c:v>71.72</c:v>
                </c:pt>
                <c:pt idx="337">
                  <c:v>72.400000000000006</c:v>
                </c:pt>
                <c:pt idx="338">
                  <c:v>71.17</c:v>
                </c:pt>
                <c:pt idx="339">
                  <c:v>70.52</c:v>
                </c:pt>
                <c:pt idx="340">
                  <c:v>69.53</c:v>
                </c:pt>
                <c:pt idx="341">
                  <c:v>68.959999999999994</c:v>
                </c:pt>
                <c:pt idx="342">
                  <c:v>69.16</c:v>
                </c:pt>
                <c:pt idx="343">
                  <c:v>71.61</c:v>
                </c:pt>
                <c:pt idx="344">
                  <c:v>72</c:v>
                </c:pt>
                <c:pt idx="345">
                  <c:v>71.930000000000007</c:v>
                </c:pt>
                <c:pt idx="346">
                  <c:v>71.69</c:v>
                </c:pt>
                <c:pt idx="347">
                  <c:v>71.849999999999994</c:v>
                </c:pt>
                <c:pt idx="348">
                  <c:v>71.14</c:v>
                </c:pt>
                <c:pt idx="349">
                  <c:v>71.77</c:v>
                </c:pt>
                <c:pt idx="350">
                  <c:v>71.78</c:v>
                </c:pt>
                <c:pt idx="351">
                  <c:v>71.150000000000006</c:v>
                </c:pt>
                <c:pt idx="352">
                  <c:v>71.489999999999995</c:v>
                </c:pt>
                <c:pt idx="353">
                  <c:v>72.099999999999994</c:v>
                </c:pt>
                <c:pt idx="354">
                  <c:v>72</c:v>
                </c:pt>
                <c:pt idx="355">
                  <c:v>71.16</c:v>
                </c:pt>
                <c:pt idx="356">
                  <c:v>71.37</c:v>
                </c:pt>
                <c:pt idx="357">
                  <c:v>70.91</c:v>
                </c:pt>
                <c:pt idx="358">
                  <c:v>71.349999999999994</c:v>
                </c:pt>
                <c:pt idx="359">
                  <c:v>71.77</c:v>
                </c:pt>
                <c:pt idx="360">
                  <c:v>72.349999999999994</c:v>
                </c:pt>
                <c:pt idx="361">
                  <c:v>72.069999999999993</c:v>
                </c:pt>
                <c:pt idx="362">
                  <c:v>72.239999999999995</c:v>
                </c:pt>
                <c:pt idx="363">
                  <c:v>71.02</c:v>
                </c:pt>
                <c:pt idx="364">
                  <c:v>70.52</c:v>
                </c:pt>
                <c:pt idx="365">
                  <c:v>69.62</c:v>
                </c:pt>
                <c:pt idx="366">
                  <c:v>69.209999999999994</c:v>
                </c:pt>
                <c:pt idx="367">
                  <c:v>68.84</c:v>
                </c:pt>
                <c:pt idx="368">
                  <c:v>69.739999999999995</c:v>
                </c:pt>
                <c:pt idx="369">
                  <c:v>70.209999999999994</c:v>
                </c:pt>
                <c:pt idx="370">
                  <c:v>69.63</c:v>
                </c:pt>
                <c:pt idx="371">
                  <c:v>69.47</c:v>
                </c:pt>
                <c:pt idx="372">
                  <c:v>70.33</c:v>
                </c:pt>
                <c:pt idx="373">
                  <c:v>70.75</c:v>
                </c:pt>
                <c:pt idx="374">
                  <c:v>71.67</c:v>
                </c:pt>
                <c:pt idx="375">
                  <c:v>70.91</c:v>
                </c:pt>
                <c:pt idx="376">
                  <c:v>71.349999999999994</c:v>
                </c:pt>
                <c:pt idx="377">
                  <c:v>71.010000000000005</c:v>
                </c:pt>
                <c:pt idx="378">
                  <c:v>70.239999999999995</c:v>
                </c:pt>
                <c:pt idx="379">
                  <c:v>69.48</c:v>
                </c:pt>
                <c:pt idx="380">
                  <c:v>69.77</c:v>
                </c:pt>
                <c:pt idx="381">
                  <c:v>69.87</c:v>
                </c:pt>
                <c:pt idx="382">
                  <c:v>69.47</c:v>
                </c:pt>
                <c:pt idx="383">
                  <c:v>69.36</c:v>
                </c:pt>
                <c:pt idx="384">
                  <c:v>69.27</c:v>
                </c:pt>
                <c:pt idx="385">
                  <c:v>70.59</c:v>
                </c:pt>
                <c:pt idx="386">
                  <c:v>69.849999999999994</c:v>
                </c:pt>
                <c:pt idx="387">
                  <c:v>70.069999999999993</c:v>
                </c:pt>
                <c:pt idx="388">
                  <c:v>69.66</c:v>
                </c:pt>
                <c:pt idx="389">
                  <c:v>69.16</c:v>
                </c:pt>
                <c:pt idx="390">
                  <c:v>69.099999999999994</c:v>
                </c:pt>
                <c:pt idx="391">
                  <c:v>69.17</c:v>
                </c:pt>
                <c:pt idx="392">
                  <c:v>68.09</c:v>
                </c:pt>
                <c:pt idx="393">
                  <c:v>69.38</c:v>
                </c:pt>
                <c:pt idx="394">
                  <c:v>68.75</c:v>
                </c:pt>
                <c:pt idx="395">
                  <c:v>67.89</c:v>
                </c:pt>
                <c:pt idx="396">
                  <c:v>68.86</c:v>
                </c:pt>
                <c:pt idx="397">
                  <c:v>68.959999999999994</c:v>
                </c:pt>
                <c:pt idx="398">
                  <c:v>69.05</c:v>
                </c:pt>
                <c:pt idx="399">
                  <c:v>69.510000000000005</c:v>
                </c:pt>
                <c:pt idx="400">
                  <c:v>70.430000000000007</c:v>
                </c:pt>
                <c:pt idx="401">
                  <c:v>70.34</c:v>
                </c:pt>
                <c:pt idx="402">
                  <c:v>70.75</c:v>
                </c:pt>
                <c:pt idx="403">
                  <c:v>70.709999999999994</c:v>
                </c:pt>
                <c:pt idx="404">
                  <c:v>70.459999999999994</c:v>
                </c:pt>
                <c:pt idx="405">
                  <c:v>69.55</c:v>
                </c:pt>
                <c:pt idx="406">
                  <c:v>69.92</c:v>
                </c:pt>
                <c:pt idx="407">
                  <c:v>69.13</c:v>
                </c:pt>
                <c:pt idx="408">
                  <c:v>70.13</c:v>
                </c:pt>
                <c:pt idx="409">
                  <c:v>70.7</c:v>
                </c:pt>
                <c:pt idx="410">
                  <c:v>70.66</c:v>
                </c:pt>
                <c:pt idx="411">
                  <c:v>70.13</c:v>
                </c:pt>
                <c:pt idx="412">
                  <c:v>68.930000000000007</c:v>
                </c:pt>
                <c:pt idx="413">
                  <c:v>68.73</c:v>
                </c:pt>
                <c:pt idx="414">
                  <c:v>68.83</c:v>
                </c:pt>
                <c:pt idx="415">
                  <c:v>68.36</c:v>
                </c:pt>
                <c:pt idx="416">
                  <c:v>68.989999999999995</c:v>
                </c:pt>
                <c:pt idx="417">
                  <c:v>69.06</c:v>
                </c:pt>
                <c:pt idx="418">
                  <c:v>68.989999999999995</c:v>
                </c:pt>
                <c:pt idx="419">
                  <c:v>68.25</c:v>
                </c:pt>
                <c:pt idx="420">
                  <c:v>67.959999999999994</c:v>
                </c:pt>
                <c:pt idx="421">
                  <c:v>67.430000000000007</c:v>
                </c:pt>
                <c:pt idx="422">
                  <c:v>67.86</c:v>
                </c:pt>
                <c:pt idx="423">
                  <c:v>67.819999999999993</c:v>
                </c:pt>
                <c:pt idx="424">
                  <c:v>67.62</c:v>
                </c:pt>
                <c:pt idx="425">
                  <c:v>67.010000000000005</c:v>
                </c:pt>
                <c:pt idx="426">
                  <c:v>66.209999999999994</c:v>
                </c:pt>
                <c:pt idx="427">
                  <c:v>66.239999999999995</c:v>
                </c:pt>
                <c:pt idx="428">
                  <c:v>67.040000000000006</c:v>
                </c:pt>
                <c:pt idx="429">
                  <c:v>66.459999999999994</c:v>
                </c:pt>
                <c:pt idx="430">
                  <c:v>66.430000000000007</c:v>
                </c:pt>
                <c:pt idx="431">
                  <c:v>66.209999999999994</c:v>
                </c:pt>
                <c:pt idx="432">
                  <c:v>66.709999999999994</c:v>
                </c:pt>
                <c:pt idx="433">
                  <c:v>66.45</c:v>
                </c:pt>
                <c:pt idx="434">
                  <c:v>65.98</c:v>
                </c:pt>
                <c:pt idx="435">
                  <c:v>65.67</c:v>
                </c:pt>
                <c:pt idx="436">
                  <c:v>66.040000000000006</c:v>
                </c:pt>
                <c:pt idx="437">
                  <c:v>66.319999999999993</c:v>
                </c:pt>
                <c:pt idx="438">
                  <c:v>66.78</c:v>
                </c:pt>
                <c:pt idx="439">
                  <c:v>66.099999999999994</c:v>
                </c:pt>
                <c:pt idx="440">
                  <c:v>66.650000000000006</c:v>
                </c:pt>
                <c:pt idx="441">
                  <c:v>66.099999999999994</c:v>
                </c:pt>
                <c:pt idx="442">
                  <c:v>66.790000000000006</c:v>
                </c:pt>
                <c:pt idx="443">
                  <c:v>66.12</c:v>
                </c:pt>
                <c:pt idx="444">
                  <c:v>66.37</c:v>
                </c:pt>
                <c:pt idx="445">
                  <c:v>67.040000000000006</c:v>
                </c:pt>
                <c:pt idx="446">
                  <c:v>66.8</c:v>
                </c:pt>
                <c:pt idx="447">
                  <c:v>67.510000000000005</c:v>
                </c:pt>
                <c:pt idx="448">
                  <c:v>67.08</c:v>
                </c:pt>
                <c:pt idx="449">
                  <c:v>67.59</c:v>
                </c:pt>
                <c:pt idx="450">
                  <c:v>68.44</c:v>
                </c:pt>
                <c:pt idx="451">
                  <c:v>68.44</c:v>
                </c:pt>
                <c:pt idx="452">
                  <c:v>71.22</c:v>
                </c:pt>
                <c:pt idx="453">
                  <c:v>70.81</c:v>
                </c:pt>
                <c:pt idx="454">
                  <c:v>69.94</c:v>
                </c:pt>
                <c:pt idx="455">
                  <c:v>69.709999999999994</c:v>
                </c:pt>
                <c:pt idx="456">
                  <c:v>70.06</c:v>
                </c:pt>
                <c:pt idx="457">
                  <c:v>70.16</c:v>
                </c:pt>
                <c:pt idx="458">
                  <c:v>68.349999999999994</c:v>
                </c:pt>
                <c:pt idx="459">
                  <c:v>68.98</c:v>
                </c:pt>
                <c:pt idx="460">
                  <c:v>68.900000000000006</c:v>
                </c:pt>
                <c:pt idx="461">
                  <c:v>67.97</c:v>
                </c:pt>
                <c:pt idx="462">
                  <c:v>68.66</c:v>
                </c:pt>
                <c:pt idx="463">
                  <c:v>68.510000000000005</c:v>
                </c:pt>
                <c:pt idx="464">
                  <c:v>69.06</c:v>
                </c:pt>
                <c:pt idx="465">
                  <c:v>70.55</c:v>
                </c:pt>
                <c:pt idx="466">
                  <c:v>70.52</c:v>
                </c:pt>
                <c:pt idx="467">
                  <c:v>71.61</c:v>
                </c:pt>
                <c:pt idx="468">
                  <c:v>71.510000000000005</c:v>
                </c:pt>
                <c:pt idx="469">
                  <c:v>71.069999999999993</c:v>
                </c:pt>
                <c:pt idx="470">
                  <c:v>71.16</c:v>
                </c:pt>
                <c:pt idx="471">
                  <c:v>70.680000000000007</c:v>
                </c:pt>
                <c:pt idx="472">
                  <c:v>71.22</c:v>
                </c:pt>
                <c:pt idx="473">
                  <c:v>71.11</c:v>
                </c:pt>
                <c:pt idx="474">
                  <c:v>71.209999999999994</c:v>
                </c:pt>
                <c:pt idx="475">
                  <c:v>72.95</c:v>
                </c:pt>
                <c:pt idx="476">
                  <c:v>72.59</c:v>
                </c:pt>
                <c:pt idx="477">
                  <c:v>72.61</c:v>
                </c:pt>
                <c:pt idx="478">
                  <c:v>72.88</c:v>
                </c:pt>
                <c:pt idx="479">
                  <c:v>73.12</c:v>
                </c:pt>
                <c:pt idx="480">
                  <c:v>71.95</c:v>
                </c:pt>
                <c:pt idx="481">
                  <c:v>70.67</c:v>
                </c:pt>
                <c:pt idx="482">
                  <c:v>70.81</c:v>
                </c:pt>
                <c:pt idx="483">
                  <c:v>70.45</c:v>
                </c:pt>
                <c:pt idx="484">
                  <c:v>70</c:v>
                </c:pt>
                <c:pt idx="485">
                  <c:v>70.25</c:v>
                </c:pt>
                <c:pt idx="486">
                  <c:v>70.09</c:v>
                </c:pt>
                <c:pt idx="487">
                  <c:v>70.209999999999994</c:v>
                </c:pt>
                <c:pt idx="488">
                  <c:v>69.11</c:v>
                </c:pt>
                <c:pt idx="489">
                  <c:v>70.52</c:v>
                </c:pt>
                <c:pt idx="490">
                  <c:v>70.97</c:v>
                </c:pt>
                <c:pt idx="491">
                  <c:v>70.37</c:v>
                </c:pt>
                <c:pt idx="492">
                  <c:v>70.67</c:v>
                </c:pt>
                <c:pt idx="493">
                  <c:v>70.36</c:v>
                </c:pt>
                <c:pt idx="494">
                  <c:v>70.06</c:v>
                </c:pt>
                <c:pt idx="495">
                  <c:v>70.209999999999994</c:v>
                </c:pt>
                <c:pt idx="496">
                  <c:v>69.87</c:v>
                </c:pt>
                <c:pt idx="497">
                  <c:v>70.11</c:v>
                </c:pt>
                <c:pt idx="498">
                  <c:v>69.87</c:v>
                </c:pt>
                <c:pt idx="499">
                  <c:v>70.16</c:v>
                </c:pt>
                <c:pt idx="500">
                  <c:v>70.069999999999993</c:v>
                </c:pt>
                <c:pt idx="501">
                  <c:v>69.91</c:v>
                </c:pt>
                <c:pt idx="502">
                  <c:v>69.12</c:v>
                </c:pt>
                <c:pt idx="503">
                  <c:v>67.94</c:v>
                </c:pt>
                <c:pt idx="504">
                  <c:v>67.84</c:v>
                </c:pt>
                <c:pt idx="505">
                  <c:v>67.540000000000006</c:v>
                </c:pt>
                <c:pt idx="506">
                  <c:v>69.37</c:v>
                </c:pt>
                <c:pt idx="507">
                  <c:v>70.510000000000005</c:v>
                </c:pt>
                <c:pt idx="508">
                  <c:v>70.5</c:v>
                </c:pt>
                <c:pt idx="509">
                  <c:v>71.239999999999995</c:v>
                </c:pt>
                <c:pt idx="510">
                  <c:v>71.44</c:v>
                </c:pt>
                <c:pt idx="511">
                  <c:v>70.48</c:v>
                </c:pt>
                <c:pt idx="512">
                  <c:v>70.44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592-4057-AC0F-B85F75168E7F}"/>
            </c:ext>
          </c:extLst>
        </c:ser>
        <c:ser>
          <c:idx val="1"/>
          <c:order val="1"/>
          <c:tx>
            <c:strRef>
              <c:f>Data!$J$1</c:f>
              <c:strCache>
                <c:ptCount val="1"/>
                <c:pt idx="0">
                  <c:v>20d SMA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Data!$B$2:$B$514</c:f>
              <c:numCache>
                <c:formatCode>m/d/yyyy</c:formatCode>
                <c:ptCount val="513"/>
                <c:pt idx="0">
                  <c:v>45293</c:v>
                </c:pt>
                <c:pt idx="1">
                  <c:v>45294</c:v>
                </c:pt>
                <c:pt idx="2">
                  <c:v>45295</c:v>
                </c:pt>
                <c:pt idx="3">
                  <c:v>45296</c:v>
                </c:pt>
                <c:pt idx="4">
                  <c:v>45299</c:v>
                </c:pt>
                <c:pt idx="5">
                  <c:v>45300</c:v>
                </c:pt>
                <c:pt idx="6">
                  <c:v>45301</c:v>
                </c:pt>
                <c:pt idx="7">
                  <c:v>45302</c:v>
                </c:pt>
                <c:pt idx="8">
                  <c:v>45303</c:v>
                </c:pt>
                <c:pt idx="9">
                  <c:v>45307</c:v>
                </c:pt>
                <c:pt idx="10">
                  <c:v>45308</c:v>
                </c:pt>
                <c:pt idx="11">
                  <c:v>45309</c:v>
                </c:pt>
                <c:pt idx="12">
                  <c:v>45310</c:v>
                </c:pt>
                <c:pt idx="13">
                  <c:v>45313</c:v>
                </c:pt>
                <c:pt idx="14">
                  <c:v>45314</c:v>
                </c:pt>
                <c:pt idx="15">
                  <c:v>45315</c:v>
                </c:pt>
                <c:pt idx="16">
                  <c:v>45316</c:v>
                </c:pt>
                <c:pt idx="17">
                  <c:v>45317</c:v>
                </c:pt>
                <c:pt idx="18">
                  <c:v>45320</c:v>
                </c:pt>
                <c:pt idx="19">
                  <c:v>45321</c:v>
                </c:pt>
                <c:pt idx="20">
                  <c:v>45322</c:v>
                </c:pt>
                <c:pt idx="21">
                  <c:v>45323</c:v>
                </c:pt>
                <c:pt idx="22">
                  <c:v>45324</c:v>
                </c:pt>
                <c:pt idx="23">
                  <c:v>45327</c:v>
                </c:pt>
                <c:pt idx="24">
                  <c:v>45328</c:v>
                </c:pt>
                <c:pt idx="25">
                  <c:v>45329</c:v>
                </c:pt>
                <c:pt idx="26">
                  <c:v>45330</c:v>
                </c:pt>
                <c:pt idx="27">
                  <c:v>45331</c:v>
                </c:pt>
                <c:pt idx="28">
                  <c:v>45334</c:v>
                </c:pt>
                <c:pt idx="29">
                  <c:v>45335</c:v>
                </c:pt>
                <c:pt idx="30">
                  <c:v>45336</c:v>
                </c:pt>
                <c:pt idx="31">
                  <c:v>45337</c:v>
                </c:pt>
                <c:pt idx="32">
                  <c:v>45338</c:v>
                </c:pt>
                <c:pt idx="33">
                  <c:v>45342</c:v>
                </c:pt>
                <c:pt idx="34">
                  <c:v>45343</c:v>
                </c:pt>
                <c:pt idx="35">
                  <c:v>45344</c:v>
                </c:pt>
                <c:pt idx="36">
                  <c:v>45345</c:v>
                </c:pt>
                <c:pt idx="37">
                  <c:v>45348</c:v>
                </c:pt>
                <c:pt idx="38">
                  <c:v>45349</c:v>
                </c:pt>
                <c:pt idx="39">
                  <c:v>45350</c:v>
                </c:pt>
                <c:pt idx="40">
                  <c:v>45351</c:v>
                </c:pt>
                <c:pt idx="41">
                  <c:v>45352</c:v>
                </c:pt>
                <c:pt idx="42">
                  <c:v>45355</c:v>
                </c:pt>
                <c:pt idx="43">
                  <c:v>45356</c:v>
                </c:pt>
                <c:pt idx="44">
                  <c:v>45357</c:v>
                </c:pt>
                <c:pt idx="45">
                  <c:v>45358</c:v>
                </c:pt>
                <c:pt idx="46">
                  <c:v>45359</c:v>
                </c:pt>
                <c:pt idx="47">
                  <c:v>45362</c:v>
                </c:pt>
                <c:pt idx="48">
                  <c:v>45363</c:v>
                </c:pt>
                <c:pt idx="49">
                  <c:v>45364</c:v>
                </c:pt>
                <c:pt idx="50">
                  <c:v>45365</c:v>
                </c:pt>
                <c:pt idx="51">
                  <c:v>45366</c:v>
                </c:pt>
                <c:pt idx="52">
                  <c:v>45369</c:v>
                </c:pt>
                <c:pt idx="53">
                  <c:v>45370</c:v>
                </c:pt>
                <c:pt idx="54">
                  <c:v>45371</c:v>
                </c:pt>
                <c:pt idx="55">
                  <c:v>45372</c:v>
                </c:pt>
                <c:pt idx="56">
                  <c:v>45373</c:v>
                </c:pt>
                <c:pt idx="57">
                  <c:v>45376</c:v>
                </c:pt>
                <c:pt idx="58">
                  <c:v>45377</c:v>
                </c:pt>
                <c:pt idx="59">
                  <c:v>45378</c:v>
                </c:pt>
                <c:pt idx="60">
                  <c:v>45379</c:v>
                </c:pt>
                <c:pt idx="61">
                  <c:v>45383</c:v>
                </c:pt>
                <c:pt idx="62">
                  <c:v>45384</c:v>
                </c:pt>
                <c:pt idx="63">
                  <c:v>45385</c:v>
                </c:pt>
                <c:pt idx="64">
                  <c:v>45386</c:v>
                </c:pt>
                <c:pt idx="65">
                  <c:v>45387</c:v>
                </c:pt>
                <c:pt idx="66">
                  <c:v>45390</c:v>
                </c:pt>
                <c:pt idx="67">
                  <c:v>45391</c:v>
                </c:pt>
                <c:pt idx="68">
                  <c:v>45392</c:v>
                </c:pt>
                <c:pt idx="69">
                  <c:v>45393</c:v>
                </c:pt>
                <c:pt idx="70">
                  <c:v>45394</c:v>
                </c:pt>
                <c:pt idx="71">
                  <c:v>45397</c:v>
                </c:pt>
                <c:pt idx="72">
                  <c:v>45398</c:v>
                </c:pt>
                <c:pt idx="73">
                  <c:v>45399</c:v>
                </c:pt>
                <c:pt idx="74">
                  <c:v>45400</c:v>
                </c:pt>
                <c:pt idx="75">
                  <c:v>45401</c:v>
                </c:pt>
                <c:pt idx="76">
                  <c:v>45404</c:v>
                </c:pt>
                <c:pt idx="77">
                  <c:v>45405</c:v>
                </c:pt>
                <c:pt idx="78">
                  <c:v>45406</c:v>
                </c:pt>
                <c:pt idx="79">
                  <c:v>45407</c:v>
                </c:pt>
                <c:pt idx="80">
                  <c:v>45408</c:v>
                </c:pt>
                <c:pt idx="81">
                  <c:v>45411</c:v>
                </c:pt>
                <c:pt idx="82">
                  <c:v>45412</c:v>
                </c:pt>
                <c:pt idx="83">
                  <c:v>45413</c:v>
                </c:pt>
                <c:pt idx="84">
                  <c:v>45414</c:v>
                </c:pt>
                <c:pt idx="85">
                  <c:v>45415</c:v>
                </c:pt>
                <c:pt idx="86">
                  <c:v>45418</c:v>
                </c:pt>
                <c:pt idx="87">
                  <c:v>45419</c:v>
                </c:pt>
                <c:pt idx="88">
                  <c:v>45420</c:v>
                </c:pt>
                <c:pt idx="89">
                  <c:v>45421</c:v>
                </c:pt>
                <c:pt idx="90">
                  <c:v>45422</c:v>
                </c:pt>
                <c:pt idx="91">
                  <c:v>45425</c:v>
                </c:pt>
                <c:pt idx="92">
                  <c:v>45426</c:v>
                </c:pt>
                <c:pt idx="93">
                  <c:v>45427</c:v>
                </c:pt>
                <c:pt idx="94">
                  <c:v>45428</c:v>
                </c:pt>
                <c:pt idx="95">
                  <c:v>45429</c:v>
                </c:pt>
                <c:pt idx="96">
                  <c:v>45432</c:v>
                </c:pt>
                <c:pt idx="97">
                  <c:v>45433</c:v>
                </c:pt>
                <c:pt idx="98">
                  <c:v>45434</c:v>
                </c:pt>
                <c:pt idx="99">
                  <c:v>45435</c:v>
                </c:pt>
                <c:pt idx="100">
                  <c:v>45436</c:v>
                </c:pt>
                <c:pt idx="101">
                  <c:v>45440</c:v>
                </c:pt>
                <c:pt idx="102">
                  <c:v>45441</c:v>
                </c:pt>
                <c:pt idx="103">
                  <c:v>45442</c:v>
                </c:pt>
                <c:pt idx="104">
                  <c:v>45443</c:v>
                </c:pt>
                <c:pt idx="105">
                  <c:v>45446</c:v>
                </c:pt>
                <c:pt idx="106">
                  <c:v>45447</c:v>
                </c:pt>
                <c:pt idx="107">
                  <c:v>45448</c:v>
                </c:pt>
                <c:pt idx="108">
                  <c:v>45449</c:v>
                </c:pt>
                <c:pt idx="109">
                  <c:v>45450</c:v>
                </c:pt>
                <c:pt idx="110">
                  <c:v>45453</c:v>
                </c:pt>
                <c:pt idx="111">
                  <c:v>45454</c:v>
                </c:pt>
                <c:pt idx="112">
                  <c:v>45455</c:v>
                </c:pt>
                <c:pt idx="113">
                  <c:v>45456</c:v>
                </c:pt>
                <c:pt idx="114">
                  <c:v>45457</c:v>
                </c:pt>
                <c:pt idx="115">
                  <c:v>45460</c:v>
                </c:pt>
                <c:pt idx="116">
                  <c:v>45461</c:v>
                </c:pt>
                <c:pt idx="117">
                  <c:v>45463</c:v>
                </c:pt>
                <c:pt idx="118">
                  <c:v>45464</c:v>
                </c:pt>
                <c:pt idx="119">
                  <c:v>45467</c:v>
                </c:pt>
                <c:pt idx="120">
                  <c:v>45468</c:v>
                </c:pt>
                <c:pt idx="121">
                  <c:v>45469</c:v>
                </c:pt>
                <c:pt idx="122">
                  <c:v>45470</c:v>
                </c:pt>
                <c:pt idx="123">
                  <c:v>45471</c:v>
                </c:pt>
                <c:pt idx="124">
                  <c:v>45474</c:v>
                </c:pt>
                <c:pt idx="125">
                  <c:v>45475</c:v>
                </c:pt>
                <c:pt idx="126">
                  <c:v>45476</c:v>
                </c:pt>
                <c:pt idx="127">
                  <c:v>45478</c:v>
                </c:pt>
                <c:pt idx="128">
                  <c:v>45481</c:v>
                </c:pt>
                <c:pt idx="129">
                  <c:v>45482</c:v>
                </c:pt>
                <c:pt idx="130">
                  <c:v>45483</c:v>
                </c:pt>
                <c:pt idx="131">
                  <c:v>45484</c:v>
                </c:pt>
                <c:pt idx="132">
                  <c:v>45485</c:v>
                </c:pt>
                <c:pt idx="133">
                  <c:v>45488</c:v>
                </c:pt>
                <c:pt idx="134">
                  <c:v>45489</c:v>
                </c:pt>
                <c:pt idx="135">
                  <c:v>45490</c:v>
                </c:pt>
                <c:pt idx="136">
                  <c:v>45491</c:v>
                </c:pt>
                <c:pt idx="137">
                  <c:v>45492</c:v>
                </c:pt>
                <c:pt idx="138">
                  <c:v>45495</c:v>
                </c:pt>
                <c:pt idx="139">
                  <c:v>45496</c:v>
                </c:pt>
                <c:pt idx="140">
                  <c:v>45497</c:v>
                </c:pt>
                <c:pt idx="141">
                  <c:v>45498</c:v>
                </c:pt>
                <c:pt idx="142">
                  <c:v>45499</c:v>
                </c:pt>
                <c:pt idx="143">
                  <c:v>45502</c:v>
                </c:pt>
                <c:pt idx="144">
                  <c:v>45503</c:v>
                </c:pt>
                <c:pt idx="145">
                  <c:v>45504</c:v>
                </c:pt>
                <c:pt idx="146">
                  <c:v>45505</c:v>
                </c:pt>
                <c:pt idx="147">
                  <c:v>45506</c:v>
                </c:pt>
                <c:pt idx="148">
                  <c:v>45509</c:v>
                </c:pt>
                <c:pt idx="149">
                  <c:v>45510</c:v>
                </c:pt>
                <c:pt idx="150">
                  <c:v>45511</c:v>
                </c:pt>
                <c:pt idx="151">
                  <c:v>45512</c:v>
                </c:pt>
                <c:pt idx="152">
                  <c:v>45513</c:v>
                </c:pt>
                <c:pt idx="153">
                  <c:v>45516</c:v>
                </c:pt>
                <c:pt idx="154">
                  <c:v>45517</c:v>
                </c:pt>
                <c:pt idx="155">
                  <c:v>45518</c:v>
                </c:pt>
                <c:pt idx="156">
                  <c:v>45519</c:v>
                </c:pt>
                <c:pt idx="157">
                  <c:v>45520</c:v>
                </c:pt>
                <c:pt idx="158">
                  <c:v>45523</c:v>
                </c:pt>
                <c:pt idx="159">
                  <c:v>45524</c:v>
                </c:pt>
                <c:pt idx="160">
                  <c:v>45525</c:v>
                </c:pt>
                <c:pt idx="161">
                  <c:v>45526</c:v>
                </c:pt>
                <c:pt idx="162">
                  <c:v>45527</c:v>
                </c:pt>
                <c:pt idx="163">
                  <c:v>45530</c:v>
                </c:pt>
                <c:pt idx="164">
                  <c:v>45531</c:v>
                </c:pt>
                <c:pt idx="165">
                  <c:v>45532</c:v>
                </c:pt>
                <c:pt idx="166">
                  <c:v>45533</c:v>
                </c:pt>
                <c:pt idx="167">
                  <c:v>45534</c:v>
                </c:pt>
                <c:pt idx="168">
                  <c:v>45538</c:v>
                </c:pt>
                <c:pt idx="169">
                  <c:v>45539</c:v>
                </c:pt>
                <c:pt idx="170">
                  <c:v>45540</c:v>
                </c:pt>
                <c:pt idx="171">
                  <c:v>45541</c:v>
                </c:pt>
                <c:pt idx="172">
                  <c:v>45544</c:v>
                </c:pt>
                <c:pt idx="173">
                  <c:v>45545</c:v>
                </c:pt>
                <c:pt idx="174">
                  <c:v>45546</c:v>
                </c:pt>
                <c:pt idx="175">
                  <c:v>45547</c:v>
                </c:pt>
                <c:pt idx="176">
                  <c:v>45548</c:v>
                </c:pt>
                <c:pt idx="177">
                  <c:v>45551</c:v>
                </c:pt>
                <c:pt idx="178">
                  <c:v>45552</c:v>
                </c:pt>
                <c:pt idx="179">
                  <c:v>45553</c:v>
                </c:pt>
                <c:pt idx="180">
                  <c:v>45554</c:v>
                </c:pt>
                <c:pt idx="181">
                  <c:v>45555</c:v>
                </c:pt>
                <c:pt idx="182">
                  <c:v>45558</c:v>
                </c:pt>
                <c:pt idx="183">
                  <c:v>45559</c:v>
                </c:pt>
                <c:pt idx="184">
                  <c:v>45560</c:v>
                </c:pt>
                <c:pt idx="185">
                  <c:v>45561</c:v>
                </c:pt>
                <c:pt idx="186">
                  <c:v>45562</c:v>
                </c:pt>
                <c:pt idx="187">
                  <c:v>45565</c:v>
                </c:pt>
                <c:pt idx="188">
                  <c:v>45566</c:v>
                </c:pt>
                <c:pt idx="189">
                  <c:v>45567</c:v>
                </c:pt>
                <c:pt idx="190">
                  <c:v>45568</c:v>
                </c:pt>
                <c:pt idx="191">
                  <c:v>45569</c:v>
                </c:pt>
                <c:pt idx="192">
                  <c:v>45572</c:v>
                </c:pt>
                <c:pt idx="193">
                  <c:v>45573</c:v>
                </c:pt>
                <c:pt idx="194">
                  <c:v>45574</c:v>
                </c:pt>
                <c:pt idx="195">
                  <c:v>45575</c:v>
                </c:pt>
                <c:pt idx="196">
                  <c:v>45576</c:v>
                </c:pt>
                <c:pt idx="197">
                  <c:v>45579</c:v>
                </c:pt>
                <c:pt idx="198">
                  <c:v>45580</c:v>
                </c:pt>
                <c:pt idx="199">
                  <c:v>45581</c:v>
                </c:pt>
                <c:pt idx="200">
                  <c:v>45582</c:v>
                </c:pt>
                <c:pt idx="201">
                  <c:v>45583</c:v>
                </c:pt>
                <c:pt idx="202">
                  <c:v>45586</c:v>
                </c:pt>
                <c:pt idx="203">
                  <c:v>45587</c:v>
                </c:pt>
                <c:pt idx="204">
                  <c:v>45588</c:v>
                </c:pt>
                <c:pt idx="205">
                  <c:v>45589</c:v>
                </c:pt>
                <c:pt idx="206">
                  <c:v>45590</c:v>
                </c:pt>
                <c:pt idx="207">
                  <c:v>45593</c:v>
                </c:pt>
                <c:pt idx="208">
                  <c:v>45594</c:v>
                </c:pt>
                <c:pt idx="209">
                  <c:v>45595</c:v>
                </c:pt>
                <c:pt idx="210">
                  <c:v>45596</c:v>
                </c:pt>
                <c:pt idx="211">
                  <c:v>45597</c:v>
                </c:pt>
                <c:pt idx="212">
                  <c:v>45600</c:v>
                </c:pt>
                <c:pt idx="213">
                  <c:v>45601</c:v>
                </c:pt>
                <c:pt idx="214">
                  <c:v>45602</c:v>
                </c:pt>
                <c:pt idx="215">
                  <c:v>45603</c:v>
                </c:pt>
                <c:pt idx="216">
                  <c:v>45604</c:v>
                </c:pt>
                <c:pt idx="217">
                  <c:v>45607</c:v>
                </c:pt>
                <c:pt idx="218">
                  <c:v>45608</c:v>
                </c:pt>
                <c:pt idx="219">
                  <c:v>45609</c:v>
                </c:pt>
                <c:pt idx="220">
                  <c:v>45610</c:v>
                </c:pt>
                <c:pt idx="221">
                  <c:v>45611</c:v>
                </c:pt>
                <c:pt idx="222">
                  <c:v>45614</c:v>
                </c:pt>
                <c:pt idx="223">
                  <c:v>45615</c:v>
                </c:pt>
                <c:pt idx="224">
                  <c:v>45616</c:v>
                </c:pt>
                <c:pt idx="225">
                  <c:v>45617</c:v>
                </c:pt>
                <c:pt idx="226">
                  <c:v>45618</c:v>
                </c:pt>
                <c:pt idx="227">
                  <c:v>45621</c:v>
                </c:pt>
                <c:pt idx="228">
                  <c:v>45622</c:v>
                </c:pt>
                <c:pt idx="229">
                  <c:v>45623</c:v>
                </c:pt>
                <c:pt idx="230">
                  <c:v>45625</c:v>
                </c:pt>
                <c:pt idx="231">
                  <c:v>45628</c:v>
                </c:pt>
                <c:pt idx="232">
                  <c:v>45629</c:v>
                </c:pt>
                <c:pt idx="233">
                  <c:v>45630</c:v>
                </c:pt>
                <c:pt idx="234">
                  <c:v>45631</c:v>
                </c:pt>
                <c:pt idx="235">
                  <c:v>45632</c:v>
                </c:pt>
                <c:pt idx="236">
                  <c:v>45635</c:v>
                </c:pt>
                <c:pt idx="237">
                  <c:v>45636</c:v>
                </c:pt>
                <c:pt idx="238">
                  <c:v>45637</c:v>
                </c:pt>
                <c:pt idx="239">
                  <c:v>45638</c:v>
                </c:pt>
                <c:pt idx="240">
                  <c:v>45639</c:v>
                </c:pt>
                <c:pt idx="241">
                  <c:v>45642</c:v>
                </c:pt>
                <c:pt idx="242">
                  <c:v>45643</c:v>
                </c:pt>
                <c:pt idx="243">
                  <c:v>45644</c:v>
                </c:pt>
                <c:pt idx="244">
                  <c:v>45645</c:v>
                </c:pt>
                <c:pt idx="245">
                  <c:v>45646</c:v>
                </c:pt>
                <c:pt idx="246">
                  <c:v>45649</c:v>
                </c:pt>
                <c:pt idx="247">
                  <c:v>45650</c:v>
                </c:pt>
                <c:pt idx="248">
                  <c:v>45652</c:v>
                </c:pt>
                <c:pt idx="249">
                  <c:v>45653</c:v>
                </c:pt>
                <c:pt idx="250">
                  <c:v>45656</c:v>
                </c:pt>
                <c:pt idx="251">
                  <c:v>45657</c:v>
                </c:pt>
                <c:pt idx="252">
                  <c:v>45659</c:v>
                </c:pt>
                <c:pt idx="253">
                  <c:v>45660</c:v>
                </c:pt>
                <c:pt idx="254">
                  <c:v>45663</c:v>
                </c:pt>
                <c:pt idx="255">
                  <c:v>45664</c:v>
                </c:pt>
                <c:pt idx="256">
                  <c:v>45665</c:v>
                </c:pt>
                <c:pt idx="257">
                  <c:v>45667</c:v>
                </c:pt>
                <c:pt idx="258">
                  <c:v>45670</c:v>
                </c:pt>
                <c:pt idx="259">
                  <c:v>45671</c:v>
                </c:pt>
                <c:pt idx="260">
                  <c:v>45672</c:v>
                </c:pt>
                <c:pt idx="261">
                  <c:v>45673</c:v>
                </c:pt>
                <c:pt idx="262">
                  <c:v>45674</c:v>
                </c:pt>
                <c:pt idx="263">
                  <c:v>45678</c:v>
                </c:pt>
                <c:pt idx="264">
                  <c:v>45679</c:v>
                </c:pt>
                <c:pt idx="265">
                  <c:v>45680</c:v>
                </c:pt>
                <c:pt idx="266">
                  <c:v>45681</c:v>
                </c:pt>
                <c:pt idx="267">
                  <c:v>45684</c:v>
                </c:pt>
                <c:pt idx="268">
                  <c:v>45685</c:v>
                </c:pt>
                <c:pt idx="269">
                  <c:v>45686</c:v>
                </c:pt>
                <c:pt idx="270">
                  <c:v>45687</c:v>
                </c:pt>
                <c:pt idx="271">
                  <c:v>45688</c:v>
                </c:pt>
                <c:pt idx="272">
                  <c:v>45691</c:v>
                </c:pt>
                <c:pt idx="273">
                  <c:v>45692</c:v>
                </c:pt>
                <c:pt idx="274">
                  <c:v>45693</c:v>
                </c:pt>
                <c:pt idx="275">
                  <c:v>45694</c:v>
                </c:pt>
                <c:pt idx="276">
                  <c:v>45695</c:v>
                </c:pt>
                <c:pt idx="277">
                  <c:v>45698</c:v>
                </c:pt>
                <c:pt idx="278">
                  <c:v>45699</c:v>
                </c:pt>
                <c:pt idx="279">
                  <c:v>45700</c:v>
                </c:pt>
                <c:pt idx="280">
                  <c:v>45701</c:v>
                </c:pt>
                <c:pt idx="281">
                  <c:v>45702</c:v>
                </c:pt>
                <c:pt idx="282">
                  <c:v>45706</c:v>
                </c:pt>
                <c:pt idx="283">
                  <c:v>45707</c:v>
                </c:pt>
                <c:pt idx="284">
                  <c:v>45708</c:v>
                </c:pt>
                <c:pt idx="285">
                  <c:v>45709</c:v>
                </c:pt>
                <c:pt idx="286">
                  <c:v>45712</c:v>
                </c:pt>
                <c:pt idx="287">
                  <c:v>45713</c:v>
                </c:pt>
                <c:pt idx="288">
                  <c:v>45714</c:v>
                </c:pt>
                <c:pt idx="289">
                  <c:v>45715</c:v>
                </c:pt>
                <c:pt idx="290">
                  <c:v>45716</c:v>
                </c:pt>
                <c:pt idx="291">
                  <c:v>45719</c:v>
                </c:pt>
                <c:pt idx="292">
                  <c:v>45720</c:v>
                </c:pt>
                <c:pt idx="293">
                  <c:v>45721</c:v>
                </c:pt>
                <c:pt idx="294">
                  <c:v>45722</c:v>
                </c:pt>
                <c:pt idx="295">
                  <c:v>45723</c:v>
                </c:pt>
                <c:pt idx="296">
                  <c:v>45726</c:v>
                </c:pt>
                <c:pt idx="297">
                  <c:v>45727</c:v>
                </c:pt>
                <c:pt idx="298">
                  <c:v>45728</c:v>
                </c:pt>
                <c:pt idx="299">
                  <c:v>45729</c:v>
                </c:pt>
                <c:pt idx="300">
                  <c:v>45730</c:v>
                </c:pt>
                <c:pt idx="301">
                  <c:v>45733</c:v>
                </c:pt>
                <c:pt idx="302">
                  <c:v>45734</c:v>
                </c:pt>
                <c:pt idx="303">
                  <c:v>45735</c:v>
                </c:pt>
                <c:pt idx="304">
                  <c:v>45736</c:v>
                </c:pt>
                <c:pt idx="305">
                  <c:v>45737</c:v>
                </c:pt>
                <c:pt idx="306">
                  <c:v>45740</c:v>
                </c:pt>
                <c:pt idx="307">
                  <c:v>45741</c:v>
                </c:pt>
                <c:pt idx="308">
                  <c:v>45742</c:v>
                </c:pt>
                <c:pt idx="309">
                  <c:v>45743</c:v>
                </c:pt>
                <c:pt idx="310">
                  <c:v>45744</c:v>
                </c:pt>
                <c:pt idx="311">
                  <c:v>45747</c:v>
                </c:pt>
                <c:pt idx="312">
                  <c:v>45748</c:v>
                </c:pt>
                <c:pt idx="313">
                  <c:v>45749</c:v>
                </c:pt>
                <c:pt idx="314">
                  <c:v>45750</c:v>
                </c:pt>
                <c:pt idx="315">
                  <c:v>45751</c:v>
                </c:pt>
                <c:pt idx="316">
                  <c:v>45754</c:v>
                </c:pt>
                <c:pt idx="317">
                  <c:v>45755</c:v>
                </c:pt>
                <c:pt idx="318">
                  <c:v>45756</c:v>
                </c:pt>
                <c:pt idx="319">
                  <c:v>45757</c:v>
                </c:pt>
                <c:pt idx="320">
                  <c:v>45758</c:v>
                </c:pt>
                <c:pt idx="321">
                  <c:v>45761</c:v>
                </c:pt>
                <c:pt idx="322">
                  <c:v>45762</c:v>
                </c:pt>
                <c:pt idx="323">
                  <c:v>45763</c:v>
                </c:pt>
                <c:pt idx="324">
                  <c:v>45764</c:v>
                </c:pt>
                <c:pt idx="325">
                  <c:v>45768</c:v>
                </c:pt>
                <c:pt idx="326">
                  <c:v>45769</c:v>
                </c:pt>
                <c:pt idx="327">
                  <c:v>45770</c:v>
                </c:pt>
                <c:pt idx="328">
                  <c:v>45771</c:v>
                </c:pt>
                <c:pt idx="329">
                  <c:v>45772</c:v>
                </c:pt>
                <c:pt idx="330">
                  <c:v>45775</c:v>
                </c:pt>
                <c:pt idx="331">
                  <c:v>45776</c:v>
                </c:pt>
                <c:pt idx="332">
                  <c:v>45777</c:v>
                </c:pt>
                <c:pt idx="333">
                  <c:v>45778</c:v>
                </c:pt>
                <c:pt idx="334">
                  <c:v>45779</c:v>
                </c:pt>
                <c:pt idx="335">
                  <c:v>45782</c:v>
                </c:pt>
                <c:pt idx="336">
                  <c:v>45783</c:v>
                </c:pt>
                <c:pt idx="337">
                  <c:v>45784</c:v>
                </c:pt>
                <c:pt idx="338">
                  <c:v>45785</c:v>
                </c:pt>
                <c:pt idx="339">
                  <c:v>45786</c:v>
                </c:pt>
                <c:pt idx="340">
                  <c:v>45789</c:v>
                </c:pt>
                <c:pt idx="341">
                  <c:v>45790</c:v>
                </c:pt>
                <c:pt idx="342">
                  <c:v>45791</c:v>
                </c:pt>
                <c:pt idx="343">
                  <c:v>45792</c:v>
                </c:pt>
                <c:pt idx="344">
                  <c:v>45793</c:v>
                </c:pt>
                <c:pt idx="345">
                  <c:v>45796</c:v>
                </c:pt>
                <c:pt idx="346">
                  <c:v>45797</c:v>
                </c:pt>
                <c:pt idx="347">
                  <c:v>45798</c:v>
                </c:pt>
                <c:pt idx="348">
                  <c:v>45799</c:v>
                </c:pt>
                <c:pt idx="349">
                  <c:v>45800</c:v>
                </c:pt>
                <c:pt idx="350">
                  <c:v>45804</c:v>
                </c:pt>
                <c:pt idx="351">
                  <c:v>45805</c:v>
                </c:pt>
                <c:pt idx="352">
                  <c:v>45806</c:v>
                </c:pt>
                <c:pt idx="353">
                  <c:v>45807</c:v>
                </c:pt>
                <c:pt idx="354">
                  <c:v>45810</c:v>
                </c:pt>
                <c:pt idx="355">
                  <c:v>45811</c:v>
                </c:pt>
                <c:pt idx="356">
                  <c:v>45812</c:v>
                </c:pt>
                <c:pt idx="357">
                  <c:v>45813</c:v>
                </c:pt>
                <c:pt idx="358">
                  <c:v>45814</c:v>
                </c:pt>
                <c:pt idx="359">
                  <c:v>45817</c:v>
                </c:pt>
                <c:pt idx="360">
                  <c:v>45818</c:v>
                </c:pt>
                <c:pt idx="361">
                  <c:v>45819</c:v>
                </c:pt>
                <c:pt idx="362">
                  <c:v>45820</c:v>
                </c:pt>
                <c:pt idx="363">
                  <c:v>45821</c:v>
                </c:pt>
                <c:pt idx="364">
                  <c:v>45824</c:v>
                </c:pt>
                <c:pt idx="365">
                  <c:v>45825</c:v>
                </c:pt>
                <c:pt idx="366">
                  <c:v>45826</c:v>
                </c:pt>
                <c:pt idx="367">
                  <c:v>45828</c:v>
                </c:pt>
                <c:pt idx="368">
                  <c:v>45831</c:v>
                </c:pt>
                <c:pt idx="369">
                  <c:v>45832</c:v>
                </c:pt>
                <c:pt idx="370">
                  <c:v>45833</c:v>
                </c:pt>
                <c:pt idx="371">
                  <c:v>45834</c:v>
                </c:pt>
                <c:pt idx="372">
                  <c:v>45835</c:v>
                </c:pt>
                <c:pt idx="373">
                  <c:v>45838</c:v>
                </c:pt>
                <c:pt idx="374">
                  <c:v>45839</c:v>
                </c:pt>
                <c:pt idx="375">
                  <c:v>45840</c:v>
                </c:pt>
                <c:pt idx="376">
                  <c:v>45841</c:v>
                </c:pt>
                <c:pt idx="377">
                  <c:v>45845</c:v>
                </c:pt>
                <c:pt idx="378">
                  <c:v>45846</c:v>
                </c:pt>
                <c:pt idx="379">
                  <c:v>45847</c:v>
                </c:pt>
                <c:pt idx="380">
                  <c:v>45848</c:v>
                </c:pt>
                <c:pt idx="381">
                  <c:v>45849</c:v>
                </c:pt>
                <c:pt idx="382">
                  <c:v>45852</c:v>
                </c:pt>
                <c:pt idx="383">
                  <c:v>45853</c:v>
                </c:pt>
                <c:pt idx="384">
                  <c:v>45854</c:v>
                </c:pt>
                <c:pt idx="385">
                  <c:v>45855</c:v>
                </c:pt>
                <c:pt idx="386">
                  <c:v>45856</c:v>
                </c:pt>
                <c:pt idx="387">
                  <c:v>45859</c:v>
                </c:pt>
                <c:pt idx="388">
                  <c:v>45860</c:v>
                </c:pt>
                <c:pt idx="389">
                  <c:v>45861</c:v>
                </c:pt>
                <c:pt idx="390">
                  <c:v>45862</c:v>
                </c:pt>
                <c:pt idx="391">
                  <c:v>45863</c:v>
                </c:pt>
                <c:pt idx="392">
                  <c:v>45866</c:v>
                </c:pt>
                <c:pt idx="393">
                  <c:v>45867</c:v>
                </c:pt>
                <c:pt idx="394">
                  <c:v>45868</c:v>
                </c:pt>
                <c:pt idx="395">
                  <c:v>45869</c:v>
                </c:pt>
                <c:pt idx="396">
                  <c:v>45870</c:v>
                </c:pt>
                <c:pt idx="397">
                  <c:v>45873</c:v>
                </c:pt>
                <c:pt idx="398">
                  <c:v>45874</c:v>
                </c:pt>
                <c:pt idx="399">
                  <c:v>45875</c:v>
                </c:pt>
                <c:pt idx="400">
                  <c:v>45876</c:v>
                </c:pt>
                <c:pt idx="401">
                  <c:v>45877</c:v>
                </c:pt>
                <c:pt idx="402">
                  <c:v>45880</c:v>
                </c:pt>
                <c:pt idx="403">
                  <c:v>45881</c:v>
                </c:pt>
                <c:pt idx="404">
                  <c:v>45882</c:v>
                </c:pt>
                <c:pt idx="405">
                  <c:v>45883</c:v>
                </c:pt>
                <c:pt idx="406">
                  <c:v>45884</c:v>
                </c:pt>
                <c:pt idx="407">
                  <c:v>45887</c:v>
                </c:pt>
                <c:pt idx="408">
                  <c:v>45888</c:v>
                </c:pt>
                <c:pt idx="409">
                  <c:v>45889</c:v>
                </c:pt>
                <c:pt idx="410">
                  <c:v>45890</c:v>
                </c:pt>
                <c:pt idx="411">
                  <c:v>45891</c:v>
                </c:pt>
                <c:pt idx="412">
                  <c:v>45894</c:v>
                </c:pt>
                <c:pt idx="413">
                  <c:v>45895</c:v>
                </c:pt>
                <c:pt idx="414">
                  <c:v>45896</c:v>
                </c:pt>
                <c:pt idx="415">
                  <c:v>45897</c:v>
                </c:pt>
                <c:pt idx="416">
                  <c:v>45898</c:v>
                </c:pt>
                <c:pt idx="417">
                  <c:v>45902</c:v>
                </c:pt>
                <c:pt idx="418">
                  <c:v>45903</c:v>
                </c:pt>
                <c:pt idx="419">
                  <c:v>45904</c:v>
                </c:pt>
                <c:pt idx="420">
                  <c:v>45905</c:v>
                </c:pt>
                <c:pt idx="421">
                  <c:v>45908</c:v>
                </c:pt>
                <c:pt idx="422">
                  <c:v>45909</c:v>
                </c:pt>
                <c:pt idx="423">
                  <c:v>45910</c:v>
                </c:pt>
                <c:pt idx="424">
                  <c:v>45911</c:v>
                </c:pt>
                <c:pt idx="425">
                  <c:v>45912</c:v>
                </c:pt>
                <c:pt idx="426">
                  <c:v>45915</c:v>
                </c:pt>
                <c:pt idx="427">
                  <c:v>45916</c:v>
                </c:pt>
                <c:pt idx="428">
                  <c:v>45917</c:v>
                </c:pt>
                <c:pt idx="429">
                  <c:v>45918</c:v>
                </c:pt>
                <c:pt idx="430">
                  <c:v>45919</c:v>
                </c:pt>
                <c:pt idx="431">
                  <c:v>45922</c:v>
                </c:pt>
                <c:pt idx="432">
                  <c:v>45923</c:v>
                </c:pt>
                <c:pt idx="433">
                  <c:v>45924</c:v>
                </c:pt>
                <c:pt idx="434">
                  <c:v>45925</c:v>
                </c:pt>
                <c:pt idx="435">
                  <c:v>45926</c:v>
                </c:pt>
                <c:pt idx="436">
                  <c:v>45929</c:v>
                </c:pt>
                <c:pt idx="437">
                  <c:v>45930</c:v>
                </c:pt>
                <c:pt idx="438">
                  <c:v>45931</c:v>
                </c:pt>
                <c:pt idx="439">
                  <c:v>45932</c:v>
                </c:pt>
                <c:pt idx="440">
                  <c:v>45933</c:v>
                </c:pt>
                <c:pt idx="441">
                  <c:v>45936</c:v>
                </c:pt>
                <c:pt idx="442">
                  <c:v>45937</c:v>
                </c:pt>
                <c:pt idx="443">
                  <c:v>45938</c:v>
                </c:pt>
                <c:pt idx="444">
                  <c:v>45939</c:v>
                </c:pt>
                <c:pt idx="445">
                  <c:v>45940</c:v>
                </c:pt>
                <c:pt idx="446">
                  <c:v>45943</c:v>
                </c:pt>
                <c:pt idx="447">
                  <c:v>45944</c:v>
                </c:pt>
                <c:pt idx="448">
                  <c:v>45945</c:v>
                </c:pt>
                <c:pt idx="449">
                  <c:v>45946</c:v>
                </c:pt>
                <c:pt idx="450">
                  <c:v>45947</c:v>
                </c:pt>
                <c:pt idx="451">
                  <c:v>45950</c:v>
                </c:pt>
                <c:pt idx="452">
                  <c:v>45951</c:v>
                </c:pt>
                <c:pt idx="453">
                  <c:v>45952</c:v>
                </c:pt>
                <c:pt idx="454">
                  <c:v>45953</c:v>
                </c:pt>
                <c:pt idx="455">
                  <c:v>45954</c:v>
                </c:pt>
                <c:pt idx="456">
                  <c:v>45957</c:v>
                </c:pt>
                <c:pt idx="457">
                  <c:v>45958</c:v>
                </c:pt>
                <c:pt idx="458">
                  <c:v>45959</c:v>
                </c:pt>
                <c:pt idx="459">
                  <c:v>45960</c:v>
                </c:pt>
                <c:pt idx="460">
                  <c:v>45961</c:v>
                </c:pt>
                <c:pt idx="461">
                  <c:v>45964</c:v>
                </c:pt>
                <c:pt idx="462">
                  <c:v>45965</c:v>
                </c:pt>
                <c:pt idx="463">
                  <c:v>45966</c:v>
                </c:pt>
                <c:pt idx="464">
                  <c:v>45967</c:v>
                </c:pt>
                <c:pt idx="465">
                  <c:v>45968</c:v>
                </c:pt>
                <c:pt idx="466">
                  <c:v>45971</c:v>
                </c:pt>
                <c:pt idx="467">
                  <c:v>45972</c:v>
                </c:pt>
                <c:pt idx="468">
                  <c:v>45973</c:v>
                </c:pt>
                <c:pt idx="469">
                  <c:v>45974</c:v>
                </c:pt>
                <c:pt idx="470">
                  <c:v>45975</c:v>
                </c:pt>
                <c:pt idx="471">
                  <c:v>45978</c:v>
                </c:pt>
                <c:pt idx="472">
                  <c:v>45979</c:v>
                </c:pt>
                <c:pt idx="473">
                  <c:v>45980</c:v>
                </c:pt>
                <c:pt idx="474">
                  <c:v>45981</c:v>
                </c:pt>
                <c:pt idx="475">
                  <c:v>45982</c:v>
                </c:pt>
                <c:pt idx="476">
                  <c:v>45985</c:v>
                </c:pt>
                <c:pt idx="477">
                  <c:v>45986</c:v>
                </c:pt>
                <c:pt idx="478">
                  <c:v>45987</c:v>
                </c:pt>
                <c:pt idx="479">
                  <c:v>45989</c:v>
                </c:pt>
                <c:pt idx="480">
                  <c:v>45992</c:v>
                </c:pt>
                <c:pt idx="481">
                  <c:v>45993</c:v>
                </c:pt>
                <c:pt idx="482">
                  <c:v>45994</c:v>
                </c:pt>
                <c:pt idx="483">
                  <c:v>45995</c:v>
                </c:pt>
                <c:pt idx="484">
                  <c:v>45996</c:v>
                </c:pt>
                <c:pt idx="485">
                  <c:v>45999</c:v>
                </c:pt>
                <c:pt idx="486">
                  <c:v>46000</c:v>
                </c:pt>
                <c:pt idx="487">
                  <c:v>46001</c:v>
                </c:pt>
                <c:pt idx="488">
                  <c:v>46002</c:v>
                </c:pt>
                <c:pt idx="489">
                  <c:v>46003</c:v>
                </c:pt>
                <c:pt idx="490">
                  <c:v>46006</c:v>
                </c:pt>
                <c:pt idx="491">
                  <c:v>46007</c:v>
                </c:pt>
                <c:pt idx="492">
                  <c:v>46008</c:v>
                </c:pt>
                <c:pt idx="493">
                  <c:v>46009</c:v>
                </c:pt>
                <c:pt idx="494">
                  <c:v>46010</c:v>
                </c:pt>
                <c:pt idx="495">
                  <c:v>46013</c:v>
                </c:pt>
                <c:pt idx="496">
                  <c:v>46014</c:v>
                </c:pt>
                <c:pt idx="497">
                  <c:v>46015</c:v>
                </c:pt>
                <c:pt idx="498">
                  <c:v>46017</c:v>
                </c:pt>
                <c:pt idx="499">
                  <c:v>46020</c:v>
                </c:pt>
                <c:pt idx="500">
                  <c:v>46021</c:v>
                </c:pt>
                <c:pt idx="501">
                  <c:v>46022</c:v>
                </c:pt>
                <c:pt idx="502">
                  <c:v>46024</c:v>
                </c:pt>
                <c:pt idx="503">
                  <c:v>46027</c:v>
                </c:pt>
                <c:pt idx="504">
                  <c:v>46028</c:v>
                </c:pt>
                <c:pt idx="505">
                  <c:v>46029</c:v>
                </c:pt>
                <c:pt idx="506">
                  <c:v>46030</c:v>
                </c:pt>
                <c:pt idx="507">
                  <c:v>46031</c:v>
                </c:pt>
                <c:pt idx="508">
                  <c:v>46034</c:v>
                </c:pt>
                <c:pt idx="509">
                  <c:v>46035</c:v>
                </c:pt>
                <c:pt idx="510">
                  <c:v>46036</c:v>
                </c:pt>
                <c:pt idx="511">
                  <c:v>46037</c:v>
                </c:pt>
                <c:pt idx="512">
                  <c:v>46038</c:v>
                </c:pt>
              </c:numCache>
            </c:numRef>
          </c:cat>
          <c:val>
            <c:numRef>
              <c:f>Data!$J$2:$J$514</c:f>
              <c:numCache>
                <c:formatCode>General</c:formatCode>
                <c:ptCount val="513"/>
                <c:pt idx="19">
                  <c:v>59.809000000000005</c:v>
                </c:pt>
                <c:pt idx="20">
                  <c:v>59.792500000000004</c:v>
                </c:pt>
                <c:pt idx="21">
                  <c:v>59.843500000000006</c:v>
                </c:pt>
                <c:pt idx="22">
                  <c:v>59.882500000000007</c:v>
                </c:pt>
                <c:pt idx="23">
                  <c:v>59.900999999999996</c:v>
                </c:pt>
                <c:pt idx="24">
                  <c:v>59.892499999999998</c:v>
                </c:pt>
                <c:pt idx="25">
                  <c:v>59.891999999999996</c:v>
                </c:pt>
                <c:pt idx="26">
                  <c:v>59.873499999999993</c:v>
                </c:pt>
                <c:pt idx="27">
                  <c:v>59.86099999999999</c:v>
                </c:pt>
                <c:pt idx="28">
                  <c:v>59.826499999999989</c:v>
                </c:pt>
                <c:pt idx="29">
                  <c:v>59.794500000000006</c:v>
                </c:pt>
                <c:pt idx="30">
                  <c:v>59.759500000000003</c:v>
                </c:pt>
                <c:pt idx="31">
                  <c:v>59.721500000000006</c:v>
                </c:pt>
                <c:pt idx="32">
                  <c:v>59.699500000000015</c:v>
                </c:pt>
                <c:pt idx="33">
                  <c:v>59.756000000000007</c:v>
                </c:pt>
                <c:pt idx="34">
                  <c:v>59.825500000000012</c:v>
                </c:pt>
                <c:pt idx="35">
                  <c:v>59.937500000000014</c:v>
                </c:pt>
                <c:pt idx="36">
                  <c:v>60.039500000000011</c:v>
                </c:pt>
                <c:pt idx="37">
                  <c:v>60.106500000000004</c:v>
                </c:pt>
                <c:pt idx="38">
                  <c:v>60.137</c:v>
                </c:pt>
                <c:pt idx="39">
                  <c:v>60.161999999999999</c:v>
                </c:pt>
                <c:pt idx="40">
                  <c:v>60.188499999999998</c:v>
                </c:pt>
                <c:pt idx="41">
                  <c:v>60.116000000000007</c:v>
                </c:pt>
                <c:pt idx="42">
                  <c:v>60.07950000000001</c:v>
                </c:pt>
                <c:pt idx="43">
                  <c:v>60.053500000000007</c:v>
                </c:pt>
                <c:pt idx="44">
                  <c:v>60.034000000000006</c:v>
                </c:pt>
                <c:pt idx="45">
                  <c:v>60.006499999999996</c:v>
                </c:pt>
                <c:pt idx="46">
                  <c:v>59.991</c:v>
                </c:pt>
                <c:pt idx="47">
                  <c:v>60.024999999999999</c:v>
                </c:pt>
                <c:pt idx="48">
                  <c:v>60.064999999999998</c:v>
                </c:pt>
                <c:pt idx="49">
                  <c:v>60.153499999999987</c:v>
                </c:pt>
                <c:pt idx="50">
                  <c:v>60.213999999999984</c:v>
                </c:pt>
                <c:pt idx="51">
                  <c:v>60.238</c:v>
                </c:pt>
                <c:pt idx="52">
                  <c:v>60.274999999999999</c:v>
                </c:pt>
                <c:pt idx="53">
                  <c:v>60.251500000000007</c:v>
                </c:pt>
                <c:pt idx="54">
                  <c:v>60.227000000000011</c:v>
                </c:pt>
                <c:pt idx="55">
                  <c:v>60.192999999999998</c:v>
                </c:pt>
                <c:pt idx="56">
                  <c:v>60.157500000000006</c:v>
                </c:pt>
                <c:pt idx="57">
                  <c:v>60.14200000000001</c:v>
                </c:pt>
                <c:pt idx="58">
                  <c:v>60.152000000000001</c:v>
                </c:pt>
                <c:pt idx="59">
                  <c:v>60.183500000000002</c:v>
                </c:pt>
                <c:pt idx="60">
                  <c:v>60.241500000000009</c:v>
                </c:pt>
                <c:pt idx="61">
                  <c:v>60.299000000000014</c:v>
                </c:pt>
                <c:pt idx="62">
                  <c:v>60.31600000000001</c:v>
                </c:pt>
                <c:pt idx="63">
                  <c:v>60.331500000000005</c:v>
                </c:pt>
                <c:pt idx="64">
                  <c:v>60.318999999999996</c:v>
                </c:pt>
                <c:pt idx="65">
                  <c:v>60.322499999999991</c:v>
                </c:pt>
                <c:pt idx="66">
                  <c:v>60.309999999999988</c:v>
                </c:pt>
                <c:pt idx="67">
                  <c:v>60.283999999999992</c:v>
                </c:pt>
                <c:pt idx="68">
                  <c:v>60.204999999999998</c:v>
                </c:pt>
                <c:pt idx="69">
                  <c:v>60.101500000000001</c:v>
                </c:pt>
                <c:pt idx="70">
                  <c:v>59.990499999999997</c:v>
                </c:pt>
                <c:pt idx="71">
                  <c:v>59.903499999999994</c:v>
                </c:pt>
                <c:pt idx="72">
                  <c:v>59.8</c:v>
                </c:pt>
                <c:pt idx="73">
                  <c:v>59.713999999999999</c:v>
                </c:pt>
                <c:pt idx="74">
                  <c:v>59.621999999999993</c:v>
                </c:pt>
                <c:pt idx="75">
                  <c:v>59.606999999999992</c:v>
                </c:pt>
                <c:pt idx="76">
                  <c:v>59.61</c:v>
                </c:pt>
                <c:pt idx="77">
                  <c:v>59.621999999999993</c:v>
                </c:pt>
                <c:pt idx="78">
                  <c:v>59.672499999999992</c:v>
                </c:pt>
                <c:pt idx="79">
                  <c:v>59.707999999999991</c:v>
                </c:pt>
                <c:pt idx="80">
                  <c:v>59.73599999999999</c:v>
                </c:pt>
                <c:pt idx="81">
                  <c:v>59.803999999999988</c:v>
                </c:pt>
                <c:pt idx="82">
                  <c:v>59.884999999999977</c:v>
                </c:pt>
                <c:pt idx="83">
                  <c:v>59.989999999999995</c:v>
                </c:pt>
                <c:pt idx="84">
                  <c:v>60.124499999999998</c:v>
                </c:pt>
                <c:pt idx="85">
                  <c:v>60.257499999999993</c:v>
                </c:pt>
                <c:pt idx="86">
                  <c:v>60.41149999999999</c:v>
                </c:pt>
                <c:pt idx="87">
                  <c:v>60.556499999999986</c:v>
                </c:pt>
                <c:pt idx="88">
                  <c:v>60.752999999999986</c:v>
                </c:pt>
                <c:pt idx="89">
                  <c:v>60.944499999999984</c:v>
                </c:pt>
                <c:pt idx="90">
                  <c:v>61.193499999999993</c:v>
                </c:pt>
                <c:pt idx="91">
                  <c:v>61.465499999999999</c:v>
                </c:pt>
                <c:pt idx="92">
                  <c:v>61.717499999999994</c:v>
                </c:pt>
                <c:pt idx="93">
                  <c:v>61.948500000000003</c:v>
                </c:pt>
                <c:pt idx="94">
                  <c:v>62.168999999999997</c:v>
                </c:pt>
                <c:pt idx="95">
                  <c:v>62.311999999999998</c:v>
                </c:pt>
                <c:pt idx="96">
                  <c:v>62.412999999999997</c:v>
                </c:pt>
                <c:pt idx="97">
                  <c:v>62.526499999999999</c:v>
                </c:pt>
                <c:pt idx="98">
                  <c:v>62.599000000000011</c:v>
                </c:pt>
                <c:pt idx="99">
                  <c:v>62.616500000000009</c:v>
                </c:pt>
                <c:pt idx="100">
                  <c:v>62.629500000000007</c:v>
                </c:pt>
                <c:pt idx="101">
                  <c:v>62.618499999999997</c:v>
                </c:pt>
                <c:pt idx="102">
                  <c:v>62.614999999999995</c:v>
                </c:pt>
                <c:pt idx="103">
                  <c:v>62.616999999999997</c:v>
                </c:pt>
                <c:pt idx="104">
                  <c:v>62.664000000000009</c:v>
                </c:pt>
                <c:pt idx="105">
                  <c:v>62.702000000000012</c:v>
                </c:pt>
                <c:pt idx="106">
                  <c:v>62.781500000000015</c:v>
                </c:pt>
                <c:pt idx="107">
                  <c:v>62.846500000000013</c:v>
                </c:pt>
                <c:pt idx="108">
                  <c:v>62.911500000000011</c:v>
                </c:pt>
                <c:pt idx="109">
                  <c:v>62.963000000000008</c:v>
                </c:pt>
                <c:pt idx="110">
                  <c:v>62.979500000000009</c:v>
                </c:pt>
                <c:pt idx="111">
                  <c:v>62.977999999999994</c:v>
                </c:pt>
                <c:pt idx="112">
                  <c:v>62.967000000000006</c:v>
                </c:pt>
                <c:pt idx="113">
                  <c:v>62.959999999999994</c:v>
                </c:pt>
                <c:pt idx="114">
                  <c:v>62.921499999999995</c:v>
                </c:pt>
                <c:pt idx="115">
                  <c:v>62.900999999999989</c:v>
                </c:pt>
                <c:pt idx="116">
                  <c:v>62.903999999999982</c:v>
                </c:pt>
                <c:pt idx="117">
                  <c:v>62.867500000000007</c:v>
                </c:pt>
                <c:pt idx="118">
                  <c:v>62.856000000000009</c:v>
                </c:pt>
                <c:pt idx="119">
                  <c:v>62.95</c:v>
                </c:pt>
                <c:pt idx="120">
                  <c:v>63.041999999999994</c:v>
                </c:pt>
                <c:pt idx="121">
                  <c:v>63.153499999999994</c:v>
                </c:pt>
                <c:pt idx="122">
                  <c:v>63.263999999999989</c:v>
                </c:pt>
                <c:pt idx="123">
                  <c:v>63.347999999999999</c:v>
                </c:pt>
                <c:pt idx="124">
                  <c:v>63.365500000000011</c:v>
                </c:pt>
                <c:pt idx="125">
                  <c:v>63.376500000000007</c:v>
                </c:pt>
                <c:pt idx="126">
                  <c:v>63.345999999999989</c:v>
                </c:pt>
                <c:pt idx="127">
                  <c:v>63.338000000000001</c:v>
                </c:pt>
                <c:pt idx="128">
                  <c:v>63.278499999999994</c:v>
                </c:pt>
                <c:pt idx="129">
                  <c:v>63.217499999999994</c:v>
                </c:pt>
                <c:pt idx="130">
                  <c:v>63.179499999999997</c:v>
                </c:pt>
                <c:pt idx="131">
                  <c:v>63.156999999999996</c:v>
                </c:pt>
                <c:pt idx="132">
                  <c:v>63.197999999999993</c:v>
                </c:pt>
                <c:pt idx="133">
                  <c:v>63.219000000000008</c:v>
                </c:pt>
                <c:pt idx="134">
                  <c:v>63.305000000000007</c:v>
                </c:pt>
                <c:pt idx="135">
                  <c:v>63.434500000000014</c:v>
                </c:pt>
                <c:pt idx="136">
                  <c:v>63.562500000000014</c:v>
                </c:pt>
                <c:pt idx="137">
                  <c:v>63.718000000000004</c:v>
                </c:pt>
                <c:pt idx="138">
                  <c:v>63.818000000000005</c:v>
                </c:pt>
                <c:pt idx="139">
                  <c:v>63.867499999999993</c:v>
                </c:pt>
                <c:pt idx="140">
                  <c:v>63.965999999999994</c:v>
                </c:pt>
                <c:pt idx="141">
                  <c:v>64.066999999999993</c:v>
                </c:pt>
                <c:pt idx="142">
                  <c:v>64.22399999999999</c:v>
                </c:pt>
                <c:pt idx="143">
                  <c:v>64.382999999999981</c:v>
                </c:pt>
                <c:pt idx="144">
                  <c:v>64.60299999999998</c:v>
                </c:pt>
                <c:pt idx="145">
                  <c:v>64.782499999999999</c:v>
                </c:pt>
                <c:pt idx="146">
                  <c:v>65.013999999999996</c:v>
                </c:pt>
                <c:pt idx="147">
                  <c:v>65.29249999999999</c:v>
                </c:pt>
                <c:pt idx="148">
                  <c:v>65.549499999999995</c:v>
                </c:pt>
                <c:pt idx="149">
                  <c:v>65.817499999999981</c:v>
                </c:pt>
                <c:pt idx="150">
                  <c:v>66.09899999999999</c:v>
                </c:pt>
                <c:pt idx="151">
                  <c:v>66.380499999999984</c:v>
                </c:pt>
                <c:pt idx="152">
                  <c:v>66.629500000000007</c:v>
                </c:pt>
                <c:pt idx="153">
                  <c:v>66.867500000000007</c:v>
                </c:pt>
                <c:pt idx="154">
                  <c:v>67.077000000000012</c:v>
                </c:pt>
                <c:pt idx="155">
                  <c:v>67.245500000000021</c:v>
                </c:pt>
                <c:pt idx="156">
                  <c:v>67.418500000000023</c:v>
                </c:pt>
                <c:pt idx="157">
                  <c:v>67.613000000000014</c:v>
                </c:pt>
                <c:pt idx="158">
                  <c:v>67.823499999999996</c:v>
                </c:pt>
                <c:pt idx="159">
                  <c:v>68.044500000000014</c:v>
                </c:pt>
                <c:pt idx="160">
                  <c:v>68.232500000000016</c:v>
                </c:pt>
                <c:pt idx="161">
                  <c:v>68.395499999999984</c:v>
                </c:pt>
                <c:pt idx="162">
                  <c:v>68.532499999999999</c:v>
                </c:pt>
                <c:pt idx="163">
                  <c:v>68.73299999999999</c:v>
                </c:pt>
                <c:pt idx="164">
                  <c:v>68.923999999999978</c:v>
                </c:pt>
                <c:pt idx="165">
                  <c:v>69.174499999999995</c:v>
                </c:pt>
                <c:pt idx="166">
                  <c:v>69.378999999999991</c:v>
                </c:pt>
                <c:pt idx="167">
                  <c:v>69.536000000000001</c:v>
                </c:pt>
                <c:pt idx="168">
                  <c:v>69.781500000000008</c:v>
                </c:pt>
                <c:pt idx="169">
                  <c:v>70.007000000000005</c:v>
                </c:pt>
                <c:pt idx="170">
                  <c:v>70.142499999999998</c:v>
                </c:pt>
                <c:pt idx="171">
                  <c:v>70.263000000000005</c:v>
                </c:pt>
                <c:pt idx="172">
                  <c:v>70.421500000000009</c:v>
                </c:pt>
                <c:pt idx="173">
                  <c:v>70.590499999999992</c:v>
                </c:pt>
                <c:pt idx="174">
                  <c:v>70.721500000000006</c:v>
                </c:pt>
                <c:pt idx="175">
                  <c:v>70.853999999999999</c:v>
                </c:pt>
                <c:pt idx="176">
                  <c:v>70.99199999999999</c:v>
                </c:pt>
                <c:pt idx="177">
                  <c:v>71.137999999999991</c:v>
                </c:pt>
                <c:pt idx="178">
                  <c:v>71.278999999999996</c:v>
                </c:pt>
                <c:pt idx="179">
                  <c:v>71.397499999999994</c:v>
                </c:pt>
                <c:pt idx="180">
                  <c:v>71.45</c:v>
                </c:pt>
                <c:pt idx="181">
                  <c:v>71.565500000000014</c:v>
                </c:pt>
                <c:pt idx="182">
                  <c:v>71.662500000000009</c:v>
                </c:pt>
                <c:pt idx="183">
                  <c:v>71.686999999999998</c:v>
                </c:pt>
                <c:pt idx="184">
                  <c:v>71.6845</c:v>
                </c:pt>
                <c:pt idx="185">
                  <c:v>71.667000000000002</c:v>
                </c:pt>
                <c:pt idx="186">
                  <c:v>71.654000000000011</c:v>
                </c:pt>
                <c:pt idx="187">
                  <c:v>71.623499999999993</c:v>
                </c:pt>
                <c:pt idx="188">
                  <c:v>71.558500000000009</c:v>
                </c:pt>
                <c:pt idx="189">
                  <c:v>71.480999999999995</c:v>
                </c:pt>
                <c:pt idx="190">
                  <c:v>71.448499999999996</c:v>
                </c:pt>
                <c:pt idx="191">
                  <c:v>71.400000000000006</c:v>
                </c:pt>
                <c:pt idx="192">
                  <c:v>71.25800000000001</c:v>
                </c:pt>
                <c:pt idx="193">
                  <c:v>71.139500000000012</c:v>
                </c:pt>
                <c:pt idx="194">
                  <c:v>71.064000000000007</c:v>
                </c:pt>
                <c:pt idx="195">
                  <c:v>70.965000000000003</c:v>
                </c:pt>
                <c:pt idx="196">
                  <c:v>70.87299999999999</c:v>
                </c:pt>
                <c:pt idx="197">
                  <c:v>70.784999999999997</c:v>
                </c:pt>
                <c:pt idx="198">
                  <c:v>70.711999999999975</c:v>
                </c:pt>
                <c:pt idx="199">
                  <c:v>70.652999999999977</c:v>
                </c:pt>
                <c:pt idx="200">
                  <c:v>70.61699999999999</c:v>
                </c:pt>
                <c:pt idx="201">
                  <c:v>70.556999999999988</c:v>
                </c:pt>
                <c:pt idx="202">
                  <c:v>70.442999999999998</c:v>
                </c:pt>
                <c:pt idx="203">
                  <c:v>70.349000000000004</c:v>
                </c:pt>
                <c:pt idx="204">
                  <c:v>70.177000000000007</c:v>
                </c:pt>
                <c:pt idx="205">
                  <c:v>69.972000000000008</c:v>
                </c:pt>
                <c:pt idx="206">
                  <c:v>69.728499999999997</c:v>
                </c:pt>
                <c:pt idx="207">
                  <c:v>69.469000000000008</c:v>
                </c:pt>
                <c:pt idx="208">
                  <c:v>69.161500000000004</c:v>
                </c:pt>
                <c:pt idx="209">
                  <c:v>68.907000000000011</c:v>
                </c:pt>
                <c:pt idx="210">
                  <c:v>68.646500000000003</c:v>
                </c:pt>
                <c:pt idx="211">
                  <c:v>68.388499999999993</c:v>
                </c:pt>
                <c:pt idx="212">
                  <c:v>68.1935</c:v>
                </c:pt>
                <c:pt idx="213">
                  <c:v>68.003</c:v>
                </c:pt>
                <c:pt idx="214">
                  <c:v>67.709499999999991</c:v>
                </c:pt>
                <c:pt idx="215">
                  <c:v>67.429999999999993</c:v>
                </c:pt>
                <c:pt idx="216">
                  <c:v>67.147499999999994</c:v>
                </c:pt>
                <c:pt idx="217">
                  <c:v>66.798500000000004</c:v>
                </c:pt>
                <c:pt idx="218">
                  <c:v>66.441500000000005</c:v>
                </c:pt>
                <c:pt idx="219">
                  <c:v>66.063000000000017</c:v>
                </c:pt>
                <c:pt idx="220">
                  <c:v>65.695499999999996</c:v>
                </c:pt>
                <c:pt idx="221">
                  <c:v>65.260500000000008</c:v>
                </c:pt>
                <c:pt idx="222">
                  <c:v>64.881</c:v>
                </c:pt>
                <c:pt idx="223">
                  <c:v>64.537999999999982</c:v>
                </c:pt>
                <c:pt idx="224">
                  <c:v>64.286999999999992</c:v>
                </c:pt>
                <c:pt idx="225">
                  <c:v>64.109999999999985</c:v>
                </c:pt>
                <c:pt idx="226">
                  <c:v>63.96</c:v>
                </c:pt>
                <c:pt idx="227">
                  <c:v>63.845499999999994</c:v>
                </c:pt>
                <c:pt idx="228">
                  <c:v>63.795000000000016</c:v>
                </c:pt>
                <c:pt idx="229">
                  <c:v>63.720499999999994</c:v>
                </c:pt>
                <c:pt idx="230">
                  <c:v>63.658999999999992</c:v>
                </c:pt>
                <c:pt idx="231">
                  <c:v>63.591000000000008</c:v>
                </c:pt>
                <c:pt idx="232">
                  <c:v>63.511499999999998</c:v>
                </c:pt>
                <c:pt idx="233">
                  <c:v>63.353499999999997</c:v>
                </c:pt>
                <c:pt idx="234">
                  <c:v>63.314499999999995</c:v>
                </c:pt>
                <c:pt idx="235">
                  <c:v>63.258000000000003</c:v>
                </c:pt>
                <c:pt idx="236">
                  <c:v>63.191999999999993</c:v>
                </c:pt>
                <c:pt idx="237">
                  <c:v>63.169500000000006</c:v>
                </c:pt>
                <c:pt idx="238">
                  <c:v>63.141500000000008</c:v>
                </c:pt>
                <c:pt idx="239">
                  <c:v>63.183500000000002</c:v>
                </c:pt>
                <c:pt idx="240">
                  <c:v>63.212000000000003</c:v>
                </c:pt>
                <c:pt idx="241">
                  <c:v>63.252499999999984</c:v>
                </c:pt>
                <c:pt idx="242">
                  <c:v>63.329499999999996</c:v>
                </c:pt>
                <c:pt idx="243">
                  <c:v>63.342499999999994</c:v>
                </c:pt>
                <c:pt idx="244">
                  <c:v>63.3155</c:v>
                </c:pt>
                <c:pt idx="245">
                  <c:v>63.254999999999995</c:v>
                </c:pt>
                <c:pt idx="246">
                  <c:v>63.177999999999997</c:v>
                </c:pt>
                <c:pt idx="247">
                  <c:v>63.100999999999999</c:v>
                </c:pt>
                <c:pt idx="248">
                  <c:v>63.001999999999995</c:v>
                </c:pt>
                <c:pt idx="249">
                  <c:v>62.902999999999999</c:v>
                </c:pt>
                <c:pt idx="250">
                  <c:v>62.8005</c:v>
                </c:pt>
                <c:pt idx="251">
                  <c:v>62.731000000000009</c:v>
                </c:pt>
                <c:pt idx="252">
                  <c:v>62.646999999999991</c:v>
                </c:pt>
                <c:pt idx="253">
                  <c:v>62.624000000000009</c:v>
                </c:pt>
                <c:pt idx="254">
                  <c:v>62.518499999999996</c:v>
                </c:pt>
                <c:pt idx="255">
                  <c:v>62.43399999999999</c:v>
                </c:pt>
                <c:pt idx="256">
                  <c:v>62.389499999999998</c:v>
                </c:pt>
                <c:pt idx="257">
                  <c:v>62.297499999999999</c:v>
                </c:pt>
                <c:pt idx="258">
                  <c:v>62.248000000000005</c:v>
                </c:pt>
                <c:pt idx="259">
                  <c:v>62.158000000000001</c:v>
                </c:pt>
                <c:pt idx="260">
                  <c:v>62.090500000000006</c:v>
                </c:pt>
                <c:pt idx="261">
                  <c:v>62.075500000000012</c:v>
                </c:pt>
                <c:pt idx="262">
                  <c:v>62.041000000000011</c:v>
                </c:pt>
                <c:pt idx="263">
                  <c:v>62.019500000000015</c:v>
                </c:pt>
                <c:pt idx="264">
                  <c:v>61.986000000000004</c:v>
                </c:pt>
                <c:pt idx="265">
                  <c:v>61.935000000000002</c:v>
                </c:pt>
                <c:pt idx="266">
                  <c:v>61.911999999999999</c:v>
                </c:pt>
                <c:pt idx="267">
                  <c:v>61.963499999999996</c:v>
                </c:pt>
                <c:pt idx="268">
                  <c:v>61.952999999999989</c:v>
                </c:pt>
                <c:pt idx="269">
                  <c:v>61.97199999999998</c:v>
                </c:pt>
                <c:pt idx="270">
                  <c:v>62.072999999999979</c:v>
                </c:pt>
                <c:pt idx="271">
                  <c:v>62.133999999999993</c:v>
                </c:pt>
                <c:pt idx="272">
                  <c:v>62.209499999999991</c:v>
                </c:pt>
                <c:pt idx="273">
                  <c:v>62.255499999999998</c:v>
                </c:pt>
                <c:pt idx="274">
                  <c:v>62.370999999999981</c:v>
                </c:pt>
                <c:pt idx="275">
                  <c:v>62.496999999999993</c:v>
                </c:pt>
                <c:pt idx="276">
                  <c:v>62.603499999999983</c:v>
                </c:pt>
                <c:pt idx="277">
                  <c:v>62.777499999999989</c:v>
                </c:pt>
                <c:pt idx="278">
                  <c:v>63.074999999999989</c:v>
                </c:pt>
                <c:pt idx="279">
                  <c:v>63.408499999999989</c:v>
                </c:pt>
                <c:pt idx="280">
                  <c:v>63.795000000000002</c:v>
                </c:pt>
                <c:pt idx="281">
                  <c:v>64.126000000000005</c:v>
                </c:pt>
                <c:pt idx="282">
                  <c:v>64.442999999999998</c:v>
                </c:pt>
                <c:pt idx="283">
                  <c:v>64.825499999999991</c:v>
                </c:pt>
                <c:pt idx="284">
                  <c:v>65.238500000000002</c:v>
                </c:pt>
                <c:pt idx="285">
                  <c:v>65.729499999999987</c:v>
                </c:pt>
                <c:pt idx="286">
                  <c:v>66.162999999999982</c:v>
                </c:pt>
                <c:pt idx="287">
                  <c:v>66.543999999999997</c:v>
                </c:pt>
                <c:pt idx="288">
                  <c:v>66.96599999999998</c:v>
                </c:pt>
                <c:pt idx="289">
                  <c:v>67.367999999999981</c:v>
                </c:pt>
                <c:pt idx="290">
                  <c:v>67.725999999999999</c:v>
                </c:pt>
                <c:pt idx="291">
                  <c:v>68.167999999999992</c:v>
                </c:pt>
                <c:pt idx="292">
                  <c:v>68.510000000000005</c:v>
                </c:pt>
                <c:pt idx="293">
                  <c:v>68.880499999999998</c:v>
                </c:pt>
                <c:pt idx="294">
                  <c:v>69.247500000000002</c:v>
                </c:pt>
                <c:pt idx="295">
                  <c:v>69.650999999999996</c:v>
                </c:pt>
                <c:pt idx="296">
                  <c:v>70.031500000000008</c:v>
                </c:pt>
                <c:pt idx="297">
                  <c:v>70.356000000000009</c:v>
                </c:pt>
                <c:pt idx="298">
                  <c:v>70.473000000000013</c:v>
                </c:pt>
                <c:pt idx="299">
                  <c:v>70.518500000000017</c:v>
                </c:pt>
                <c:pt idx="300">
                  <c:v>70.501500000000021</c:v>
                </c:pt>
                <c:pt idx="301">
                  <c:v>70.564000000000007</c:v>
                </c:pt>
                <c:pt idx="302">
                  <c:v>70.580500000000029</c:v>
                </c:pt>
                <c:pt idx="303">
                  <c:v>70.541000000000025</c:v>
                </c:pt>
                <c:pt idx="304">
                  <c:v>70.524500000000018</c:v>
                </c:pt>
                <c:pt idx="305">
                  <c:v>70.390500000000003</c:v>
                </c:pt>
                <c:pt idx="306">
                  <c:v>70.308500000000009</c:v>
                </c:pt>
                <c:pt idx="307">
                  <c:v>70.174499999999995</c:v>
                </c:pt>
                <c:pt idx="308">
                  <c:v>70.135500000000008</c:v>
                </c:pt>
                <c:pt idx="309">
                  <c:v>70.128999999999991</c:v>
                </c:pt>
                <c:pt idx="310">
                  <c:v>70.086999999999989</c:v>
                </c:pt>
                <c:pt idx="311">
                  <c:v>70.051999999999992</c:v>
                </c:pt>
                <c:pt idx="312">
                  <c:v>70.135999999999996</c:v>
                </c:pt>
                <c:pt idx="313">
                  <c:v>70.198499999999996</c:v>
                </c:pt>
                <c:pt idx="314">
                  <c:v>70.334499999999991</c:v>
                </c:pt>
                <c:pt idx="315">
                  <c:v>70.259500000000003</c:v>
                </c:pt>
                <c:pt idx="316">
                  <c:v>70.105500000000006</c:v>
                </c:pt>
                <c:pt idx="317">
                  <c:v>69.974500000000006</c:v>
                </c:pt>
                <c:pt idx="318">
                  <c:v>69.975000000000009</c:v>
                </c:pt>
                <c:pt idx="319">
                  <c:v>70.032000000000011</c:v>
                </c:pt>
                <c:pt idx="320">
                  <c:v>70.145500000000027</c:v>
                </c:pt>
                <c:pt idx="321">
                  <c:v>70.262000000000015</c:v>
                </c:pt>
                <c:pt idx="322">
                  <c:v>70.385999999999996</c:v>
                </c:pt>
                <c:pt idx="323">
                  <c:v>70.506</c:v>
                </c:pt>
                <c:pt idx="324">
                  <c:v>70.670500000000004</c:v>
                </c:pt>
                <c:pt idx="325">
                  <c:v>70.875500000000017</c:v>
                </c:pt>
                <c:pt idx="326">
                  <c:v>71.123000000000019</c:v>
                </c:pt>
                <c:pt idx="327">
                  <c:v>71.347499999999997</c:v>
                </c:pt>
                <c:pt idx="328">
                  <c:v>71.472499999999997</c:v>
                </c:pt>
                <c:pt idx="329">
                  <c:v>71.531000000000006</c:v>
                </c:pt>
                <c:pt idx="330">
                  <c:v>71.602000000000004</c:v>
                </c:pt>
                <c:pt idx="331">
                  <c:v>71.638499999999993</c:v>
                </c:pt>
                <c:pt idx="332">
                  <c:v>71.672499999999999</c:v>
                </c:pt>
                <c:pt idx="333">
                  <c:v>71.67049999999999</c:v>
                </c:pt>
                <c:pt idx="334">
                  <c:v>71.59399999999998</c:v>
                </c:pt>
                <c:pt idx="335">
                  <c:v>71.68249999999999</c:v>
                </c:pt>
                <c:pt idx="336">
                  <c:v>71.849999999999994</c:v>
                </c:pt>
                <c:pt idx="337">
                  <c:v>72.049000000000007</c:v>
                </c:pt>
                <c:pt idx="338">
                  <c:v>72.110000000000014</c:v>
                </c:pt>
                <c:pt idx="339">
                  <c:v>72.097999999999999</c:v>
                </c:pt>
                <c:pt idx="340">
                  <c:v>72.003</c:v>
                </c:pt>
                <c:pt idx="341">
                  <c:v>71.828500000000005</c:v>
                </c:pt>
                <c:pt idx="342">
                  <c:v>71.6935</c:v>
                </c:pt>
                <c:pt idx="343">
                  <c:v>71.69</c:v>
                </c:pt>
                <c:pt idx="344">
                  <c:v>71.64</c:v>
                </c:pt>
                <c:pt idx="345">
                  <c:v>71.597999999999999</c:v>
                </c:pt>
                <c:pt idx="346">
                  <c:v>71.487499999999997</c:v>
                </c:pt>
                <c:pt idx="347">
                  <c:v>71.414999999999992</c:v>
                </c:pt>
                <c:pt idx="348">
                  <c:v>71.345999999999989</c:v>
                </c:pt>
                <c:pt idx="349">
                  <c:v>71.338999999999999</c:v>
                </c:pt>
                <c:pt idx="350">
                  <c:v>71.338499999999996</c:v>
                </c:pt>
                <c:pt idx="351">
                  <c:v>71.278500000000008</c:v>
                </c:pt>
                <c:pt idx="352">
                  <c:v>71.225500000000011</c:v>
                </c:pt>
                <c:pt idx="353">
                  <c:v>71.266000000000005</c:v>
                </c:pt>
                <c:pt idx="354">
                  <c:v>71.283500000000004</c:v>
                </c:pt>
                <c:pt idx="355">
                  <c:v>71.256500000000003</c:v>
                </c:pt>
                <c:pt idx="356">
                  <c:v>71.239000000000004</c:v>
                </c:pt>
                <c:pt idx="357">
                  <c:v>71.164500000000004</c:v>
                </c:pt>
                <c:pt idx="358">
                  <c:v>71.173500000000004</c:v>
                </c:pt>
                <c:pt idx="359">
                  <c:v>71.236000000000004</c:v>
                </c:pt>
                <c:pt idx="360">
                  <c:v>71.376999999999981</c:v>
                </c:pt>
                <c:pt idx="361">
                  <c:v>71.532499999999985</c:v>
                </c:pt>
                <c:pt idx="362">
                  <c:v>71.686499999999995</c:v>
                </c:pt>
                <c:pt idx="363">
                  <c:v>71.656999999999982</c:v>
                </c:pt>
                <c:pt idx="364">
                  <c:v>71.582999999999998</c:v>
                </c:pt>
                <c:pt idx="365">
                  <c:v>71.467500000000001</c:v>
                </c:pt>
                <c:pt idx="366">
                  <c:v>71.343499999999992</c:v>
                </c:pt>
                <c:pt idx="367">
                  <c:v>71.192999999999998</c:v>
                </c:pt>
                <c:pt idx="368">
                  <c:v>71.123000000000005</c:v>
                </c:pt>
                <c:pt idx="369">
                  <c:v>71.045000000000002</c:v>
                </c:pt>
                <c:pt idx="370">
                  <c:v>70.9375</c:v>
                </c:pt>
                <c:pt idx="371">
                  <c:v>70.853499999999997</c:v>
                </c:pt>
                <c:pt idx="372">
                  <c:v>70.795500000000004</c:v>
                </c:pt>
                <c:pt idx="373">
                  <c:v>70.728000000000009</c:v>
                </c:pt>
                <c:pt idx="374">
                  <c:v>70.711499999999987</c:v>
                </c:pt>
                <c:pt idx="375">
                  <c:v>70.699000000000012</c:v>
                </c:pt>
                <c:pt idx="376">
                  <c:v>70.698000000000008</c:v>
                </c:pt>
                <c:pt idx="377">
                  <c:v>70.703000000000003</c:v>
                </c:pt>
                <c:pt idx="378">
                  <c:v>70.647500000000008</c:v>
                </c:pt>
                <c:pt idx="379">
                  <c:v>70.533000000000001</c:v>
                </c:pt>
                <c:pt idx="380">
                  <c:v>70.403999999999996</c:v>
                </c:pt>
                <c:pt idx="381">
                  <c:v>70.294000000000011</c:v>
                </c:pt>
                <c:pt idx="382">
                  <c:v>70.155499999999989</c:v>
                </c:pt>
                <c:pt idx="383">
                  <c:v>70.072499999999991</c:v>
                </c:pt>
                <c:pt idx="384">
                  <c:v>70.009999999999991</c:v>
                </c:pt>
                <c:pt idx="385">
                  <c:v>70.058499999999995</c:v>
                </c:pt>
                <c:pt idx="386">
                  <c:v>70.090499999999992</c:v>
                </c:pt>
                <c:pt idx="387">
                  <c:v>70.151999999999973</c:v>
                </c:pt>
                <c:pt idx="388">
                  <c:v>70.147999999999996</c:v>
                </c:pt>
                <c:pt idx="389">
                  <c:v>70.095500000000001</c:v>
                </c:pt>
                <c:pt idx="390">
                  <c:v>70.068999999999988</c:v>
                </c:pt>
                <c:pt idx="391">
                  <c:v>70.054000000000002</c:v>
                </c:pt>
                <c:pt idx="392">
                  <c:v>69.942000000000007</c:v>
                </c:pt>
                <c:pt idx="393">
                  <c:v>69.873500000000007</c:v>
                </c:pt>
                <c:pt idx="394">
                  <c:v>69.727499999999992</c:v>
                </c:pt>
                <c:pt idx="395">
                  <c:v>69.576499999999996</c:v>
                </c:pt>
                <c:pt idx="396">
                  <c:v>69.451999999999998</c:v>
                </c:pt>
                <c:pt idx="397">
                  <c:v>69.349499999999992</c:v>
                </c:pt>
                <c:pt idx="398">
                  <c:v>69.289999999999992</c:v>
                </c:pt>
                <c:pt idx="399">
                  <c:v>69.291499999999999</c:v>
                </c:pt>
                <c:pt idx="400">
                  <c:v>69.3245</c:v>
                </c:pt>
                <c:pt idx="401">
                  <c:v>69.347999999999985</c:v>
                </c:pt>
                <c:pt idx="402">
                  <c:v>69.411999999999992</c:v>
                </c:pt>
                <c:pt idx="403">
                  <c:v>69.479500000000002</c:v>
                </c:pt>
                <c:pt idx="404">
                  <c:v>69.539000000000001</c:v>
                </c:pt>
                <c:pt idx="405">
                  <c:v>69.486999999999995</c:v>
                </c:pt>
                <c:pt idx="406">
                  <c:v>69.490499999999997</c:v>
                </c:pt>
                <c:pt idx="407">
                  <c:v>69.4435</c:v>
                </c:pt>
                <c:pt idx="408">
                  <c:v>69.467000000000013</c:v>
                </c:pt>
                <c:pt idx="409">
                  <c:v>69.544000000000011</c:v>
                </c:pt>
                <c:pt idx="410">
                  <c:v>69.622000000000028</c:v>
                </c:pt>
                <c:pt idx="411">
                  <c:v>69.67000000000003</c:v>
                </c:pt>
                <c:pt idx="412">
                  <c:v>69.712000000000018</c:v>
                </c:pt>
                <c:pt idx="413">
                  <c:v>69.679500000000019</c:v>
                </c:pt>
                <c:pt idx="414">
                  <c:v>69.683499999999995</c:v>
                </c:pt>
                <c:pt idx="415">
                  <c:v>69.706999999999994</c:v>
                </c:pt>
                <c:pt idx="416">
                  <c:v>69.713499999999982</c:v>
                </c:pt>
                <c:pt idx="417">
                  <c:v>69.718499999999977</c:v>
                </c:pt>
                <c:pt idx="418">
                  <c:v>69.715499999999992</c:v>
                </c:pt>
                <c:pt idx="419">
                  <c:v>69.652499999999989</c:v>
                </c:pt>
                <c:pt idx="420">
                  <c:v>69.529000000000011</c:v>
                </c:pt>
                <c:pt idx="421">
                  <c:v>69.383499999999998</c:v>
                </c:pt>
                <c:pt idx="422">
                  <c:v>69.239000000000004</c:v>
                </c:pt>
                <c:pt idx="423">
                  <c:v>69.094499999999996</c:v>
                </c:pt>
                <c:pt idx="424">
                  <c:v>68.952500000000015</c:v>
                </c:pt>
                <c:pt idx="425">
                  <c:v>68.825500000000005</c:v>
                </c:pt>
                <c:pt idx="426">
                  <c:v>68.64</c:v>
                </c:pt>
                <c:pt idx="427">
                  <c:v>68.495499999999993</c:v>
                </c:pt>
                <c:pt idx="428">
                  <c:v>68.341000000000008</c:v>
                </c:pt>
                <c:pt idx="429">
                  <c:v>68.129000000000019</c:v>
                </c:pt>
                <c:pt idx="430">
                  <c:v>67.917500000000018</c:v>
                </c:pt>
                <c:pt idx="431">
                  <c:v>67.72150000000002</c:v>
                </c:pt>
                <c:pt idx="432">
                  <c:v>67.61050000000003</c:v>
                </c:pt>
                <c:pt idx="433">
                  <c:v>67.496499999999997</c:v>
                </c:pt>
                <c:pt idx="434">
                  <c:v>67.354000000000013</c:v>
                </c:pt>
                <c:pt idx="435">
                  <c:v>67.219500000000011</c:v>
                </c:pt>
                <c:pt idx="436">
                  <c:v>67.072000000000017</c:v>
                </c:pt>
                <c:pt idx="437">
                  <c:v>66.935000000000016</c:v>
                </c:pt>
                <c:pt idx="438">
                  <c:v>66.8245</c:v>
                </c:pt>
                <c:pt idx="439">
                  <c:v>66.716999999999999</c:v>
                </c:pt>
                <c:pt idx="440">
                  <c:v>66.651500000000013</c:v>
                </c:pt>
                <c:pt idx="441">
                  <c:v>66.585000000000008</c:v>
                </c:pt>
                <c:pt idx="442">
                  <c:v>66.531499999999994</c:v>
                </c:pt>
                <c:pt idx="443">
                  <c:v>66.446499999999986</c:v>
                </c:pt>
                <c:pt idx="444">
                  <c:v>66.383999999999986</c:v>
                </c:pt>
                <c:pt idx="445">
                  <c:v>66.385499999999979</c:v>
                </c:pt>
                <c:pt idx="446">
                  <c:v>66.414999999999992</c:v>
                </c:pt>
                <c:pt idx="447">
                  <c:v>66.478499999999983</c:v>
                </c:pt>
                <c:pt idx="448">
                  <c:v>66.480499999999978</c:v>
                </c:pt>
                <c:pt idx="449">
                  <c:v>66.536999999999992</c:v>
                </c:pt>
                <c:pt idx="450">
                  <c:v>66.637500000000003</c:v>
                </c:pt>
                <c:pt idx="451">
                  <c:v>66.748999999999995</c:v>
                </c:pt>
                <c:pt idx="452">
                  <c:v>66.974500000000006</c:v>
                </c:pt>
                <c:pt idx="453">
                  <c:v>67.192499999999995</c:v>
                </c:pt>
                <c:pt idx="454">
                  <c:v>67.390500000000003</c:v>
                </c:pt>
                <c:pt idx="455">
                  <c:v>67.592500000000001</c:v>
                </c:pt>
                <c:pt idx="456">
                  <c:v>67.793500000000009</c:v>
                </c:pt>
                <c:pt idx="457">
                  <c:v>67.985500000000016</c:v>
                </c:pt>
                <c:pt idx="458">
                  <c:v>68.064000000000007</c:v>
                </c:pt>
                <c:pt idx="459">
                  <c:v>68.208000000000013</c:v>
                </c:pt>
                <c:pt idx="460">
                  <c:v>68.32050000000001</c:v>
                </c:pt>
                <c:pt idx="461">
                  <c:v>68.414000000000016</c:v>
                </c:pt>
                <c:pt idx="462">
                  <c:v>68.507500000000022</c:v>
                </c:pt>
                <c:pt idx="463">
                  <c:v>68.62700000000001</c:v>
                </c:pt>
                <c:pt idx="464">
                  <c:v>68.761500000000012</c:v>
                </c:pt>
                <c:pt idx="465">
                  <c:v>68.937000000000012</c:v>
                </c:pt>
                <c:pt idx="466">
                  <c:v>69.12299999999999</c:v>
                </c:pt>
                <c:pt idx="467">
                  <c:v>69.327999999999989</c:v>
                </c:pt>
                <c:pt idx="468">
                  <c:v>69.549499999999995</c:v>
                </c:pt>
                <c:pt idx="469">
                  <c:v>69.723499999999987</c:v>
                </c:pt>
                <c:pt idx="470">
                  <c:v>69.859499999999997</c:v>
                </c:pt>
                <c:pt idx="471">
                  <c:v>69.971499999999992</c:v>
                </c:pt>
                <c:pt idx="472">
                  <c:v>69.971499999999992</c:v>
                </c:pt>
                <c:pt idx="473">
                  <c:v>69.986500000000007</c:v>
                </c:pt>
                <c:pt idx="474">
                  <c:v>70.05</c:v>
                </c:pt>
                <c:pt idx="475">
                  <c:v>70.212000000000018</c:v>
                </c:pt>
                <c:pt idx="476">
                  <c:v>70.338499999999982</c:v>
                </c:pt>
                <c:pt idx="477">
                  <c:v>70.460999999999984</c:v>
                </c:pt>
                <c:pt idx="478">
                  <c:v>70.687499999999972</c:v>
                </c:pt>
                <c:pt idx="479">
                  <c:v>70.894499999999965</c:v>
                </c:pt>
                <c:pt idx="480">
                  <c:v>71.046999999999997</c:v>
                </c:pt>
                <c:pt idx="481">
                  <c:v>71.182000000000002</c:v>
                </c:pt>
                <c:pt idx="482">
                  <c:v>71.289500000000004</c:v>
                </c:pt>
                <c:pt idx="483">
                  <c:v>71.386500000000026</c:v>
                </c:pt>
                <c:pt idx="484">
                  <c:v>71.433500000000009</c:v>
                </c:pt>
                <c:pt idx="485">
                  <c:v>71.418500000000009</c:v>
                </c:pt>
                <c:pt idx="486">
                  <c:v>71.397000000000006</c:v>
                </c:pt>
                <c:pt idx="487">
                  <c:v>71.326999999999998</c:v>
                </c:pt>
                <c:pt idx="488">
                  <c:v>71.206999999999994</c:v>
                </c:pt>
                <c:pt idx="489">
                  <c:v>71.17949999999999</c:v>
                </c:pt>
                <c:pt idx="490">
                  <c:v>71.169999999999987</c:v>
                </c:pt>
                <c:pt idx="491">
                  <c:v>71.154499999999985</c:v>
                </c:pt>
                <c:pt idx="492">
                  <c:v>71.126999999999995</c:v>
                </c:pt>
                <c:pt idx="493">
                  <c:v>71.089500000000015</c:v>
                </c:pt>
                <c:pt idx="494">
                  <c:v>71.032000000000011</c:v>
                </c:pt>
                <c:pt idx="495">
                  <c:v>70.894999999999996</c:v>
                </c:pt>
                <c:pt idx="496">
                  <c:v>70.759000000000015</c:v>
                </c:pt>
                <c:pt idx="497">
                  <c:v>70.634</c:v>
                </c:pt>
                <c:pt idx="498">
                  <c:v>70.483500000000006</c:v>
                </c:pt>
                <c:pt idx="499">
                  <c:v>70.33550000000001</c:v>
                </c:pt>
                <c:pt idx="500">
                  <c:v>70.241500000000002</c:v>
                </c:pt>
                <c:pt idx="501">
                  <c:v>70.20350000000002</c:v>
                </c:pt>
                <c:pt idx="502">
                  <c:v>70.119</c:v>
                </c:pt>
                <c:pt idx="503">
                  <c:v>69.993500000000012</c:v>
                </c:pt>
                <c:pt idx="504">
                  <c:v>69.885499999999993</c:v>
                </c:pt>
                <c:pt idx="505">
                  <c:v>69.749999999999986</c:v>
                </c:pt>
                <c:pt idx="506">
                  <c:v>69.714000000000013</c:v>
                </c:pt>
                <c:pt idx="507">
                  <c:v>69.729000000000013</c:v>
                </c:pt>
                <c:pt idx="508">
                  <c:v>69.798500000000004</c:v>
                </c:pt>
                <c:pt idx="509">
                  <c:v>69.834500000000006</c:v>
                </c:pt>
                <c:pt idx="510">
                  <c:v>69.858000000000018</c:v>
                </c:pt>
                <c:pt idx="511">
                  <c:v>69.863500000000016</c:v>
                </c:pt>
                <c:pt idx="512">
                  <c:v>69.852000000000004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592-4057-AC0F-B85F75168E7F}"/>
            </c:ext>
          </c:extLst>
        </c:ser>
        <c:ser>
          <c:idx val="2"/>
          <c:order val="2"/>
          <c:tx>
            <c:strRef>
              <c:f>Data!$L$1</c:f>
              <c:strCache>
                <c:ptCount val="1"/>
                <c:pt idx="0">
                  <c:v>Upper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Data!$B$2:$B$514</c:f>
              <c:numCache>
                <c:formatCode>m/d/yyyy</c:formatCode>
                <c:ptCount val="513"/>
                <c:pt idx="0">
                  <c:v>45293</c:v>
                </c:pt>
                <c:pt idx="1">
                  <c:v>45294</c:v>
                </c:pt>
                <c:pt idx="2">
                  <c:v>45295</c:v>
                </c:pt>
                <c:pt idx="3">
                  <c:v>45296</c:v>
                </c:pt>
                <c:pt idx="4">
                  <c:v>45299</c:v>
                </c:pt>
                <c:pt idx="5">
                  <c:v>45300</c:v>
                </c:pt>
                <c:pt idx="6">
                  <c:v>45301</c:v>
                </c:pt>
                <c:pt idx="7">
                  <c:v>45302</c:v>
                </c:pt>
                <c:pt idx="8">
                  <c:v>45303</c:v>
                </c:pt>
                <c:pt idx="9">
                  <c:v>45307</c:v>
                </c:pt>
                <c:pt idx="10">
                  <c:v>45308</c:v>
                </c:pt>
                <c:pt idx="11">
                  <c:v>45309</c:v>
                </c:pt>
                <c:pt idx="12">
                  <c:v>45310</c:v>
                </c:pt>
                <c:pt idx="13">
                  <c:v>45313</c:v>
                </c:pt>
                <c:pt idx="14">
                  <c:v>45314</c:v>
                </c:pt>
                <c:pt idx="15">
                  <c:v>45315</c:v>
                </c:pt>
                <c:pt idx="16">
                  <c:v>45316</c:v>
                </c:pt>
                <c:pt idx="17">
                  <c:v>45317</c:v>
                </c:pt>
                <c:pt idx="18">
                  <c:v>45320</c:v>
                </c:pt>
                <c:pt idx="19">
                  <c:v>45321</c:v>
                </c:pt>
                <c:pt idx="20">
                  <c:v>45322</c:v>
                </c:pt>
                <c:pt idx="21">
                  <c:v>45323</c:v>
                </c:pt>
                <c:pt idx="22">
                  <c:v>45324</c:v>
                </c:pt>
                <c:pt idx="23">
                  <c:v>45327</c:v>
                </c:pt>
                <c:pt idx="24">
                  <c:v>45328</c:v>
                </c:pt>
                <c:pt idx="25">
                  <c:v>45329</c:v>
                </c:pt>
                <c:pt idx="26">
                  <c:v>45330</c:v>
                </c:pt>
                <c:pt idx="27">
                  <c:v>45331</c:v>
                </c:pt>
                <c:pt idx="28">
                  <c:v>45334</c:v>
                </c:pt>
                <c:pt idx="29">
                  <c:v>45335</c:v>
                </c:pt>
                <c:pt idx="30">
                  <c:v>45336</c:v>
                </c:pt>
                <c:pt idx="31">
                  <c:v>45337</c:v>
                </c:pt>
                <c:pt idx="32">
                  <c:v>45338</c:v>
                </c:pt>
                <c:pt idx="33">
                  <c:v>45342</c:v>
                </c:pt>
                <c:pt idx="34">
                  <c:v>45343</c:v>
                </c:pt>
                <c:pt idx="35">
                  <c:v>45344</c:v>
                </c:pt>
                <c:pt idx="36">
                  <c:v>45345</c:v>
                </c:pt>
                <c:pt idx="37">
                  <c:v>45348</c:v>
                </c:pt>
                <c:pt idx="38">
                  <c:v>45349</c:v>
                </c:pt>
                <c:pt idx="39">
                  <c:v>45350</c:v>
                </c:pt>
                <c:pt idx="40">
                  <c:v>45351</c:v>
                </c:pt>
                <c:pt idx="41">
                  <c:v>45352</c:v>
                </c:pt>
                <c:pt idx="42">
                  <c:v>45355</c:v>
                </c:pt>
                <c:pt idx="43">
                  <c:v>45356</c:v>
                </c:pt>
                <c:pt idx="44">
                  <c:v>45357</c:v>
                </c:pt>
                <c:pt idx="45">
                  <c:v>45358</c:v>
                </c:pt>
                <c:pt idx="46">
                  <c:v>45359</c:v>
                </c:pt>
                <c:pt idx="47">
                  <c:v>45362</c:v>
                </c:pt>
                <c:pt idx="48">
                  <c:v>45363</c:v>
                </c:pt>
                <c:pt idx="49">
                  <c:v>45364</c:v>
                </c:pt>
                <c:pt idx="50">
                  <c:v>45365</c:v>
                </c:pt>
                <c:pt idx="51">
                  <c:v>45366</c:v>
                </c:pt>
                <c:pt idx="52">
                  <c:v>45369</c:v>
                </c:pt>
                <c:pt idx="53">
                  <c:v>45370</c:v>
                </c:pt>
                <c:pt idx="54">
                  <c:v>45371</c:v>
                </c:pt>
                <c:pt idx="55">
                  <c:v>45372</c:v>
                </c:pt>
                <c:pt idx="56">
                  <c:v>45373</c:v>
                </c:pt>
                <c:pt idx="57">
                  <c:v>45376</c:v>
                </c:pt>
                <c:pt idx="58">
                  <c:v>45377</c:v>
                </c:pt>
                <c:pt idx="59">
                  <c:v>45378</c:v>
                </c:pt>
                <c:pt idx="60">
                  <c:v>45379</c:v>
                </c:pt>
                <c:pt idx="61">
                  <c:v>45383</c:v>
                </c:pt>
                <c:pt idx="62">
                  <c:v>45384</c:v>
                </c:pt>
                <c:pt idx="63">
                  <c:v>45385</c:v>
                </c:pt>
                <c:pt idx="64">
                  <c:v>45386</c:v>
                </c:pt>
                <c:pt idx="65">
                  <c:v>45387</c:v>
                </c:pt>
                <c:pt idx="66">
                  <c:v>45390</c:v>
                </c:pt>
                <c:pt idx="67">
                  <c:v>45391</c:v>
                </c:pt>
                <c:pt idx="68">
                  <c:v>45392</c:v>
                </c:pt>
                <c:pt idx="69">
                  <c:v>45393</c:v>
                </c:pt>
                <c:pt idx="70">
                  <c:v>45394</c:v>
                </c:pt>
                <c:pt idx="71">
                  <c:v>45397</c:v>
                </c:pt>
                <c:pt idx="72">
                  <c:v>45398</c:v>
                </c:pt>
                <c:pt idx="73">
                  <c:v>45399</c:v>
                </c:pt>
                <c:pt idx="74">
                  <c:v>45400</c:v>
                </c:pt>
                <c:pt idx="75">
                  <c:v>45401</c:v>
                </c:pt>
                <c:pt idx="76">
                  <c:v>45404</c:v>
                </c:pt>
                <c:pt idx="77">
                  <c:v>45405</c:v>
                </c:pt>
                <c:pt idx="78">
                  <c:v>45406</c:v>
                </c:pt>
                <c:pt idx="79">
                  <c:v>45407</c:v>
                </c:pt>
                <c:pt idx="80">
                  <c:v>45408</c:v>
                </c:pt>
                <c:pt idx="81">
                  <c:v>45411</c:v>
                </c:pt>
                <c:pt idx="82">
                  <c:v>45412</c:v>
                </c:pt>
                <c:pt idx="83">
                  <c:v>45413</c:v>
                </c:pt>
                <c:pt idx="84">
                  <c:v>45414</c:v>
                </c:pt>
                <c:pt idx="85">
                  <c:v>45415</c:v>
                </c:pt>
                <c:pt idx="86">
                  <c:v>45418</c:v>
                </c:pt>
                <c:pt idx="87">
                  <c:v>45419</c:v>
                </c:pt>
                <c:pt idx="88">
                  <c:v>45420</c:v>
                </c:pt>
                <c:pt idx="89">
                  <c:v>45421</c:v>
                </c:pt>
                <c:pt idx="90">
                  <c:v>45422</c:v>
                </c:pt>
                <c:pt idx="91">
                  <c:v>45425</c:v>
                </c:pt>
                <c:pt idx="92">
                  <c:v>45426</c:v>
                </c:pt>
                <c:pt idx="93">
                  <c:v>45427</c:v>
                </c:pt>
                <c:pt idx="94">
                  <c:v>45428</c:v>
                </c:pt>
                <c:pt idx="95">
                  <c:v>45429</c:v>
                </c:pt>
                <c:pt idx="96">
                  <c:v>45432</c:v>
                </c:pt>
                <c:pt idx="97">
                  <c:v>45433</c:v>
                </c:pt>
                <c:pt idx="98">
                  <c:v>45434</c:v>
                </c:pt>
                <c:pt idx="99">
                  <c:v>45435</c:v>
                </c:pt>
                <c:pt idx="100">
                  <c:v>45436</c:v>
                </c:pt>
                <c:pt idx="101">
                  <c:v>45440</c:v>
                </c:pt>
                <c:pt idx="102">
                  <c:v>45441</c:v>
                </c:pt>
                <c:pt idx="103">
                  <c:v>45442</c:v>
                </c:pt>
                <c:pt idx="104">
                  <c:v>45443</c:v>
                </c:pt>
                <c:pt idx="105">
                  <c:v>45446</c:v>
                </c:pt>
                <c:pt idx="106">
                  <c:v>45447</c:v>
                </c:pt>
                <c:pt idx="107">
                  <c:v>45448</c:v>
                </c:pt>
                <c:pt idx="108">
                  <c:v>45449</c:v>
                </c:pt>
                <c:pt idx="109">
                  <c:v>45450</c:v>
                </c:pt>
                <c:pt idx="110">
                  <c:v>45453</c:v>
                </c:pt>
                <c:pt idx="111">
                  <c:v>45454</c:v>
                </c:pt>
                <c:pt idx="112">
                  <c:v>45455</c:v>
                </c:pt>
                <c:pt idx="113">
                  <c:v>45456</c:v>
                </c:pt>
                <c:pt idx="114">
                  <c:v>45457</c:v>
                </c:pt>
                <c:pt idx="115">
                  <c:v>45460</c:v>
                </c:pt>
                <c:pt idx="116">
                  <c:v>45461</c:v>
                </c:pt>
                <c:pt idx="117">
                  <c:v>45463</c:v>
                </c:pt>
                <c:pt idx="118">
                  <c:v>45464</c:v>
                </c:pt>
                <c:pt idx="119">
                  <c:v>45467</c:v>
                </c:pt>
                <c:pt idx="120">
                  <c:v>45468</c:v>
                </c:pt>
                <c:pt idx="121">
                  <c:v>45469</c:v>
                </c:pt>
                <c:pt idx="122">
                  <c:v>45470</c:v>
                </c:pt>
                <c:pt idx="123">
                  <c:v>45471</c:v>
                </c:pt>
                <c:pt idx="124">
                  <c:v>45474</c:v>
                </c:pt>
                <c:pt idx="125">
                  <c:v>45475</c:v>
                </c:pt>
                <c:pt idx="126">
                  <c:v>45476</c:v>
                </c:pt>
                <c:pt idx="127">
                  <c:v>45478</c:v>
                </c:pt>
                <c:pt idx="128">
                  <c:v>45481</c:v>
                </c:pt>
                <c:pt idx="129">
                  <c:v>45482</c:v>
                </c:pt>
                <c:pt idx="130">
                  <c:v>45483</c:v>
                </c:pt>
                <c:pt idx="131">
                  <c:v>45484</c:v>
                </c:pt>
                <c:pt idx="132">
                  <c:v>45485</c:v>
                </c:pt>
                <c:pt idx="133">
                  <c:v>45488</c:v>
                </c:pt>
                <c:pt idx="134">
                  <c:v>45489</c:v>
                </c:pt>
                <c:pt idx="135">
                  <c:v>45490</c:v>
                </c:pt>
                <c:pt idx="136">
                  <c:v>45491</c:v>
                </c:pt>
                <c:pt idx="137">
                  <c:v>45492</c:v>
                </c:pt>
                <c:pt idx="138">
                  <c:v>45495</c:v>
                </c:pt>
                <c:pt idx="139">
                  <c:v>45496</c:v>
                </c:pt>
                <c:pt idx="140">
                  <c:v>45497</c:v>
                </c:pt>
                <c:pt idx="141">
                  <c:v>45498</c:v>
                </c:pt>
                <c:pt idx="142">
                  <c:v>45499</c:v>
                </c:pt>
                <c:pt idx="143">
                  <c:v>45502</c:v>
                </c:pt>
                <c:pt idx="144">
                  <c:v>45503</c:v>
                </c:pt>
                <c:pt idx="145">
                  <c:v>45504</c:v>
                </c:pt>
                <c:pt idx="146">
                  <c:v>45505</c:v>
                </c:pt>
                <c:pt idx="147">
                  <c:v>45506</c:v>
                </c:pt>
                <c:pt idx="148">
                  <c:v>45509</c:v>
                </c:pt>
                <c:pt idx="149">
                  <c:v>45510</c:v>
                </c:pt>
                <c:pt idx="150">
                  <c:v>45511</c:v>
                </c:pt>
                <c:pt idx="151">
                  <c:v>45512</c:v>
                </c:pt>
                <c:pt idx="152">
                  <c:v>45513</c:v>
                </c:pt>
                <c:pt idx="153">
                  <c:v>45516</c:v>
                </c:pt>
                <c:pt idx="154">
                  <c:v>45517</c:v>
                </c:pt>
                <c:pt idx="155">
                  <c:v>45518</c:v>
                </c:pt>
                <c:pt idx="156">
                  <c:v>45519</c:v>
                </c:pt>
                <c:pt idx="157">
                  <c:v>45520</c:v>
                </c:pt>
                <c:pt idx="158">
                  <c:v>45523</c:v>
                </c:pt>
                <c:pt idx="159">
                  <c:v>45524</c:v>
                </c:pt>
                <c:pt idx="160">
                  <c:v>45525</c:v>
                </c:pt>
                <c:pt idx="161">
                  <c:v>45526</c:v>
                </c:pt>
                <c:pt idx="162">
                  <c:v>45527</c:v>
                </c:pt>
                <c:pt idx="163">
                  <c:v>45530</c:v>
                </c:pt>
                <c:pt idx="164">
                  <c:v>45531</c:v>
                </c:pt>
                <c:pt idx="165">
                  <c:v>45532</c:v>
                </c:pt>
                <c:pt idx="166">
                  <c:v>45533</c:v>
                </c:pt>
                <c:pt idx="167">
                  <c:v>45534</c:v>
                </c:pt>
                <c:pt idx="168">
                  <c:v>45538</c:v>
                </c:pt>
                <c:pt idx="169">
                  <c:v>45539</c:v>
                </c:pt>
                <c:pt idx="170">
                  <c:v>45540</c:v>
                </c:pt>
                <c:pt idx="171">
                  <c:v>45541</c:v>
                </c:pt>
                <c:pt idx="172">
                  <c:v>45544</c:v>
                </c:pt>
                <c:pt idx="173">
                  <c:v>45545</c:v>
                </c:pt>
                <c:pt idx="174">
                  <c:v>45546</c:v>
                </c:pt>
                <c:pt idx="175">
                  <c:v>45547</c:v>
                </c:pt>
                <c:pt idx="176">
                  <c:v>45548</c:v>
                </c:pt>
                <c:pt idx="177">
                  <c:v>45551</c:v>
                </c:pt>
                <c:pt idx="178">
                  <c:v>45552</c:v>
                </c:pt>
                <c:pt idx="179">
                  <c:v>45553</c:v>
                </c:pt>
                <c:pt idx="180">
                  <c:v>45554</c:v>
                </c:pt>
                <c:pt idx="181">
                  <c:v>45555</c:v>
                </c:pt>
                <c:pt idx="182">
                  <c:v>45558</c:v>
                </c:pt>
                <c:pt idx="183">
                  <c:v>45559</c:v>
                </c:pt>
                <c:pt idx="184">
                  <c:v>45560</c:v>
                </c:pt>
                <c:pt idx="185">
                  <c:v>45561</c:v>
                </c:pt>
                <c:pt idx="186">
                  <c:v>45562</c:v>
                </c:pt>
                <c:pt idx="187">
                  <c:v>45565</c:v>
                </c:pt>
                <c:pt idx="188">
                  <c:v>45566</c:v>
                </c:pt>
                <c:pt idx="189">
                  <c:v>45567</c:v>
                </c:pt>
                <c:pt idx="190">
                  <c:v>45568</c:v>
                </c:pt>
                <c:pt idx="191">
                  <c:v>45569</c:v>
                </c:pt>
                <c:pt idx="192">
                  <c:v>45572</c:v>
                </c:pt>
                <c:pt idx="193">
                  <c:v>45573</c:v>
                </c:pt>
                <c:pt idx="194">
                  <c:v>45574</c:v>
                </c:pt>
                <c:pt idx="195">
                  <c:v>45575</c:v>
                </c:pt>
                <c:pt idx="196">
                  <c:v>45576</c:v>
                </c:pt>
                <c:pt idx="197">
                  <c:v>45579</c:v>
                </c:pt>
                <c:pt idx="198">
                  <c:v>45580</c:v>
                </c:pt>
                <c:pt idx="199">
                  <c:v>45581</c:v>
                </c:pt>
                <c:pt idx="200">
                  <c:v>45582</c:v>
                </c:pt>
                <c:pt idx="201">
                  <c:v>45583</c:v>
                </c:pt>
                <c:pt idx="202">
                  <c:v>45586</c:v>
                </c:pt>
                <c:pt idx="203">
                  <c:v>45587</c:v>
                </c:pt>
                <c:pt idx="204">
                  <c:v>45588</c:v>
                </c:pt>
                <c:pt idx="205">
                  <c:v>45589</c:v>
                </c:pt>
                <c:pt idx="206">
                  <c:v>45590</c:v>
                </c:pt>
                <c:pt idx="207">
                  <c:v>45593</c:v>
                </c:pt>
                <c:pt idx="208">
                  <c:v>45594</c:v>
                </c:pt>
                <c:pt idx="209">
                  <c:v>45595</c:v>
                </c:pt>
                <c:pt idx="210">
                  <c:v>45596</c:v>
                </c:pt>
                <c:pt idx="211">
                  <c:v>45597</c:v>
                </c:pt>
                <c:pt idx="212">
                  <c:v>45600</c:v>
                </c:pt>
                <c:pt idx="213">
                  <c:v>45601</c:v>
                </c:pt>
                <c:pt idx="214">
                  <c:v>45602</c:v>
                </c:pt>
                <c:pt idx="215">
                  <c:v>45603</c:v>
                </c:pt>
                <c:pt idx="216">
                  <c:v>45604</c:v>
                </c:pt>
                <c:pt idx="217">
                  <c:v>45607</c:v>
                </c:pt>
                <c:pt idx="218">
                  <c:v>45608</c:v>
                </c:pt>
                <c:pt idx="219">
                  <c:v>45609</c:v>
                </c:pt>
                <c:pt idx="220">
                  <c:v>45610</c:v>
                </c:pt>
                <c:pt idx="221">
                  <c:v>45611</c:v>
                </c:pt>
                <c:pt idx="222">
                  <c:v>45614</c:v>
                </c:pt>
                <c:pt idx="223">
                  <c:v>45615</c:v>
                </c:pt>
                <c:pt idx="224">
                  <c:v>45616</c:v>
                </c:pt>
                <c:pt idx="225">
                  <c:v>45617</c:v>
                </c:pt>
                <c:pt idx="226">
                  <c:v>45618</c:v>
                </c:pt>
                <c:pt idx="227">
                  <c:v>45621</c:v>
                </c:pt>
                <c:pt idx="228">
                  <c:v>45622</c:v>
                </c:pt>
                <c:pt idx="229">
                  <c:v>45623</c:v>
                </c:pt>
                <c:pt idx="230">
                  <c:v>45625</c:v>
                </c:pt>
                <c:pt idx="231">
                  <c:v>45628</c:v>
                </c:pt>
                <c:pt idx="232">
                  <c:v>45629</c:v>
                </c:pt>
                <c:pt idx="233">
                  <c:v>45630</c:v>
                </c:pt>
                <c:pt idx="234">
                  <c:v>45631</c:v>
                </c:pt>
                <c:pt idx="235">
                  <c:v>45632</c:v>
                </c:pt>
                <c:pt idx="236">
                  <c:v>45635</c:v>
                </c:pt>
                <c:pt idx="237">
                  <c:v>45636</c:v>
                </c:pt>
                <c:pt idx="238">
                  <c:v>45637</c:v>
                </c:pt>
                <c:pt idx="239">
                  <c:v>45638</c:v>
                </c:pt>
                <c:pt idx="240">
                  <c:v>45639</c:v>
                </c:pt>
                <c:pt idx="241">
                  <c:v>45642</c:v>
                </c:pt>
                <c:pt idx="242">
                  <c:v>45643</c:v>
                </c:pt>
                <c:pt idx="243">
                  <c:v>45644</c:v>
                </c:pt>
                <c:pt idx="244">
                  <c:v>45645</c:v>
                </c:pt>
                <c:pt idx="245">
                  <c:v>45646</c:v>
                </c:pt>
                <c:pt idx="246">
                  <c:v>45649</c:v>
                </c:pt>
                <c:pt idx="247">
                  <c:v>45650</c:v>
                </c:pt>
                <c:pt idx="248">
                  <c:v>45652</c:v>
                </c:pt>
                <c:pt idx="249">
                  <c:v>45653</c:v>
                </c:pt>
                <c:pt idx="250">
                  <c:v>45656</c:v>
                </c:pt>
                <c:pt idx="251">
                  <c:v>45657</c:v>
                </c:pt>
                <c:pt idx="252">
                  <c:v>45659</c:v>
                </c:pt>
                <c:pt idx="253">
                  <c:v>45660</c:v>
                </c:pt>
                <c:pt idx="254">
                  <c:v>45663</c:v>
                </c:pt>
                <c:pt idx="255">
                  <c:v>45664</c:v>
                </c:pt>
                <c:pt idx="256">
                  <c:v>45665</c:v>
                </c:pt>
                <c:pt idx="257">
                  <c:v>45667</c:v>
                </c:pt>
                <c:pt idx="258">
                  <c:v>45670</c:v>
                </c:pt>
                <c:pt idx="259">
                  <c:v>45671</c:v>
                </c:pt>
                <c:pt idx="260">
                  <c:v>45672</c:v>
                </c:pt>
                <c:pt idx="261">
                  <c:v>45673</c:v>
                </c:pt>
                <c:pt idx="262">
                  <c:v>45674</c:v>
                </c:pt>
                <c:pt idx="263">
                  <c:v>45678</c:v>
                </c:pt>
                <c:pt idx="264">
                  <c:v>45679</c:v>
                </c:pt>
                <c:pt idx="265">
                  <c:v>45680</c:v>
                </c:pt>
                <c:pt idx="266">
                  <c:v>45681</c:v>
                </c:pt>
                <c:pt idx="267">
                  <c:v>45684</c:v>
                </c:pt>
                <c:pt idx="268">
                  <c:v>45685</c:v>
                </c:pt>
                <c:pt idx="269">
                  <c:v>45686</c:v>
                </c:pt>
                <c:pt idx="270">
                  <c:v>45687</c:v>
                </c:pt>
                <c:pt idx="271">
                  <c:v>45688</c:v>
                </c:pt>
                <c:pt idx="272">
                  <c:v>45691</c:v>
                </c:pt>
                <c:pt idx="273">
                  <c:v>45692</c:v>
                </c:pt>
                <c:pt idx="274">
                  <c:v>45693</c:v>
                </c:pt>
                <c:pt idx="275">
                  <c:v>45694</c:v>
                </c:pt>
                <c:pt idx="276">
                  <c:v>45695</c:v>
                </c:pt>
                <c:pt idx="277">
                  <c:v>45698</c:v>
                </c:pt>
                <c:pt idx="278">
                  <c:v>45699</c:v>
                </c:pt>
                <c:pt idx="279">
                  <c:v>45700</c:v>
                </c:pt>
                <c:pt idx="280">
                  <c:v>45701</c:v>
                </c:pt>
                <c:pt idx="281">
                  <c:v>45702</c:v>
                </c:pt>
                <c:pt idx="282">
                  <c:v>45706</c:v>
                </c:pt>
                <c:pt idx="283">
                  <c:v>45707</c:v>
                </c:pt>
                <c:pt idx="284">
                  <c:v>45708</c:v>
                </c:pt>
                <c:pt idx="285">
                  <c:v>45709</c:v>
                </c:pt>
                <c:pt idx="286">
                  <c:v>45712</c:v>
                </c:pt>
                <c:pt idx="287">
                  <c:v>45713</c:v>
                </c:pt>
                <c:pt idx="288">
                  <c:v>45714</c:v>
                </c:pt>
                <c:pt idx="289">
                  <c:v>45715</c:v>
                </c:pt>
                <c:pt idx="290">
                  <c:v>45716</c:v>
                </c:pt>
                <c:pt idx="291">
                  <c:v>45719</c:v>
                </c:pt>
                <c:pt idx="292">
                  <c:v>45720</c:v>
                </c:pt>
                <c:pt idx="293">
                  <c:v>45721</c:v>
                </c:pt>
                <c:pt idx="294">
                  <c:v>45722</c:v>
                </c:pt>
                <c:pt idx="295">
                  <c:v>45723</c:v>
                </c:pt>
                <c:pt idx="296">
                  <c:v>45726</c:v>
                </c:pt>
                <c:pt idx="297">
                  <c:v>45727</c:v>
                </c:pt>
                <c:pt idx="298">
                  <c:v>45728</c:v>
                </c:pt>
                <c:pt idx="299">
                  <c:v>45729</c:v>
                </c:pt>
                <c:pt idx="300">
                  <c:v>45730</c:v>
                </c:pt>
                <c:pt idx="301">
                  <c:v>45733</c:v>
                </c:pt>
                <c:pt idx="302">
                  <c:v>45734</c:v>
                </c:pt>
                <c:pt idx="303">
                  <c:v>45735</c:v>
                </c:pt>
                <c:pt idx="304">
                  <c:v>45736</c:v>
                </c:pt>
                <c:pt idx="305">
                  <c:v>45737</c:v>
                </c:pt>
                <c:pt idx="306">
                  <c:v>45740</c:v>
                </c:pt>
                <c:pt idx="307">
                  <c:v>45741</c:v>
                </c:pt>
                <c:pt idx="308">
                  <c:v>45742</c:v>
                </c:pt>
                <c:pt idx="309">
                  <c:v>45743</c:v>
                </c:pt>
                <c:pt idx="310">
                  <c:v>45744</c:v>
                </c:pt>
                <c:pt idx="311">
                  <c:v>45747</c:v>
                </c:pt>
                <c:pt idx="312">
                  <c:v>45748</c:v>
                </c:pt>
                <c:pt idx="313">
                  <c:v>45749</c:v>
                </c:pt>
                <c:pt idx="314">
                  <c:v>45750</c:v>
                </c:pt>
                <c:pt idx="315">
                  <c:v>45751</c:v>
                </c:pt>
                <c:pt idx="316">
                  <c:v>45754</c:v>
                </c:pt>
                <c:pt idx="317">
                  <c:v>45755</c:v>
                </c:pt>
                <c:pt idx="318">
                  <c:v>45756</c:v>
                </c:pt>
                <c:pt idx="319">
                  <c:v>45757</c:v>
                </c:pt>
                <c:pt idx="320">
                  <c:v>45758</c:v>
                </c:pt>
                <c:pt idx="321">
                  <c:v>45761</c:v>
                </c:pt>
                <c:pt idx="322">
                  <c:v>45762</c:v>
                </c:pt>
                <c:pt idx="323">
                  <c:v>45763</c:v>
                </c:pt>
                <c:pt idx="324">
                  <c:v>45764</c:v>
                </c:pt>
                <c:pt idx="325">
                  <c:v>45768</c:v>
                </c:pt>
                <c:pt idx="326">
                  <c:v>45769</c:v>
                </c:pt>
                <c:pt idx="327">
                  <c:v>45770</c:v>
                </c:pt>
                <c:pt idx="328">
                  <c:v>45771</c:v>
                </c:pt>
                <c:pt idx="329">
                  <c:v>45772</c:v>
                </c:pt>
                <c:pt idx="330">
                  <c:v>45775</c:v>
                </c:pt>
                <c:pt idx="331">
                  <c:v>45776</c:v>
                </c:pt>
                <c:pt idx="332">
                  <c:v>45777</c:v>
                </c:pt>
                <c:pt idx="333">
                  <c:v>45778</c:v>
                </c:pt>
                <c:pt idx="334">
                  <c:v>45779</c:v>
                </c:pt>
                <c:pt idx="335">
                  <c:v>45782</c:v>
                </c:pt>
                <c:pt idx="336">
                  <c:v>45783</c:v>
                </c:pt>
                <c:pt idx="337">
                  <c:v>45784</c:v>
                </c:pt>
                <c:pt idx="338">
                  <c:v>45785</c:v>
                </c:pt>
                <c:pt idx="339">
                  <c:v>45786</c:v>
                </c:pt>
                <c:pt idx="340">
                  <c:v>45789</c:v>
                </c:pt>
                <c:pt idx="341">
                  <c:v>45790</c:v>
                </c:pt>
                <c:pt idx="342">
                  <c:v>45791</c:v>
                </c:pt>
                <c:pt idx="343">
                  <c:v>45792</c:v>
                </c:pt>
                <c:pt idx="344">
                  <c:v>45793</c:v>
                </c:pt>
                <c:pt idx="345">
                  <c:v>45796</c:v>
                </c:pt>
                <c:pt idx="346">
                  <c:v>45797</c:v>
                </c:pt>
                <c:pt idx="347">
                  <c:v>45798</c:v>
                </c:pt>
                <c:pt idx="348">
                  <c:v>45799</c:v>
                </c:pt>
                <c:pt idx="349">
                  <c:v>45800</c:v>
                </c:pt>
                <c:pt idx="350">
                  <c:v>45804</c:v>
                </c:pt>
                <c:pt idx="351">
                  <c:v>45805</c:v>
                </c:pt>
                <c:pt idx="352">
                  <c:v>45806</c:v>
                </c:pt>
                <c:pt idx="353">
                  <c:v>45807</c:v>
                </c:pt>
                <c:pt idx="354">
                  <c:v>45810</c:v>
                </c:pt>
                <c:pt idx="355">
                  <c:v>45811</c:v>
                </c:pt>
                <c:pt idx="356">
                  <c:v>45812</c:v>
                </c:pt>
                <c:pt idx="357">
                  <c:v>45813</c:v>
                </c:pt>
                <c:pt idx="358">
                  <c:v>45814</c:v>
                </c:pt>
                <c:pt idx="359">
                  <c:v>45817</c:v>
                </c:pt>
                <c:pt idx="360">
                  <c:v>45818</c:v>
                </c:pt>
                <c:pt idx="361">
                  <c:v>45819</c:v>
                </c:pt>
                <c:pt idx="362">
                  <c:v>45820</c:v>
                </c:pt>
                <c:pt idx="363">
                  <c:v>45821</c:v>
                </c:pt>
                <c:pt idx="364">
                  <c:v>45824</c:v>
                </c:pt>
                <c:pt idx="365">
                  <c:v>45825</c:v>
                </c:pt>
                <c:pt idx="366">
                  <c:v>45826</c:v>
                </c:pt>
                <c:pt idx="367">
                  <c:v>45828</c:v>
                </c:pt>
                <c:pt idx="368">
                  <c:v>45831</c:v>
                </c:pt>
                <c:pt idx="369">
                  <c:v>45832</c:v>
                </c:pt>
                <c:pt idx="370">
                  <c:v>45833</c:v>
                </c:pt>
                <c:pt idx="371">
                  <c:v>45834</c:v>
                </c:pt>
                <c:pt idx="372">
                  <c:v>45835</c:v>
                </c:pt>
                <c:pt idx="373">
                  <c:v>45838</c:v>
                </c:pt>
                <c:pt idx="374">
                  <c:v>45839</c:v>
                </c:pt>
                <c:pt idx="375">
                  <c:v>45840</c:v>
                </c:pt>
                <c:pt idx="376">
                  <c:v>45841</c:v>
                </c:pt>
                <c:pt idx="377">
                  <c:v>45845</c:v>
                </c:pt>
                <c:pt idx="378">
                  <c:v>45846</c:v>
                </c:pt>
                <c:pt idx="379">
                  <c:v>45847</c:v>
                </c:pt>
                <c:pt idx="380">
                  <c:v>45848</c:v>
                </c:pt>
                <c:pt idx="381">
                  <c:v>45849</c:v>
                </c:pt>
                <c:pt idx="382">
                  <c:v>45852</c:v>
                </c:pt>
                <c:pt idx="383">
                  <c:v>45853</c:v>
                </c:pt>
                <c:pt idx="384">
                  <c:v>45854</c:v>
                </c:pt>
                <c:pt idx="385">
                  <c:v>45855</c:v>
                </c:pt>
                <c:pt idx="386">
                  <c:v>45856</c:v>
                </c:pt>
                <c:pt idx="387">
                  <c:v>45859</c:v>
                </c:pt>
                <c:pt idx="388">
                  <c:v>45860</c:v>
                </c:pt>
                <c:pt idx="389">
                  <c:v>45861</c:v>
                </c:pt>
                <c:pt idx="390">
                  <c:v>45862</c:v>
                </c:pt>
                <c:pt idx="391">
                  <c:v>45863</c:v>
                </c:pt>
                <c:pt idx="392">
                  <c:v>45866</c:v>
                </c:pt>
                <c:pt idx="393">
                  <c:v>45867</c:v>
                </c:pt>
                <c:pt idx="394">
                  <c:v>45868</c:v>
                </c:pt>
                <c:pt idx="395">
                  <c:v>45869</c:v>
                </c:pt>
                <c:pt idx="396">
                  <c:v>45870</c:v>
                </c:pt>
                <c:pt idx="397">
                  <c:v>45873</c:v>
                </c:pt>
                <c:pt idx="398">
                  <c:v>45874</c:v>
                </c:pt>
                <c:pt idx="399">
                  <c:v>45875</c:v>
                </c:pt>
                <c:pt idx="400">
                  <c:v>45876</c:v>
                </c:pt>
                <c:pt idx="401">
                  <c:v>45877</c:v>
                </c:pt>
                <c:pt idx="402">
                  <c:v>45880</c:v>
                </c:pt>
                <c:pt idx="403">
                  <c:v>45881</c:v>
                </c:pt>
                <c:pt idx="404">
                  <c:v>45882</c:v>
                </c:pt>
                <c:pt idx="405">
                  <c:v>45883</c:v>
                </c:pt>
                <c:pt idx="406">
                  <c:v>45884</c:v>
                </c:pt>
                <c:pt idx="407">
                  <c:v>45887</c:v>
                </c:pt>
                <c:pt idx="408">
                  <c:v>45888</c:v>
                </c:pt>
                <c:pt idx="409">
                  <c:v>45889</c:v>
                </c:pt>
                <c:pt idx="410">
                  <c:v>45890</c:v>
                </c:pt>
                <c:pt idx="411">
                  <c:v>45891</c:v>
                </c:pt>
                <c:pt idx="412">
                  <c:v>45894</c:v>
                </c:pt>
                <c:pt idx="413">
                  <c:v>45895</c:v>
                </c:pt>
                <c:pt idx="414">
                  <c:v>45896</c:v>
                </c:pt>
                <c:pt idx="415">
                  <c:v>45897</c:v>
                </c:pt>
                <c:pt idx="416">
                  <c:v>45898</c:v>
                </c:pt>
                <c:pt idx="417">
                  <c:v>45902</c:v>
                </c:pt>
                <c:pt idx="418">
                  <c:v>45903</c:v>
                </c:pt>
                <c:pt idx="419">
                  <c:v>45904</c:v>
                </c:pt>
                <c:pt idx="420">
                  <c:v>45905</c:v>
                </c:pt>
                <c:pt idx="421">
                  <c:v>45908</c:v>
                </c:pt>
                <c:pt idx="422">
                  <c:v>45909</c:v>
                </c:pt>
                <c:pt idx="423">
                  <c:v>45910</c:v>
                </c:pt>
                <c:pt idx="424">
                  <c:v>45911</c:v>
                </c:pt>
                <c:pt idx="425">
                  <c:v>45912</c:v>
                </c:pt>
                <c:pt idx="426">
                  <c:v>45915</c:v>
                </c:pt>
                <c:pt idx="427">
                  <c:v>45916</c:v>
                </c:pt>
                <c:pt idx="428">
                  <c:v>45917</c:v>
                </c:pt>
                <c:pt idx="429">
                  <c:v>45918</c:v>
                </c:pt>
                <c:pt idx="430">
                  <c:v>45919</c:v>
                </c:pt>
                <c:pt idx="431">
                  <c:v>45922</c:v>
                </c:pt>
                <c:pt idx="432">
                  <c:v>45923</c:v>
                </c:pt>
                <c:pt idx="433">
                  <c:v>45924</c:v>
                </c:pt>
                <c:pt idx="434">
                  <c:v>45925</c:v>
                </c:pt>
                <c:pt idx="435">
                  <c:v>45926</c:v>
                </c:pt>
                <c:pt idx="436">
                  <c:v>45929</c:v>
                </c:pt>
                <c:pt idx="437">
                  <c:v>45930</c:v>
                </c:pt>
                <c:pt idx="438">
                  <c:v>45931</c:v>
                </c:pt>
                <c:pt idx="439">
                  <c:v>45932</c:v>
                </c:pt>
                <c:pt idx="440">
                  <c:v>45933</c:v>
                </c:pt>
                <c:pt idx="441">
                  <c:v>45936</c:v>
                </c:pt>
                <c:pt idx="442">
                  <c:v>45937</c:v>
                </c:pt>
                <c:pt idx="443">
                  <c:v>45938</c:v>
                </c:pt>
                <c:pt idx="444">
                  <c:v>45939</c:v>
                </c:pt>
                <c:pt idx="445">
                  <c:v>45940</c:v>
                </c:pt>
                <c:pt idx="446">
                  <c:v>45943</c:v>
                </c:pt>
                <c:pt idx="447">
                  <c:v>45944</c:v>
                </c:pt>
                <c:pt idx="448">
                  <c:v>45945</c:v>
                </c:pt>
                <c:pt idx="449">
                  <c:v>45946</c:v>
                </c:pt>
                <c:pt idx="450">
                  <c:v>45947</c:v>
                </c:pt>
                <c:pt idx="451">
                  <c:v>45950</c:v>
                </c:pt>
                <c:pt idx="452">
                  <c:v>45951</c:v>
                </c:pt>
                <c:pt idx="453">
                  <c:v>45952</c:v>
                </c:pt>
                <c:pt idx="454">
                  <c:v>45953</c:v>
                </c:pt>
                <c:pt idx="455">
                  <c:v>45954</c:v>
                </c:pt>
                <c:pt idx="456">
                  <c:v>45957</c:v>
                </c:pt>
                <c:pt idx="457">
                  <c:v>45958</c:v>
                </c:pt>
                <c:pt idx="458">
                  <c:v>45959</c:v>
                </c:pt>
                <c:pt idx="459">
                  <c:v>45960</c:v>
                </c:pt>
                <c:pt idx="460">
                  <c:v>45961</c:v>
                </c:pt>
                <c:pt idx="461">
                  <c:v>45964</c:v>
                </c:pt>
                <c:pt idx="462">
                  <c:v>45965</c:v>
                </c:pt>
                <c:pt idx="463">
                  <c:v>45966</c:v>
                </c:pt>
                <c:pt idx="464">
                  <c:v>45967</c:v>
                </c:pt>
                <c:pt idx="465">
                  <c:v>45968</c:v>
                </c:pt>
                <c:pt idx="466">
                  <c:v>45971</c:v>
                </c:pt>
                <c:pt idx="467">
                  <c:v>45972</c:v>
                </c:pt>
                <c:pt idx="468">
                  <c:v>45973</c:v>
                </c:pt>
                <c:pt idx="469">
                  <c:v>45974</c:v>
                </c:pt>
                <c:pt idx="470">
                  <c:v>45975</c:v>
                </c:pt>
                <c:pt idx="471">
                  <c:v>45978</c:v>
                </c:pt>
                <c:pt idx="472">
                  <c:v>45979</c:v>
                </c:pt>
                <c:pt idx="473">
                  <c:v>45980</c:v>
                </c:pt>
                <c:pt idx="474">
                  <c:v>45981</c:v>
                </c:pt>
                <c:pt idx="475">
                  <c:v>45982</c:v>
                </c:pt>
                <c:pt idx="476">
                  <c:v>45985</c:v>
                </c:pt>
                <c:pt idx="477">
                  <c:v>45986</c:v>
                </c:pt>
                <c:pt idx="478">
                  <c:v>45987</c:v>
                </c:pt>
                <c:pt idx="479">
                  <c:v>45989</c:v>
                </c:pt>
                <c:pt idx="480">
                  <c:v>45992</c:v>
                </c:pt>
                <c:pt idx="481">
                  <c:v>45993</c:v>
                </c:pt>
                <c:pt idx="482">
                  <c:v>45994</c:v>
                </c:pt>
                <c:pt idx="483">
                  <c:v>45995</c:v>
                </c:pt>
                <c:pt idx="484">
                  <c:v>45996</c:v>
                </c:pt>
                <c:pt idx="485">
                  <c:v>45999</c:v>
                </c:pt>
                <c:pt idx="486">
                  <c:v>46000</c:v>
                </c:pt>
                <c:pt idx="487">
                  <c:v>46001</c:v>
                </c:pt>
                <c:pt idx="488">
                  <c:v>46002</c:v>
                </c:pt>
                <c:pt idx="489">
                  <c:v>46003</c:v>
                </c:pt>
                <c:pt idx="490">
                  <c:v>46006</c:v>
                </c:pt>
                <c:pt idx="491">
                  <c:v>46007</c:v>
                </c:pt>
                <c:pt idx="492">
                  <c:v>46008</c:v>
                </c:pt>
                <c:pt idx="493">
                  <c:v>46009</c:v>
                </c:pt>
                <c:pt idx="494">
                  <c:v>46010</c:v>
                </c:pt>
                <c:pt idx="495">
                  <c:v>46013</c:v>
                </c:pt>
                <c:pt idx="496">
                  <c:v>46014</c:v>
                </c:pt>
                <c:pt idx="497">
                  <c:v>46015</c:v>
                </c:pt>
                <c:pt idx="498">
                  <c:v>46017</c:v>
                </c:pt>
                <c:pt idx="499">
                  <c:v>46020</c:v>
                </c:pt>
                <c:pt idx="500">
                  <c:v>46021</c:v>
                </c:pt>
                <c:pt idx="501">
                  <c:v>46022</c:v>
                </c:pt>
                <c:pt idx="502">
                  <c:v>46024</c:v>
                </c:pt>
                <c:pt idx="503">
                  <c:v>46027</c:v>
                </c:pt>
                <c:pt idx="504">
                  <c:v>46028</c:v>
                </c:pt>
                <c:pt idx="505">
                  <c:v>46029</c:v>
                </c:pt>
                <c:pt idx="506">
                  <c:v>46030</c:v>
                </c:pt>
                <c:pt idx="507">
                  <c:v>46031</c:v>
                </c:pt>
                <c:pt idx="508">
                  <c:v>46034</c:v>
                </c:pt>
                <c:pt idx="509">
                  <c:v>46035</c:v>
                </c:pt>
                <c:pt idx="510">
                  <c:v>46036</c:v>
                </c:pt>
                <c:pt idx="511">
                  <c:v>46037</c:v>
                </c:pt>
                <c:pt idx="512">
                  <c:v>46038</c:v>
                </c:pt>
              </c:numCache>
            </c:numRef>
          </c:cat>
          <c:val>
            <c:numRef>
              <c:f>Data!$L$2:$L$514</c:f>
              <c:numCache>
                <c:formatCode>General</c:formatCode>
                <c:ptCount val="513"/>
                <c:pt idx="19">
                  <c:v>60.511893268831358</c:v>
                </c:pt>
                <c:pt idx="20">
                  <c:v>60.509654464753446</c:v>
                </c:pt>
                <c:pt idx="21">
                  <c:v>60.734750452129518</c:v>
                </c:pt>
                <c:pt idx="22">
                  <c:v>60.825147447631579</c:v>
                </c:pt>
                <c:pt idx="23">
                  <c:v>60.840605740387112</c:v>
                </c:pt>
                <c:pt idx="24">
                  <c:v>60.827207947633063</c:v>
                </c:pt>
                <c:pt idx="25">
                  <c:v>60.82647649290363</c:v>
                </c:pt>
                <c:pt idx="26">
                  <c:v>60.79688678672305</c:v>
                </c:pt>
                <c:pt idx="27">
                  <c:v>60.794716963764202</c:v>
                </c:pt>
                <c:pt idx="28">
                  <c:v>60.728364151282442</c:v>
                </c:pt>
                <c:pt idx="29">
                  <c:v>60.717115846384623</c:v>
                </c:pt>
                <c:pt idx="30">
                  <c:v>60.703745173336046</c:v>
                </c:pt>
                <c:pt idx="31">
                  <c:v>60.659028104841894</c:v>
                </c:pt>
                <c:pt idx="32">
                  <c:v>60.646905876452571</c:v>
                </c:pt>
                <c:pt idx="33">
                  <c:v>60.800673708817619</c:v>
                </c:pt>
                <c:pt idx="34">
                  <c:v>61.063554075853261</c:v>
                </c:pt>
                <c:pt idx="35">
                  <c:v>61.23088193976308</c:v>
                </c:pt>
                <c:pt idx="36">
                  <c:v>61.39497971698507</c:v>
                </c:pt>
                <c:pt idx="37">
                  <c:v>61.455094199820493</c:v>
                </c:pt>
                <c:pt idx="38">
                  <c:v>61.477307898640419</c:v>
                </c:pt>
                <c:pt idx="39">
                  <c:v>61.502347166340044</c:v>
                </c:pt>
                <c:pt idx="40">
                  <c:v>61.493394026751837</c:v>
                </c:pt>
                <c:pt idx="41">
                  <c:v>61.39663142320704</c:v>
                </c:pt>
                <c:pt idx="42">
                  <c:v>61.350827114309681</c:v>
                </c:pt>
                <c:pt idx="43">
                  <c:v>61.349262730067352</c:v>
                </c:pt>
                <c:pt idx="44">
                  <c:v>61.348556559212433</c:v>
                </c:pt>
                <c:pt idx="45">
                  <c:v>61.347674269456668</c:v>
                </c:pt>
                <c:pt idx="46">
                  <c:v>61.347836878843388</c:v>
                </c:pt>
                <c:pt idx="47">
                  <c:v>61.37039370093899</c:v>
                </c:pt>
                <c:pt idx="48">
                  <c:v>61.417261264074284</c:v>
                </c:pt>
                <c:pt idx="49">
                  <c:v>61.539980208449087</c:v>
                </c:pt>
                <c:pt idx="50">
                  <c:v>61.546372636354121</c:v>
                </c:pt>
                <c:pt idx="51">
                  <c:v>61.525160890446386</c:v>
                </c:pt>
                <c:pt idx="52">
                  <c:v>61.500595451413844</c:v>
                </c:pt>
                <c:pt idx="53">
                  <c:v>61.460697646114333</c:v>
                </c:pt>
                <c:pt idx="54">
                  <c:v>61.369906728247635</c:v>
                </c:pt>
                <c:pt idx="55">
                  <c:v>61.258103899058426</c:v>
                </c:pt>
                <c:pt idx="56">
                  <c:v>61.124053834915308</c:v>
                </c:pt>
                <c:pt idx="57">
                  <c:v>61.080792057015721</c:v>
                </c:pt>
                <c:pt idx="58">
                  <c:v>61.103842534522549</c:v>
                </c:pt>
                <c:pt idx="59">
                  <c:v>61.208765562517442</c:v>
                </c:pt>
                <c:pt idx="60">
                  <c:v>61.355247112938557</c:v>
                </c:pt>
                <c:pt idx="61">
                  <c:v>61.376226458134639</c:v>
                </c:pt>
                <c:pt idx="62">
                  <c:v>61.371240556261448</c:v>
                </c:pt>
                <c:pt idx="63">
                  <c:v>61.345824250035726</c:v>
                </c:pt>
                <c:pt idx="64">
                  <c:v>61.3790079443595</c:v>
                </c:pt>
                <c:pt idx="65">
                  <c:v>61.37068389306657</c:v>
                </c:pt>
                <c:pt idx="66">
                  <c:v>61.403463834744755</c:v>
                </c:pt>
                <c:pt idx="67">
                  <c:v>61.40875307231596</c:v>
                </c:pt>
                <c:pt idx="68">
                  <c:v>61.478048558217218</c:v>
                </c:pt>
                <c:pt idx="69">
                  <c:v>61.397701332639663</c:v>
                </c:pt>
                <c:pt idx="70">
                  <c:v>61.504872894355245</c:v>
                </c:pt>
                <c:pt idx="71">
                  <c:v>61.629710025643334</c:v>
                </c:pt>
                <c:pt idx="72">
                  <c:v>61.707712876995018</c:v>
                </c:pt>
                <c:pt idx="73">
                  <c:v>61.693807539822203</c:v>
                </c:pt>
                <c:pt idx="74">
                  <c:v>61.569852798934193</c:v>
                </c:pt>
                <c:pt idx="75">
                  <c:v>61.531841483562239</c:v>
                </c:pt>
                <c:pt idx="76">
                  <c:v>61.540813845315789</c:v>
                </c:pt>
                <c:pt idx="77">
                  <c:v>61.57632691334139</c:v>
                </c:pt>
                <c:pt idx="78">
                  <c:v>61.773405819678231</c:v>
                </c:pt>
                <c:pt idx="79">
                  <c:v>61.926207906349049</c:v>
                </c:pt>
                <c:pt idx="80">
                  <c:v>62.044733077047361</c:v>
                </c:pt>
                <c:pt idx="81">
                  <c:v>62.302145838732976</c:v>
                </c:pt>
                <c:pt idx="82">
                  <c:v>62.53105764348237</c:v>
                </c:pt>
                <c:pt idx="83">
                  <c:v>62.789105120156115</c:v>
                </c:pt>
                <c:pt idx="84">
                  <c:v>63.04009491085619</c:v>
                </c:pt>
                <c:pt idx="85">
                  <c:v>63.295192164161882</c:v>
                </c:pt>
                <c:pt idx="86">
                  <c:v>63.549050335096332</c:v>
                </c:pt>
                <c:pt idx="87">
                  <c:v>63.824812134806926</c:v>
                </c:pt>
                <c:pt idx="88">
                  <c:v>64.079088899656924</c:v>
                </c:pt>
                <c:pt idx="89">
                  <c:v>64.298652022415439</c:v>
                </c:pt>
                <c:pt idx="90">
                  <c:v>64.452852696472107</c:v>
                </c:pt>
                <c:pt idx="91">
                  <c:v>64.555480241803636</c:v>
                </c:pt>
                <c:pt idx="92">
                  <c:v>64.438063989516252</c:v>
                </c:pt>
                <c:pt idx="93">
                  <c:v>64.278932758546205</c:v>
                </c:pt>
                <c:pt idx="94">
                  <c:v>64.086947367698897</c:v>
                </c:pt>
                <c:pt idx="95">
                  <c:v>64.01705872718739</c:v>
                </c:pt>
                <c:pt idx="96">
                  <c:v>63.90453541518022</c:v>
                </c:pt>
                <c:pt idx="97">
                  <c:v>63.775757042363473</c:v>
                </c:pt>
                <c:pt idx="98">
                  <c:v>63.775845024005427</c:v>
                </c:pt>
                <c:pt idx="99">
                  <c:v>63.749140603564129</c:v>
                </c:pt>
                <c:pt idx="100">
                  <c:v>63.725146408578787</c:v>
                </c:pt>
                <c:pt idx="101">
                  <c:v>63.743100981869148</c:v>
                </c:pt>
                <c:pt idx="102">
                  <c:v>63.751096734206058</c:v>
                </c:pt>
                <c:pt idx="103">
                  <c:v>63.748149392153138</c:v>
                </c:pt>
                <c:pt idx="104">
                  <c:v>63.763117349225475</c:v>
                </c:pt>
                <c:pt idx="105">
                  <c:v>63.781582765409141</c:v>
                </c:pt>
                <c:pt idx="106">
                  <c:v>63.979608597133975</c:v>
                </c:pt>
                <c:pt idx="107">
                  <c:v>64.144600231309724</c:v>
                </c:pt>
                <c:pt idx="108">
                  <c:v>64.33451791977474</c:v>
                </c:pt>
                <c:pt idx="109">
                  <c:v>64.45414015014299</c:v>
                </c:pt>
                <c:pt idx="110">
                  <c:v>64.491633035083055</c:v>
                </c:pt>
                <c:pt idx="111">
                  <c:v>64.487682434365439</c:v>
                </c:pt>
                <c:pt idx="112">
                  <c:v>64.476145453559738</c:v>
                </c:pt>
                <c:pt idx="113">
                  <c:v>64.467259625594522</c:v>
                </c:pt>
                <c:pt idx="114">
                  <c:v>64.429377909339365</c:v>
                </c:pt>
                <c:pt idx="115">
                  <c:v>64.41380708061466</c:v>
                </c:pt>
                <c:pt idx="116">
                  <c:v>64.414279165550099</c:v>
                </c:pt>
                <c:pt idx="117">
                  <c:v>64.412064322832961</c:v>
                </c:pt>
                <c:pt idx="118">
                  <c:v>64.399835278914523</c:v>
                </c:pt>
                <c:pt idx="119">
                  <c:v>64.526057706664588</c:v>
                </c:pt>
                <c:pt idx="120">
                  <c:v>64.599266160531599</c:v>
                </c:pt>
                <c:pt idx="121">
                  <c:v>64.660903134707596</c:v>
                </c:pt>
                <c:pt idx="122">
                  <c:v>64.641158019446678</c:v>
                </c:pt>
                <c:pt idx="123">
                  <c:v>64.591265648879684</c:v>
                </c:pt>
                <c:pt idx="124">
                  <c:v>64.59375464529316</c:v>
                </c:pt>
                <c:pt idx="125">
                  <c:v>64.592209019894412</c:v>
                </c:pt>
                <c:pt idx="126">
                  <c:v>64.532439166049741</c:v>
                </c:pt>
                <c:pt idx="127">
                  <c:v>64.51021517694177</c:v>
                </c:pt>
                <c:pt idx="128">
                  <c:v>64.3967368640903</c:v>
                </c:pt>
                <c:pt idx="129">
                  <c:v>64.323728776186528</c:v>
                </c:pt>
                <c:pt idx="130">
                  <c:v>64.284064215092613</c:v>
                </c:pt>
                <c:pt idx="131">
                  <c:v>64.24803716951493</c:v>
                </c:pt>
                <c:pt idx="132">
                  <c:v>64.306694822990664</c:v>
                </c:pt>
                <c:pt idx="133">
                  <c:v>64.327016720375468</c:v>
                </c:pt>
                <c:pt idx="134">
                  <c:v>64.460371892736845</c:v>
                </c:pt>
                <c:pt idx="135">
                  <c:v>64.823562159952019</c:v>
                </c:pt>
                <c:pt idx="136">
                  <c:v>65.102969853136074</c:v>
                </c:pt>
                <c:pt idx="137">
                  <c:v>65.298227831674922</c:v>
                </c:pt>
                <c:pt idx="138">
                  <c:v>65.398760643021689</c:v>
                </c:pt>
                <c:pt idx="139">
                  <c:v>65.52827819425903</c:v>
                </c:pt>
                <c:pt idx="140">
                  <c:v>65.839914001284612</c:v>
                </c:pt>
                <c:pt idx="141">
                  <c:v>66.1643978866054</c:v>
                </c:pt>
                <c:pt idx="142">
                  <c:v>66.706625096227981</c:v>
                </c:pt>
                <c:pt idx="143">
                  <c:v>67.106481518010952</c:v>
                </c:pt>
                <c:pt idx="144">
                  <c:v>67.643706981504181</c:v>
                </c:pt>
                <c:pt idx="145">
                  <c:v>67.885272105205615</c:v>
                </c:pt>
                <c:pt idx="146">
                  <c:v>68.343108621016484</c:v>
                </c:pt>
                <c:pt idx="147">
                  <c:v>69.080241307233933</c:v>
                </c:pt>
                <c:pt idx="148">
                  <c:v>69.368254136874313</c:v>
                </c:pt>
                <c:pt idx="149">
                  <c:v>69.542464853242862</c:v>
                </c:pt>
                <c:pt idx="150">
                  <c:v>69.722919947994654</c:v>
                </c:pt>
                <c:pt idx="151">
                  <c:v>69.896601160151818</c:v>
                </c:pt>
                <c:pt idx="152">
                  <c:v>70.050386157892902</c:v>
                </c:pt>
                <c:pt idx="153">
                  <c:v>69.995027188657119</c:v>
                </c:pt>
                <c:pt idx="154">
                  <c:v>70.02828945948788</c:v>
                </c:pt>
                <c:pt idx="155">
                  <c:v>70.132074914469086</c:v>
                </c:pt>
                <c:pt idx="156">
                  <c:v>70.199164630888419</c:v>
                </c:pt>
                <c:pt idx="157">
                  <c:v>70.309712228270811</c:v>
                </c:pt>
                <c:pt idx="158">
                  <c:v>70.227140002820278</c:v>
                </c:pt>
                <c:pt idx="159">
                  <c:v>70.131517262178647</c:v>
                </c:pt>
                <c:pt idx="160">
                  <c:v>70.141844059315176</c:v>
                </c:pt>
                <c:pt idx="161">
                  <c:v>70.069656189657451</c:v>
                </c:pt>
                <c:pt idx="162">
                  <c:v>70.191426412504569</c:v>
                </c:pt>
                <c:pt idx="163">
                  <c:v>70.49184052716555</c:v>
                </c:pt>
                <c:pt idx="164">
                  <c:v>71.002059823869104</c:v>
                </c:pt>
                <c:pt idx="165">
                  <c:v>71.349646456049143</c:v>
                </c:pt>
                <c:pt idx="166">
                  <c:v>71.825504703277275</c:v>
                </c:pt>
                <c:pt idx="167">
                  <c:v>72.345363291791074</c:v>
                </c:pt>
                <c:pt idx="168">
                  <c:v>72.903262491387139</c:v>
                </c:pt>
                <c:pt idx="169">
                  <c:v>73.251286313538088</c:v>
                </c:pt>
                <c:pt idx="170">
                  <c:v>73.340781610983925</c:v>
                </c:pt>
                <c:pt idx="171">
                  <c:v>73.418520475877827</c:v>
                </c:pt>
                <c:pt idx="172">
                  <c:v>73.560640177282892</c:v>
                </c:pt>
                <c:pt idx="173">
                  <c:v>73.579620447996618</c:v>
                </c:pt>
                <c:pt idx="174">
                  <c:v>73.542394035212027</c:v>
                </c:pt>
                <c:pt idx="175">
                  <c:v>73.494545398208487</c:v>
                </c:pt>
                <c:pt idx="176">
                  <c:v>73.428128075450871</c:v>
                </c:pt>
                <c:pt idx="177">
                  <c:v>73.464412191381939</c:v>
                </c:pt>
                <c:pt idx="178">
                  <c:v>73.386209679073005</c:v>
                </c:pt>
                <c:pt idx="179">
                  <c:v>73.31288782660738</c:v>
                </c:pt>
                <c:pt idx="180">
                  <c:v>73.205352716092904</c:v>
                </c:pt>
                <c:pt idx="181">
                  <c:v>73.009973679416262</c:v>
                </c:pt>
                <c:pt idx="182">
                  <c:v>72.841024947818923</c:v>
                </c:pt>
                <c:pt idx="183">
                  <c:v>72.81272035416859</c:v>
                </c:pt>
                <c:pt idx="184">
                  <c:v>72.812189300248406</c:v>
                </c:pt>
                <c:pt idx="185">
                  <c:v>72.801253290193941</c:v>
                </c:pt>
                <c:pt idx="186">
                  <c:v>72.775660423329256</c:v>
                </c:pt>
                <c:pt idx="187">
                  <c:v>72.683197573540866</c:v>
                </c:pt>
                <c:pt idx="188">
                  <c:v>72.396373875699055</c:v>
                </c:pt>
                <c:pt idx="189">
                  <c:v>72.20827031100076</c:v>
                </c:pt>
                <c:pt idx="190">
                  <c:v>72.284285794768508</c:v>
                </c:pt>
                <c:pt idx="191">
                  <c:v>72.406337810813895</c:v>
                </c:pt>
                <c:pt idx="192">
                  <c:v>72.702898102398848</c:v>
                </c:pt>
                <c:pt idx="193">
                  <c:v>72.84822035838458</c:v>
                </c:pt>
                <c:pt idx="194">
                  <c:v>72.911586191992711</c:v>
                </c:pt>
                <c:pt idx="195">
                  <c:v>72.979761315365849</c:v>
                </c:pt>
                <c:pt idx="196">
                  <c:v>72.968620495976751</c:v>
                </c:pt>
                <c:pt idx="197">
                  <c:v>72.810308293621119</c:v>
                </c:pt>
                <c:pt idx="198">
                  <c:v>72.68791391246522</c:v>
                </c:pt>
                <c:pt idx="199">
                  <c:v>72.567939603280067</c:v>
                </c:pt>
                <c:pt idx="200">
                  <c:v>72.561396537421516</c:v>
                </c:pt>
                <c:pt idx="201">
                  <c:v>72.441620302397936</c:v>
                </c:pt>
                <c:pt idx="202">
                  <c:v>72.304556790487609</c:v>
                </c:pt>
                <c:pt idx="203">
                  <c:v>72.21183202621566</c:v>
                </c:pt>
                <c:pt idx="204">
                  <c:v>72.236648411488574</c:v>
                </c:pt>
                <c:pt idx="205">
                  <c:v>72.315686704408478</c:v>
                </c:pt>
                <c:pt idx="206">
                  <c:v>72.279654743702494</c:v>
                </c:pt>
                <c:pt idx="207">
                  <c:v>72.159301489659327</c:v>
                </c:pt>
                <c:pt idx="208">
                  <c:v>72.16136859361329</c:v>
                </c:pt>
                <c:pt idx="209">
                  <c:v>72.103749006494937</c:v>
                </c:pt>
                <c:pt idx="210">
                  <c:v>72.126386719269377</c:v>
                </c:pt>
                <c:pt idx="211">
                  <c:v>72.146787824052467</c:v>
                </c:pt>
                <c:pt idx="212">
                  <c:v>72.211728334399183</c:v>
                </c:pt>
                <c:pt idx="213">
                  <c:v>72.18233311225103</c:v>
                </c:pt>
                <c:pt idx="214">
                  <c:v>72.23556242252927</c:v>
                </c:pt>
                <c:pt idx="215">
                  <c:v>72.237183221629451</c:v>
                </c:pt>
                <c:pt idx="216">
                  <c:v>72.08739505535236</c:v>
                </c:pt>
                <c:pt idx="217">
                  <c:v>71.77484943349144</c:v>
                </c:pt>
                <c:pt idx="218">
                  <c:v>71.372332213307359</c:v>
                </c:pt>
                <c:pt idx="219">
                  <c:v>70.818526867706026</c:v>
                </c:pt>
                <c:pt idx="220">
                  <c:v>70.337162474406739</c:v>
                </c:pt>
                <c:pt idx="221">
                  <c:v>69.654038197710008</c:v>
                </c:pt>
                <c:pt idx="222">
                  <c:v>69.056648200547656</c:v>
                </c:pt>
                <c:pt idx="223">
                  <c:v>68.232693776926993</c:v>
                </c:pt>
                <c:pt idx="224">
                  <c:v>67.656292288643968</c:v>
                </c:pt>
                <c:pt idx="225">
                  <c:v>67.170636328746369</c:v>
                </c:pt>
                <c:pt idx="226">
                  <c:v>66.720076276596643</c:v>
                </c:pt>
                <c:pt idx="227">
                  <c:v>66.305953317239684</c:v>
                </c:pt>
                <c:pt idx="228">
                  <c:v>66.146326613234606</c:v>
                </c:pt>
                <c:pt idx="229">
                  <c:v>65.874472828837071</c:v>
                </c:pt>
                <c:pt idx="230">
                  <c:v>65.68852833514535</c:v>
                </c:pt>
                <c:pt idx="231">
                  <c:v>65.518506160820252</c:v>
                </c:pt>
                <c:pt idx="232">
                  <c:v>65.30146353976393</c:v>
                </c:pt>
                <c:pt idx="233">
                  <c:v>65.005258552509858</c:v>
                </c:pt>
                <c:pt idx="234">
                  <c:v>64.968642805519707</c:v>
                </c:pt>
                <c:pt idx="235">
                  <c:v>64.939422956276843</c:v>
                </c:pt>
                <c:pt idx="236">
                  <c:v>64.867628397442516</c:v>
                </c:pt>
                <c:pt idx="237">
                  <c:v>64.847713022047088</c:v>
                </c:pt>
                <c:pt idx="238">
                  <c:v>64.836176183942257</c:v>
                </c:pt>
                <c:pt idx="239">
                  <c:v>64.9048369956611</c:v>
                </c:pt>
                <c:pt idx="240">
                  <c:v>64.907859974358615</c:v>
                </c:pt>
                <c:pt idx="241">
                  <c:v>64.835260745958564</c:v>
                </c:pt>
                <c:pt idx="242">
                  <c:v>64.77051535840458</c:v>
                </c:pt>
                <c:pt idx="243">
                  <c:v>64.759923533628609</c:v>
                </c:pt>
                <c:pt idx="244">
                  <c:v>64.780954483122983</c:v>
                </c:pt>
                <c:pt idx="245">
                  <c:v>64.742923314379368</c:v>
                </c:pt>
                <c:pt idx="246">
                  <c:v>64.680343432599116</c:v>
                </c:pt>
                <c:pt idx="247">
                  <c:v>64.498123360412578</c:v>
                </c:pt>
                <c:pt idx="248">
                  <c:v>64.238133189894157</c:v>
                </c:pt>
                <c:pt idx="249">
                  <c:v>63.962058171455332</c:v>
                </c:pt>
                <c:pt idx="250">
                  <c:v>63.773211348973092</c:v>
                </c:pt>
                <c:pt idx="251">
                  <c:v>63.645005643193457</c:v>
                </c:pt>
                <c:pt idx="252">
                  <c:v>63.564481679151648</c:v>
                </c:pt>
                <c:pt idx="253">
                  <c:v>63.608242161045219</c:v>
                </c:pt>
                <c:pt idx="254">
                  <c:v>63.781900174133277</c:v>
                </c:pt>
                <c:pt idx="255">
                  <c:v>63.903427385788504</c:v>
                </c:pt>
                <c:pt idx="256">
                  <c:v>63.891309084509672</c:v>
                </c:pt>
                <c:pt idx="257">
                  <c:v>63.887877313721496</c:v>
                </c:pt>
                <c:pt idx="258">
                  <c:v>63.855031915970365</c:v>
                </c:pt>
                <c:pt idx="259">
                  <c:v>63.580667620315701</c:v>
                </c:pt>
                <c:pt idx="260">
                  <c:v>63.44757851845911</c:v>
                </c:pt>
                <c:pt idx="261">
                  <c:v>63.417744389073775</c:v>
                </c:pt>
                <c:pt idx="262">
                  <c:v>63.270649500767135</c:v>
                </c:pt>
                <c:pt idx="263">
                  <c:v>63.203791482612921</c:v>
                </c:pt>
                <c:pt idx="264">
                  <c:v>63.156845848094449</c:v>
                </c:pt>
                <c:pt idx="265">
                  <c:v>63.091173361613762</c:v>
                </c:pt>
                <c:pt idx="266">
                  <c:v>63.049043257057996</c:v>
                </c:pt>
                <c:pt idx="267">
                  <c:v>63.344625018160727</c:v>
                </c:pt>
                <c:pt idx="268">
                  <c:v>63.317807293125441</c:v>
                </c:pt>
                <c:pt idx="269">
                  <c:v>63.375958313971026</c:v>
                </c:pt>
                <c:pt idx="270">
                  <c:v>63.757194013076919</c:v>
                </c:pt>
                <c:pt idx="271">
                  <c:v>63.931289186817914</c:v>
                </c:pt>
                <c:pt idx="272">
                  <c:v>64.080153980775023</c:v>
                </c:pt>
                <c:pt idx="273">
                  <c:v>64.123822918104835</c:v>
                </c:pt>
                <c:pt idx="274">
                  <c:v>64.146362379613606</c:v>
                </c:pt>
                <c:pt idx="275">
                  <c:v>64.169578847169831</c:v>
                </c:pt>
                <c:pt idx="276">
                  <c:v>64.335286725655862</c:v>
                </c:pt>
                <c:pt idx="277">
                  <c:v>64.559124037367667</c:v>
                </c:pt>
                <c:pt idx="278">
                  <c:v>65.800802634087788</c:v>
                </c:pt>
                <c:pt idx="279">
                  <c:v>67.07197706564763</c:v>
                </c:pt>
                <c:pt idx="280">
                  <c:v>68.271467122043546</c:v>
                </c:pt>
                <c:pt idx="281">
                  <c:v>69.075459938640833</c:v>
                </c:pt>
                <c:pt idx="282">
                  <c:v>69.805489995083292</c:v>
                </c:pt>
                <c:pt idx="283">
                  <c:v>70.65170026034842</c:v>
                </c:pt>
                <c:pt idx="284">
                  <c:v>71.32111465593799</c:v>
                </c:pt>
                <c:pt idx="285">
                  <c:v>72.128797576584788</c:v>
                </c:pt>
                <c:pt idx="286">
                  <c:v>72.649764175895712</c:v>
                </c:pt>
                <c:pt idx="287">
                  <c:v>73.350914131969049</c:v>
                </c:pt>
                <c:pt idx="288">
                  <c:v>73.727078705588156</c:v>
                </c:pt>
                <c:pt idx="289">
                  <c:v>74.049246653290467</c:v>
                </c:pt>
                <c:pt idx="290">
                  <c:v>74.425946268441265</c:v>
                </c:pt>
                <c:pt idx="291">
                  <c:v>74.854878274100059</c:v>
                </c:pt>
                <c:pt idx="292">
                  <c:v>74.850001660301956</c:v>
                </c:pt>
                <c:pt idx="293">
                  <c:v>74.621270074879462</c:v>
                </c:pt>
                <c:pt idx="294">
                  <c:v>74.339511803847898</c:v>
                </c:pt>
                <c:pt idx="295">
                  <c:v>74.00398276442354</c:v>
                </c:pt>
                <c:pt idx="296">
                  <c:v>73.482762316739695</c:v>
                </c:pt>
                <c:pt idx="297">
                  <c:v>72.670370665850101</c:v>
                </c:pt>
                <c:pt idx="298">
                  <c:v>72.405885489569812</c:v>
                </c:pt>
                <c:pt idx="299">
                  <c:v>72.314651148252423</c:v>
                </c:pt>
                <c:pt idx="300">
                  <c:v>72.344075714362361</c:v>
                </c:pt>
                <c:pt idx="301">
                  <c:v>72.251868790111246</c:v>
                </c:pt>
                <c:pt idx="302">
                  <c:v>72.211547128945753</c:v>
                </c:pt>
                <c:pt idx="303">
                  <c:v>72.259994810316428</c:v>
                </c:pt>
                <c:pt idx="304">
                  <c:v>72.269875543965753</c:v>
                </c:pt>
                <c:pt idx="305">
                  <c:v>72.274990437897287</c:v>
                </c:pt>
                <c:pt idx="306">
                  <c:v>72.296329019439639</c:v>
                </c:pt>
                <c:pt idx="307">
                  <c:v>72.188132224822127</c:v>
                </c:pt>
                <c:pt idx="308">
                  <c:v>72.12822862387759</c:v>
                </c:pt>
                <c:pt idx="309">
                  <c:v>72.112467458239408</c:v>
                </c:pt>
                <c:pt idx="310">
                  <c:v>72.008699905374343</c:v>
                </c:pt>
                <c:pt idx="311">
                  <c:v>71.821966993447816</c:v>
                </c:pt>
                <c:pt idx="312">
                  <c:v>72.084045174014193</c:v>
                </c:pt>
                <c:pt idx="313">
                  <c:v>72.217882657098315</c:v>
                </c:pt>
                <c:pt idx="314">
                  <c:v>72.754638969476531</c:v>
                </c:pt>
                <c:pt idx="315">
                  <c:v>72.629136658801698</c:v>
                </c:pt>
                <c:pt idx="316">
                  <c:v>72.548565158447701</c:v>
                </c:pt>
                <c:pt idx="317">
                  <c:v>72.486580077503405</c:v>
                </c:pt>
                <c:pt idx="318">
                  <c:v>72.487055145221063</c:v>
                </c:pt>
                <c:pt idx="319">
                  <c:v>72.561810477611246</c:v>
                </c:pt>
                <c:pt idx="320">
                  <c:v>72.713976714237276</c:v>
                </c:pt>
                <c:pt idx="321">
                  <c:v>73.029279492475197</c:v>
                </c:pt>
                <c:pt idx="322">
                  <c:v>73.208573666932921</c:v>
                </c:pt>
                <c:pt idx="323">
                  <c:v>73.334653389865935</c:v>
                </c:pt>
                <c:pt idx="324">
                  <c:v>73.681053192739796</c:v>
                </c:pt>
                <c:pt idx="325">
                  <c:v>73.870818979586943</c:v>
                </c:pt>
                <c:pt idx="326">
                  <c:v>74.262950385125976</c:v>
                </c:pt>
                <c:pt idx="327">
                  <c:v>74.432710050001717</c:v>
                </c:pt>
                <c:pt idx="328">
                  <c:v>74.533733841374897</c:v>
                </c:pt>
                <c:pt idx="329">
                  <c:v>74.577978831564153</c:v>
                </c:pt>
                <c:pt idx="330">
                  <c:v>74.600867154531244</c:v>
                </c:pt>
                <c:pt idx="331">
                  <c:v>74.6560017551122</c:v>
                </c:pt>
                <c:pt idx="332">
                  <c:v>74.716194949788559</c:v>
                </c:pt>
                <c:pt idx="333">
                  <c:v>74.715194954904504</c:v>
                </c:pt>
                <c:pt idx="334">
                  <c:v>74.554728217676725</c:v>
                </c:pt>
                <c:pt idx="335">
                  <c:v>74.537736187114902</c:v>
                </c:pt>
                <c:pt idx="336">
                  <c:v>74.242593835810382</c:v>
                </c:pt>
                <c:pt idx="337">
                  <c:v>73.82230972151541</c:v>
                </c:pt>
                <c:pt idx="338">
                  <c:v>73.647557872252733</c:v>
                </c:pt>
                <c:pt idx="339">
                  <c:v>73.682936990280027</c:v>
                </c:pt>
                <c:pt idx="340">
                  <c:v>73.944243226171793</c:v>
                </c:pt>
                <c:pt idx="341">
                  <c:v>74.183832360053628</c:v>
                </c:pt>
                <c:pt idx="342">
                  <c:v>74.333534090688985</c:v>
                </c:pt>
                <c:pt idx="343">
                  <c:v>74.33029503933497</c:v>
                </c:pt>
                <c:pt idx="344">
                  <c:v>74.212854241376377</c:v>
                </c:pt>
                <c:pt idx="345">
                  <c:v>74.120109392844356</c:v>
                </c:pt>
                <c:pt idx="346">
                  <c:v>73.766926289776947</c:v>
                </c:pt>
                <c:pt idx="347">
                  <c:v>73.538606663946467</c:v>
                </c:pt>
                <c:pt idx="348">
                  <c:v>73.407194339518497</c:v>
                </c:pt>
                <c:pt idx="349">
                  <c:v>73.393068107311365</c:v>
                </c:pt>
                <c:pt idx="350">
                  <c:v>73.392110684162233</c:v>
                </c:pt>
                <c:pt idx="351">
                  <c:v>73.277060271268994</c:v>
                </c:pt>
                <c:pt idx="352">
                  <c:v>73.13638268388695</c:v>
                </c:pt>
                <c:pt idx="353">
                  <c:v>73.216561592546057</c:v>
                </c:pt>
                <c:pt idx="354">
                  <c:v>73.254738189565131</c:v>
                </c:pt>
                <c:pt idx="355">
                  <c:v>73.218489055176306</c:v>
                </c:pt>
                <c:pt idx="356">
                  <c:v>73.189793630672838</c:v>
                </c:pt>
                <c:pt idx="357">
                  <c:v>73.040997016419581</c:v>
                </c:pt>
                <c:pt idx="358">
                  <c:v>73.051833808122737</c:v>
                </c:pt>
                <c:pt idx="359">
                  <c:v>73.105943990154728</c:v>
                </c:pt>
                <c:pt idx="360">
                  <c:v>73.126719977596395</c:v>
                </c:pt>
                <c:pt idx="361">
                  <c:v>72.885623093167482</c:v>
                </c:pt>
                <c:pt idx="362">
                  <c:v>72.493633328841213</c:v>
                </c:pt>
                <c:pt idx="363">
                  <c:v>72.51728391886202</c:v>
                </c:pt>
                <c:pt idx="364">
                  <c:v>72.565051558299203</c:v>
                </c:pt>
                <c:pt idx="365">
                  <c:v>72.769092142440613</c:v>
                </c:pt>
                <c:pt idx="366">
                  <c:v>72.984196578639043</c:v>
                </c:pt>
                <c:pt idx="367">
                  <c:v>73.158192906025945</c:v>
                </c:pt>
                <c:pt idx="368">
                  <c:v>73.193078564489255</c:v>
                </c:pt>
                <c:pt idx="369">
                  <c:v>73.129938469368497</c:v>
                </c:pt>
                <c:pt idx="370">
                  <c:v>73.083682657650556</c:v>
                </c:pt>
                <c:pt idx="371">
                  <c:v>73.094094610929488</c:v>
                </c:pt>
                <c:pt idx="372">
                  <c:v>73.026756195627556</c:v>
                </c:pt>
                <c:pt idx="373">
                  <c:v>72.873110474397166</c:v>
                </c:pt>
                <c:pt idx="374">
                  <c:v>72.820181553657818</c:v>
                </c:pt>
                <c:pt idx="375">
                  <c:v>72.799435042656896</c:v>
                </c:pt>
                <c:pt idx="376">
                  <c:v>72.797108582733458</c:v>
                </c:pt>
                <c:pt idx="377">
                  <c:v>72.804709579817043</c:v>
                </c:pt>
                <c:pt idx="378">
                  <c:v>72.735852410268365</c:v>
                </c:pt>
                <c:pt idx="379">
                  <c:v>72.61331475351308</c:v>
                </c:pt>
                <c:pt idx="380">
                  <c:v>72.323675411159527</c:v>
                </c:pt>
                <c:pt idx="381">
                  <c:v>72.057494139187142</c:v>
                </c:pt>
                <c:pt idx="382">
                  <c:v>71.696551930543407</c:v>
                </c:pt>
                <c:pt idx="383">
                  <c:v>71.596219479639061</c:v>
                </c:pt>
                <c:pt idx="384">
                  <c:v>71.558772009316442</c:v>
                </c:pt>
                <c:pt idx="385">
                  <c:v>71.616572696094693</c:v>
                </c:pt>
                <c:pt idx="386">
                  <c:v>71.600752331652942</c:v>
                </c:pt>
                <c:pt idx="387">
                  <c:v>71.543335594614774</c:v>
                </c:pt>
                <c:pt idx="388">
                  <c:v>71.544772218931541</c:v>
                </c:pt>
                <c:pt idx="389">
                  <c:v>71.559761624595538</c:v>
                </c:pt>
                <c:pt idx="390">
                  <c:v>71.58693349830061</c:v>
                </c:pt>
                <c:pt idx="391">
                  <c:v>71.602478370258339</c:v>
                </c:pt>
                <c:pt idx="392">
                  <c:v>71.714284876708746</c:v>
                </c:pt>
                <c:pt idx="393">
                  <c:v>71.620006588352283</c:v>
                </c:pt>
                <c:pt idx="394">
                  <c:v>71.323374615837238</c:v>
                </c:pt>
                <c:pt idx="395">
                  <c:v>71.269796691135525</c:v>
                </c:pt>
                <c:pt idx="396">
                  <c:v>70.951299485549313</c:v>
                </c:pt>
                <c:pt idx="397">
                  <c:v>70.669954068632606</c:v>
                </c:pt>
                <c:pt idx="398">
                  <c:v>70.547231712512598</c:v>
                </c:pt>
                <c:pt idx="399">
                  <c:v>70.549757357994523</c:v>
                </c:pt>
                <c:pt idx="400">
                  <c:v>70.667371628461311</c:v>
                </c:pt>
                <c:pt idx="401">
                  <c:v>70.746368974725073</c:v>
                </c:pt>
                <c:pt idx="402">
                  <c:v>70.944601503464298</c:v>
                </c:pt>
                <c:pt idx="403">
                  <c:v>71.11773364441224</c:v>
                </c:pt>
                <c:pt idx="404">
                  <c:v>71.230762083559156</c:v>
                </c:pt>
                <c:pt idx="405">
                  <c:v>71.105070325711267</c:v>
                </c:pt>
                <c:pt idx="406">
                  <c:v>71.112175222205664</c:v>
                </c:pt>
                <c:pt idx="407">
                  <c:v>71.048863051249086</c:v>
                </c:pt>
                <c:pt idx="408">
                  <c:v>71.099242242083619</c:v>
                </c:pt>
                <c:pt idx="409">
                  <c:v>71.25848810835312</c:v>
                </c:pt>
                <c:pt idx="410">
                  <c:v>71.392466486253682</c:v>
                </c:pt>
                <c:pt idx="411">
                  <c:v>71.440923042103393</c:v>
                </c:pt>
                <c:pt idx="412">
                  <c:v>71.360777537577803</c:v>
                </c:pt>
                <c:pt idx="413">
                  <c:v>71.380626252315167</c:v>
                </c:pt>
                <c:pt idx="414">
                  <c:v>71.375776884150923</c:v>
                </c:pt>
                <c:pt idx="415">
                  <c:v>71.304828789985095</c:v>
                </c:pt>
                <c:pt idx="416">
                  <c:v>71.297821538338113</c:v>
                </c:pt>
                <c:pt idx="417">
                  <c:v>71.293412194711991</c:v>
                </c:pt>
                <c:pt idx="418">
                  <c:v>71.295992594764442</c:v>
                </c:pt>
                <c:pt idx="419">
                  <c:v>71.362616955064752</c:v>
                </c:pt>
                <c:pt idx="420">
                  <c:v>71.355493909105647</c:v>
                </c:pt>
                <c:pt idx="421">
                  <c:v>71.392482722411359</c:v>
                </c:pt>
                <c:pt idx="422">
                  <c:v>71.249874646044674</c:v>
                </c:pt>
                <c:pt idx="423">
                  <c:v>71.075424558195778</c:v>
                </c:pt>
                <c:pt idx="424">
                  <c:v>70.92843815159975</c:v>
                </c:pt>
                <c:pt idx="425">
                  <c:v>70.959894774316965</c:v>
                </c:pt>
                <c:pt idx="426">
                  <c:v>71.006165007370626</c:v>
                </c:pt>
                <c:pt idx="427">
                  <c:v>71.078696510241969</c:v>
                </c:pt>
                <c:pt idx="428">
                  <c:v>70.881856879914835</c:v>
                </c:pt>
                <c:pt idx="429">
                  <c:v>70.545617035183056</c:v>
                </c:pt>
                <c:pt idx="430">
                  <c:v>70.133526553137528</c:v>
                </c:pt>
                <c:pt idx="431">
                  <c:v>69.802909188633123</c:v>
                </c:pt>
                <c:pt idx="432">
                  <c:v>69.657037255180626</c:v>
                </c:pt>
                <c:pt idx="433">
                  <c:v>69.534458472796274</c:v>
                </c:pt>
                <c:pt idx="434">
                  <c:v>69.397911626475604</c:v>
                </c:pt>
                <c:pt idx="435">
                  <c:v>69.337368590923688</c:v>
                </c:pt>
                <c:pt idx="436">
                  <c:v>69.078668881504882</c:v>
                </c:pt>
                <c:pt idx="437">
                  <c:v>68.733531564769919</c:v>
                </c:pt>
                <c:pt idx="438">
                  <c:v>68.340845676462436</c:v>
                </c:pt>
                <c:pt idx="439">
                  <c:v>68.107450135368893</c:v>
                </c:pt>
                <c:pt idx="440">
                  <c:v>67.912832211341822</c:v>
                </c:pt>
                <c:pt idx="441">
                  <c:v>67.81332363299272</c:v>
                </c:pt>
                <c:pt idx="442">
                  <c:v>67.610081427031275</c:v>
                </c:pt>
                <c:pt idx="443">
                  <c:v>67.351510031930431</c:v>
                </c:pt>
                <c:pt idx="444">
                  <c:v>67.100876264739838</c:v>
                </c:pt>
                <c:pt idx="445">
                  <c:v>67.107994946258032</c:v>
                </c:pt>
                <c:pt idx="446">
                  <c:v>67.155284440354905</c:v>
                </c:pt>
                <c:pt idx="447">
                  <c:v>67.359988573529535</c:v>
                </c:pt>
                <c:pt idx="448">
                  <c:v>67.367516881106766</c:v>
                </c:pt>
                <c:pt idx="449">
                  <c:v>67.553083295383743</c:v>
                </c:pt>
                <c:pt idx="450">
                  <c:v>67.960333879851973</c:v>
                </c:pt>
                <c:pt idx="451">
                  <c:v>68.279708814139454</c:v>
                </c:pt>
                <c:pt idx="452">
                  <c:v>69.491845929012499</c:v>
                </c:pt>
                <c:pt idx="453">
                  <c:v>70.221704342293265</c:v>
                </c:pt>
                <c:pt idx="454">
                  <c:v>70.598414390510158</c:v>
                </c:pt>
                <c:pt idx="455">
                  <c:v>70.852618661062891</c:v>
                </c:pt>
                <c:pt idx="456">
                  <c:v>71.145013562242411</c:v>
                </c:pt>
                <c:pt idx="457">
                  <c:v>71.42051765873039</c:v>
                </c:pt>
                <c:pt idx="458">
                  <c:v>71.454490726785892</c:v>
                </c:pt>
                <c:pt idx="459">
                  <c:v>71.490178993804037</c:v>
                </c:pt>
                <c:pt idx="460">
                  <c:v>71.531294130331077</c:v>
                </c:pt>
                <c:pt idx="461">
                  <c:v>71.457062169660873</c:v>
                </c:pt>
                <c:pt idx="462">
                  <c:v>71.453840281201693</c:v>
                </c:pt>
                <c:pt idx="463">
                  <c:v>71.351107579605326</c:v>
                </c:pt>
                <c:pt idx="464">
                  <c:v>71.27379628658305</c:v>
                </c:pt>
                <c:pt idx="465">
                  <c:v>71.433288613543183</c:v>
                </c:pt>
                <c:pt idx="466">
                  <c:v>71.500376705530684</c:v>
                </c:pt>
                <c:pt idx="467">
                  <c:v>71.823871116780452</c:v>
                </c:pt>
                <c:pt idx="468">
                  <c:v>71.991065287398953</c:v>
                </c:pt>
                <c:pt idx="469">
                  <c:v>72.071294261586132</c:v>
                </c:pt>
                <c:pt idx="470">
                  <c:v>72.209366513566025</c:v>
                </c:pt>
                <c:pt idx="471">
                  <c:v>72.248906419592245</c:v>
                </c:pt>
                <c:pt idx="472">
                  <c:v>72.248906419592245</c:v>
                </c:pt>
                <c:pt idx="473">
                  <c:v>72.290951299002373</c:v>
                </c:pt>
                <c:pt idx="474">
                  <c:v>72.41816606814551</c:v>
                </c:pt>
                <c:pt idx="475">
                  <c:v>72.9034492280867</c:v>
                </c:pt>
                <c:pt idx="476">
                  <c:v>73.230239778639898</c:v>
                </c:pt>
                <c:pt idx="477">
                  <c:v>73.523437281849709</c:v>
                </c:pt>
                <c:pt idx="478">
                  <c:v>73.762601196452053</c:v>
                </c:pt>
                <c:pt idx="479">
                  <c:v>74.042153930017989</c:v>
                </c:pt>
                <c:pt idx="480">
                  <c:v>74.081282018603588</c:v>
                </c:pt>
                <c:pt idx="481">
                  <c:v>73.85908875656493</c:v>
                </c:pt>
                <c:pt idx="482">
                  <c:v>73.699527079996372</c:v>
                </c:pt>
                <c:pt idx="483">
                  <c:v>73.45786136266392</c:v>
                </c:pt>
                <c:pt idx="484">
                  <c:v>73.316703038498659</c:v>
                </c:pt>
                <c:pt idx="485">
                  <c:v>73.335803753767394</c:v>
                </c:pt>
                <c:pt idx="486">
                  <c:v>73.365682166751213</c:v>
                </c:pt>
                <c:pt idx="487">
                  <c:v>73.362227647941964</c:v>
                </c:pt>
                <c:pt idx="488">
                  <c:v>73.467359542895309</c:v>
                </c:pt>
                <c:pt idx="489">
                  <c:v>73.460169107728547</c:v>
                </c:pt>
                <c:pt idx="490">
                  <c:v>73.452593169828418</c:v>
                </c:pt>
                <c:pt idx="491">
                  <c:v>73.455241070543167</c:v>
                </c:pt>
                <c:pt idx="492">
                  <c:v>73.437571585697256</c:v>
                </c:pt>
                <c:pt idx="493">
                  <c:v>73.42543867078831</c:v>
                </c:pt>
                <c:pt idx="494">
                  <c:v>73.411655879589148</c:v>
                </c:pt>
                <c:pt idx="495">
                  <c:v>73.120200168405901</c:v>
                </c:pt>
                <c:pt idx="496">
                  <c:v>72.877956048822668</c:v>
                </c:pt>
                <c:pt idx="497">
                  <c:v>72.581191229491992</c:v>
                </c:pt>
                <c:pt idx="498">
                  <c:v>72.143940968696668</c:v>
                </c:pt>
                <c:pt idx="499">
                  <c:v>71.441606971128465</c:v>
                </c:pt>
                <c:pt idx="500">
                  <c:v>71.049180890607573</c:v>
                </c:pt>
                <c:pt idx="501">
                  <c:v>70.997696714330061</c:v>
                </c:pt>
                <c:pt idx="502">
                  <c:v>70.996721931749278</c:v>
                </c:pt>
                <c:pt idx="503">
                  <c:v>71.289879980033476</c:v>
                </c:pt>
                <c:pt idx="504">
                  <c:v>71.500371348957614</c:v>
                </c:pt>
                <c:pt idx="505">
                  <c:v>71.663299712400971</c:v>
                </c:pt>
                <c:pt idx="506">
                  <c:v>71.627458153517651</c:v>
                </c:pt>
                <c:pt idx="507">
                  <c:v>71.663418449261215</c:v>
                </c:pt>
                <c:pt idx="508">
                  <c:v>71.73914856223513</c:v>
                </c:pt>
                <c:pt idx="509">
                  <c:v>71.856510203524678</c:v>
                </c:pt>
                <c:pt idx="510">
                  <c:v>71.945442151735506</c:v>
                </c:pt>
                <c:pt idx="511">
                  <c:v>71.957192532597062</c:v>
                </c:pt>
                <c:pt idx="512">
                  <c:v>71.929504575965581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7592-4057-AC0F-B85F75168E7F}"/>
            </c:ext>
          </c:extLst>
        </c:ser>
        <c:ser>
          <c:idx val="3"/>
          <c:order val="3"/>
          <c:tx>
            <c:strRef>
              <c:f>Data!$M$1</c:f>
              <c:strCache>
                <c:ptCount val="1"/>
                <c:pt idx="0">
                  <c:v>Lower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numRef>
              <c:f>Data!$B$2:$B$514</c:f>
              <c:numCache>
                <c:formatCode>m/d/yyyy</c:formatCode>
                <c:ptCount val="513"/>
                <c:pt idx="0">
                  <c:v>45293</c:v>
                </c:pt>
                <c:pt idx="1">
                  <c:v>45294</c:v>
                </c:pt>
                <c:pt idx="2">
                  <c:v>45295</c:v>
                </c:pt>
                <c:pt idx="3">
                  <c:v>45296</c:v>
                </c:pt>
                <c:pt idx="4">
                  <c:v>45299</c:v>
                </c:pt>
                <c:pt idx="5">
                  <c:v>45300</c:v>
                </c:pt>
                <c:pt idx="6">
                  <c:v>45301</c:v>
                </c:pt>
                <c:pt idx="7">
                  <c:v>45302</c:v>
                </c:pt>
                <c:pt idx="8">
                  <c:v>45303</c:v>
                </c:pt>
                <c:pt idx="9">
                  <c:v>45307</c:v>
                </c:pt>
                <c:pt idx="10">
                  <c:v>45308</c:v>
                </c:pt>
                <c:pt idx="11">
                  <c:v>45309</c:v>
                </c:pt>
                <c:pt idx="12">
                  <c:v>45310</c:v>
                </c:pt>
                <c:pt idx="13">
                  <c:v>45313</c:v>
                </c:pt>
                <c:pt idx="14">
                  <c:v>45314</c:v>
                </c:pt>
                <c:pt idx="15">
                  <c:v>45315</c:v>
                </c:pt>
                <c:pt idx="16">
                  <c:v>45316</c:v>
                </c:pt>
                <c:pt idx="17">
                  <c:v>45317</c:v>
                </c:pt>
                <c:pt idx="18">
                  <c:v>45320</c:v>
                </c:pt>
                <c:pt idx="19">
                  <c:v>45321</c:v>
                </c:pt>
                <c:pt idx="20">
                  <c:v>45322</c:v>
                </c:pt>
                <c:pt idx="21">
                  <c:v>45323</c:v>
                </c:pt>
                <c:pt idx="22">
                  <c:v>45324</c:v>
                </c:pt>
                <c:pt idx="23">
                  <c:v>45327</c:v>
                </c:pt>
                <c:pt idx="24">
                  <c:v>45328</c:v>
                </c:pt>
                <c:pt idx="25">
                  <c:v>45329</c:v>
                </c:pt>
                <c:pt idx="26">
                  <c:v>45330</c:v>
                </c:pt>
                <c:pt idx="27">
                  <c:v>45331</c:v>
                </c:pt>
                <c:pt idx="28">
                  <c:v>45334</c:v>
                </c:pt>
                <c:pt idx="29">
                  <c:v>45335</c:v>
                </c:pt>
                <c:pt idx="30">
                  <c:v>45336</c:v>
                </c:pt>
                <c:pt idx="31">
                  <c:v>45337</c:v>
                </c:pt>
                <c:pt idx="32">
                  <c:v>45338</c:v>
                </c:pt>
                <c:pt idx="33">
                  <c:v>45342</c:v>
                </c:pt>
                <c:pt idx="34">
                  <c:v>45343</c:v>
                </c:pt>
                <c:pt idx="35">
                  <c:v>45344</c:v>
                </c:pt>
                <c:pt idx="36">
                  <c:v>45345</c:v>
                </c:pt>
                <c:pt idx="37">
                  <c:v>45348</c:v>
                </c:pt>
                <c:pt idx="38">
                  <c:v>45349</c:v>
                </c:pt>
                <c:pt idx="39">
                  <c:v>45350</c:v>
                </c:pt>
                <c:pt idx="40">
                  <c:v>45351</c:v>
                </c:pt>
                <c:pt idx="41">
                  <c:v>45352</c:v>
                </c:pt>
                <c:pt idx="42">
                  <c:v>45355</c:v>
                </c:pt>
                <c:pt idx="43">
                  <c:v>45356</c:v>
                </c:pt>
                <c:pt idx="44">
                  <c:v>45357</c:v>
                </c:pt>
                <c:pt idx="45">
                  <c:v>45358</c:v>
                </c:pt>
                <c:pt idx="46">
                  <c:v>45359</c:v>
                </c:pt>
                <c:pt idx="47">
                  <c:v>45362</c:v>
                </c:pt>
                <c:pt idx="48">
                  <c:v>45363</c:v>
                </c:pt>
                <c:pt idx="49">
                  <c:v>45364</c:v>
                </c:pt>
                <c:pt idx="50">
                  <c:v>45365</c:v>
                </c:pt>
                <c:pt idx="51">
                  <c:v>45366</c:v>
                </c:pt>
                <c:pt idx="52">
                  <c:v>45369</c:v>
                </c:pt>
                <c:pt idx="53">
                  <c:v>45370</c:v>
                </c:pt>
                <c:pt idx="54">
                  <c:v>45371</c:v>
                </c:pt>
                <c:pt idx="55">
                  <c:v>45372</c:v>
                </c:pt>
                <c:pt idx="56">
                  <c:v>45373</c:v>
                </c:pt>
                <c:pt idx="57">
                  <c:v>45376</c:v>
                </c:pt>
                <c:pt idx="58">
                  <c:v>45377</c:v>
                </c:pt>
                <c:pt idx="59">
                  <c:v>45378</c:v>
                </c:pt>
                <c:pt idx="60">
                  <c:v>45379</c:v>
                </c:pt>
                <c:pt idx="61">
                  <c:v>45383</c:v>
                </c:pt>
                <c:pt idx="62">
                  <c:v>45384</c:v>
                </c:pt>
                <c:pt idx="63">
                  <c:v>45385</c:v>
                </c:pt>
                <c:pt idx="64">
                  <c:v>45386</c:v>
                </c:pt>
                <c:pt idx="65">
                  <c:v>45387</c:v>
                </c:pt>
                <c:pt idx="66">
                  <c:v>45390</c:v>
                </c:pt>
                <c:pt idx="67">
                  <c:v>45391</c:v>
                </c:pt>
                <c:pt idx="68">
                  <c:v>45392</c:v>
                </c:pt>
                <c:pt idx="69">
                  <c:v>45393</c:v>
                </c:pt>
                <c:pt idx="70">
                  <c:v>45394</c:v>
                </c:pt>
                <c:pt idx="71">
                  <c:v>45397</c:v>
                </c:pt>
                <c:pt idx="72">
                  <c:v>45398</c:v>
                </c:pt>
                <c:pt idx="73">
                  <c:v>45399</c:v>
                </c:pt>
                <c:pt idx="74">
                  <c:v>45400</c:v>
                </c:pt>
                <c:pt idx="75">
                  <c:v>45401</c:v>
                </c:pt>
                <c:pt idx="76">
                  <c:v>45404</c:v>
                </c:pt>
                <c:pt idx="77">
                  <c:v>45405</c:v>
                </c:pt>
                <c:pt idx="78">
                  <c:v>45406</c:v>
                </c:pt>
                <c:pt idx="79">
                  <c:v>45407</c:v>
                </c:pt>
                <c:pt idx="80">
                  <c:v>45408</c:v>
                </c:pt>
                <c:pt idx="81">
                  <c:v>45411</c:v>
                </c:pt>
                <c:pt idx="82">
                  <c:v>45412</c:v>
                </c:pt>
                <c:pt idx="83">
                  <c:v>45413</c:v>
                </c:pt>
                <c:pt idx="84">
                  <c:v>45414</c:v>
                </c:pt>
                <c:pt idx="85">
                  <c:v>45415</c:v>
                </c:pt>
                <c:pt idx="86">
                  <c:v>45418</c:v>
                </c:pt>
                <c:pt idx="87">
                  <c:v>45419</c:v>
                </c:pt>
                <c:pt idx="88">
                  <c:v>45420</c:v>
                </c:pt>
                <c:pt idx="89">
                  <c:v>45421</c:v>
                </c:pt>
                <c:pt idx="90">
                  <c:v>45422</c:v>
                </c:pt>
                <c:pt idx="91">
                  <c:v>45425</c:v>
                </c:pt>
                <c:pt idx="92">
                  <c:v>45426</c:v>
                </c:pt>
                <c:pt idx="93">
                  <c:v>45427</c:v>
                </c:pt>
                <c:pt idx="94">
                  <c:v>45428</c:v>
                </c:pt>
                <c:pt idx="95">
                  <c:v>45429</c:v>
                </c:pt>
                <c:pt idx="96">
                  <c:v>45432</c:v>
                </c:pt>
                <c:pt idx="97">
                  <c:v>45433</c:v>
                </c:pt>
                <c:pt idx="98">
                  <c:v>45434</c:v>
                </c:pt>
                <c:pt idx="99">
                  <c:v>45435</c:v>
                </c:pt>
                <c:pt idx="100">
                  <c:v>45436</c:v>
                </c:pt>
                <c:pt idx="101">
                  <c:v>45440</c:v>
                </c:pt>
                <c:pt idx="102">
                  <c:v>45441</c:v>
                </c:pt>
                <c:pt idx="103">
                  <c:v>45442</c:v>
                </c:pt>
                <c:pt idx="104">
                  <c:v>45443</c:v>
                </c:pt>
                <c:pt idx="105">
                  <c:v>45446</c:v>
                </c:pt>
                <c:pt idx="106">
                  <c:v>45447</c:v>
                </c:pt>
                <c:pt idx="107">
                  <c:v>45448</c:v>
                </c:pt>
                <c:pt idx="108">
                  <c:v>45449</c:v>
                </c:pt>
                <c:pt idx="109">
                  <c:v>45450</c:v>
                </c:pt>
                <c:pt idx="110">
                  <c:v>45453</c:v>
                </c:pt>
                <c:pt idx="111">
                  <c:v>45454</c:v>
                </c:pt>
                <c:pt idx="112">
                  <c:v>45455</c:v>
                </c:pt>
                <c:pt idx="113">
                  <c:v>45456</c:v>
                </c:pt>
                <c:pt idx="114">
                  <c:v>45457</c:v>
                </c:pt>
                <c:pt idx="115">
                  <c:v>45460</c:v>
                </c:pt>
                <c:pt idx="116">
                  <c:v>45461</c:v>
                </c:pt>
                <c:pt idx="117">
                  <c:v>45463</c:v>
                </c:pt>
                <c:pt idx="118">
                  <c:v>45464</c:v>
                </c:pt>
                <c:pt idx="119">
                  <c:v>45467</c:v>
                </c:pt>
                <c:pt idx="120">
                  <c:v>45468</c:v>
                </c:pt>
                <c:pt idx="121">
                  <c:v>45469</c:v>
                </c:pt>
                <c:pt idx="122">
                  <c:v>45470</c:v>
                </c:pt>
                <c:pt idx="123">
                  <c:v>45471</c:v>
                </c:pt>
                <c:pt idx="124">
                  <c:v>45474</c:v>
                </c:pt>
                <c:pt idx="125">
                  <c:v>45475</c:v>
                </c:pt>
                <c:pt idx="126">
                  <c:v>45476</c:v>
                </c:pt>
                <c:pt idx="127">
                  <c:v>45478</c:v>
                </c:pt>
                <c:pt idx="128">
                  <c:v>45481</c:v>
                </c:pt>
                <c:pt idx="129">
                  <c:v>45482</c:v>
                </c:pt>
                <c:pt idx="130">
                  <c:v>45483</c:v>
                </c:pt>
                <c:pt idx="131">
                  <c:v>45484</c:v>
                </c:pt>
                <c:pt idx="132">
                  <c:v>45485</c:v>
                </c:pt>
                <c:pt idx="133">
                  <c:v>45488</c:v>
                </c:pt>
                <c:pt idx="134">
                  <c:v>45489</c:v>
                </c:pt>
                <c:pt idx="135">
                  <c:v>45490</c:v>
                </c:pt>
                <c:pt idx="136">
                  <c:v>45491</c:v>
                </c:pt>
                <c:pt idx="137">
                  <c:v>45492</c:v>
                </c:pt>
                <c:pt idx="138">
                  <c:v>45495</c:v>
                </c:pt>
                <c:pt idx="139">
                  <c:v>45496</c:v>
                </c:pt>
                <c:pt idx="140">
                  <c:v>45497</c:v>
                </c:pt>
                <c:pt idx="141">
                  <c:v>45498</c:v>
                </c:pt>
                <c:pt idx="142">
                  <c:v>45499</c:v>
                </c:pt>
                <c:pt idx="143">
                  <c:v>45502</c:v>
                </c:pt>
                <c:pt idx="144">
                  <c:v>45503</c:v>
                </c:pt>
                <c:pt idx="145">
                  <c:v>45504</c:v>
                </c:pt>
                <c:pt idx="146">
                  <c:v>45505</c:v>
                </c:pt>
                <c:pt idx="147">
                  <c:v>45506</c:v>
                </c:pt>
                <c:pt idx="148">
                  <c:v>45509</c:v>
                </c:pt>
                <c:pt idx="149">
                  <c:v>45510</c:v>
                </c:pt>
                <c:pt idx="150">
                  <c:v>45511</c:v>
                </c:pt>
                <c:pt idx="151">
                  <c:v>45512</c:v>
                </c:pt>
                <c:pt idx="152">
                  <c:v>45513</c:v>
                </c:pt>
                <c:pt idx="153">
                  <c:v>45516</c:v>
                </c:pt>
                <c:pt idx="154">
                  <c:v>45517</c:v>
                </c:pt>
                <c:pt idx="155">
                  <c:v>45518</c:v>
                </c:pt>
                <c:pt idx="156">
                  <c:v>45519</c:v>
                </c:pt>
                <c:pt idx="157">
                  <c:v>45520</c:v>
                </c:pt>
                <c:pt idx="158">
                  <c:v>45523</c:v>
                </c:pt>
                <c:pt idx="159">
                  <c:v>45524</c:v>
                </c:pt>
                <c:pt idx="160">
                  <c:v>45525</c:v>
                </c:pt>
                <c:pt idx="161">
                  <c:v>45526</c:v>
                </c:pt>
                <c:pt idx="162">
                  <c:v>45527</c:v>
                </c:pt>
                <c:pt idx="163">
                  <c:v>45530</c:v>
                </c:pt>
                <c:pt idx="164">
                  <c:v>45531</c:v>
                </c:pt>
                <c:pt idx="165">
                  <c:v>45532</c:v>
                </c:pt>
                <c:pt idx="166">
                  <c:v>45533</c:v>
                </c:pt>
                <c:pt idx="167">
                  <c:v>45534</c:v>
                </c:pt>
                <c:pt idx="168">
                  <c:v>45538</c:v>
                </c:pt>
                <c:pt idx="169">
                  <c:v>45539</c:v>
                </c:pt>
                <c:pt idx="170">
                  <c:v>45540</c:v>
                </c:pt>
                <c:pt idx="171">
                  <c:v>45541</c:v>
                </c:pt>
                <c:pt idx="172">
                  <c:v>45544</c:v>
                </c:pt>
                <c:pt idx="173">
                  <c:v>45545</c:v>
                </c:pt>
                <c:pt idx="174">
                  <c:v>45546</c:v>
                </c:pt>
                <c:pt idx="175">
                  <c:v>45547</c:v>
                </c:pt>
                <c:pt idx="176">
                  <c:v>45548</c:v>
                </c:pt>
                <c:pt idx="177">
                  <c:v>45551</c:v>
                </c:pt>
                <c:pt idx="178">
                  <c:v>45552</c:v>
                </c:pt>
                <c:pt idx="179">
                  <c:v>45553</c:v>
                </c:pt>
                <c:pt idx="180">
                  <c:v>45554</c:v>
                </c:pt>
                <c:pt idx="181">
                  <c:v>45555</c:v>
                </c:pt>
                <c:pt idx="182">
                  <c:v>45558</c:v>
                </c:pt>
                <c:pt idx="183">
                  <c:v>45559</c:v>
                </c:pt>
                <c:pt idx="184">
                  <c:v>45560</c:v>
                </c:pt>
                <c:pt idx="185">
                  <c:v>45561</c:v>
                </c:pt>
                <c:pt idx="186">
                  <c:v>45562</c:v>
                </c:pt>
                <c:pt idx="187">
                  <c:v>45565</c:v>
                </c:pt>
                <c:pt idx="188">
                  <c:v>45566</c:v>
                </c:pt>
                <c:pt idx="189">
                  <c:v>45567</c:v>
                </c:pt>
                <c:pt idx="190">
                  <c:v>45568</c:v>
                </c:pt>
                <c:pt idx="191">
                  <c:v>45569</c:v>
                </c:pt>
                <c:pt idx="192">
                  <c:v>45572</c:v>
                </c:pt>
                <c:pt idx="193">
                  <c:v>45573</c:v>
                </c:pt>
                <c:pt idx="194">
                  <c:v>45574</c:v>
                </c:pt>
                <c:pt idx="195">
                  <c:v>45575</c:v>
                </c:pt>
                <c:pt idx="196">
                  <c:v>45576</c:v>
                </c:pt>
                <c:pt idx="197">
                  <c:v>45579</c:v>
                </c:pt>
                <c:pt idx="198">
                  <c:v>45580</c:v>
                </c:pt>
                <c:pt idx="199">
                  <c:v>45581</c:v>
                </c:pt>
                <c:pt idx="200">
                  <c:v>45582</c:v>
                </c:pt>
                <c:pt idx="201">
                  <c:v>45583</c:v>
                </c:pt>
                <c:pt idx="202">
                  <c:v>45586</c:v>
                </c:pt>
                <c:pt idx="203">
                  <c:v>45587</c:v>
                </c:pt>
                <c:pt idx="204">
                  <c:v>45588</c:v>
                </c:pt>
                <c:pt idx="205">
                  <c:v>45589</c:v>
                </c:pt>
                <c:pt idx="206">
                  <c:v>45590</c:v>
                </c:pt>
                <c:pt idx="207">
                  <c:v>45593</c:v>
                </c:pt>
                <c:pt idx="208">
                  <c:v>45594</c:v>
                </c:pt>
                <c:pt idx="209">
                  <c:v>45595</c:v>
                </c:pt>
                <c:pt idx="210">
                  <c:v>45596</c:v>
                </c:pt>
                <c:pt idx="211">
                  <c:v>45597</c:v>
                </c:pt>
                <c:pt idx="212">
                  <c:v>45600</c:v>
                </c:pt>
                <c:pt idx="213">
                  <c:v>45601</c:v>
                </c:pt>
                <c:pt idx="214">
                  <c:v>45602</c:v>
                </c:pt>
                <c:pt idx="215">
                  <c:v>45603</c:v>
                </c:pt>
                <c:pt idx="216">
                  <c:v>45604</c:v>
                </c:pt>
                <c:pt idx="217">
                  <c:v>45607</c:v>
                </c:pt>
                <c:pt idx="218">
                  <c:v>45608</c:v>
                </c:pt>
                <c:pt idx="219">
                  <c:v>45609</c:v>
                </c:pt>
                <c:pt idx="220">
                  <c:v>45610</c:v>
                </c:pt>
                <c:pt idx="221">
                  <c:v>45611</c:v>
                </c:pt>
                <c:pt idx="222">
                  <c:v>45614</c:v>
                </c:pt>
                <c:pt idx="223">
                  <c:v>45615</c:v>
                </c:pt>
                <c:pt idx="224">
                  <c:v>45616</c:v>
                </c:pt>
                <c:pt idx="225">
                  <c:v>45617</c:v>
                </c:pt>
                <c:pt idx="226">
                  <c:v>45618</c:v>
                </c:pt>
                <c:pt idx="227">
                  <c:v>45621</c:v>
                </c:pt>
                <c:pt idx="228">
                  <c:v>45622</c:v>
                </c:pt>
                <c:pt idx="229">
                  <c:v>45623</c:v>
                </c:pt>
                <c:pt idx="230">
                  <c:v>45625</c:v>
                </c:pt>
                <c:pt idx="231">
                  <c:v>45628</c:v>
                </c:pt>
                <c:pt idx="232">
                  <c:v>45629</c:v>
                </c:pt>
                <c:pt idx="233">
                  <c:v>45630</c:v>
                </c:pt>
                <c:pt idx="234">
                  <c:v>45631</c:v>
                </c:pt>
                <c:pt idx="235">
                  <c:v>45632</c:v>
                </c:pt>
                <c:pt idx="236">
                  <c:v>45635</c:v>
                </c:pt>
                <c:pt idx="237">
                  <c:v>45636</c:v>
                </c:pt>
                <c:pt idx="238">
                  <c:v>45637</c:v>
                </c:pt>
                <c:pt idx="239">
                  <c:v>45638</c:v>
                </c:pt>
                <c:pt idx="240">
                  <c:v>45639</c:v>
                </c:pt>
                <c:pt idx="241">
                  <c:v>45642</c:v>
                </c:pt>
                <c:pt idx="242">
                  <c:v>45643</c:v>
                </c:pt>
                <c:pt idx="243">
                  <c:v>45644</c:v>
                </c:pt>
                <c:pt idx="244">
                  <c:v>45645</c:v>
                </c:pt>
                <c:pt idx="245">
                  <c:v>45646</c:v>
                </c:pt>
                <c:pt idx="246">
                  <c:v>45649</c:v>
                </c:pt>
                <c:pt idx="247">
                  <c:v>45650</c:v>
                </c:pt>
                <c:pt idx="248">
                  <c:v>45652</c:v>
                </c:pt>
                <c:pt idx="249">
                  <c:v>45653</c:v>
                </c:pt>
                <c:pt idx="250">
                  <c:v>45656</c:v>
                </c:pt>
                <c:pt idx="251">
                  <c:v>45657</c:v>
                </c:pt>
                <c:pt idx="252">
                  <c:v>45659</c:v>
                </c:pt>
                <c:pt idx="253">
                  <c:v>45660</c:v>
                </c:pt>
                <c:pt idx="254">
                  <c:v>45663</c:v>
                </c:pt>
                <c:pt idx="255">
                  <c:v>45664</c:v>
                </c:pt>
                <c:pt idx="256">
                  <c:v>45665</c:v>
                </c:pt>
                <c:pt idx="257">
                  <c:v>45667</c:v>
                </c:pt>
                <c:pt idx="258">
                  <c:v>45670</c:v>
                </c:pt>
                <c:pt idx="259">
                  <c:v>45671</c:v>
                </c:pt>
                <c:pt idx="260">
                  <c:v>45672</c:v>
                </c:pt>
                <c:pt idx="261">
                  <c:v>45673</c:v>
                </c:pt>
                <c:pt idx="262">
                  <c:v>45674</c:v>
                </c:pt>
                <c:pt idx="263">
                  <c:v>45678</c:v>
                </c:pt>
                <c:pt idx="264">
                  <c:v>45679</c:v>
                </c:pt>
                <c:pt idx="265">
                  <c:v>45680</c:v>
                </c:pt>
                <c:pt idx="266">
                  <c:v>45681</c:v>
                </c:pt>
                <c:pt idx="267">
                  <c:v>45684</c:v>
                </c:pt>
                <c:pt idx="268">
                  <c:v>45685</c:v>
                </c:pt>
                <c:pt idx="269">
                  <c:v>45686</c:v>
                </c:pt>
                <c:pt idx="270">
                  <c:v>45687</c:v>
                </c:pt>
                <c:pt idx="271">
                  <c:v>45688</c:v>
                </c:pt>
                <c:pt idx="272">
                  <c:v>45691</c:v>
                </c:pt>
                <c:pt idx="273">
                  <c:v>45692</c:v>
                </c:pt>
                <c:pt idx="274">
                  <c:v>45693</c:v>
                </c:pt>
                <c:pt idx="275">
                  <c:v>45694</c:v>
                </c:pt>
                <c:pt idx="276">
                  <c:v>45695</c:v>
                </c:pt>
                <c:pt idx="277">
                  <c:v>45698</c:v>
                </c:pt>
                <c:pt idx="278">
                  <c:v>45699</c:v>
                </c:pt>
                <c:pt idx="279">
                  <c:v>45700</c:v>
                </c:pt>
                <c:pt idx="280">
                  <c:v>45701</c:v>
                </c:pt>
                <c:pt idx="281">
                  <c:v>45702</c:v>
                </c:pt>
                <c:pt idx="282">
                  <c:v>45706</c:v>
                </c:pt>
                <c:pt idx="283">
                  <c:v>45707</c:v>
                </c:pt>
                <c:pt idx="284">
                  <c:v>45708</c:v>
                </c:pt>
                <c:pt idx="285">
                  <c:v>45709</c:v>
                </c:pt>
                <c:pt idx="286">
                  <c:v>45712</c:v>
                </c:pt>
                <c:pt idx="287">
                  <c:v>45713</c:v>
                </c:pt>
                <c:pt idx="288">
                  <c:v>45714</c:v>
                </c:pt>
                <c:pt idx="289">
                  <c:v>45715</c:v>
                </c:pt>
                <c:pt idx="290">
                  <c:v>45716</c:v>
                </c:pt>
                <c:pt idx="291">
                  <c:v>45719</c:v>
                </c:pt>
                <c:pt idx="292">
                  <c:v>45720</c:v>
                </c:pt>
                <c:pt idx="293">
                  <c:v>45721</c:v>
                </c:pt>
                <c:pt idx="294">
                  <c:v>45722</c:v>
                </c:pt>
                <c:pt idx="295">
                  <c:v>45723</c:v>
                </c:pt>
                <c:pt idx="296">
                  <c:v>45726</c:v>
                </c:pt>
                <c:pt idx="297">
                  <c:v>45727</c:v>
                </c:pt>
                <c:pt idx="298">
                  <c:v>45728</c:v>
                </c:pt>
                <c:pt idx="299">
                  <c:v>45729</c:v>
                </c:pt>
                <c:pt idx="300">
                  <c:v>45730</c:v>
                </c:pt>
                <c:pt idx="301">
                  <c:v>45733</c:v>
                </c:pt>
                <c:pt idx="302">
                  <c:v>45734</c:v>
                </c:pt>
                <c:pt idx="303">
                  <c:v>45735</c:v>
                </c:pt>
                <c:pt idx="304">
                  <c:v>45736</c:v>
                </c:pt>
                <c:pt idx="305">
                  <c:v>45737</c:v>
                </c:pt>
                <c:pt idx="306">
                  <c:v>45740</c:v>
                </c:pt>
                <c:pt idx="307">
                  <c:v>45741</c:v>
                </c:pt>
                <c:pt idx="308">
                  <c:v>45742</c:v>
                </c:pt>
                <c:pt idx="309">
                  <c:v>45743</c:v>
                </c:pt>
                <c:pt idx="310">
                  <c:v>45744</c:v>
                </c:pt>
                <c:pt idx="311">
                  <c:v>45747</c:v>
                </c:pt>
                <c:pt idx="312">
                  <c:v>45748</c:v>
                </c:pt>
                <c:pt idx="313">
                  <c:v>45749</c:v>
                </c:pt>
                <c:pt idx="314">
                  <c:v>45750</c:v>
                </c:pt>
                <c:pt idx="315">
                  <c:v>45751</c:v>
                </c:pt>
                <c:pt idx="316">
                  <c:v>45754</c:v>
                </c:pt>
                <c:pt idx="317">
                  <c:v>45755</c:v>
                </c:pt>
                <c:pt idx="318">
                  <c:v>45756</c:v>
                </c:pt>
                <c:pt idx="319">
                  <c:v>45757</c:v>
                </c:pt>
                <c:pt idx="320">
                  <c:v>45758</c:v>
                </c:pt>
                <c:pt idx="321">
                  <c:v>45761</c:v>
                </c:pt>
                <c:pt idx="322">
                  <c:v>45762</c:v>
                </c:pt>
                <c:pt idx="323">
                  <c:v>45763</c:v>
                </c:pt>
                <c:pt idx="324">
                  <c:v>45764</c:v>
                </c:pt>
                <c:pt idx="325">
                  <c:v>45768</c:v>
                </c:pt>
                <c:pt idx="326">
                  <c:v>45769</c:v>
                </c:pt>
                <c:pt idx="327">
                  <c:v>45770</c:v>
                </c:pt>
                <c:pt idx="328">
                  <c:v>45771</c:v>
                </c:pt>
                <c:pt idx="329">
                  <c:v>45772</c:v>
                </c:pt>
                <c:pt idx="330">
                  <c:v>45775</c:v>
                </c:pt>
                <c:pt idx="331">
                  <c:v>45776</c:v>
                </c:pt>
                <c:pt idx="332">
                  <c:v>45777</c:v>
                </c:pt>
                <c:pt idx="333">
                  <c:v>45778</c:v>
                </c:pt>
                <c:pt idx="334">
                  <c:v>45779</c:v>
                </c:pt>
                <c:pt idx="335">
                  <c:v>45782</c:v>
                </c:pt>
                <c:pt idx="336">
                  <c:v>45783</c:v>
                </c:pt>
                <c:pt idx="337">
                  <c:v>45784</c:v>
                </c:pt>
                <c:pt idx="338">
                  <c:v>45785</c:v>
                </c:pt>
                <c:pt idx="339">
                  <c:v>45786</c:v>
                </c:pt>
                <c:pt idx="340">
                  <c:v>45789</c:v>
                </c:pt>
                <c:pt idx="341">
                  <c:v>45790</c:v>
                </c:pt>
                <c:pt idx="342">
                  <c:v>45791</c:v>
                </c:pt>
                <c:pt idx="343">
                  <c:v>45792</c:v>
                </c:pt>
                <c:pt idx="344">
                  <c:v>45793</c:v>
                </c:pt>
                <c:pt idx="345">
                  <c:v>45796</c:v>
                </c:pt>
                <c:pt idx="346">
                  <c:v>45797</c:v>
                </c:pt>
                <c:pt idx="347">
                  <c:v>45798</c:v>
                </c:pt>
                <c:pt idx="348">
                  <c:v>45799</c:v>
                </c:pt>
                <c:pt idx="349">
                  <c:v>45800</c:v>
                </c:pt>
                <c:pt idx="350">
                  <c:v>45804</c:v>
                </c:pt>
                <c:pt idx="351">
                  <c:v>45805</c:v>
                </c:pt>
                <c:pt idx="352">
                  <c:v>45806</c:v>
                </c:pt>
                <c:pt idx="353">
                  <c:v>45807</c:v>
                </c:pt>
                <c:pt idx="354">
                  <c:v>45810</c:v>
                </c:pt>
                <c:pt idx="355">
                  <c:v>45811</c:v>
                </c:pt>
                <c:pt idx="356">
                  <c:v>45812</c:v>
                </c:pt>
                <c:pt idx="357">
                  <c:v>45813</c:v>
                </c:pt>
                <c:pt idx="358">
                  <c:v>45814</c:v>
                </c:pt>
                <c:pt idx="359">
                  <c:v>45817</c:v>
                </c:pt>
                <c:pt idx="360">
                  <c:v>45818</c:v>
                </c:pt>
                <c:pt idx="361">
                  <c:v>45819</c:v>
                </c:pt>
                <c:pt idx="362">
                  <c:v>45820</c:v>
                </c:pt>
                <c:pt idx="363">
                  <c:v>45821</c:v>
                </c:pt>
                <c:pt idx="364">
                  <c:v>45824</c:v>
                </c:pt>
                <c:pt idx="365">
                  <c:v>45825</c:v>
                </c:pt>
                <c:pt idx="366">
                  <c:v>45826</c:v>
                </c:pt>
                <c:pt idx="367">
                  <c:v>45828</c:v>
                </c:pt>
                <c:pt idx="368">
                  <c:v>45831</c:v>
                </c:pt>
                <c:pt idx="369">
                  <c:v>45832</c:v>
                </c:pt>
                <c:pt idx="370">
                  <c:v>45833</c:v>
                </c:pt>
                <c:pt idx="371">
                  <c:v>45834</c:v>
                </c:pt>
                <c:pt idx="372">
                  <c:v>45835</c:v>
                </c:pt>
                <c:pt idx="373">
                  <c:v>45838</c:v>
                </c:pt>
                <c:pt idx="374">
                  <c:v>45839</c:v>
                </c:pt>
                <c:pt idx="375">
                  <c:v>45840</c:v>
                </c:pt>
                <c:pt idx="376">
                  <c:v>45841</c:v>
                </c:pt>
                <c:pt idx="377">
                  <c:v>45845</c:v>
                </c:pt>
                <c:pt idx="378">
                  <c:v>45846</c:v>
                </c:pt>
                <c:pt idx="379">
                  <c:v>45847</c:v>
                </c:pt>
                <c:pt idx="380">
                  <c:v>45848</c:v>
                </c:pt>
                <c:pt idx="381">
                  <c:v>45849</c:v>
                </c:pt>
                <c:pt idx="382">
                  <c:v>45852</c:v>
                </c:pt>
                <c:pt idx="383">
                  <c:v>45853</c:v>
                </c:pt>
                <c:pt idx="384">
                  <c:v>45854</c:v>
                </c:pt>
                <c:pt idx="385">
                  <c:v>45855</c:v>
                </c:pt>
                <c:pt idx="386">
                  <c:v>45856</c:v>
                </c:pt>
                <c:pt idx="387">
                  <c:v>45859</c:v>
                </c:pt>
                <c:pt idx="388">
                  <c:v>45860</c:v>
                </c:pt>
                <c:pt idx="389">
                  <c:v>45861</c:v>
                </c:pt>
                <c:pt idx="390">
                  <c:v>45862</c:v>
                </c:pt>
                <c:pt idx="391">
                  <c:v>45863</c:v>
                </c:pt>
                <c:pt idx="392">
                  <c:v>45866</c:v>
                </c:pt>
                <c:pt idx="393">
                  <c:v>45867</c:v>
                </c:pt>
                <c:pt idx="394">
                  <c:v>45868</c:v>
                </c:pt>
                <c:pt idx="395">
                  <c:v>45869</c:v>
                </c:pt>
                <c:pt idx="396">
                  <c:v>45870</c:v>
                </c:pt>
                <c:pt idx="397">
                  <c:v>45873</c:v>
                </c:pt>
                <c:pt idx="398">
                  <c:v>45874</c:v>
                </c:pt>
                <c:pt idx="399">
                  <c:v>45875</c:v>
                </c:pt>
                <c:pt idx="400">
                  <c:v>45876</c:v>
                </c:pt>
                <c:pt idx="401">
                  <c:v>45877</c:v>
                </c:pt>
                <c:pt idx="402">
                  <c:v>45880</c:v>
                </c:pt>
                <c:pt idx="403">
                  <c:v>45881</c:v>
                </c:pt>
                <c:pt idx="404">
                  <c:v>45882</c:v>
                </c:pt>
                <c:pt idx="405">
                  <c:v>45883</c:v>
                </c:pt>
                <c:pt idx="406">
                  <c:v>45884</c:v>
                </c:pt>
                <c:pt idx="407">
                  <c:v>45887</c:v>
                </c:pt>
                <c:pt idx="408">
                  <c:v>45888</c:v>
                </c:pt>
                <c:pt idx="409">
                  <c:v>45889</c:v>
                </c:pt>
                <c:pt idx="410">
                  <c:v>45890</c:v>
                </c:pt>
                <c:pt idx="411">
                  <c:v>45891</c:v>
                </c:pt>
                <c:pt idx="412">
                  <c:v>45894</c:v>
                </c:pt>
                <c:pt idx="413">
                  <c:v>45895</c:v>
                </c:pt>
                <c:pt idx="414">
                  <c:v>45896</c:v>
                </c:pt>
                <c:pt idx="415">
                  <c:v>45897</c:v>
                </c:pt>
                <c:pt idx="416">
                  <c:v>45898</c:v>
                </c:pt>
                <c:pt idx="417">
                  <c:v>45902</c:v>
                </c:pt>
                <c:pt idx="418">
                  <c:v>45903</c:v>
                </c:pt>
                <c:pt idx="419">
                  <c:v>45904</c:v>
                </c:pt>
                <c:pt idx="420">
                  <c:v>45905</c:v>
                </c:pt>
                <c:pt idx="421">
                  <c:v>45908</c:v>
                </c:pt>
                <c:pt idx="422">
                  <c:v>45909</c:v>
                </c:pt>
                <c:pt idx="423">
                  <c:v>45910</c:v>
                </c:pt>
                <c:pt idx="424">
                  <c:v>45911</c:v>
                </c:pt>
                <c:pt idx="425">
                  <c:v>45912</c:v>
                </c:pt>
                <c:pt idx="426">
                  <c:v>45915</c:v>
                </c:pt>
                <c:pt idx="427">
                  <c:v>45916</c:v>
                </c:pt>
                <c:pt idx="428">
                  <c:v>45917</c:v>
                </c:pt>
                <c:pt idx="429">
                  <c:v>45918</c:v>
                </c:pt>
                <c:pt idx="430">
                  <c:v>45919</c:v>
                </c:pt>
                <c:pt idx="431">
                  <c:v>45922</c:v>
                </c:pt>
                <c:pt idx="432">
                  <c:v>45923</c:v>
                </c:pt>
                <c:pt idx="433">
                  <c:v>45924</c:v>
                </c:pt>
                <c:pt idx="434">
                  <c:v>45925</c:v>
                </c:pt>
                <c:pt idx="435">
                  <c:v>45926</c:v>
                </c:pt>
                <c:pt idx="436">
                  <c:v>45929</c:v>
                </c:pt>
                <c:pt idx="437">
                  <c:v>45930</c:v>
                </c:pt>
                <c:pt idx="438">
                  <c:v>45931</c:v>
                </c:pt>
                <c:pt idx="439">
                  <c:v>45932</c:v>
                </c:pt>
                <c:pt idx="440">
                  <c:v>45933</c:v>
                </c:pt>
                <c:pt idx="441">
                  <c:v>45936</c:v>
                </c:pt>
                <c:pt idx="442">
                  <c:v>45937</c:v>
                </c:pt>
                <c:pt idx="443">
                  <c:v>45938</c:v>
                </c:pt>
                <c:pt idx="444">
                  <c:v>45939</c:v>
                </c:pt>
                <c:pt idx="445">
                  <c:v>45940</c:v>
                </c:pt>
                <c:pt idx="446">
                  <c:v>45943</c:v>
                </c:pt>
                <c:pt idx="447">
                  <c:v>45944</c:v>
                </c:pt>
                <c:pt idx="448">
                  <c:v>45945</c:v>
                </c:pt>
                <c:pt idx="449">
                  <c:v>45946</c:v>
                </c:pt>
                <c:pt idx="450">
                  <c:v>45947</c:v>
                </c:pt>
                <c:pt idx="451">
                  <c:v>45950</c:v>
                </c:pt>
                <c:pt idx="452">
                  <c:v>45951</c:v>
                </c:pt>
                <c:pt idx="453">
                  <c:v>45952</c:v>
                </c:pt>
                <c:pt idx="454">
                  <c:v>45953</c:v>
                </c:pt>
                <c:pt idx="455">
                  <c:v>45954</c:v>
                </c:pt>
                <c:pt idx="456">
                  <c:v>45957</c:v>
                </c:pt>
                <c:pt idx="457">
                  <c:v>45958</c:v>
                </c:pt>
                <c:pt idx="458">
                  <c:v>45959</c:v>
                </c:pt>
                <c:pt idx="459">
                  <c:v>45960</c:v>
                </c:pt>
                <c:pt idx="460">
                  <c:v>45961</c:v>
                </c:pt>
                <c:pt idx="461">
                  <c:v>45964</c:v>
                </c:pt>
                <c:pt idx="462">
                  <c:v>45965</c:v>
                </c:pt>
                <c:pt idx="463">
                  <c:v>45966</c:v>
                </c:pt>
                <c:pt idx="464">
                  <c:v>45967</c:v>
                </c:pt>
                <c:pt idx="465">
                  <c:v>45968</c:v>
                </c:pt>
                <c:pt idx="466">
                  <c:v>45971</c:v>
                </c:pt>
                <c:pt idx="467">
                  <c:v>45972</c:v>
                </c:pt>
                <c:pt idx="468">
                  <c:v>45973</c:v>
                </c:pt>
                <c:pt idx="469">
                  <c:v>45974</c:v>
                </c:pt>
                <c:pt idx="470">
                  <c:v>45975</c:v>
                </c:pt>
                <c:pt idx="471">
                  <c:v>45978</c:v>
                </c:pt>
                <c:pt idx="472">
                  <c:v>45979</c:v>
                </c:pt>
                <c:pt idx="473">
                  <c:v>45980</c:v>
                </c:pt>
                <c:pt idx="474">
                  <c:v>45981</c:v>
                </c:pt>
                <c:pt idx="475">
                  <c:v>45982</c:v>
                </c:pt>
                <c:pt idx="476">
                  <c:v>45985</c:v>
                </c:pt>
                <c:pt idx="477">
                  <c:v>45986</c:v>
                </c:pt>
                <c:pt idx="478">
                  <c:v>45987</c:v>
                </c:pt>
                <c:pt idx="479">
                  <c:v>45989</c:v>
                </c:pt>
                <c:pt idx="480">
                  <c:v>45992</c:v>
                </c:pt>
                <c:pt idx="481">
                  <c:v>45993</c:v>
                </c:pt>
                <c:pt idx="482">
                  <c:v>45994</c:v>
                </c:pt>
                <c:pt idx="483">
                  <c:v>45995</c:v>
                </c:pt>
                <c:pt idx="484">
                  <c:v>45996</c:v>
                </c:pt>
                <c:pt idx="485">
                  <c:v>45999</c:v>
                </c:pt>
                <c:pt idx="486">
                  <c:v>46000</c:v>
                </c:pt>
                <c:pt idx="487">
                  <c:v>46001</c:v>
                </c:pt>
                <c:pt idx="488">
                  <c:v>46002</c:v>
                </c:pt>
                <c:pt idx="489">
                  <c:v>46003</c:v>
                </c:pt>
                <c:pt idx="490">
                  <c:v>46006</c:v>
                </c:pt>
                <c:pt idx="491">
                  <c:v>46007</c:v>
                </c:pt>
                <c:pt idx="492">
                  <c:v>46008</c:v>
                </c:pt>
                <c:pt idx="493">
                  <c:v>46009</c:v>
                </c:pt>
                <c:pt idx="494">
                  <c:v>46010</c:v>
                </c:pt>
                <c:pt idx="495">
                  <c:v>46013</c:v>
                </c:pt>
                <c:pt idx="496">
                  <c:v>46014</c:v>
                </c:pt>
                <c:pt idx="497">
                  <c:v>46015</c:v>
                </c:pt>
                <c:pt idx="498">
                  <c:v>46017</c:v>
                </c:pt>
                <c:pt idx="499">
                  <c:v>46020</c:v>
                </c:pt>
                <c:pt idx="500">
                  <c:v>46021</c:v>
                </c:pt>
                <c:pt idx="501">
                  <c:v>46022</c:v>
                </c:pt>
                <c:pt idx="502">
                  <c:v>46024</c:v>
                </c:pt>
                <c:pt idx="503">
                  <c:v>46027</c:v>
                </c:pt>
                <c:pt idx="504">
                  <c:v>46028</c:v>
                </c:pt>
                <c:pt idx="505">
                  <c:v>46029</c:v>
                </c:pt>
                <c:pt idx="506">
                  <c:v>46030</c:v>
                </c:pt>
                <c:pt idx="507">
                  <c:v>46031</c:v>
                </c:pt>
                <c:pt idx="508">
                  <c:v>46034</c:v>
                </c:pt>
                <c:pt idx="509">
                  <c:v>46035</c:v>
                </c:pt>
                <c:pt idx="510">
                  <c:v>46036</c:v>
                </c:pt>
                <c:pt idx="511">
                  <c:v>46037</c:v>
                </c:pt>
                <c:pt idx="512">
                  <c:v>46038</c:v>
                </c:pt>
              </c:numCache>
            </c:numRef>
          </c:cat>
          <c:val>
            <c:numRef>
              <c:f>Data!$M$2:$M$514</c:f>
              <c:numCache>
                <c:formatCode>General</c:formatCode>
                <c:ptCount val="513"/>
                <c:pt idx="19">
                  <c:v>59.106106731168651</c:v>
                </c:pt>
                <c:pt idx="20">
                  <c:v>59.075345535246562</c:v>
                </c:pt>
                <c:pt idx="21">
                  <c:v>58.952249547870494</c:v>
                </c:pt>
                <c:pt idx="22">
                  <c:v>58.939852552368436</c:v>
                </c:pt>
                <c:pt idx="23">
                  <c:v>58.961394259612881</c:v>
                </c:pt>
                <c:pt idx="24">
                  <c:v>58.957792052366933</c:v>
                </c:pt>
                <c:pt idx="25">
                  <c:v>58.957523507096361</c:v>
                </c:pt>
                <c:pt idx="26">
                  <c:v>58.950113213276936</c:v>
                </c:pt>
                <c:pt idx="27">
                  <c:v>58.927283036235778</c:v>
                </c:pt>
                <c:pt idx="28">
                  <c:v>58.924635848717536</c:v>
                </c:pt>
                <c:pt idx="29">
                  <c:v>58.87188415361539</c:v>
                </c:pt>
                <c:pt idx="30">
                  <c:v>58.81525482666396</c:v>
                </c:pt>
                <c:pt idx="31">
                  <c:v>58.783971895158118</c:v>
                </c:pt>
                <c:pt idx="32">
                  <c:v>58.752094123547458</c:v>
                </c:pt>
                <c:pt idx="33">
                  <c:v>58.711326291182395</c:v>
                </c:pt>
                <c:pt idx="34">
                  <c:v>58.587445924146763</c:v>
                </c:pt>
                <c:pt idx="35">
                  <c:v>58.644118060236949</c:v>
                </c:pt>
                <c:pt idx="36">
                  <c:v>58.684020283014952</c:v>
                </c:pt>
                <c:pt idx="37">
                  <c:v>58.757905800179515</c:v>
                </c:pt>
                <c:pt idx="38">
                  <c:v>58.796692101359582</c:v>
                </c:pt>
                <c:pt idx="39">
                  <c:v>58.821652833659954</c:v>
                </c:pt>
                <c:pt idx="40">
                  <c:v>58.883605973248159</c:v>
                </c:pt>
                <c:pt idx="41">
                  <c:v>58.835368576792973</c:v>
                </c:pt>
                <c:pt idx="42">
                  <c:v>58.80817288569034</c:v>
                </c:pt>
                <c:pt idx="43">
                  <c:v>58.757737269932662</c:v>
                </c:pt>
                <c:pt idx="44">
                  <c:v>58.719443440787579</c:v>
                </c:pt>
                <c:pt idx="45">
                  <c:v>58.665325730543323</c:v>
                </c:pt>
                <c:pt idx="46">
                  <c:v>58.634163121156611</c:v>
                </c:pt>
                <c:pt idx="47">
                  <c:v>58.679606299061007</c:v>
                </c:pt>
                <c:pt idx="48">
                  <c:v>58.712738735925711</c:v>
                </c:pt>
                <c:pt idx="49">
                  <c:v>58.767019791550887</c:v>
                </c:pt>
                <c:pt idx="50">
                  <c:v>58.881627363645848</c:v>
                </c:pt>
                <c:pt idx="51">
                  <c:v>58.950839109553613</c:v>
                </c:pt>
                <c:pt idx="52">
                  <c:v>59.049404548586153</c:v>
                </c:pt>
                <c:pt idx="53">
                  <c:v>59.042302353885681</c:v>
                </c:pt>
                <c:pt idx="54">
                  <c:v>59.084093271752387</c:v>
                </c:pt>
                <c:pt idx="55">
                  <c:v>59.12789610094157</c:v>
                </c:pt>
                <c:pt idx="56">
                  <c:v>59.190946165084704</c:v>
                </c:pt>
                <c:pt idx="57">
                  <c:v>59.203207942984299</c:v>
                </c:pt>
                <c:pt idx="58">
                  <c:v>59.200157465477453</c:v>
                </c:pt>
                <c:pt idx="59">
                  <c:v>59.158234437482562</c:v>
                </c:pt>
                <c:pt idx="60">
                  <c:v>59.127752887061462</c:v>
                </c:pt>
                <c:pt idx="61">
                  <c:v>59.221773541865389</c:v>
                </c:pt>
                <c:pt idx="62">
                  <c:v>59.260759443738571</c:v>
                </c:pt>
                <c:pt idx="63">
                  <c:v>59.317175749964285</c:v>
                </c:pt>
                <c:pt idx="64">
                  <c:v>59.258992055640491</c:v>
                </c:pt>
                <c:pt idx="65">
                  <c:v>59.274316106933412</c:v>
                </c:pt>
                <c:pt idx="66">
                  <c:v>59.216536165255221</c:v>
                </c:pt>
                <c:pt idx="67">
                  <c:v>59.159246927684023</c:v>
                </c:pt>
                <c:pt idx="68">
                  <c:v>58.931951441782779</c:v>
                </c:pt>
                <c:pt idx="69">
                  <c:v>58.80529866736034</c:v>
                </c:pt>
                <c:pt idx="70">
                  <c:v>58.47612710564475</c:v>
                </c:pt>
                <c:pt idx="71">
                  <c:v>58.177289974356654</c:v>
                </c:pt>
                <c:pt idx="72">
                  <c:v>57.892287123004976</c:v>
                </c:pt>
                <c:pt idx="73">
                  <c:v>57.734192460177795</c:v>
                </c:pt>
                <c:pt idx="74">
                  <c:v>57.674147201065793</c:v>
                </c:pt>
                <c:pt idx="75">
                  <c:v>57.682158516437745</c:v>
                </c:pt>
                <c:pt idx="76">
                  <c:v>57.67918615468421</c:v>
                </c:pt>
                <c:pt idx="77">
                  <c:v>57.667673086658596</c:v>
                </c:pt>
                <c:pt idx="78">
                  <c:v>57.571594180321753</c:v>
                </c:pt>
                <c:pt idx="79">
                  <c:v>57.489792093650934</c:v>
                </c:pt>
                <c:pt idx="80">
                  <c:v>57.427266922952619</c:v>
                </c:pt>
                <c:pt idx="81">
                  <c:v>57.305854161267</c:v>
                </c:pt>
                <c:pt idx="82">
                  <c:v>57.238942356517583</c:v>
                </c:pt>
                <c:pt idx="83">
                  <c:v>57.190894879843874</c:v>
                </c:pt>
                <c:pt idx="84">
                  <c:v>57.208905089143805</c:v>
                </c:pt>
                <c:pt idx="85">
                  <c:v>57.219807835838104</c:v>
                </c:pt>
                <c:pt idx="86">
                  <c:v>57.273949664903647</c:v>
                </c:pt>
                <c:pt idx="87">
                  <c:v>57.288187865193045</c:v>
                </c:pt>
                <c:pt idx="88">
                  <c:v>57.426911100343055</c:v>
                </c:pt>
                <c:pt idx="89">
                  <c:v>57.590347977584528</c:v>
                </c:pt>
                <c:pt idx="90">
                  <c:v>57.934147303527887</c:v>
                </c:pt>
                <c:pt idx="91">
                  <c:v>58.375519758196361</c:v>
                </c:pt>
                <c:pt idx="92">
                  <c:v>58.996936010483729</c:v>
                </c:pt>
                <c:pt idx="93">
                  <c:v>59.618067241453801</c:v>
                </c:pt>
                <c:pt idx="94">
                  <c:v>60.251052632301089</c:v>
                </c:pt>
                <c:pt idx="95">
                  <c:v>60.606941272812605</c:v>
                </c:pt>
                <c:pt idx="96">
                  <c:v>60.921464584819773</c:v>
                </c:pt>
                <c:pt idx="97">
                  <c:v>61.277242957636524</c:v>
                </c:pt>
                <c:pt idx="98">
                  <c:v>61.422154975994594</c:v>
                </c:pt>
                <c:pt idx="99">
                  <c:v>61.483859396435889</c:v>
                </c:pt>
                <c:pt idx="100">
                  <c:v>61.533853591421227</c:v>
                </c:pt>
                <c:pt idx="101">
                  <c:v>61.493899018130847</c:v>
                </c:pt>
                <c:pt idx="102">
                  <c:v>61.478903265793932</c:v>
                </c:pt>
                <c:pt idx="103">
                  <c:v>61.485850607846857</c:v>
                </c:pt>
                <c:pt idx="104">
                  <c:v>61.564882650774543</c:v>
                </c:pt>
                <c:pt idx="105">
                  <c:v>61.622417234590884</c:v>
                </c:pt>
                <c:pt idx="106">
                  <c:v>61.583391402866056</c:v>
                </c:pt>
                <c:pt idx="107">
                  <c:v>61.548399768690309</c:v>
                </c:pt>
                <c:pt idx="108">
                  <c:v>61.488482080225282</c:v>
                </c:pt>
                <c:pt idx="109">
                  <c:v>61.471859849857033</c:v>
                </c:pt>
                <c:pt idx="110">
                  <c:v>61.467366964916963</c:v>
                </c:pt>
                <c:pt idx="111">
                  <c:v>61.46831756563455</c:v>
                </c:pt>
                <c:pt idx="112">
                  <c:v>61.457854546440274</c:v>
                </c:pt>
                <c:pt idx="113">
                  <c:v>61.452740374405465</c:v>
                </c:pt>
                <c:pt idx="114">
                  <c:v>61.413622090660617</c:v>
                </c:pt>
                <c:pt idx="115">
                  <c:v>61.388192919385311</c:v>
                </c:pt>
                <c:pt idx="116">
                  <c:v>61.393720834449873</c:v>
                </c:pt>
                <c:pt idx="117">
                  <c:v>61.322935677167052</c:v>
                </c:pt>
                <c:pt idx="118">
                  <c:v>61.312164721085495</c:v>
                </c:pt>
                <c:pt idx="119">
                  <c:v>61.373942293335418</c:v>
                </c:pt>
                <c:pt idx="120">
                  <c:v>61.48473383946839</c:v>
                </c:pt>
                <c:pt idx="121">
                  <c:v>61.646096865292385</c:v>
                </c:pt>
                <c:pt idx="122">
                  <c:v>61.886841980553307</c:v>
                </c:pt>
                <c:pt idx="123">
                  <c:v>62.104734351120321</c:v>
                </c:pt>
                <c:pt idx="124">
                  <c:v>62.137245354706856</c:v>
                </c:pt>
                <c:pt idx="125">
                  <c:v>62.160790980105595</c:v>
                </c:pt>
                <c:pt idx="126">
                  <c:v>62.159560833950231</c:v>
                </c:pt>
                <c:pt idx="127">
                  <c:v>62.165784823058232</c:v>
                </c:pt>
                <c:pt idx="128">
                  <c:v>62.160263135909688</c:v>
                </c:pt>
                <c:pt idx="129">
                  <c:v>62.111271223813461</c:v>
                </c:pt>
                <c:pt idx="130">
                  <c:v>62.074935784907389</c:v>
                </c:pt>
                <c:pt idx="131">
                  <c:v>62.065962830485063</c:v>
                </c:pt>
                <c:pt idx="132">
                  <c:v>62.089305177009322</c:v>
                </c:pt>
                <c:pt idx="133">
                  <c:v>62.110983279624556</c:v>
                </c:pt>
                <c:pt idx="134">
                  <c:v>62.149628107263162</c:v>
                </c:pt>
                <c:pt idx="135">
                  <c:v>62.04543784004801</c:v>
                </c:pt>
                <c:pt idx="136">
                  <c:v>62.022030146863948</c:v>
                </c:pt>
                <c:pt idx="137">
                  <c:v>62.137772168325093</c:v>
                </c:pt>
                <c:pt idx="138">
                  <c:v>62.237239356978328</c:v>
                </c:pt>
                <c:pt idx="139">
                  <c:v>62.206721805740955</c:v>
                </c:pt>
                <c:pt idx="140">
                  <c:v>62.092085998715376</c:v>
                </c:pt>
                <c:pt idx="141">
                  <c:v>61.969602113394586</c:v>
                </c:pt>
                <c:pt idx="142">
                  <c:v>61.741374903771998</c:v>
                </c:pt>
                <c:pt idx="143">
                  <c:v>61.659518481989011</c:v>
                </c:pt>
                <c:pt idx="144">
                  <c:v>61.562293018495772</c:v>
                </c:pt>
                <c:pt idx="145">
                  <c:v>61.679727894794382</c:v>
                </c:pt>
                <c:pt idx="146">
                  <c:v>61.684891378983508</c:v>
                </c:pt>
                <c:pt idx="147">
                  <c:v>61.504758692766046</c:v>
                </c:pt>
                <c:pt idx="148">
                  <c:v>61.730745863125676</c:v>
                </c:pt>
                <c:pt idx="149">
                  <c:v>62.092535146757101</c:v>
                </c:pt>
                <c:pt idx="150">
                  <c:v>62.475080052005325</c:v>
                </c:pt>
                <c:pt idx="151">
                  <c:v>62.86439883984815</c:v>
                </c:pt>
                <c:pt idx="152">
                  <c:v>63.20861384210712</c:v>
                </c:pt>
                <c:pt idx="153">
                  <c:v>63.739972811342888</c:v>
                </c:pt>
                <c:pt idx="154">
                  <c:v>64.125710540512145</c:v>
                </c:pt>
                <c:pt idx="155">
                  <c:v>64.358925085530956</c:v>
                </c:pt>
                <c:pt idx="156">
                  <c:v>64.637835369111627</c:v>
                </c:pt>
                <c:pt idx="157">
                  <c:v>64.916287771729216</c:v>
                </c:pt>
                <c:pt idx="158">
                  <c:v>65.419859997179714</c:v>
                </c:pt>
                <c:pt idx="159">
                  <c:v>65.95748273782138</c:v>
                </c:pt>
                <c:pt idx="160">
                  <c:v>66.323155940684856</c:v>
                </c:pt>
                <c:pt idx="161">
                  <c:v>66.721343810342518</c:v>
                </c:pt>
                <c:pt idx="162">
                  <c:v>66.873573587495429</c:v>
                </c:pt>
                <c:pt idx="163">
                  <c:v>66.97415947283443</c:v>
                </c:pt>
                <c:pt idx="164">
                  <c:v>66.845940176130853</c:v>
                </c:pt>
                <c:pt idx="165">
                  <c:v>66.999353543950846</c:v>
                </c:pt>
                <c:pt idx="166">
                  <c:v>66.932495296722706</c:v>
                </c:pt>
                <c:pt idx="167">
                  <c:v>66.726636708208929</c:v>
                </c:pt>
                <c:pt idx="168">
                  <c:v>66.659737508612878</c:v>
                </c:pt>
                <c:pt idx="169">
                  <c:v>66.762713686461922</c:v>
                </c:pt>
                <c:pt idx="170">
                  <c:v>66.944218389016072</c:v>
                </c:pt>
                <c:pt idx="171">
                  <c:v>67.107479524122184</c:v>
                </c:pt>
                <c:pt idx="172">
                  <c:v>67.282359822717126</c:v>
                </c:pt>
                <c:pt idx="173">
                  <c:v>67.601379552003365</c:v>
                </c:pt>
                <c:pt idx="174">
                  <c:v>67.900605964787985</c:v>
                </c:pt>
                <c:pt idx="175">
                  <c:v>68.213454601791511</c:v>
                </c:pt>
                <c:pt idx="176">
                  <c:v>68.555871924549109</c:v>
                </c:pt>
                <c:pt idx="177">
                  <c:v>68.811587808618043</c:v>
                </c:pt>
                <c:pt idx="178">
                  <c:v>69.171790320926988</c:v>
                </c:pt>
                <c:pt idx="179">
                  <c:v>69.482112173392608</c:v>
                </c:pt>
                <c:pt idx="180">
                  <c:v>69.694647283907102</c:v>
                </c:pt>
                <c:pt idx="181">
                  <c:v>70.121026320583766</c:v>
                </c:pt>
                <c:pt idx="182">
                  <c:v>70.483975052181094</c:v>
                </c:pt>
                <c:pt idx="183">
                  <c:v>70.561279645831405</c:v>
                </c:pt>
                <c:pt idx="184">
                  <c:v>70.556810699751594</c:v>
                </c:pt>
                <c:pt idx="185">
                  <c:v>70.532746709806062</c:v>
                </c:pt>
                <c:pt idx="186">
                  <c:v>70.532339576670765</c:v>
                </c:pt>
                <c:pt idx="187">
                  <c:v>70.563802426459119</c:v>
                </c:pt>
                <c:pt idx="188">
                  <c:v>70.720626124300964</c:v>
                </c:pt>
                <c:pt idx="189">
                  <c:v>70.753729688999229</c:v>
                </c:pt>
                <c:pt idx="190">
                  <c:v>70.612714205231484</c:v>
                </c:pt>
                <c:pt idx="191">
                  <c:v>70.393662189186117</c:v>
                </c:pt>
                <c:pt idx="192">
                  <c:v>69.813101897601172</c:v>
                </c:pt>
                <c:pt idx="193">
                  <c:v>69.430779641615445</c:v>
                </c:pt>
                <c:pt idx="194">
                  <c:v>69.216413808007303</c:v>
                </c:pt>
                <c:pt idx="195">
                  <c:v>68.950238684634158</c:v>
                </c:pt>
                <c:pt idx="196">
                  <c:v>68.77737950402323</c:v>
                </c:pt>
                <c:pt idx="197">
                  <c:v>68.759691706378874</c:v>
                </c:pt>
                <c:pt idx="198">
                  <c:v>68.73608608753473</c:v>
                </c:pt>
                <c:pt idx="199">
                  <c:v>68.738060396719888</c:v>
                </c:pt>
                <c:pt idx="200">
                  <c:v>68.672603462578465</c:v>
                </c:pt>
                <c:pt idx="201">
                  <c:v>68.67237969760204</c:v>
                </c:pt>
                <c:pt idx="202">
                  <c:v>68.581443209512386</c:v>
                </c:pt>
                <c:pt idx="203">
                  <c:v>68.486167973784347</c:v>
                </c:pt>
                <c:pt idx="204">
                  <c:v>68.11735158851144</c:v>
                </c:pt>
                <c:pt idx="205">
                  <c:v>67.628313295591539</c:v>
                </c:pt>
                <c:pt idx="206">
                  <c:v>67.1773452562975</c:v>
                </c:pt>
                <c:pt idx="207">
                  <c:v>66.778698510340689</c:v>
                </c:pt>
                <c:pt idx="208">
                  <c:v>66.161631406386718</c:v>
                </c:pt>
                <c:pt idx="209">
                  <c:v>65.710250993505085</c:v>
                </c:pt>
                <c:pt idx="210">
                  <c:v>65.16661328073063</c:v>
                </c:pt>
                <c:pt idx="211">
                  <c:v>64.63021217594752</c:v>
                </c:pt>
                <c:pt idx="212">
                  <c:v>64.175271665600818</c:v>
                </c:pt>
                <c:pt idx="213">
                  <c:v>63.823666887748971</c:v>
                </c:pt>
                <c:pt idx="214">
                  <c:v>63.18343757747072</c:v>
                </c:pt>
                <c:pt idx="215">
                  <c:v>62.622816778370535</c:v>
                </c:pt>
                <c:pt idx="216">
                  <c:v>62.207604944647628</c:v>
                </c:pt>
                <c:pt idx="217">
                  <c:v>61.822150566508569</c:v>
                </c:pt>
                <c:pt idx="218">
                  <c:v>61.510667786692657</c:v>
                </c:pt>
                <c:pt idx="219">
                  <c:v>61.307473132294014</c:v>
                </c:pt>
                <c:pt idx="220">
                  <c:v>61.053837525593245</c:v>
                </c:pt>
                <c:pt idx="221">
                  <c:v>60.866961802290007</c:v>
                </c:pt>
                <c:pt idx="222">
                  <c:v>60.705351799452345</c:v>
                </c:pt>
                <c:pt idx="223">
                  <c:v>60.843306223072972</c:v>
                </c:pt>
                <c:pt idx="224">
                  <c:v>60.917707711356009</c:v>
                </c:pt>
                <c:pt idx="225">
                  <c:v>61.049363671253609</c:v>
                </c:pt>
                <c:pt idx="226">
                  <c:v>61.199923723403359</c:v>
                </c:pt>
                <c:pt idx="227">
                  <c:v>61.385046682760304</c:v>
                </c:pt>
                <c:pt idx="228">
                  <c:v>61.443673386765418</c:v>
                </c:pt>
                <c:pt idx="229">
                  <c:v>61.56652717116291</c:v>
                </c:pt>
                <c:pt idx="230">
                  <c:v>61.629471664854634</c:v>
                </c:pt>
                <c:pt idx="231">
                  <c:v>61.663493839179765</c:v>
                </c:pt>
                <c:pt idx="232">
                  <c:v>61.721536460236067</c:v>
                </c:pt>
                <c:pt idx="233">
                  <c:v>61.701741447490136</c:v>
                </c:pt>
                <c:pt idx="234">
                  <c:v>61.660357194480284</c:v>
                </c:pt>
                <c:pt idx="235">
                  <c:v>61.576577043723169</c:v>
                </c:pt>
                <c:pt idx="236">
                  <c:v>61.51637160255747</c:v>
                </c:pt>
                <c:pt idx="237">
                  <c:v>61.491286977952917</c:v>
                </c:pt>
                <c:pt idx="238">
                  <c:v>61.446823816057766</c:v>
                </c:pt>
                <c:pt idx="239">
                  <c:v>61.462163004338905</c:v>
                </c:pt>
                <c:pt idx="240">
                  <c:v>61.516140025641398</c:v>
                </c:pt>
                <c:pt idx="241">
                  <c:v>61.669739254041403</c:v>
                </c:pt>
                <c:pt idx="242">
                  <c:v>61.888484641595412</c:v>
                </c:pt>
                <c:pt idx="243">
                  <c:v>61.925076466371387</c:v>
                </c:pt>
                <c:pt idx="244">
                  <c:v>61.85004551687701</c:v>
                </c:pt>
                <c:pt idx="245">
                  <c:v>61.76707668562063</c:v>
                </c:pt>
                <c:pt idx="246">
                  <c:v>61.675656567400885</c:v>
                </c:pt>
                <c:pt idx="247">
                  <c:v>61.703876639587421</c:v>
                </c:pt>
                <c:pt idx="248">
                  <c:v>61.765866810105841</c:v>
                </c:pt>
                <c:pt idx="249">
                  <c:v>61.843941828544665</c:v>
                </c:pt>
                <c:pt idx="250">
                  <c:v>61.827788651026907</c:v>
                </c:pt>
                <c:pt idx="251">
                  <c:v>61.816994356806561</c:v>
                </c:pt>
                <c:pt idx="252">
                  <c:v>61.729518320848335</c:v>
                </c:pt>
                <c:pt idx="253">
                  <c:v>61.6397578389548</c:v>
                </c:pt>
                <c:pt idx="254">
                  <c:v>61.255099825866715</c:v>
                </c:pt>
                <c:pt idx="255">
                  <c:v>60.964572614211477</c:v>
                </c:pt>
                <c:pt idx="256">
                  <c:v>60.887690915490325</c:v>
                </c:pt>
                <c:pt idx="257">
                  <c:v>60.707122686278502</c:v>
                </c:pt>
                <c:pt idx="258">
                  <c:v>60.640968084029645</c:v>
                </c:pt>
                <c:pt idx="259">
                  <c:v>60.735332379684301</c:v>
                </c:pt>
                <c:pt idx="260">
                  <c:v>60.733421481540901</c:v>
                </c:pt>
                <c:pt idx="261">
                  <c:v>60.73325561092625</c:v>
                </c:pt>
                <c:pt idx="262">
                  <c:v>60.811350499232887</c:v>
                </c:pt>
                <c:pt idx="263">
                  <c:v>60.835208517387109</c:v>
                </c:pt>
                <c:pt idx="264">
                  <c:v>60.81515415190556</c:v>
                </c:pt>
                <c:pt idx="265">
                  <c:v>60.778826638386242</c:v>
                </c:pt>
                <c:pt idx="266">
                  <c:v>60.774956742942003</c:v>
                </c:pt>
                <c:pt idx="267">
                  <c:v>60.582374981839266</c:v>
                </c:pt>
                <c:pt idx="268">
                  <c:v>60.588192706874537</c:v>
                </c:pt>
                <c:pt idx="269">
                  <c:v>60.568041686028934</c:v>
                </c:pt>
                <c:pt idx="270">
                  <c:v>60.388805986923039</c:v>
                </c:pt>
                <c:pt idx="271">
                  <c:v>60.336710813182073</c:v>
                </c:pt>
                <c:pt idx="272">
                  <c:v>60.33884601922496</c:v>
                </c:pt>
                <c:pt idx="273">
                  <c:v>60.38717708189516</c:v>
                </c:pt>
                <c:pt idx="274">
                  <c:v>60.595637620386356</c:v>
                </c:pt>
                <c:pt idx="275">
                  <c:v>60.824421152830155</c:v>
                </c:pt>
                <c:pt idx="276">
                  <c:v>60.87171327434411</c:v>
                </c:pt>
                <c:pt idx="277">
                  <c:v>60.995875962632311</c:v>
                </c:pt>
                <c:pt idx="278">
                  <c:v>60.34919736591219</c:v>
                </c:pt>
                <c:pt idx="279">
                  <c:v>59.745022934352342</c:v>
                </c:pt>
                <c:pt idx="280">
                  <c:v>59.318532877956457</c:v>
                </c:pt>
                <c:pt idx="281">
                  <c:v>59.176540061359169</c:v>
                </c:pt>
                <c:pt idx="282">
                  <c:v>59.080510004916704</c:v>
                </c:pt>
                <c:pt idx="283">
                  <c:v>58.999299739651555</c:v>
                </c:pt>
                <c:pt idx="284">
                  <c:v>59.155885344062014</c:v>
                </c:pt>
                <c:pt idx="285">
                  <c:v>59.33020242341518</c:v>
                </c:pt>
                <c:pt idx="286">
                  <c:v>59.676235824104253</c:v>
                </c:pt>
                <c:pt idx="287">
                  <c:v>59.737085868030945</c:v>
                </c:pt>
                <c:pt idx="288">
                  <c:v>60.204921294411804</c:v>
                </c:pt>
                <c:pt idx="289">
                  <c:v>60.686753346709501</c:v>
                </c:pt>
                <c:pt idx="290">
                  <c:v>61.02605373155874</c:v>
                </c:pt>
                <c:pt idx="291">
                  <c:v>61.481121725899925</c:v>
                </c:pt>
                <c:pt idx="292">
                  <c:v>62.169998339698047</c:v>
                </c:pt>
                <c:pt idx="293">
                  <c:v>63.139729925120534</c:v>
                </c:pt>
                <c:pt idx="294">
                  <c:v>64.155488196152106</c:v>
                </c:pt>
                <c:pt idx="295">
                  <c:v>65.298017235576452</c:v>
                </c:pt>
                <c:pt idx="296">
                  <c:v>66.580237683260322</c:v>
                </c:pt>
                <c:pt idx="297">
                  <c:v>68.041629334149917</c:v>
                </c:pt>
                <c:pt idx="298">
                  <c:v>68.540114510430215</c:v>
                </c:pt>
                <c:pt idx="299">
                  <c:v>68.722348851747611</c:v>
                </c:pt>
                <c:pt idx="300">
                  <c:v>68.658924285637681</c:v>
                </c:pt>
                <c:pt idx="301">
                  <c:v>68.876131209888769</c:v>
                </c:pt>
                <c:pt idx="302">
                  <c:v>68.949452871054305</c:v>
                </c:pt>
                <c:pt idx="303">
                  <c:v>68.822005189683622</c:v>
                </c:pt>
                <c:pt idx="304">
                  <c:v>68.779124456034282</c:v>
                </c:pt>
                <c:pt idx="305">
                  <c:v>68.506009562102719</c:v>
                </c:pt>
                <c:pt idx="306">
                  <c:v>68.320670980560379</c:v>
                </c:pt>
                <c:pt idx="307">
                  <c:v>68.160867775177863</c:v>
                </c:pt>
                <c:pt idx="308">
                  <c:v>68.142771376122425</c:v>
                </c:pt>
                <c:pt idx="309">
                  <c:v>68.145532541760574</c:v>
                </c:pt>
                <c:pt idx="310">
                  <c:v>68.165300094625636</c:v>
                </c:pt>
                <c:pt idx="311">
                  <c:v>68.282033006552169</c:v>
                </c:pt>
                <c:pt idx="312">
                  <c:v>68.187954825985798</c:v>
                </c:pt>
                <c:pt idx="313">
                  <c:v>68.179117342901677</c:v>
                </c:pt>
                <c:pt idx="314">
                  <c:v>67.914361030523452</c:v>
                </c:pt>
                <c:pt idx="315">
                  <c:v>67.889863341198307</c:v>
                </c:pt>
                <c:pt idx="316">
                  <c:v>67.662434841552312</c:v>
                </c:pt>
                <c:pt idx="317">
                  <c:v>67.462419922496608</c:v>
                </c:pt>
                <c:pt idx="318">
                  <c:v>67.462944854778954</c:v>
                </c:pt>
                <c:pt idx="319">
                  <c:v>67.502189522388775</c:v>
                </c:pt>
                <c:pt idx="320">
                  <c:v>67.577023285762778</c:v>
                </c:pt>
                <c:pt idx="321">
                  <c:v>67.494720507524832</c:v>
                </c:pt>
                <c:pt idx="322">
                  <c:v>67.563426333067071</c:v>
                </c:pt>
                <c:pt idx="323">
                  <c:v>67.677346610134066</c:v>
                </c:pt>
                <c:pt idx="324">
                  <c:v>67.659946807260212</c:v>
                </c:pt>
                <c:pt idx="325">
                  <c:v>67.88018102041309</c:v>
                </c:pt>
                <c:pt idx="326">
                  <c:v>67.983049614874062</c:v>
                </c:pt>
                <c:pt idx="327">
                  <c:v>68.262289949998276</c:v>
                </c:pt>
                <c:pt idx="328">
                  <c:v>68.411266158625097</c:v>
                </c:pt>
                <c:pt idx="329">
                  <c:v>68.484021168435859</c:v>
                </c:pt>
                <c:pt idx="330">
                  <c:v>68.603132845468764</c:v>
                </c:pt>
                <c:pt idx="331">
                  <c:v>68.620998244887787</c:v>
                </c:pt>
                <c:pt idx="332">
                  <c:v>68.62880505021144</c:v>
                </c:pt>
                <c:pt idx="333">
                  <c:v>68.625805045095476</c:v>
                </c:pt>
                <c:pt idx="334">
                  <c:v>68.633271782323234</c:v>
                </c:pt>
                <c:pt idx="335">
                  <c:v>68.827263812885079</c:v>
                </c:pt>
                <c:pt idx="336">
                  <c:v>69.457406164189607</c:v>
                </c:pt>
                <c:pt idx="337">
                  <c:v>70.275690278484603</c:v>
                </c:pt>
                <c:pt idx="338">
                  <c:v>70.572442127747294</c:v>
                </c:pt>
                <c:pt idx="339">
                  <c:v>70.513063009719971</c:v>
                </c:pt>
                <c:pt idx="340">
                  <c:v>70.061756773828208</c:v>
                </c:pt>
                <c:pt idx="341">
                  <c:v>69.473167639946382</c:v>
                </c:pt>
                <c:pt idx="342">
                  <c:v>69.053465909311015</c:v>
                </c:pt>
                <c:pt idx="343">
                  <c:v>69.049704960665025</c:v>
                </c:pt>
                <c:pt idx="344">
                  <c:v>69.067145758623624</c:v>
                </c:pt>
                <c:pt idx="345">
                  <c:v>69.075890607155642</c:v>
                </c:pt>
                <c:pt idx="346">
                  <c:v>69.208073710223047</c:v>
                </c:pt>
                <c:pt idx="347">
                  <c:v>69.291393336053517</c:v>
                </c:pt>
                <c:pt idx="348">
                  <c:v>69.284805660481481</c:v>
                </c:pt>
                <c:pt idx="349">
                  <c:v>69.284931892688633</c:v>
                </c:pt>
                <c:pt idx="350">
                  <c:v>69.284889315837759</c:v>
                </c:pt>
                <c:pt idx="351">
                  <c:v>69.279939728731023</c:v>
                </c:pt>
                <c:pt idx="352">
                  <c:v>69.314617316113072</c:v>
                </c:pt>
                <c:pt idx="353">
                  <c:v>69.315438407453954</c:v>
                </c:pt>
                <c:pt idx="354">
                  <c:v>69.312261810434876</c:v>
                </c:pt>
                <c:pt idx="355">
                  <c:v>69.294510944823699</c:v>
                </c:pt>
                <c:pt idx="356">
                  <c:v>69.28820636932717</c:v>
                </c:pt>
                <c:pt idx="357">
                  <c:v>69.288002983580427</c:v>
                </c:pt>
                <c:pt idx="358">
                  <c:v>69.295166191877271</c:v>
                </c:pt>
                <c:pt idx="359">
                  <c:v>69.366056009845281</c:v>
                </c:pt>
                <c:pt idx="360">
                  <c:v>69.627280022403568</c:v>
                </c:pt>
                <c:pt idx="361">
                  <c:v>70.179376906832488</c:v>
                </c:pt>
                <c:pt idx="362">
                  <c:v>70.879366671158778</c:v>
                </c:pt>
                <c:pt idx="363">
                  <c:v>70.796716081137944</c:v>
                </c:pt>
                <c:pt idx="364">
                  <c:v>70.600948441700794</c:v>
                </c:pt>
                <c:pt idx="365">
                  <c:v>70.16590785755939</c:v>
                </c:pt>
                <c:pt idx="366">
                  <c:v>69.70280342136094</c:v>
                </c:pt>
                <c:pt idx="367">
                  <c:v>69.22780709397405</c:v>
                </c:pt>
                <c:pt idx="368">
                  <c:v>69.052921435510754</c:v>
                </c:pt>
                <c:pt idx="369">
                  <c:v>68.960061530631506</c:v>
                </c:pt>
                <c:pt idx="370">
                  <c:v>68.791317342349444</c:v>
                </c:pt>
                <c:pt idx="371">
                  <c:v>68.612905389070505</c:v>
                </c:pt>
                <c:pt idx="372">
                  <c:v>68.564243804372452</c:v>
                </c:pt>
                <c:pt idx="373">
                  <c:v>68.582889525602852</c:v>
                </c:pt>
                <c:pt idx="374">
                  <c:v>68.602818446342155</c:v>
                </c:pt>
                <c:pt idx="375">
                  <c:v>68.598564957343129</c:v>
                </c:pt>
                <c:pt idx="376">
                  <c:v>68.598891417266557</c:v>
                </c:pt>
                <c:pt idx="377">
                  <c:v>68.601290420182963</c:v>
                </c:pt>
                <c:pt idx="378">
                  <c:v>68.559147589731651</c:v>
                </c:pt>
                <c:pt idx="379">
                  <c:v>68.452685246486922</c:v>
                </c:pt>
                <c:pt idx="380">
                  <c:v>68.484324588840465</c:v>
                </c:pt>
                <c:pt idx="381">
                  <c:v>68.53050586081288</c:v>
                </c:pt>
                <c:pt idx="382">
                  <c:v>68.614448069456571</c:v>
                </c:pt>
                <c:pt idx="383">
                  <c:v>68.548780520360921</c:v>
                </c:pt>
                <c:pt idx="384">
                  <c:v>68.46122799068354</c:v>
                </c:pt>
                <c:pt idx="385">
                  <c:v>68.500427303905298</c:v>
                </c:pt>
                <c:pt idx="386">
                  <c:v>68.580247668347042</c:v>
                </c:pt>
                <c:pt idx="387">
                  <c:v>68.760664405385171</c:v>
                </c:pt>
                <c:pt idx="388">
                  <c:v>68.751227781068451</c:v>
                </c:pt>
                <c:pt idx="389">
                  <c:v>68.631238375404465</c:v>
                </c:pt>
                <c:pt idx="390">
                  <c:v>68.551066501699367</c:v>
                </c:pt>
                <c:pt idx="391">
                  <c:v>68.505521629741665</c:v>
                </c:pt>
                <c:pt idx="392">
                  <c:v>68.169715123291269</c:v>
                </c:pt>
                <c:pt idx="393">
                  <c:v>68.126993411647732</c:v>
                </c:pt>
                <c:pt idx="394">
                  <c:v>68.131625384162746</c:v>
                </c:pt>
                <c:pt idx="395">
                  <c:v>67.883203308864466</c:v>
                </c:pt>
                <c:pt idx="396">
                  <c:v>67.952700514450683</c:v>
                </c:pt>
                <c:pt idx="397">
                  <c:v>68.029045931367378</c:v>
                </c:pt>
                <c:pt idx="398">
                  <c:v>68.032768287487386</c:v>
                </c:pt>
                <c:pt idx="399">
                  <c:v>68.033242642005476</c:v>
                </c:pt>
                <c:pt idx="400">
                  <c:v>67.98162837153869</c:v>
                </c:pt>
                <c:pt idx="401">
                  <c:v>67.949631025274897</c:v>
                </c:pt>
                <c:pt idx="402">
                  <c:v>67.879398496535686</c:v>
                </c:pt>
                <c:pt idx="403">
                  <c:v>67.841266355587763</c:v>
                </c:pt>
                <c:pt idx="404">
                  <c:v>67.847237916440847</c:v>
                </c:pt>
                <c:pt idx="405">
                  <c:v>67.868929674288722</c:v>
                </c:pt>
                <c:pt idx="406">
                  <c:v>67.86882477779433</c:v>
                </c:pt>
                <c:pt idx="407">
                  <c:v>67.838136948750915</c:v>
                </c:pt>
                <c:pt idx="408">
                  <c:v>67.834757757916407</c:v>
                </c:pt>
                <c:pt idx="409">
                  <c:v>67.829511891646902</c:v>
                </c:pt>
                <c:pt idx="410">
                  <c:v>67.851533513746375</c:v>
                </c:pt>
                <c:pt idx="411">
                  <c:v>67.899076957896668</c:v>
                </c:pt>
                <c:pt idx="412">
                  <c:v>68.063222462422232</c:v>
                </c:pt>
                <c:pt idx="413">
                  <c:v>67.97837374768487</c:v>
                </c:pt>
                <c:pt idx="414">
                  <c:v>67.991223115849067</c:v>
                </c:pt>
                <c:pt idx="415">
                  <c:v>68.109171210014892</c:v>
                </c:pt>
                <c:pt idx="416">
                  <c:v>68.129178461661851</c:v>
                </c:pt>
                <c:pt idx="417">
                  <c:v>68.143587805287964</c:v>
                </c:pt>
                <c:pt idx="418">
                  <c:v>68.135007405235541</c:v>
                </c:pt>
                <c:pt idx="419">
                  <c:v>67.942383044935227</c:v>
                </c:pt>
                <c:pt idx="420">
                  <c:v>67.702506090894374</c:v>
                </c:pt>
                <c:pt idx="421">
                  <c:v>67.374517277588637</c:v>
                </c:pt>
                <c:pt idx="422">
                  <c:v>67.228125353955335</c:v>
                </c:pt>
                <c:pt idx="423">
                  <c:v>67.113575441804215</c:v>
                </c:pt>
                <c:pt idx="424">
                  <c:v>66.97656184840028</c:v>
                </c:pt>
                <c:pt idx="425">
                  <c:v>66.691105225683046</c:v>
                </c:pt>
                <c:pt idx="426">
                  <c:v>66.273834992629375</c:v>
                </c:pt>
                <c:pt idx="427">
                  <c:v>65.912303489758017</c:v>
                </c:pt>
                <c:pt idx="428">
                  <c:v>65.800143120085181</c:v>
                </c:pt>
                <c:pt idx="429">
                  <c:v>65.712382964816982</c:v>
                </c:pt>
                <c:pt idx="430">
                  <c:v>65.701473446862508</c:v>
                </c:pt>
                <c:pt idx="431">
                  <c:v>65.640090811366917</c:v>
                </c:pt>
                <c:pt idx="432">
                  <c:v>65.563962744819435</c:v>
                </c:pt>
                <c:pt idx="433">
                  <c:v>65.458541527203721</c:v>
                </c:pt>
                <c:pt idx="434">
                  <c:v>65.310088373524422</c:v>
                </c:pt>
                <c:pt idx="435">
                  <c:v>65.101631409076333</c:v>
                </c:pt>
                <c:pt idx="436">
                  <c:v>65.065331118495152</c:v>
                </c:pt>
                <c:pt idx="437">
                  <c:v>65.136468435230114</c:v>
                </c:pt>
                <c:pt idx="438">
                  <c:v>65.308154323537565</c:v>
                </c:pt>
                <c:pt idx="439">
                  <c:v>65.326549864631104</c:v>
                </c:pt>
                <c:pt idx="440">
                  <c:v>65.390167788658204</c:v>
                </c:pt>
                <c:pt idx="441">
                  <c:v>65.356676367007296</c:v>
                </c:pt>
                <c:pt idx="442">
                  <c:v>65.452918572968713</c:v>
                </c:pt>
                <c:pt idx="443">
                  <c:v>65.541489968069541</c:v>
                </c:pt>
                <c:pt idx="444">
                  <c:v>65.667123735260134</c:v>
                </c:pt>
                <c:pt idx="445">
                  <c:v>65.663005053741927</c:v>
                </c:pt>
                <c:pt idx="446">
                  <c:v>65.67471555964508</c:v>
                </c:pt>
                <c:pt idx="447">
                  <c:v>65.597011426470431</c:v>
                </c:pt>
                <c:pt idx="448">
                  <c:v>65.593483118893189</c:v>
                </c:pt>
                <c:pt idx="449">
                  <c:v>65.520916704616241</c:v>
                </c:pt>
                <c:pt idx="450">
                  <c:v>65.314666120148033</c:v>
                </c:pt>
                <c:pt idx="451">
                  <c:v>65.218291185860537</c:v>
                </c:pt>
                <c:pt idx="452">
                  <c:v>64.457154070987514</c:v>
                </c:pt>
                <c:pt idx="453">
                  <c:v>64.163295657706726</c:v>
                </c:pt>
                <c:pt idx="454">
                  <c:v>64.182585609489848</c:v>
                </c:pt>
                <c:pt idx="455">
                  <c:v>64.332381338937111</c:v>
                </c:pt>
                <c:pt idx="456">
                  <c:v>64.441986437757606</c:v>
                </c:pt>
                <c:pt idx="457">
                  <c:v>64.550482341269642</c:v>
                </c:pt>
                <c:pt idx="458">
                  <c:v>64.673509273214123</c:v>
                </c:pt>
                <c:pt idx="459">
                  <c:v>64.925821006195989</c:v>
                </c:pt>
                <c:pt idx="460">
                  <c:v>65.109705869668943</c:v>
                </c:pt>
                <c:pt idx="461">
                  <c:v>65.370937830339159</c:v>
                </c:pt>
                <c:pt idx="462">
                  <c:v>65.561159718798351</c:v>
                </c:pt>
                <c:pt idx="463">
                  <c:v>65.902892420394693</c:v>
                </c:pt>
                <c:pt idx="464">
                  <c:v>66.249203713416975</c:v>
                </c:pt>
                <c:pt idx="465">
                  <c:v>66.44071138645684</c:v>
                </c:pt>
                <c:pt idx="466">
                  <c:v>66.745623294469297</c:v>
                </c:pt>
                <c:pt idx="467">
                  <c:v>66.832128883219525</c:v>
                </c:pt>
                <c:pt idx="468">
                  <c:v>67.107934712601036</c:v>
                </c:pt>
                <c:pt idx="469">
                  <c:v>67.375705738413842</c:v>
                </c:pt>
                <c:pt idx="470">
                  <c:v>67.50963348643397</c:v>
                </c:pt>
                <c:pt idx="471">
                  <c:v>67.694093580407738</c:v>
                </c:pt>
                <c:pt idx="472">
                  <c:v>67.694093580407738</c:v>
                </c:pt>
                <c:pt idx="473">
                  <c:v>67.68204870099764</c:v>
                </c:pt>
                <c:pt idx="474">
                  <c:v>67.681833931854484</c:v>
                </c:pt>
                <c:pt idx="475">
                  <c:v>67.520550771913335</c:v>
                </c:pt>
                <c:pt idx="476">
                  <c:v>67.446760221360066</c:v>
                </c:pt>
                <c:pt idx="477">
                  <c:v>67.398562718150259</c:v>
                </c:pt>
                <c:pt idx="478">
                  <c:v>67.61239880354789</c:v>
                </c:pt>
                <c:pt idx="479">
                  <c:v>67.746846069981942</c:v>
                </c:pt>
                <c:pt idx="480">
                  <c:v>68.012717981396406</c:v>
                </c:pt>
                <c:pt idx="481">
                  <c:v>68.504911243435075</c:v>
                </c:pt>
                <c:pt idx="482">
                  <c:v>68.879472920003636</c:v>
                </c:pt>
                <c:pt idx="483">
                  <c:v>69.315138637336133</c:v>
                </c:pt>
                <c:pt idx="484">
                  <c:v>69.55029696150136</c:v>
                </c:pt>
                <c:pt idx="485">
                  <c:v>69.501196246232624</c:v>
                </c:pt>
                <c:pt idx="486">
                  <c:v>69.428317833248798</c:v>
                </c:pt>
                <c:pt idx="487">
                  <c:v>69.291772352058032</c:v>
                </c:pt>
                <c:pt idx="488">
                  <c:v>68.946640457104678</c:v>
                </c:pt>
                <c:pt idx="489">
                  <c:v>68.898830892271434</c:v>
                </c:pt>
                <c:pt idx="490">
                  <c:v>68.887406830171557</c:v>
                </c:pt>
                <c:pt idx="491">
                  <c:v>68.853758929456802</c:v>
                </c:pt>
                <c:pt idx="492">
                  <c:v>68.816428414302734</c:v>
                </c:pt>
                <c:pt idx="493">
                  <c:v>68.75356132921172</c:v>
                </c:pt>
                <c:pt idx="494">
                  <c:v>68.652344120410874</c:v>
                </c:pt>
                <c:pt idx="495">
                  <c:v>68.669799831594091</c:v>
                </c:pt>
                <c:pt idx="496">
                  <c:v>68.640043951177361</c:v>
                </c:pt>
                <c:pt idx="497">
                  <c:v>68.686808770508009</c:v>
                </c:pt>
                <c:pt idx="498">
                  <c:v>68.823059031303345</c:v>
                </c:pt>
                <c:pt idx="499">
                  <c:v>69.229393028871556</c:v>
                </c:pt>
                <c:pt idx="500">
                  <c:v>69.433819109392431</c:v>
                </c:pt>
                <c:pt idx="501">
                  <c:v>69.409303285669978</c:v>
                </c:pt>
                <c:pt idx="502">
                  <c:v>69.241278068250722</c:v>
                </c:pt>
                <c:pt idx="503">
                  <c:v>68.697120019966547</c:v>
                </c:pt>
                <c:pt idx="504">
                  <c:v>68.270628651042372</c:v>
                </c:pt>
                <c:pt idx="505">
                  <c:v>67.836700287599001</c:v>
                </c:pt>
                <c:pt idx="506">
                  <c:v>67.800541846482375</c:v>
                </c:pt>
                <c:pt idx="507">
                  <c:v>67.794581550738812</c:v>
                </c:pt>
                <c:pt idx="508">
                  <c:v>67.857851437764879</c:v>
                </c:pt>
                <c:pt idx="509">
                  <c:v>67.812489796475333</c:v>
                </c:pt>
                <c:pt idx="510">
                  <c:v>67.770557848264531</c:v>
                </c:pt>
                <c:pt idx="511">
                  <c:v>67.76980746740297</c:v>
                </c:pt>
                <c:pt idx="512">
                  <c:v>67.774495424034427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7592-4057-AC0F-B85F75168E7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656360128"/>
        <c:axId val="1656360608"/>
      </c:lineChart>
      <c:dateAx>
        <c:axId val="1656360128"/>
        <c:scaling>
          <c:orientation val="minMax"/>
          <c:max val="46023"/>
          <c:min val="45901"/>
        </c:scaling>
        <c:delete val="0"/>
        <c:axPos val="b"/>
        <c:numFmt formatCode="m/d/yyyy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56360608"/>
        <c:crosses val="autoZero"/>
        <c:auto val="1"/>
        <c:lblOffset val="100"/>
        <c:baseTimeUnit val="days"/>
      </c:dateAx>
      <c:valAx>
        <c:axId val="1656360608"/>
        <c:scaling>
          <c:orientation val="minMax"/>
          <c:max val="75"/>
          <c:min val="62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[$$-409]* #,##0.00_);_([$$-409]* \(#,##0.00\);_([$$-409]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5636012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MACD Plot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2"/>
          <c:order val="2"/>
          <c:tx>
            <c:strRef>
              <c:f>Data!$AA$1</c:f>
              <c:strCache>
                <c:ptCount val="1"/>
                <c:pt idx="0">
                  <c:v>Histogram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numRef>
              <c:f>Data!$B$2:$B$514</c:f>
              <c:numCache>
                <c:formatCode>m/d/yyyy</c:formatCode>
                <c:ptCount val="513"/>
                <c:pt idx="0">
                  <c:v>45293</c:v>
                </c:pt>
                <c:pt idx="1">
                  <c:v>45294</c:v>
                </c:pt>
                <c:pt idx="2">
                  <c:v>45295</c:v>
                </c:pt>
                <c:pt idx="3">
                  <c:v>45296</c:v>
                </c:pt>
                <c:pt idx="4">
                  <c:v>45299</c:v>
                </c:pt>
                <c:pt idx="5">
                  <c:v>45300</c:v>
                </c:pt>
                <c:pt idx="6">
                  <c:v>45301</c:v>
                </c:pt>
                <c:pt idx="7">
                  <c:v>45302</c:v>
                </c:pt>
                <c:pt idx="8">
                  <c:v>45303</c:v>
                </c:pt>
                <c:pt idx="9">
                  <c:v>45307</c:v>
                </c:pt>
                <c:pt idx="10">
                  <c:v>45308</c:v>
                </c:pt>
                <c:pt idx="11">
                  <c:v>45309</c:v>
                </c:pt>
                <c:pt idx="12">
                  <c:v>45310</c:v>
                </c:pt>
                <c:pt idx="13">
                  <c:v>45313</c:v>
                </c:pt>
                <c:pt idx="14">
                  <c:v>45314</c:v>
                </c:pt>
                <c:pt idx="15">
                  <c:v>45315</c:v>
                </c:pt>
                <c:pt idx="16">
                  <c:v>45316</c:v>
                </c:pt>
                <c:pt idx="17">
                  <c:v>45317</c:v>
                </c:pt>
                <c:pt idx="18">
                  <c:v>45320</c:v>
                </c:pt>
                <c:pt idx="19">
                  <c:v>45321</c:v>
                </c:pt>
                <c:pt idx="20">
                  <c:v>45322</c:v>
                </c:pt>
                <c:pt idx="21">
                  <c:v>45323</c:v>
                </c:pt>
                <c:pt idx="22">
                  <c:v>45324</c:v>
                </c:pt>
                <c:pt idx="23">
                  <c:v>45327</c:v>
                </c:pt>
                <c:pt idx="24">
                  <c:v>45328</c:v>
                </c:pt>
                <c:pt idx="25">
                  <c:v>45329</c:v>
                </c:pt>
                <c:pt idx="26">
                  <c:v>45330</c:v>
                </c:pt>
                <c:pt idx="27">
                  <c:v>45331</c:v>
                </c:pt>
                <c:pt idx="28">
                  <c:v>45334</c:v>
                </c:pt>
                <c:pt idx="29">
                  <c:v>45335</c:v>
                </c:pt>
                <c:pt idx="30">
                  <c:v>45336</c:v>
                </c:pt>
                <c:pt idx="31">
                  <c:v>45337</c:v>
                </c:pt>
                <c:pt idx="32">
                  <c:v>45338</c:v>
                </c:pt>
                <c:pt idx="33">
                  <c:v>45342</c:v>
                </c:pt>
                <c:pt idx="34">
                  <c:v>45343</c:v>
                </c:pt>
                <c:pt idx="35">
                  <c:v>45344</c:v>
                </c:pt>
                <c:pt idx="36">
                  <c:v>45345</c:v>
                </c:pt>
                <c:pt idx="37">
                  <c:v>45348</c:v>
                </c:pt>
                <c:pt idx="38">
                  <c:v>45349</c:v>
                </c:pt>
                <c:pt idx="39">
                  <c:v>45350</c:v>
                </c:pt>
                <c:pt idx="40">
                  <c:v>45351</c:v>
                </c:pt>
                <c:pt idx="41">
                  <c:v>45352</c:v>
                </c:pt>
                <c:pt idx="42">
                  <c:v>45355</c:v>
                </c:pt>
                <c:pt idx="43">
                  <c:v>45356</c:v>
                </c:pt>
                <c:pt idx="44">
                  <c:v>45357</c:v>
                </c:pt>
                <c:pt idx="45">
                  <c:v>45358</c:v>
                </c:pt>
                <c:pt idx="46">
                  <c:v>45359</c:v>
                </c:pt>
                <c:pt idx="47">
                  <c:v>45362</c:v>
                </c:pt>
                <c:pt idx="48">
                  <c:v>45363</c:v>
                </c:pt>
                <c:pt idx="49">
                  <c:v>45364</c:v>
                </c:pt>
                <c:pt idx="50">
                  <c:v>45365</c:v>
                </c:pt>
                <c:pt idx="51">
                  <c:v>45366</c:v>
                </c:pt>
                <c:pt idx="52">
                  <c:v>45369</c:v>
                </c:pt>
                <c:pt idx="53">
                  <c:v>45370</c:v>
                </c:pt>
                <c:pt idx="54">
                  <c:v>45371</c:v>
                </c:pt>
                <c:pt idx="55">
                  <c:v>45372</c:v>
                </c:pt>
                <c:pt idx="56">
                  <c:v>45373</c:v>
                </c:pt>
                <c:pt idx="57">
                  <c:v>45376</c:v>
                </c:pt>
                <c:pt idx="58">
                  <c:v>45377</c:v>
                </c:pt>
                <c:pt idx="59">
                  <c:v>45378</c:v>
                </c:pt>
                <c:pt idx="60">
                  <c:v>45379</c:v>
                </c:pt>
                <c:pt idx="61">
                  <c:v>45383</c:v>
                </c:pt>
                <c:pt idx="62">
                  <c:v>45384</c:v>
                </c:pt>
                <c:pt idx="63">
                  <c:v>45385</c:v>
                </c:pt>
                <c:pt idx="64">
                  <c:v>45386</c:v>
                </c:pt>
                <c:pt idx="65">
                  <c:v>45387</c:v>
                </c:pt>
                <c:pt idx="66">
                  <c:v>45390</c:v>
                </c:pt>
                <c:pt idx="67">
                  <c:v>45391</c:v>
                </c:pt>
                <c:pt idx="68">
                  <c:v>45392</c:v>
                </c:pt>
                <c:pt idx="69">
                  <c:v>45393</c:v>
                </c:pt>
                <c:pt idx="70">
                  <c:v>45394</c:v>
                </c:pt>
                <c:pt idx="71">
                  <c:v>45397</c:v>
                </c:pt>
                <c:pt idx="72">
                  <c:v>45398</c:v>
                </c:pt>
                <c:pt idx="73">
                  <c:v>45399</c:v>
                </c:pt>
                <c:pt idx="74">
                  <c:v>45400</c:v>
                </c:pt>
                <c:pt idx="75">
                  <c:v>45401</c:v>
                </c:pt>
                <c:pt idx="76">
                  <c:v>45404</c:v>
                </c:pt>
                <c:pt idx="77">
                  <c:v>45405</c:v>
                </c:pt>
                <c:pt idx="78">
                  <c:v>45406</c:v>
                </c:pt>
                <c:pt idx="79">
                  <c:v>45407</c:v>
                </c:pt>
                <c:pt idx="80">
                  <c:v>45408</c:v>
                </c:pt>
                <c:pt idx="81">
                  <c:v>45411</c:v>
                </c:pt>
                <c:pt idx="82">
                  <c:v>45412</c:v>
                </c:pt>
                <c:pt idx="83">
                  <c:v>45413</c:v>
                </c:pt>
                <c:pt idx="84">
                  <c:v>45414</c:v>
                </c:pt>
                <c:pt idx="85">
                  <c:v>45415</c:v>
                </c:pt>
                <c:pt idx="86">
                  <c:v>45418</c:v>
                </c:pt>
                <c:pt idx="87">
                  <c:v>45419</c:v>
                </c:pt>
                <c:pt idx="88">
                  <c:v>45420</c:v>
                </c:pt>
                <c:pt idx="89">
                  <c:v>45421</c:v>
                </c:pt>
                <c:pt idx="90">
                  <c:v>45422</c:v>
                </c:pt>
                <c:pt idx="91">
                  <c:v>45425</c:v>
                </c:pt>
                <c:pt idx="92">
                  <c:v>45426</c:v>
                </c:pt>
                <c:pt idx="93">
                  <c:v>45427</c:v>
                </c:pt>
                <c:pt idx="94">
                  <c:v>45428</c:v>
                </c:pt>
                <c:pt idx="95">
                  <c:v>45429</c:v>
                </c:pt>
                <c:pt idx="96">
                  <c:v>45432</c:v>
                </c:pt>
                <c:pt idx="97">
                  <c:v>45433</c:v>
                </c:pt>
                <c:pt idx="98">
                  <c:v>45434</c:v>
                </c:pt>
                <c:pt idx="99">
                  <c:v>45435</c:v>
                </c:pt>
                <c:pt idx="100">
                  <c:v>45436</c:v>
                </c:pt>
                <c:pt idx="101">
                  <c:v>45440</c:v>
                </c:pt>
                <c:pt idx="102">
                  <c:v>45441</c:v>
                </c:pt>
                <c:pt idx="103">
                  <c:v>45442</c:v>
                </c:pt>
                <c:pt idx="104">
                  <c:v>45443</c:v>
                </c:pt>
                <c:pt idx="105">
                  <c:v>45446</c:v>
                </c:pt>
                <c:pt idx="106">
                  <c:v>45447</c:v>
                </c:pt>
                <c:pt idx="107">
                  <c:v>45448</c:v>
                </c:pt>
                <c:pt idx="108">
                  <c:v>45449</c:v>
                </c:pt>
                <c:pt idx="109">
                  <c:v>45450</c:v>
                </c:pt>
                <c:pt idx="110">
                  <c:v>45453</c:v>
                </c:pt>
                <c:pt idx="111">
                  <c:v>45454</c:v>
                </c:pt>
                <c:pt idx="112">
                  <c:v>45455</c:v>
                </c:pt>
                <c:pt idx="113">
                  <c:v>45456</c:v>
                </c:pt>
                <c:pt idx="114">
                  <c:v>45457</c:v>
                </c:pt>
                <c:pt idx="115">
                  <c:v>45460</c:v>
                </c:pt>
                <c:pt idx="116">
                  <c:v>45461</c:v>
                </c:pt>
                <c:pt idx="117">
                  <c:v>45463</c:v>
                </c:pt>
                <c:pt idx="118">
                  <c:v>45464</c:v>
                </c:pt>
                <c:pt idx="119">
                  <c:v>45467</c:v>
                </c:pt>
                <c:pt idx="120">
                  <c:v>45468</c:v>
                </c:pt>
                <c:pt idx="121">
                  <c:v>45469</c:v>
                </c:pt>
                <c:pt idx="122">
                  <c:v>45470</c:v>
                </c:pt>
                <c:pt idx="123">
                  <c:v>45471</c:v>
                </c:pt>
                <c:pt idx="124">
                  <c:v>45474</c:v>
                </c:pt>
                <c:pt idx="125">
                  <c:v>45475</c:v>
                </c:pt>
                <c:pt idx="126">
                  <c:v>45476</c:v>
                </c:pt>
                <c:pt idx="127">
                  <c:v>45478</c:v>
                </c:pt>
                <c:pt idx="128">
                  <c:v>45481</c:v>
                </c:pt>
                <c:pt idx="129">
                  <c:v>45482</c:v>
                </c:pt>
                <c:pt idx="130">
                  <c:v>45483</c:v>
                </c:pt>
                <c:pt idx="131">
                  <c:v>45484</c:v>
                </c:pt>
                <c:pt idx="132">
                  <c:v>45485</c:v>
                </c:pt>
                <c:pt idx="133">
                  <c:v>45488</c:v>
                </c:pt>
                <c:pt idx="134">
                  <c:v>45489</c:v>
                </c:pt>
                <c:pt idx="135">
                  <c:v>45490</c:v>
                </c:pt>
                <c:pt idx="136">
                  <c:v>45491</c:v>
                </c:pt>
                <c:pt idx="137">
                  <c:v>45492</c:v>
                </c:pt>
                <c:pt idx="138">
                  <c:v>45495</c:v>
                </c:pt>
                <c:pt idx="139">
                  <c:v>45496</c:v>
                </c:pt>
                <c:pt idx="140">
                  <c:v>45497</c:v>
                </c:pt>
                <c:pt idx="141">
                  <c:v>45498</c:v>
                </c:pt>
                <c:pt idx="142">
                  <c:v>45499</c:v>
                </c:pt>
                <c:pt idx="143">
                  <c:v>45502</c:v>
                </c:pt>
                <c:pt idx="144">
                  <c:v>45503</c:v>
                </c:pt>
                <c:pt idx="145">
                  <c:v>45504</c:v>
                </c:pt>
                <c:pt idx="146">
                  <c:v>45505</c:v>
                </c:pt>
                <c:pt idx="147">
                  <c:v>45506</c:v>
                </c:pt>
                <c:pt idx="148">
                  <c:v>45509</c:v>
                </c:pt>
                <c:pt idx="149">
                  <c:v>45510</c:v>
                </c:pt>
                <c:pt idx="150">
                  <c:v>45511</c:v>
                </c:pt>
                <c:pt idx="151">
                  <c:v>45512</c:v>
                </c:pt>
                <c:pt idx="152">
                  <c:v>45513</c:v>
                </c:pt>
                <c:pt idx="153">
                  <c:v>45516</c:v>
                </c:pt>
                <c:pt idx="154">
                  <c:v>45517</c:v>
                </c:pt>
                <c:pt idx="155">
                  <c:v>45518</c:v>
                </c:pt>
                <c:pt idx="156">
                  <c:v>45519</c:v>
                </c:pt>
                <c:pt idx="157">
                  <c:v>45520</c:v>
                </c:pt>
                <c:pt idx="158">
                  <c:v>45523</c:v>
                </c:pt>
                <c:pt idx="159">
                  <c:v>45524</c:v>
                </c:pt>
                <c:pt idx="160">
                  <c:v>45525</c:v>
                </c:pt>
                <c:pt idx="161">
                  <c:v>45526</c:v>
                </c:pt>
                <c:pt idx="162">
                  <c:v>45527</c:v>
                </c:pt>
                <c:pt idx="163">
                  <c:v>45530</c:v>
                </c:pt>
                <c:pt idx="164">
                  <c:v>45531</c:v>
                </c:pt>
                <c:pt idx="165">
                  <c:v>45532</c:v>
                </c:pt>
                <c:pt idx="166">
                  <c:v>45533</c:v>
                </c:pt>
                <c:pt idx="167">
                  <c:v>45534</c:v>
                </c:pt>
                <c:pt idx="168">
                  <c:v>45538</c:v>
                </c:pt>
                <c:pt idx="169">
                  <c:v>45539</c:v>
                </c:pt>
                <c:pt idx="170">
                  <c:v>45540</c:v>
                </c:pt>
                <c:pt idx="171">
                  <c:v>45541</c:v>
                </c:pt>
                <c:pt idx="172">
                  <c:v>45544</c:v>
                </c:pt>
                <c:pt idx="173">
                  <c:v>45545</c:v>
                </c:pt>
                <c:pt idx="174">
                  <c:v>45546</c:v>
                </c:pt>
                <c:pt idx="175">
                  <c:v>45547</c:v>
                </c:pt>
                <c:pt idx="176">
                  <c:v>45548</c:v>
                </c:pt>
                <c:pt idx="177">
                  <c:v>45551</c:v>
                </c:pt>
                <c:pt idx="178">
                  <c:v>45552</c:v>
                </c:pt>
                <c:pt idx="179">
                  <c:v>45553</c:v>
                </c:pt>
                <c:pt idx="180">
                  <c:v>45554</c:v>
                </c:pt>
                <c:pt idx="181">
                  <c:v>45555</c:v>
                </c:pt>
                <c:pt idx="182">
                  <c:v>45558</c:v>
                </c:pt>
                <c:pt idx="183">
                  <c:v>45559</c:v>
                </c:pt>
                <c:pt idx="184">
                  <c:v>45560</c:v>
                </c:pt>
                <c:pt idx="185">
                  <c:v>45561</c:v>
                </c:pt>
                <c:pt idx="186">
                  <c:v>45562</c:v>
                </c:pt>
                <c:pt idx="187">
                  <c:v>45565</c:v>
                </c:pt>
                <c:pt idx="188">
                  <c:v>45566</c:v>
                </c:pt>
                <c:pt idx="189">
                  <c:v>45567</c:v>
                </c:pt>
                <c:pt idx="190">
                  <c:v>45568</c:v>
                </c:pt>
                <c:pt idx="191">
                  <c:v>45569</c:v>
                </c:pt>
                <c:pt idx="192">
                  <c:v>45572</c:v>
                </c:pt>
                <c:pt idx="193">
                  <c:v>45573</c:v>
                </c:pt>
                <c:pt idx="194">
                  <c:v>45574</c:v>
                </c:pt>
                <c:pt idx="195">
                  <c:v>45575</c:v>
                </c:pt>
                <c:pt idx="196">
                  <c:v>45576</c:v>
                </c:pt>
                <c:pt idx="197">
                  <c:v>45579</c:v>
                </c:pt>
                <c:pt idx="198">
                  <c:v>45580</c:v>
                </c:pt>
                <c:pt idx="199">
                  <c:v>45581</c:v>
                </c:pt>
                <c:pt idx="200">
                  <c:v>45582</c:v>
                </c:pt>
                <c:pt idx="201">
                  <c:v>45583</c:v>
                </c:pt>
                <c:pt idx="202">
                  <c:v>45586</c:v>
                </c:pt>
                <c:pt idx="203">
                  <c:v>45587</c:v>
                </c:pt>
                <c:pt idx="204">
                  <c:v>45588</c:v>
                </c:pt>
                <c:pt idx="205">
                  <c:v>45589</c:v>
                </c:pt>
                <c:pt idx="206">
                  <c:v>45590</c:v>
                </c:pt>
                <c:pt idx="207">
                  <c:v>45593</c:v>
                </c:pt>
                <c:pt idx="208">
                  <c:v>45594</c:v>
                </c:pt>
                <c:pt idx="209">
                  <c:v>45595</c:v>
                </c:pt>
                <c:pt idx="210">
                  <c:v>45596</c:v>
                </c:pt>
                <c:pt idx="211">
                  <c:v>45597</c:v>
                </c:pt>
                <c:pt idx="212">
                  <c:v>45600</c:v>
                </c:pt>
                <c:pt idx="213">
                  <c:v>45601</c:v>
                </c:pt>
                <c:pt idx="214">
                  <c:v>45602</c:v>
                </c:pt>
                <c:pt idx="215">
                  <c:v>45603</c:v>
                </c:pt>
                <c:pt idx="216">
                  <c:v>45604</c:v>
                </c:pt>
                <c:pt idx="217">
                  <c:v>45607</c:v>
                </c:pt>
                <c:pt idx="218">
                  <c:v>45608</c:v>
                </c:pt>
                <c:pt idx="219">
                  <c:v>45609</c:v>
                </c:pt>
                <c:pt idx="220">
                  <c:v>45610</c:v>
                </c:pt>
                <c:pt idx="221">
                  <c:v>45611</c:v>
                </c:pt>
                <c:pt idx="222">
                  <c:v>45614</c:v>
                </c:pt>
                <c:pt idx="223">
                  <c:v>45615</c:v>
                </c:pt>
                <c:pt idx="224">
                  <c:v>45616</c:v>
                </c:pt>
                <c:pt idx="225">
                  <c:v>45617</c:v>
                </c:pt>
                <c:pt idx="226">
                  <c:v>45618</c:v>
                </c:pt>
                <c:pt idx="227">
                  <c:v>45621</c:v>
                </c:pt>
                <c:pt idx="228">
                  <c:v>45622</c:v>
                </c:pt>
                <c:pt idx="229">
                  <c:v>45623</c:v>
                </c:pt>
                <c:pt idx="230">
                  <c:v>45625</c:v>
                </c:pt>
                <c:pt idx="231">
                  <c:v>45628</c:v>
                </c:pt>
                <c:pt idx="232">
                  <c:v>45629</c:v>
                </c:pt>
                <c:pt idx="233">
                  <c:v>45630</c:v>
                </c:pt>
                <c:pt idx="234">
                  <c:v>45631</c:v>
                </c:pt>
                <c:pt idx="235">
                  <c:v>45632</c:v>
                </c:pt>
                <c:pt idx="236">
                  <c:v>45635</c:v>
                </c:pt>
                <c:pt idx="237">
                  <c:v>45636</c:v>
                </c:pt>
                <c:pt idx="238">
                  <c:v>45637</c:v>
                </c:pt>
                <c:pt idx="239">
                  <c:v>45638</c:v>
                </c:pt>
                <c:pt idx="240">
                  <c:v>45639</c:v>
                </c:pt>
                <c:pt idx="241">
                  <c:v>45642</c:v>
                </c:pt>
                <c:pt idx="242">
                  <c:v>45643</c:v>
                </c:pt>
                <c:pt idx="243">
                  <c:v>45644</c:v>
                </c:pt>
                <c:pt idx="244">
                  <c:v>45645</c:v>
                </c:pt>
                <c:pt idx="245">
                  <c:v>45646</c:v>
                </c:pt>
                <c:pt idx="246">
                  <c:v>45649</c:v>
                </c:pt>
                <c:pt idx="247">
                  <c:v>45650</c:v>
                </c:pt>
                <c:pt idx="248">
                  <c:v>45652</c:v>
                </c:pt>
                <c:pt idx="249">
                  <c:v>45653</c:v>
                </c:pt>
                <c:pt idx="250">
                  <c:v>45656</c:v>
                </c:pt>
                <c:pt idx="251">
                  <c:v>45657</c:v>
                </c:pt>
                <c:pt idx="252">
                  <c:v>45659</c:v>
                </c:pt>
                <c:pt idx="253">
                  <c:v>45660</c:v>
                </c:pt>
                <c:pt idx="254">
                  <c:v>45663</c:v>
                </c:pt>
                <c:pt idx="255">
                  <c:v>45664</c:v>
                </c:pt>
                <c:pt idx="256">
                  <c:v>45665</c:v>
                </c:pt>
                <c:pt idx="257">
                  <c:v>45667</c:v>
                </c:pt>
                <c:pt idx="258">
                  <c:v>45670</c:v>
                </c:pt>
                <c:pt idx="259">
                  <c:v>45671</c:v>
                </c:pt>
                <c:pt idx="260">
                  <c:v>45672</c:v>
                </c:pt>
                <c:pt idx="261">
                  <c:v>45673</c:v>
                </c:pt>
                <c:pt idx="262">
                  <c:v>45674</c:v>
                </c:pt>
                <c:pt idx="263">
                  <c:v>45678</c:v>
                </c:pt>
                <c:pt idx="264">
                  <c:v>45679</c:v>
                </c:pt>
                <c:pt idx="265">
                  <c:v>45680</c:v>
                </c:pt>
                <c:pt idx="266">
                  <c:v>45681</c:v>
                </c:pt>
                <c:pt idx="267">
                  <c:v>45684</c:v>
                </c:pt>
                <c:pt idx="268">
                  <c:v>45685</c:v>
                </c:pt>
                <c:pt idx="269">
                  <c:v>45686</c:v>
                </c:pt>
                <c:pt idx="270">
                  <c:v>45687</c:v>
                </c:pt>
                <c:pt idx="271">
                  <c:v>45688</c:v>
                </c:pt>
                <c:pt idx="272">
                  <c:v>45691</c:v>
                </c:pt>
                <c:pt idx="273">
                  <c:v>45692</c:v>
                </c:pt>
                <c:pt idx="274">
                  <c:v>45693</c:v>
                </c:pt>
                <c:pt idx="275">
                  <c:v>45694</c:v>
                </c:pt>
                <c:pt idx="276">
                  <c:v>45695</c:v>
                </c:pt>
                <c:pt idx="277">
                  <c:v>45698</c:v>
                </c:pt>
                <c:pt idx="278">
                  <c:v>45699</c:v>
                </c:pt>
                <c:pt idx="279">
                  <c:v>45700</c:v>
                </c:pt>
                <c:pt idx="280">
                  <c:v>45701</c:v>
                </c:pt>
                <c:pt idx="281">
                  <c:v>45702</c:v>
                </c:pt>
                <c:pt idx="282">
                  <c:v>45706</c:v>
                </c:pt>
                <c:pt idx="283">
                  <c:v>45707</c:v>
                </c:pt>
                <c:pt idx="284">
                  <c:v>45708</c:v>
                </c:pt>
                <c:pt idx="285">
                  <c:v>45709</c:v>
                </c:pt>
                <c:pt idx="286">
                  <c:v>45712</c:v>
                </c:pt>
                <c:pt idx="287">
                  <c:v>45713</c:v>
                </c:pt>
                <c:pt idx="288">
                  <c:v>45714</c:v>
                </c:pt>
                <c:pt idx="289">
                  <c:v>45715</c:v>
                </c:pt>
                <c:pt idx="290">
                  <c:v>45716</c:v>
                </c:pt>
                <c:pt idx="291">
                  <c:v>45719</c:v>
                </c:pt>
                <c:pt idx="292">
                  <c:v>45720</c:v>
                </c:pt>
                <c:pt idx="293">
                  <c:v>45721</c:v>
                </c:pt>
                <c:pt idx="294">
                  <c:v>45722</c:v>
                </c:pt>
                <c:pt idx="295">
                  <c:v>45723</c:v>
                </c:pt>
                <c:pt idx="296">
                  <c:v>45726</c:v>
                </c:pt>
                <c:pt idx="297">
                  <c:v>45727</c:v>
                </c:pt>
                <c:pt idx="298">
                  <c:v>45728</c:v>
                </c:pt>
                <c:pt idx="299">
                  <c:v>45729</c:v>
                </c:pt>
                <c:pt idx="300">
                  <c:v>45730</c:v>
                </c:pt>
                <c:pt idx="301">
                  <c:v>45733</c:v>
                </c:pt>
                <c:pt idx="302">
                  <c:v>45734</c:v>
                </c:pt>
                <c:pt idx="303">
                  <c:v>45735</c:v>
                </c:pt>
                <c:pt idx="304">
                  <c:v>45736</c:v>
                </c:pt>
                <c:pt idx="305">
                  <c:v>45737</c:v>
                </c:pt>
                <c:pt idx="306">
                  <c:v>45740</c:v>
                </c:pt>
                <c:pt idx="307">
                  <c:v>45741</c:v>
                </c:pt>
                <c:pt idx="308">
                  <c:v>45742</c:v>
                </c:pt>
                <c:pt idx="309">
                  <c:v>45743</c:v>
                </c:pt>
                <c:pt idx="310">
                  <c:v>45744</c:v>
                </c:pt>
                <c:pt idx="311">
                  <c:v>45747</c:v>
                </c:pt>
                <c:pt idx="312">
                  <c:v>45748</c:v>
                </c:pt>
                <c:pt idx="313">
                  <c:v>45749</c:v>
                </c:pt>
                <c:pt idx="314">
                  <c:v>45750</c:v>
                </c:pt>
                <c:pt idx="315">
                  <c:v>45751</c:v>
                </c:pt>
                <c:pt idx="316">
                  <c:v>45754</c:v>
                </c:pt>
                <c:pt idx="317">
                  <c:v>45755</c:v>
                </c:pt>
                <c:pt idx="318">
                  <c:v>45756</c:v>
                </c:pt>
                <c:pt idx="319">
                  <c:v>45757</c:v>
                </c:pt>
                <c:pt idx="320">
                  <c:v>45758</c:v>
                </c:pt>
                <c:pt idx="321">
                  <c:v>45761</c:v>
                </c:pt>
                <c:pt idx="322">
                  <c:v>45762</c:v>
                </c:pt>
                <c:pt idx="323">
                  <c:v>45763</c:v>
                </c:pt>
                <c:pt idx="324">
                  <c:v>45764</c:v>
                </c:pt>
                <c:pt idx="325">
                  <c:v>45768</c:v>
                </c:pt>
                <c:pt idx="326">
                  <c:v>45769</c:v>
                </c:pt>
                <c:pt idx="327">
                  <c:v>45770</c:v>
                </c:pt>
                <c:pt idx="328">
                  <c:v>45771</c:v>
                </c:pt>
                <c:pt idx="329">
                  <c:v>45772</c:v>
                </c:pt>
                <c:pt idx="330">
                  <c:v>45775</c:v>
                </c:pt>
                <c:pt idx="331">
                  <c:v>45776</c:v>
                </c:pt>
                <c:pt idx="332">
                  <c:v>45777</c:v>
                </c:pt>
                <c:pt idx="333">
                  <c:v>45778</c:v>
                </c:pt>
                <c:pt idx="334">
                  <c:v>45779</c:v>
                </c:pt>
                <c:pt idx="335">
                  <c:v>45782</c:v>
                </c:pt>
                <c:pt idx="336">
                  <c:v>45783</c:v>
                </c:pt>
                <c:pt idx="337">
                  <c:v>45784</c:v>
                </c:pt>
                <c:pt idx="338">
                  <c:v>45785</c:v>
                </c:pt>
                <c:pt idx="339">
                  <c:v>45786</c:v>
                </c:pt>
                <c:pt idx="340">
                  <c:v>45789</c:v>
                </c:pt>
                <c:pt idx="341">
                  <c:v>45790</c:v>
                </c:pt>
                <c:pt idx="342">
                  <c:v>45791</c:v>
                </c:pt>
                <c:pt idx="343">
                  <c:v>45792</c:v>
                </c:pt>
                <c:pt idx="344">
                  <c:v>45793</c:v>
                </c:pt>
                <c:pt idx="345">
                  <c:v>45796</c:v>
                </c:pt>
                <c:pt idx="346">
                  <c:v>45797</c:v>
                </c:pt>
                <c:pt idx="347">
                  <c:v>45798</c:v>
                </c:pt>
                <c:pt idx="348">
                  <c:v>45799</c:v>
                </c:pt>
                <c:pt idx="349">
                  <c:v>45800</c:v>
                </c:pt>
                <c:pt idx="350">
                  <c:v>45804</c:v>
                </c:pt>
                <c:pt idx="351">
                  <c:v>45805</c:v>
                </c:pt>
                <c:pt idx="352">
                  <c:v>45806</c:v>
                </c:pt>
                <c:pt idx="353">
                  <c:v>45807</c:v>
                </c:pt>
                <c:pt idx="354">
                  <c:v>45810</c:v>
                </c:pt>
                <c:pt idx="355">
                  <c:v>45811</c:v>
                </c:pt>
                <c:pt idx="356">
                  <c:v>45812</c:v>
                </c:pt>
                <c:pt idx="357">
                  <c:v>45813</c:v>
                </c:pt>
                <c:pt idx="358">
                  <c:v>45814</c:v>
                </c:pt>
                <c:pt idx="359">
                  <c:v>45817</c:v>
                </c:pt>
                <c:pt idx="360">
                  <c:v>45818</c:v>
                </c:pt>
                <c:pt idx="361">
                  <c:v>45819</c:v>
                </c:pt>
                <c:pt idx="362">
                  <c:v>45820</c:v>
                </c:pt>
                <c:pt idx="363">
                  <c:v>45821</c:v>
                </c:pt>
                <c:pt idx="364">
                  <c:v>45824</c:v>
                </c:pt>
                <c:pt idx="365">
                  <c:v>45825</c:v>
                </c:pt>
                <c:pt idx="366">
                  <c:v>45826</c:v>
                </c:pt>
                <c:pt idx="367">
                  <c:v>45828</c:v>
                </c:pt>
                <c:pt idx="368">
                  <c:v>45831</c:v>
                </c:pt>
                <c:pt idx="369">
                  <c:v>45832</c:v>
                </c:pt>
                <c:pt idx="370">
                  <c:v>45833</c:v>
                </c:pt>
                <c:pt idx="371">
                  <c:v>45834</c:v>
                </c:pt>
                <c:pt idx="372">
                  <c:v>45835</c:v>
                </c:pt>
                <c:pt idx="373">
                  <c:v>45838</c:v>
                </c:pt>
                <c:pt idx="374">
                  <c:v>45839</c:v>
                </c:pt>
                <c:pt idx="375">
                  <c:v>45840</c:v>
                </c:pt>
                <c:pt idx="376">
                  <c:v>45841</c:v>
                </c:pt>
                <c:pt idx="377">
                  <c:v>45845</c:v>
                </c:pt>
                <c:pt idx="378">
                  <c:v>45846</c:v>
                </c:pt>
                <c:pt idx="379">
                  <c:v>45847</c:v>
                </c:pt>
                <c:pt idx="380">
                  <c:v>45848</c:v>
                </c:pt>
                <c:pt idx="381">
                  <c:v>45849</c:v>
                </c:pt>
                <c:pt idx="382">
                  <c:v>45852</c:v>
                </c:pt>
                <c:pt idx="383">
                  <c:v>45853</c:v>
                </c:pt>
                <c:pt idx="384">
                  <c:v>45854</c:v>
                </c:pt>
                <c:pt idx="385">
                  <c:v>45855</c:v>
                </c:pt>
                <c:pt idx="386">
                  <c:v>45856</c:v>
                </c:pt>
                <c:pt idx="387">
                  <c:v>45859</c:v>
                </c:pt>
                <c:pt idx="388">
                  <c:v>45860</c:v>
                </c:pt>
                <c:pt idx="389">
                  <c:v>45861</c:v>
                </c:pt>
                <c:pt idx="390">
                  <c:v>45862</c:v>
                </c:pt>
                <c:pt idx="391">
                  <c:v>45863</c:v>
                </c:pt>
                <c:pt idx="392">
                  <c:v>45866</c:v>
                </c:pt>
                <c:pt idx="393">
                  <c:v>45867</c:v>
                </c:pt>
                <c:pt idx="394">
                  <c:v>45868</c:v>
                </c:pt>
                <c:pt idx="395">
                  <c:v>45869</c:v>
                </c:pt>
                <c:pt idx="396">
                  <c:v>45870</c:v>
                </c:pt>
                <c:pt idx="397">
                  <c:v>45873</c:v>
                </c:pt>
                <c:pt idx="398">
                  <c:v>45874</c:v>
                </c:pt>
                <c:pt idx="399">
                  <c:v>45875</c:v>
                </c:pt>
                <c:pt idx="400">
                  <c:v>45876</c:v>
                </c:pt>
                <c:pt idx="401">
                  <c:v>45877</c:v>
                </c:pt>
                <c:pt idx="402">
                  <c:v>45880</c:v>
                </c:pt>
                <c:pt idx="403">
                  <c:v>45881</c:v>
                </c:pt>
                <c:pt idx="404">
                  <c:v>45882</c:v>
                </c:pt>
                <c:pt idx="405">
                  <c:v>45883</c:v>
                </c:pt>
                <c:pt idx="406">
                  <c:v>45884</c:v>
                </c:pt>
                <c:pt idx="407">
                  <c:v>45887</c:v>
                </c:pt>
                <c:pt idx="408">
                  <c:v>45888</c:v>
                </c:pt>
                <c:pt idx="409">
                  <c:v>45889</c:v>
                </c:pt>
                <c:pt idx="410">
                  <c:v>45890</c:v>
                </c:pt>
                <c:pt idx="411">
                  <c:v>45891</c:v>
                </c:pt>
                <c:pt idx="412">
                  <c:v>45894</c:v>
                </c:pt>
                <c:pt idx="413">
                  <c:v>45895</c:v>
                </c:pt>
                <c:pt idx="414">
                  <c:v>45896</c:v>
                </c:pt>
                <c:pt idx="415">
                  <c:v>45897</c:v>
                </c:pt>
                <c:pt idx="416">
                  <c:v>45898</c:v>
                </c:pt>
                <c:pt idx="417">
                  <c:v>45902</c:v>
                </c:pt>
                <c:pt idx="418">
                  <c:v>45903</c:v>
                </c:pt>
                <c:pt idx="419">
                  <c:v>45904</c:v>
                </c:pt>
                <c:pt idx="420">
                  <c:v>45905</c:v>
                </c:pt>
                <c:pt idx="421">
                  <c:v>45908</c:v>
                </c:pt>
                <c:pt idx="422">
                  <c:v>45909</c:v>
                </c:pt>
                <c:pt idx="423">
                  <c:v>45910</c:v>
                </c:pt>
                <c:pt idx="424">
                  <c:v>45911</c:v>
                </c:pt>
                <c:pt idx="425">
                  <c:v>45912</c:v>
                </c:pt>
                <c:pt idx="426">
                  <c:v>45915</c:v>
                </c:pt>
                <c:pt idx="427">
                  <c:v>45916</c:v>
                </c:pt>
                <c:pt idx="428">
                  <c:v>45917</c:v>
                </c:pt>
                <c:pt idx="429">
                  <c:v>45918</c:v>
                </c:pt>
                <c:pt idx="430">
                  <c:v>45919</c:v>
                </c:pt>
                <c:pt idx="431">
                  <c:v>45922</c:v>
                </c:pt>
                <c:pt idx="432">
                  <c:v>45923</c:v>
                </c:pt>
                <c:pt idx="433">
                  <c:v>45924</c:v>
                </c:pt>
                <c:pt idx="434">
                  <c:v>45925</c:v>
                </c:pt>
                <c:pt idx="435">
                  <c:v>45926</c:v>
                </c:pt>
                <c:pt idx="436">
                  <c:v>45929</c:v>
                </c:pt>
                <c:pt idx="437">
                  <c:v>45930</c:v>
                </c:pt>
                <c:pt idx="438">
                  <c:v>45931</c:v>
                </c:pt>
                <c:pt idx="439">
                  <c:v>45932</c:v>
                </c:pt>
                <c:pt idx="440">
                  <c:v>45933</c:v>
                </c:pt>
                <c:pt idx="441">
                  <c:v>45936</c:v>
                </c:pt>
                <c:pt idx="442">
                  <c:v>45937</c:v>
                </c:pt>
                <c:pt idx="443">
                  <c:v>45938</c:v>
                </c:pt>
                <c:pt idx="444">
                  <c:v>45939</c:v>
                </c:pt>
                <c:pt idx="445">
                  <c:v>45940</c:v>
                </c:pt>
                <c:pt idx="446">
                  <c:v>45943</c:v>
                </c:pt>
                <c:pt idx="447">
                  <c:v>45944</c:v>
                </c:pt>
                <c:pt idx="448">
                  <c:v>45945</c:v>
                </c:pt>
                <c:pt idx="449">
                  <c:v>45946</c:v>
                </c:pt>
                <c:pt idx="450">
                  <c:v>45947</c:v>
                </c:pt>
                <c:pt idx="451">
                  <c:v>45950</c:v>
                </c:pt>
                <c:pt idx="452">
                  <c:v>45951</c:v>
                </c:pt>
                <c:pt idx="453">
                  <c:v>45952</c:v>
                </c:pt>
                <c:pt idx="454">
                  <c:v>45953</c:v>
                </c:pt>
                <c:pt idx="455">
                  <c:v>45954</c:v>
                </c:pt>
                <c:pt idx="456">
                  <c:v>45957</c:v>
                </c:pt>
                <c:pt idx="457">
                  <c:v>45958</c:v>
                </c:pt>
                <c:pt idx="458">
                  <c:v>45959</c:v>
                </c:pt>
                <c:pt idx="459">
                  <c:v>45960</c:v>
                </c:pt>
                <c:pt idx="460">
                  <c:v>45961</c:v>
                </c:pt>
                <c:pt idx="461">
                  <c:v>45964</c:v>
                </c:pt>
                <c:pt idx="462">
                  <c:v>45965</c:v>
                </c:pt>
                <c:pt idx="463">
                  <c:v>45966</c:v>
                </c:pt>
                <c:pt idx="464">
                  <c:v>45967</c:v>
                </c:pt>
                <c:pt idx="465">
                  <c:v>45968</c:v>
                </c:pt>
                <c:pt idx="466">
                  <c:v>45971</c:v>
                </c:pt>
                <c:pt idx="467">
                  <c:v>45972</c:v>
                </c:pt>
                <c:pt idx="468">
                  <c:v>45973</c:v>
                </c:pt>
                <c:pt idx="469">
                  <c:v>45974</c:v>
                </c:pt>
                <c:pt idx="470">
                  <c:v>45975</c:v>
                </c:pt>
                <c:pt idx="471">
                  <c:v>45978</c:v>
                </c:pt>
                <c:pt idx="472">
                  <c:v>45979</c:v>
                </c:pt>
                <c:pt idx="473">
                  <c:v>45980</c:v>
                </c:pt>
                <c:pt idx="474">
                  <c:v>45981</c:v>
                </c:pt>
                <c:pt idx="475">
                  <c:v>45982</c:v>
                </c:pt>
                <c:pt idx="476">
                  <c:v>45985</c:v>
                </c:pt>
                <c:pt idx="477">
                  <c:v>45986</c:v>
                </c:pt>
                <c:pt idx="478">
                  <c:v>45987</c:v>
                </c:pt>
                <c:pt idx="479">
                  <c:v>45989</c:v>
                </c:pt>
                <c:pt idx="480">
                  <c:v>45992</c:v>
                </c:pt>
                <c:pt idx="481">
                  <c:v>45993</c:v>
                </c:pt>
                <c:pt idx="482">
                  <c:v>45994</c:v>
                </c:pt>
                <c:pt idx="483">
                  <c:v>45995</c:v>
                </c:pt>
                <c:pt idx="484">
                  <c:v>45996</c:v>
                </c:pt>
                <c:pt idx="485">
                  <c:v>45999</c:v>
                </c:pt>
                <c:pt idx="486">
                  <c:v>46000</c:v>
                </c:pt>
                <c:pt idx="487">
                  <c:v>46001</c:v>
                </c:pt>
                <c:pt idx="488">
                  <c:v>46002</c:v>
                </c:pt>
                <c:pt idx="489">
                  <c:v>46003</c:v>
                </c:pt>
                <c:pt idx="490">
                  <c:v>46006</c:v>
                </c:pt>
                <c:pt idx="491">
                  <c:v>46007</c:v>
                </c:pt>
                <c:pt idx="492">
                  <c:v>46008</c:v>
                </c:pt>
                <c:pt idx="493">
                  <c:v>46009</c:v>
                </c:pt>
                <c:pt idx="494">
                  <c:v>46010</c:v>
                </c:pt>
                <c:pt idx="495">
                  <c:v>46013</c:v>
                </c:pt>
                <c:pt idx="496">
                  <c:v>46014</c:v>
                </c:pt>
                <c:pt idx="497">
                  <c:v>46015</c:v>
                </c:pt>
                <c:pt idx="498">
                  <c:v>46017</c:v>
                </c:pt>
                <c:pt idx="499">
                  <c:v>46020</c:v>
                </c:pt>
                <c:pt idx="500">
                  <c:v>46021</c:v>
                </c:pt>
                <c:pt idx="501">
                  <c:v>46022</c:v>
                </c:pt>
                <c:pt idx="502">
                  <c:v>46024</c:v>
                </c:pt>
                <c:pt idx="503">
                  <c:v>46027</c:v>
                </c:pt>
                <c:pt idx="504">
                  <c:v>46028</c:v>
                </c:pt>
                <c:pt idx="505">
                  <c:v>46029</c:v>
                </c:pt>
                <c:pt idx="506">
                  <c:v>46030</c:v>
                </c:pt>
                <c:pt idx="507">
                  <c:v>46031</c:v>
                </c:pt>
                <c:pt idx="508">
                  <c:v>46034</c:v>
                </c:pt>
                <c:pt idx="509">
                  <c:v>46035</c:v>
                </c:pt>
                <c:pt idx="510">
                  <c:v>46036</c:v>
                </c:pt>
                <c:pt idx="511">
                  <c:v>46037</c:v>
                </c:pt>
                <c:pt idx="512">
                  <c:v>46038</c:v>
                </c:pt>
              </c:numCache>
            </c:numRef>
          </c:cat>
          <c:val>
            <c:numRef>
              <c:f>Data!$AA$2:$AA$514</c:f>
              <c:numCache>
                <c:formatCode>General</c:formatCode>
                <c:ptCount val="513"/>
                <c:pt idx="35">
                  <c:v>0.20372631598589994</c:v>
                </c:pt>
                <c:pt idx="36">
                  <c:v>0.17135261219375744</c:v>
                </c:pt>
                <c:pt idx="37">
                  <c:v>0.11758441506726725</c:v>
                </c:pt>
                <c:pt idx="38">
                  <c:v>8.0398778514890967E-2</c:v>
                </c:pt>
                <c:pt idx="39">
                  <c:v>2.7293085028202657E-2</c:v>
                </c:pt>
                <c:pt idx="40">
                  <c:v>-4.0089252998133984E-2</c:v>
                </c:pt>
                <c:pt idx="41">
                  <c:v>-6.3656649077567407E-2</c:v>
                </c:pt>
                <c:pt idx="42">
                  <c:v>-9.4757228531815049E-2</c:v>
                </c:pt>
                <c:pt idx="43">
                  <c:v>-0.10831149430422031</c:v>
                </c:pt>
                <c:pt idx="44">
                  <c:v>-0.11884514271007664</c:v>
                </c:pt>
                <c:pt idx="45">
                  <c:v>-0.11453710716870491</c:v>
                </c:pt>
                <c:pt idx="46">
                  <c:v>-6.0048067923165513E-2</c:v>
                </c:pt>
                <c:pt idx="47">
                  <c:v>-6.1822168624101493E-3</c:v>
                </c:pt>
                <c:pt idx="48">
                  <c:v>6.7457744492693567E-2</c:v>
                </c:pt>
                <c:pt idx="49">
                  <c:v>7.0343753654720731E-2</c:v>
                </c:pt>
                <c:pt idx="50">
                  <c:v>2.8570939301137743E-2</c:v>
                </c:pt>
                <c:pt idx="51">
                  <c:v>1.6452888079252583E-2</c:v>
                </c:pt>
                <c:pt idx="52">
                  <c:v>1.3946967116608699E-2</c:v>
                </c:pt>
                <c:pt idx="53">
                  <c:v>4.4368738544431255E-2</c:v>
                </c:pt>
                <c:pt idx="54">
                  <c:v>4.2678933735206134E-2</c:v>
                </c:pt>
                <c:pt idx="55">
                  <c:v>3.9998822627827557E-2</c:v>
                </c:pt>
                <c:pt idx="56">
                  <c:v>2.972739414347933E-2</c:v>
                </c:pt>
                <c:pt idx="57">
                  <c:v>2.9846628182952861E-2</c:v>
                </c:pt>
                <c:pt idx="58">
                  <c:v>5.8740433579601653E-2</c:v>
                </c:pt>
                <c:pt idx="59">
                  <c:v>8.2323034795093147E-2</c:v>
                </c:pt>
                <c:pt idx="60">
                  <c:v>5.9671324870826548E-2</c:v>
                </c:pt>
                <c:pt idx="61">
                  <c:v>7.1777515618517973E-3</c:v>
                </c:pt>
                <c:pt idx="62">
                  <c:v>-4.7882973875337298E-2</c:v>
                </c:pt>
                <c:pt idx="63">
                  <c:v>-0.11495894074005127</c:v>
                </c:pt>
                <c:pt idx="64">
                  <c:v>-0.13856250923199018</c:v>
                </c:pt>
                <c:pt idx="65">
                  <c:v>-0.16208321929187403</c:v>
                </c:pt>
                <c:pt idx="66">
                  <c:v>-0.13991539232728881</c:v>
                </c:pt>
                <c:pt idx="67">
                  <c:v>-0.16972613390090008</c:v>
                </c:pt>
                <c:pt idx="68">
                  <c:v>-0.17081603936717762</c:v>
                </c:pt>
                <c:pt idx="69">
                  <c:v>-0.21089371966056325</c:v>
                </c:pt>
                <c:pt idx="70">
                  <c:v>-0.23262144601900631</c:v>
                </c:pt>
                <c:pt idx="71">
                  <c:v>-0.23734952227062228</c:v>
                </c:pt>
                <c:pt idx="72">
                  <c:v>-0.19681036420785386</c:v>
                </c:pt>
                <c:pt idx="73">
                  <c:v>-0.13276602286253303</c:v>
                </c:pt>
                <c:pt idx="74">
                  <c:v>-2.1606067032619025E-3</c:v>
                </c:pt>
                <c:pt idx="75">
                  <c:v>0.1071628302169827</c:v>
                </c:pt>
                <c:pt idx="76">
                  <c:v>0.17866485136488336</c:v>
                </c:pt>
                <c:pt idx="77">
                  <c:v>0.27463615872324953</c:v>
                </c:pt>
                <c:pt idx="78">
                  <c:v>0.33433869680506145</c:v>
                </c:pt>
                <c:pt idx="79">
                  <c:v>0.3552915856019972</c:v>
                </c:pt>
                <c:pt idx="80">
                  <c:v>0.36919407763249468</c:v>
                </c:pt>
                <c:pt idx="81">
                  <c:v>0.34073118959438647</c:v>
                </c:pt>
                <c:pt idx="82">
                  <c:v>0.31387157384439784</c:v>
                </c:pt>
                <c:pt idx="83">
                  <c:v>0.28232774035683639</c:v>
                </c:pt>
                <c:pt idx="84">
                  <c:v>0.25651614744368956</c:v>
                </c:pt>
                <c:pt idx="85">
                  <c:v>0.23506584603485892</c:v>
                </c:pt>
                <c:pt idx="86">
                  <c:v>0.22268140502502137</c:v>
                </c:pt>
                <c:pt idx="87">
                  <c:v>0.21356824002185715</c:v>
                </c:pt>
                <c:pt idx="88">
                  <c:v>0.19373287662982086</c:v>
                </c:pt>
                <c:pt idx="89">
                  <c:v>0.19011147545874452</c:v>
                </c:pt>
                <c:pt idx="90">
                  <c:v>0.19258014918736011</c:v>
                </c:pt>
                <c:pt idx="91">
                  <c:v>0.14724349175351348</c:v>
                </c:pt>
                <c:pt idx="92">
                  <c:v>0.10653141223317519</c:v>
                </c:pt>
                <c:pt idx="93">
                  <c:v>8.0820142611288115E-2</c:v>
                </c:pt>
                <c:pt idx="94">
                  <c:v>3.5042233173493864E-2</c:v>
                </c:pt>
                <c:pt idx="95">
                  <c:v>-3.184217487508767E-2</c:v>
                </c:pt>
                <c:pt idx="96">
                  <c:v>-5.7322830349244125E-2</c:v>
                </c:pt>
                <c:pt idx="97">
                  <c:v>-7.1340443397827968E-2</c:v>
                </c:pt>
                <c:pt idx="98">
                  <c:v>-0.14109348160755952</c:v>
                </c:pt>
                <c:pt idx="99">
                  <c:v>-0.189471770093943</c:v>
                </c:pt>
                <c:pt idx="100">
                  <c:v>-0.22722845498101196</c:v>
                </c:pt>
                <c:pt idx="101">
                  <c:v>-0.25200149725339627</c:v>
                </c:pt>
                <c:pt idx="102">
                  <c:v>-0.24187474878261855</c:v>
                </c:pt>
                <c:pt idx="103">
                  <c:v>-0.1658188789709395</c:v>
                </c:pt>
                <c:pt idx="104">
                  <c:v>-0.11331391003207697</c:v>
                </c:pt>
                <c:pt idx="105">
                  <c:v>-1.3608480957800151E-2</c:v>
                </c:pt>
                <c:pt idx="106">
                  <c:v>4.4753381505619805E-2</c:v>
                </c:pt>
                <c:pt idx="107">
                  <c:v>8.9994886051895928E-2</c:v>
                </c:pt>
                <c:pt idx="108">
                  <c:v>9.4441751469212076E-2</c:v>
                </c:pt>
                <c:pt idx="109">
                  <c:v>6.7765550410098352E-2</c:v>
                </c:pt>
                <c:pt idx="110">
                  <c:v>4.0694919249401718E-2</c:v>
                </c:pt>
                <c:pt idx="111">
                  <c:v>-2.5501725997874647E-2</c:v>
                </c:pt>
                <c:pt idx="112">
                  <c:v>-6.2915759979333963E-2</c:v>
                </c:pt>
                <c:pt idx="113">
                  <c:v>-0.11528442270233163</c:v>
                </c:pt>
                <c:pt idx="114">
                  <c:v>-0.14147134010017404</c:v>
                </c:pt>
                <c:pt idx="115">
                  <c:v>-0.15338190329935569</c:v>
                </c:pt>
                <c:pt idx="116">
                  <c:v>-0.18472648983411161</c:v>
                </c:pt>
                <c:pt idx="117">
                  <c:v>-0.15981741126835747</c:v>
                </c:pt>
                <c:pt idx="118">
                  <c:v>-6.1662369154118601E-2</c:v>
                </c:pt>
                <c:pt idx="119">
                  <c:v>-7.4805774641316936E-3</c:v>
                </c:pt>
                <c:pt idx="120">
                  <c:v>3.8014389159017337E-2</c:v>
                </c:pt>
                <c:pt idx="121">
                  <c:v>5.3256875976189277E-2</c:v>
                </c:pt>
                <c:pt idx="122">
                  <c:v>4.0959155341704911E-2</c:v>
                </c:pt>
                <c:pt idx="123">
                  <c:v>4.9311358355297319E-3</c:v>
                </c:pt>
                <c:pt idx="124">
                  <c:v>-2.8776926694937366E-2</c:v>
                </c:pt>
                <c:pt idx="125">
                  <c:v>-3.9414788579909321E-2</c:v>
                </c:pt>
                <c:pt idx="126">
                  <c:v>-1.8990791115701899E-2</c:v>
                </c:pt>
                <c:pt idx="127">
                  <c:v>-5.862092431711155E-2</c:v>
                </c:pt>
                <c:pt idx="128">
                  <c:v>-9.985737534210587E-2</c:v>
                </c:pt>
                <c:pt idx="129">
                  <c:v>-0.1135461150339111</c:v>
                </c:pt>
                <c:pt idx="130">
                  <c:v>-0.10069580573523806</c:v>
                </c:pt>
                <c:pt idx="131">
                  <c:v>-5.0595633953954805E-2</c:v>
                </c:pt>
                <c:pt idx="132">
                  <c:v>-3.6456706923218896E-2</c:v>
                </c:pt>
                <c:pt idx="133">
                  <c:v>2.7874628264378754E-2</c:v>
                </c:pt>
                <c:pt idx="134">
                  <c:v>0.12533511879226522</c:v>
                </c:pt>
                <c:pt idx="135">
                  <c:v>0.17690066075638855</c:v>
                </c:pt>
                <c:pt idx="136">
                  <c:v>0.20425191444480822</c:v>
                </c:pt>
                <c:pt idx="137">
                  <c:v>0.1749598404406848</c:v>
                </c:pt>
                <c:pt idx="138">
                  <c:v>0.15661213736810237</c:v>
                </c:pt>
                <c:pt idx="139">
                  <c:v>0.18784867826012336</c:v>
                </c:pt>
                <c:pt idx="140">
                  <c:v>0.2104456247851707</c:v>
                </c:pt>
                <c:pt idx="141">
                  <c:v>0.27191194146229625</c:v>
                </c:pt>
                <c:pt idx="142">
                  <c:v>0.27731772153948975</c:v>
                </c:pt>
                <c:pt idx="143">
                  <c:v>0.3149553005265604</c:v>
                </c:pt>
                <c:pt idx="144">
                  <c:v>0.25587065748054338</c:v>
                </c:pt>
                <c:pt idx="145">
                  <c:v>0.27652268696667814</c:v>
                </c:pt>
                <c:pt idx="146">
                  <c:v>0.35501190296264928</c:v>
                </c:pt>
                <c:pt idx="147">
                  <c:v>0.29890274270640405</c:v>
                </c:pt>
                <c:pt idx="148">
                  <c:v>0.23599484620816691</c:v>
                </c:pt>
                <c:pt idx="149">
                  <c:v>0.20094161479642758</c:v>
                </c:pt>
                <c:pt idx="150">
                  <c:v>0.1757922366187985</c:v>
                </c:pt>
                <c:pt idx="151">
                  <c:v>0.13734645525220923</c:v>
                </c:pt>
                <c:pt idx="152">
                  <c:v>6.2912971638817039E-2</c:v>
                </c:pt>
                <c:pt idx="153">
                  <c:v>2.0735759327061842E-2</c:v>
                </c:pt>
                <c:pt idx="154">
                  <c:v>-9.9091117156304698E-3</c:v>
                </c:pt>
                <c:pt idx="155">
                  <c:v>-3.4887578212034143E-2</c:v>
                </c:pt>
                <c:pt idx="156">
                  <c:v>-2.5569398422713663E-2</c:v>
                </c:pt>
                <c:pt idx="157">
                  <c:v>-4.1771836315794175E-2</c:v>
                </c:pt>
                <c:pt idx="158">
                  <c:v>-3.4734939632953488E-2</c:v>
                </c:pt>
                <c:pt idx="159">
                  <c:v>-2.6823505458797969E-2</c:v>
                </c:pt>
                <c:pt idx="160">
                  <c:v>-4.6159117826952478E-2</c:v>
                </c:pt>
                <c:pt idx="161">
                  <c:v>-3.6781475714957157E-2</c:v>
                </c:pt>
                <c:pt idx="162">
                  <c:v>2.7837740617385531E-2</c:v>
                </c:pt>
                <c:pt idx="163">
                  <c:v>9.8741522634815837E-2</c:v>
                </c:pt>
                <c:pt idx="164">
                  <c:v>0.14347716118640363</c:v>
                </c:pt>
                <c:pt idx="165">
                  <c:v>0.17232986799786532</c:v>
                </c:pt>
                <c:pt idx="166">
                  <c:v>0.19698029936044326</c:v>
                </c:pt>
                <c:pt idx="167">
                  <c:v>0.22491377124921086</c:v>
                </c:pt>
                <c:pt idx="168">
                  <c:v>0.18974855942290514</c:v>
                </c:pt>
                <c:pt idx="169">
                  <c:v>5.6456654242591275E-2</c:v>
                </c:pt>
                <c:pt idx="170">
                  <c:v>-4.4688432721082583E-2</c:v>
                </c:pt>
                <c:pt idx="171">
                  <c:v>-7.3055399018148837E-2</c:v>
                </c:pt>
                <c:pt idx="172">
                  <c:v>-0.11860873840431951</c:v>
                </c:pt>
                <c:pt idx="173">
                  <c:v>-0.18312485170550907</c:v>
                </c:pt>
                <c:pt idx="174">
                  <c:v>-0.2161600929132379</c:v>
                </c:pt>
                <c:pt idx="175">
                  <c:v>-0.22532476895540565</c:v>
                </c:pt>
                <c:pt idx="176">
                  <c:v>-0.18598684046547986</c:v>
                </c:pt>
                <c:pt idx="177">
                  <c:v>-0.1810661638695179</c:v>
                </c:pt>
                <c:pt idx="178">
                  <c:v>-0.18160840161812186</c:v>
                </c:pt>
                <c:pt idx="179">
                  <c:v>-0.25405541788504804</c:v>
                </c:pt>
                <c:pt idx="180">
                  <c:v>-0.22998614309904575</c:v>
                </c:pt>
                <c:pt idx="181">
                  <c:v>-0.20551032047807638</c:v>
                </c:pt>
                <c:pt idx="182">
                  <c:v>-0.2128650002963185</c:v>
                </c:pt>
                <c:pt idx="183">
                  <c:v>-0.20611453033600369</c:v>
                </c:pt>
                <c:pt idx="184">
                  <c:v>-0.20125632268828464</c:v>
                </c:pt>
                <c:pt idx="185">
                  <c:v>-0.1693003477224273</c:v>
                </c:pt>
                <c:pt idx="186">
                  <c:v>-0.14207098486826963</c:v>
                </c:pt>
                <c:pt idx="187">
                  <c:v>-0.13294765663861252</c:v>
                </c:pt>
                <c:pt idx="188">
                  <c:v>-0.17044780057847719</c:v>
                </c:pt>
                <c:pt idx="189">
                  <c:v>-0.22141461969878673</c:v>
                </c:pt>
                <c:pt idx="190">
                  <c:v>-0.26871120341204108</c:v>
                </c:pt>
                <c:pt idx="191">
                  <c:v>-0.36230785010933636</c:v>
                </c:pt>
                <c:pt idx="192">
                  <c:v>-0.39431472266751744</c:v>
                </c:pt>
                <c:pt idx="193">
                  <c:v>-0.37110185578463939</c:v>
                </c:pt>
                <c:pt idx="194">
                  <c:v>-0.35895990795870203</c:v>
                </c:pt>
                <c:pt idx="195">
                  <c:v>-0.31273205160329914</c:v>
                </c:pt>
                <c:pt idx="196">
                  <c:v>-0.21813242043072678</c:v>
                </c:pt>
                <c:pt idx="197">
                  <c:v>-0.14681580013408915</c:v>
                </c:pt>
                <c:pt idx="198">
                  <c:v>-7.8818369484335626E-2</c:v>
                </c:pt>
                <c:pt idx="199">
                  <c:v>-7.3722134705460712E-2</c:v>
                </c:pt>
                <c:pt idx="200">
                  <c:v>-3.0930903071235305E-2</c:v>
                </c:pt>
                <c:pt idx="201">
                  <c:v>-6.4326892609163661E-2</c:v>
                </c:pt>
                <c:pt idx="202">
                  <c:v>-8.0398782250475753E-2</c:v>
                </c:pt>
                <c:pt idx="203">
                  <c:v>-0.17648393749735125</c:v>
                </c:pt>
                <c:pt idx="204">
                  <c:v>-0.27069377772050929</c:v>
                </c:pt>
                <c:pt idx="205">
                  <c:v>-0.33711277638385539</c:v>
                </c:pt>
                <c:pt idx="206">
                  <c:v>-0.37356657578886332</c:v>
                </c:pt>
                <c:pt idx="207">
                  <c:v>-0.44335955751149014</c:v>
                </c:pt>
                <c:pt idx="208">
                  <c:v>-0.43556775746821308</c:v>
                </c:pt>
                <c:pt idx="209">
                  <c:v>-0.4404661651922479</c:v>
                </c:pt>
                <c:pt idx="210">
                  <c:v>-0.43227437939643754</c:v>
                </c:pt>
                <c:pt idx="211">
                  <c:v>-0.38979503457144782</c:v>
                </c:pt>
                <c:pt idx="212">
                  <c:v>-0.31695250151483267</c:v>
                </c:pt>
                <c:pt idx="213">
                  <c:v>-0.35134312856099448</c:v>
                </c:pt>
                <c:pt idx="214">
                  <c:v>-0.34631903532827812</c:v>
                </c:pt>
                <c:pt idx="215">
                  <c:v>-0.2969193000040149</c:v>
                </c:pt>
                <c:pt idx="216">
                  <c:v>-0.27394913285588229</c:v>
                </c:pt>
                <c:pt idx="217">
                  <c:v>-0.24259719011798153</c:v>
                </c:pt>
                <c:pt idx="218">
                  <c:v>-0.20963501195140388</c:v>
                </c:pt>
                <c:pt idx="219">
                  <c:v>-0.19286811661785208</c:v>
                </c:pt>
                <c:pt idx="220">
                  <c:v>-0.20966583269201333</c:v>
                </c:pt>
                <c:pt idx="221">
                  <c:v>-0.18679233471426837</c:v>
                </c:pt>
                <c:pt idx="222">
                  <c:v>-0.10089824244479284</c:v>
                </c:pt>
                <c:pt idx="223">
                  <c:v>-8.366343907431073E-4</c:v>
                </c:pt>
                <c:pt idx="224">
                  <c:v>0.12647394572005144</c:v>
                </c:pt>
                <c:pt idx="225">
                  <c:v>0.22497278800141851</c:v>
                </c:pt>
                <c:pt idx="226">
                  <c:v>0.31888205976755057</c:v>
                </c:pt>
                <c:pt idx="227">
                  <c:v>0.3857578792212375</c:v>
                </c:pt>
                <c:pt idx="228">
                  <c:v>0.41279757078301582</c:v>
                </c:pt>
                <c:pt idx="229">
                  <c:v>0.3978323719813055</c:v>
                </c:pt>
                <c:pt idx="230">
                  <c:v>0.35131166856535012</c:v>
                </c:pt>
                <c:pt idx="231">
                  <c:v>0.30579586712337248</c:v>
                </c:pt>
                <c:pt idx="232">
                  <c:v>0.1872941183512129</c:v>
                </c:pt>
                <c:pt idx="233">
                  <c:v>0.1577430489810312</c:v>
                </c:pt>
                <c:pt idx="234">
                  <c:v>0.11493469956997626</c:v>
                </c:pt>
                <c:pt idx="235">
                  <c:v>9.5155194205993165E-2</c:v>
                </c:pt>
                <c:pt idx="236">
                  <c:v>0.10594595788384675</c:v>
                </c:pt>
                <c:pt idx="237">
                  <c:v>9.8076187006779225E-2</c:v>
                </c:pt>
                <c:pt idx="238">
                  <c:v>0.17251133132188878</c:v>
                </c:pt>
                <c:pt idx="239">
                  <c:v>0.17170848595557953</c:v>
                </c:pt>
                <c:pt idx="240">
                  <c:v>0.13297130393987344</c:v>
                </c:pt>
                <c:pt idx="241">
                  <c:v>0.16280629583605299</c:v>
                </c:pt>
                <c:pt idx="242">
                  <c:v>0.14434120047597843</c:v>
                </c:pt>
                <c:pt idx="243">
                  <c:v>0.10581418374231411</c:v>
                </c:pt>
                <c:pt idx="244">
                  <c:v>8.8400053215812457E-2</c:v>
                </c:pt>
                <c:pt idx="245">
                  <c:v>6.7699697403530656E-2</c:v>
                </c:pt>
                <c:pt idx="246">
                  <c:v>8.6075573004794848E-2</c:v>
                </c:pt>
                <c:pt idx="247">
                  <c:v>8.1197301430873337E-2</c:v>
                </c:pt>
                <c:pt idx="248">
                  <c:v>7.138709247027808E-2</c:v>
                </c:pt>
                <c:pt idx="249">
                  <c:v>3.9691903298361808E-2</c:v>
                </c:pt>
                <c:pt idx="250">
                  <c:v>3.7332162307740169E-2</c:v>
                </c:pt>
                <c:pt idx="251">
                  <c:v>1.1916444406203985E-2</c:v>
                </c:pt>
                <c:pt idx="252">
                  <c:v>-5.5853101521390336E-3</c:v>
                </c:pt>
                <c:pt idx="253">
                  <c:v>-7.144155910507699E-2</c:v>
                </c:pt>
                <c:pt idx="254">
                  <c:v>-0.10208721130243392</c:v>
                </c:pt>
                <c:pt idx="255">
                  <c:v>-5.5217532856768226E-2</c:v>
                </c:pt>
                <c:pt idx="256">
                  <c:v>-5.8458553316093953E-2</c:v>
                </c:pt>
                <c:pt idx="257">
                  <c:v>-1.4947300669985508E-2</c:v>
                </c:pt>
                <c:pt idx="258">
                  <c:v>4.3495151050315872E-2</c:v>
                </c:pt>
                <c:pt idx="259">
                  <c:v>6.6013746827122022E-2</c:v>
                </c:pt>
                <c:pt idx="260">
                  <c:v>0.1125482928394641</c:v>
                </c:pt>
                <c:pt idx="261">
                  <c:v>0.17016327979459411</c:v>
                </c:pt>
                <c:pt idx="262">
                  <c:v>0.18345191525001564</c:v>
                </c:pt>
                <c:pt idx="263">
                  <c:v>0.14550673374101109</c:v>
                </c:pt>
                <c:pt idx="264">
                  <c:v>0.10199558704852824</c:v>
                </c:pt>
                <c:pt idx="265">
                  <c:v>9.7887563686925305E-2</c:v>
                </c:pt>
                <c:pt idx="266">
                  <c:v>0.21802445403384968</c:v>
                </c:pt>
                <c:pt idx="267">
                  <c:v>0.18843183631886212</c:v>
                </c:pt>
                <c:pt idx="268">
                  <c:v>0.1924724577015407</c:v>
                </c:pt>
                <c:pt idx="269">
                  <c:v>0.26480648991579836</c:v>
                </c:pt>
                <c:pt idx="270">
                  <c:v>0.26131647369207911</c:v>
                </c:pt>
                <c:pt idx="271">
                  <c:v>0.23796854425812264</c:v>
                </c:pt>
                <c:pt idx="272">
                  <c:v>0.16775590302908591</c:v>
                </c:pt>
                <c:pt idx="273">
                  <c:v>0.14358164151878733</c:v>
                </c:pt>
                <c:pt idx="274">
                  <c:v>0.13580163823268782</c:v>
                </c:pt>
                <c:pt idx="275">
                  <c:v>0.15371179893291675</c:v>
                </c:pt>
                <c:pt idx="276">
                  <c:v>0.20111289889514916</c:v>
                </c:pt>
                <c:pt idx="277">
                  <c:v>0.41338846062153783</c:v>
                </c:pt>
                <c:pt idx="278">
                  <c:v>0.59312784139024555</c:v>
                </c:pt>
                <c:pt idx="279">
                  <c:v>0.72127842817048138</c:v>
                </c:pt>
                <c:pt idx="280">
                  <c:v>0.71811127074346581</c:v>
                </c:pt>
                <c:pt idx="281">
                  <c:v>0.68285830976790463</c:v>
                </c:pt>
                <c:pt idx="282">
                  <c:v>0.68139307259135329</c:v>
                </c:pt>
                <c:pt idx="283">
                  <c:v>0.63262055661640915</c:v>
                </c:pt>
                <c:pt idx="284">
                  <c:v>0.64082728996624505</c:v>
                </c:pt>
                <c:pt idx="285">
                  <c:v>0.55075416327573978</c:v>
                </c:pt>
                <c:pt idx="286">
                  <c:v>0.50848494824224311</c:v>
                </c:pt>
                <c:pt idx="287">
                  <c:v>0.39576509549524541</c:v>
                </c:pt>
                <c:pt idx="288">
                  <c:v>0.29239650462056588</c:v>
                </c:pt>
                <c:pt idx="289">
                  <c:v>0.21687219431656501</c:v>
                </c:pt>
                <c:pt idx="290">
                  <c:v>0.21140455432506533</c:v>
                </c:pt>
                <c:pt idx="291">
                  <c:v>4.2882636274095942E-2</c:v>
                </c:pt>
                <c:pt idx="292">
                  <c:v>-9.0190404255364953E-2</c:v>
                </c:pt>
                <c:pt idx="293">
                  <c:v>-0.16259264899033377</c:v>
                </c:pt>
                <c:pt idx="294">
                  <c:v>-0.1551491658133104</c:v>
                </c:pt>
                <c:pt idx="295">
                  <c:v>-0.15832329123221389</c:v>
                </c:pt>
                <c:pt idx="296">
                  <c:v>-0.19506667975769543</c:v>
                </c:pt>
                <c:pt idx="297">
                  <c:v>-0.29451407452469969</c:v>
                </c:pt>
                <c:pt idx="298">
                  <c:v>-0.37760089393500573</c:v>
                </c:pt>
                <c:pt idx="299">
                  <c:v>-0.45415151741719528</c:v>
                </c:pt>
                <c:pt idx="300">
                  <c:v>-0.43093628394727324</c:v>
                </c:pt>
                <c:pt idx="301">
                  <c:v>-0.45391456255491502</c:v>
                </c:pt>
                <c:pt idx="302">
                  <c:v>-0.46276361233244723</c:v>
                </c:pt>
                <c:pt idx="303">
                  <c:v>-0.42741475969291587</c:v>
                </c:pt>
                <c:pt idx="304">
                  <c:v>-0.45905436445811498</c:v>
                </c:pt>
                <c:pt idx="305">
                  <c:v>-0.44573684218568399</c:v>
                </c:pt>
                <c:pt idx="306">
                  <c:v>-0.43072668455082741</c:v>
                </c:pt>
                <c:pt idx="307">
                  <c:v>-0.32830691373392895</c:v>
                </c:pt>
                <c:pt idx="308">
                  <c:v>-0.20699188181160089</c:v>
                </c:pt>
                <c:pt idx="309">
                  <c:v>-0.14928267791983452</c:v>
                </c:pt>
                <c:pt idx="310">
                  <c:v>-3.0740725811522762E-2</c:v>
                </c:pt>
                <c:pt idx="311">
                  <c:v>5.596824985658766E-2</c:v>
                </c:pt>
                <c:pt idx="312">
                  <c:v>6.7635987436310607E-2</c:v>
                </c:pt>
                <c:pt idx="313">
                  <c:v>0.18402774911616504</c:v>
                </c:pt>
                <c:pt idx="314">
                  <c:v>3.4067529849639344E-2</c:v>
                </c:pt>
                <c:pt idx="315">
                  <c:v>-0.16720158342708147</c:v>
                </c:pt>
                <c:pt idx="316">
                  <c:v>-0.2869517329750424</c:v>
                </c:pt>
                <c:pt idx="317">
                  <c:v>-0.25422571113159748</c:v>
                </c:pt>
                <c:pt idx="318">
                  <c:v>-0.17301541728502445</c:v>
                </c:pt>
                <c:pt idx="319">
                  <c:v>-7.4213434641475007E-2</c:v>
                </c:pt>
                <c:pt idx="320">
                  <c:v>5.2940644305240925E-2</c:v>
                </c:pt>
                <c:pt idx="321">
                  <c:v>8.8332539829243606E-2</c:v>
                </c:pt>
                <c:pt idx="322">
                  <c:v>9.0318289306246191E-2</c:v>
                </c:pt>
                <c:pt idx="323">
                  <c:v>0.16678225943234659</c:v>
                </c:pt>
                <c:pt idx="324">
                  <c:v>0.18662185829044331</c:v>
                </c:pt>
                <c:pt idx="325">
                  <c:v>0.25629704750588722</c:v>
                </c:pt>
                <c:pt idx="326">
                  <c:v>0.2425670195106292</c:v>
                </c:pt>
                <c:pt idx="327">
                  <c:v>0.16523992915965546</c:v>
                </c:pt>
                <c:pt idx="328">
                  <c:v>6.2577433682976302E-2</c:v>
                </c:pt>
                <c:pt idx="329">
                  <c:v>-1.9455036602334053E-2</c:v>
                </c:pt>
                <c:pt idx="330">
                  <c:v>-4.0816375763344404E-2</c:v>
                </c:pt>
                <c:pt idx="331">
                  <c:v>-4.5911758831689409E-2</c:v>
                </c:pt>
                <c:pt idx="332">
                  <c:v>-0.13361399433335641</c:v>
                </c:pt>
                <c:pt idx="333">
                  <c:v>-0.16480595976844148</c:v>
                </c:pt>
                <c:pt idx="334">
                  <c:v>-0.17835109800561033</c:v>
                </c:pt>
                <c:pt idx="335">
                  <c:v>-0.18163351998778443</c:v>
                </c:pt>
                <c:pt idx="336">
                  <c:v>-0.13577776260651753</c:v>
                </c:pt>
                <c:pt idx="337">
                  <c:v>-0.18310925384569859</c:v>
                </c:pt>
                <c:pt idx="338">
                  <c:v>-0.24893592415786431</c:v>
                </c:pt>
                <c:pt idx="339">
                  <c:v>-0.34403490194292913</c:v>
                </c:pt>
                <c:pt idx="340">
                  <c:v>-0.42490840545801467</c:v>
                </c:pt>
                <c:pt idx="341">
                  <c:v>-0.44251808125674374</c:v>
                </c:pt>
                <c:pt idx="342">
                  <c:v>-0.27495375535378946</c:v>
                </c:pt>
                <c:pt idx="343">
                  <c:v>-0.1309476636900038</c:v>
                </c:pt>
                <c:pt idx="344">
                  <c:v>-3.8314123274900101E-2</c:v>
                </c:pt>
                <c:pt idx="345">
                  <c:v>6.5024167991063328E-3</c:v>
                </c:pt>
                <c:pt idx="346">
                  <c:v>4.4511075545925205E-2</c:v>
                </c:pt>
                <c:pt idx="347">
                  <c:v>2.0637392203399108E-2</c:v>
                </c:pt>
                <c:pt idx="348">
                  <c:v>4.4697186353984182E-2</c:v>
                </c:pt>
                <c:pt idx="349">
                  <c:v>5.7870675909224331E-2</c:v>
                </c:pt>
                <c:pt idx="350">
                  <c:v>2.2555060736484736E-2</c:v>
                </c:pt>
                <c:pt idx="351">
                  <c:v>2.0550443371250462E-2</c:v>
                </c:pt>
                <c:pt idx="352">
                  <c:v>5.6713530058642554E-2</c:v>
                </c:pt>
                <c:pt idx="353">
                  <c:v>6.9463862536598253E-2</c:v>
                </c:pt>
                <c:pt idx="354">
                  <c:v>1.9487747340182299E-2</c:v>
                </c:pt>
                <c:pt idx="355">
                  <c:v>-2.2012901467587109E-4</c:v>
                </c:pt>
                <c:pt idx="356">
                  <c:v>-4.2680673251934517E-2</c:v>
                </c:pt>
                <c:pt idx="357">
                  <c:v>-3.9643121710171814E-2</c:v>
                </c:pt>
                <c:pt idx="358">
                  <c:v>-9.4334772328247551E-3</c:v>
                </c:pt>
                <c:pt idx="359">
                  <c:v>4.6455796216691131E-2</c:v>
                </c:pt>
                <c:pt idx="360">
                  <c:v>6.0521682502201524E-2</c:v>
                </c:pt>
                <c:pt idx="361">
                  <c:v>7.6216130526338716E-2</c:v>
                </c:pt>
                <c:pt idx="362">
                  <c:v>3.2283359135405754E-3</c:v>
                </c:pt>
                <c:pt idx="363">
                  <c:v>-7.5576269605181767E-2</c:v>
                </c:pt>
                <c:pt idx="364">
                  <c:v>-0.179250483790795</c:v>
                </c:pt>
                <c:pt idx="365">
                  <c:v>-0.26139850988142777</c:v>
                </c:pt>
                <c:pt idx="366">
                  <c:v>-0.3225995164026445</c:v>
                </c:pt>
                <c:pt idx="367">
                  <c:v>-0.28567937637576296</c:v>
                </c:pt>
                <c:pt idx="368">
                  <c:v>-0.21598469171871842</c:v>
                </c:pt>
                <c:pt idx="369">
                  <c:v>-0.19591734217756451</c:v>
                </c:pt>
                <c:pt idx="370">
                  <c:v>-0.1807574544122178</c:v>
                </c:pt>
                <c:pt idx="371">
                  <c:v>-0.10396217508572492</c:v>
                </c:pt>
                <c:pt idx="372">
                  <c:v>-2.0403583098480893E-2</c:v>
                </c:pt>
                <c:pt idx="373">
                  <c:v>9.496917857329995E-2</c:v>
                </c:pt>
                <c:pt idx="374">
                  <c:v>0.1168042854672357</c:v>
                </c:pt>
                <c:pt idx="375">
                  <c:v>0.15518214607529612</c:v>
                </c:pt>
                <c:pt idx="376">
                  <c:v>0.15178538407666792</c:v>
                </c:pt>
                <c:pt idx="377">
                  <c:v>9.45956167790373E-2</c:v>
                </c:pt>
                <c:pt idx="378">
                  <c:v>7.1099920998383137E-3</c:v>
                </c:pt>
                <c:pt idx="379">
                  <c:v>-2.7786006150668785E-2</c:v>
                </c:pt>
                <c:pt idx="380">
                  <c:v>-3.9952565691651315E-2</c:v>
                </c:pt>
                <c:pt idx="381">
                  <c:v>-6.9052734166531599E-2</c:v>
                </c:pt>
                <c:pt idx="382">
                  <c:v>-8.8576574089232696E-2</c:v>
                </c:pt>
                <c:pt idx="383">
                  <c:v>-9.9596447643490515E-2</c:v>
                </c:pt>
                <c:pt idx="384">
                  <c:v>-1.449861341262576E-2</c:v>
                </c:pt>
                <c:pt idx="385">
                  <c:v>-5.0483733310432988E-3</c:v>
                </c:pt>
                <c:pt idx="386">
                  <c:v>1.7768486603318645E-2</c:v>
                </c:pt>
                <c:pt idx="387">
                  <c:v>7.5215612258282549E-3</c:v>
                </c:pt>
                <c:pt idx="388">
                  <c:v>-2.867267637573212E-2</c:v>
                </c:pt>
                <c:pt idx="389">
                  <c:v>-5.1087701944025454E-2</c:v>
                </c:pt>
                <c:pt idx="390">
                  <c:v>-5.5278416175177369E-2</c:v>
                </c:pt>
                <c:pt idx="391">
                  <c:v>-0.12109112365716895</c:v>
                </c:pt>
                <c:pt idx="392">
                  <c:v>-7.0553437402954833E-2</c:v>
                </c:pt>
                <c:pt idx="393">
                  <c:v>-7.2107956434164844E-2</c:v>
                </c:pt>
                <c:pt idx="394">
                  <c:v>-0.12074508414763024</c:v>
                </c:pt>
                <c:pt idx="395">
                  <c:v>-7.9281512980334146E-2</c:v>
                </c:pt>
                <c:pt idx="396">
                  <c:v>-3.8858827127356554E-2</c:v>
                </c:pt>
                <c:pt idx="397">
                  <c:v>-1.7571815226463117E-3</c:v>
                </c:pt>
                <c:pt idx="398">
                  <c:v>5.493451140819372E-2</c:v>
                </c:pt>
                <c:pt idx="399">
                  <c:v>0.15016391275127206</c:v>
                </c:pt>
                <c:pt idx="400">
                  <c:v>0.19975782616208243</c:v>
                </c:pt>
                <c:pt idx="401">
                  <c:v>0.24960204836837485</c:v>
                </c:pt>
                <c:pt idx="402">
                  <c:v>0.26770340051118735</c:v>
                </c:pt>
                <c:pt idx="403">
                  <c:v>0.25094817426709676</c:v>
                </c:pt>
                <c:pt idx="404">
                  <c:v>0.17053223685025132</c:v>
                </c:pt>
                <c:pt idx="405">
                  <c:v>0.13572846752736201</c:v>
                </c:pt>
                <c:pt idx="406">
                  <c:v>5.7000149948593308E-2</c:v>
                </c:pt>
                <c:pt idx="407">
                  <c:v>6.8971548344746336E-2</c:v>
                </c:pt>
                <c:pt idx="408">
                  <c:v>0.1095654155309926</c:v>
                </c:pt>
                <c:pt idx="409">
                  <c:v>0.1267927973758432</c:v>
                </c:pt>
                <c:pt idx="410">
                  <c:v>9.6911789366118883E-2</c:v>
                </c:pt>
                <c:pt idx="411">
                  <c:v>-3.9081492764344375E-3</c:v>
                </c:pt>
                <c:pt idx="412">
                  <c:v>-8.007951626306678E-2</c:v>
                </c:pt>
                <c:pt idx="413">
                  <c:v>-0.11748079057202665</c:v>
                </c:pt>
                <c:pt idx="414">
                  <c:v>-0.16472939118061347</c:v>
                </c:pt>
                <c:pt idx="415">
                  <c:v>-0.14509837361763323</c:v>
                </c:pt>
                <c:pt idx="416">
                  <c:v>-0.11998478063161819</c:v>
                </c:pt>
                <c:pt idx="417">
                  <c:v>-0.10141231497713618</c:v>
                </c:pt>
                <c:pt idx="418">
                  <c:v>-0.13043999612893661</c:v>
                </c:pt>
                <c:pt idx="419">
                  <c:v>-0.15876560026443509</c:v>
                </c:pt>
                <c:pt idx="420">
                  <c:v>-0.20012066155125352</c:v>
                </c:pt>
                <c:pt idx="421">
                  <c:v>-0.18575336077645987</c:v>
                </c:pt>
                <c:pt idx="422">
                  <c:v>-0.16678445314147472</c:v>
                </c:pt>
                <c:pt idx="423">
                  <c:v>-0.15575641966244147</c:v>
                </c:pt>
                <c:pt idx="424">
                  <c:v>-0.17609392178051414</c:v>
                </c:pt>
                <c:pt idx="425">
                  <c:v>-0.2267486109497846</c:v>
                </c:pt>
                <c:pt idx="426">
                  <c:v>-0.24026465619252857</c:v>
                </c:pt>
                <c:pt idx="427">
                  <c:v>-0.18010717259976938</c:v>
                </c:pt>
                <c:pt idx="428">
                  <c:v>-0.16458397851191131</c:v>
                </c:pt>
                <c:pt idx="429">
                  <c:v>-0.14237560858214038</c:v>
                </c:pt>
                <c:pt idx="430">
                  <c:v>-0.12894215271111142</c:v>
                </c:pt>
                <c:pt idx="431">
                  <c:v>-7.5470243731188935E-2</c:v>
                </c:pt>
                <c:pt idx="432">
                  <c:v>-4.8035506393125482E-2</c:v>
                </c:pt>
                <c:pt idx="433">
                  <c:v>-5.1650764847413377E-2</c:v>
                </c:pt>
                <c:pt idx="434">
                  <c:v>-6.4209492552064429E-2</c:v>
                </c:pt>
                <c:pt idx="435">
                  <c:v>-3.8173106442694005E-2</c:v>
                </c:pt>
                <c:pt idx="436">
                  <c:v>5.032493398395399E-3</c:v>
                </c:pt>
                <c:pt idx="437">
                  <c:v>6.8210224262787444E-2</c:v>
                </c:pt>
                <c:pt idx="438">
                  <c:v>6.76866172292101E-2</c:v>
                </c:pt>
                <c:pt idx="439">
                  <c:v>0.10560514905056095</c:v>
                </c:pt>
                <c:pt idx="440">
                  <c:v>9.5190590966888089E-2</c:v>
                </c:pt>
                <c:pt idx="441">
                  <c:v>0.13394468136428483</c:v>
                </c:pt>
                <c:pt idx="442">
                  <c:v>0.11438786480279173</c:v>
                </c:pt>
                <c:pt idx="443">
                  <c:v>0.11775963969981684</c:v>
                </c:pt>
                <c:pt idx="444">
                  <c:v>0.16186087827491402</c:v>
                </c:pt>
                <c:pt idx="445">
                  <c:v>0.17073570806591576</c:v>
                </c:pt>
                <c:pt idx="446">
                  <c:v>0.21730371344917504</c:v>
                </c:pt>
                <c:pt idx="447">
                  <c:v>0.21180848339222857</c:v>
                </c:pt>
                <c:pt idx="448">
                  <c:v>0.23347494464437346</c:v>
                </c:pt>
                <c:pt idx="449">
                  <c:v>0.29219590517071969</c:v>
                </c:pt>
                <c:pt idx="450">
                  <c:v>0.31615267037655426</c:v>
                </c:pt>
                <c:pt idx="451">
                  <c:v>0.49375658775732151</c:v>
                </c:pt>
                <c:pt idx="452">
                  <c:v>0.5536495539371602</c:v>
                </c:pt>
                <c:pt idx="453">
                  <c:v>0.50600588340740615</c:v>
                </c:pt>
                <c:pt idx="454">
                  <c:v>0.43314790733609976</c:v>
                </c:pt>
                <c:pt idx="455">
                  <c:v>0.3843324418479882</c:v>
                </c:pt>
                <c:pt idx="456">
                  <c:v>0.33631495624534868</c:v>
                </c:pt>
                <c:pt idx="457">
                  <c:v>0.16865651720939012</c:v>
                </c:pt>
                <c:pt idx="458">
                  <c:v>9.0129076205214043E-2</c:v>
                </c:pt>
                <c:pt idx="459">
                  <c:v>2.6067792524428146E-2</c:v>
                </c:pt>
                <c:pt idx="460">
                  <c:v>-7.9872613672445025E-2</c:v>
                </c:pt>
                <c:pt idx="461">
                  <c:v>-0.10294181015019233</c:v>
                </c:pt>
                <c:pt idx="462">
                  <c:v>-0.12623182485721762</c:v>
                </c:pt>
                <c:pt idx="463">
                  <c:v>-0.10347927056123168</c:v>
                </c:pt>
                <c:pt idx="464">
                  <c:v>7.1636016779553779E-3</c:v>
                </c:pt>
                <c:pt idx="465">
                  <c:v>7.0075163993950862E-2</c:v>
                </c:pt>
                <c:pt idx="466">
                  <c:v>0.1710878059084755</c:v>
                </c:pt>
                <c:pt idx="467">
                  <c:v>0.2143532531099861</c:v>
                </c:pt>
                <c:pt idx="468">
                  <c:v>0.19696927105831796</c:v>
                </c:pt>
                <c:pt idx="469">
                  <c:v>0.17585712780210916</c:v>
                </c:pt>
                <c:pt idx="470">
                  <c:v>0.11673809642247057</c:v>
                </c:pt>
                <c:pt idx="471">
                  <c:v>0.10172414855590317</c:v>
                </c:pt>
                <c:pt idx="472">
                  <c:v>7.3428137141707261E-2</c:v>
                </c:pt>
                <c:pt idx="473">
                  <c:v>5.1524861111616027E-2</c:v>
                </c:pt>
                <c:pt idx="474">
                  <c:v>0.13932016677547354</c:v>
                </c:pt>
                <c:pt idx="475">
                  <c:v>0.15693541037387349</c:v>
                </c:pt>
                <c:pt idx="476">
                  <c:v>0.15353275521186815</c:v>
                </c:pt>
                <c:pt idx="477">
                  <c:v>0.1527393448462232</c:v>
                </c:pt>
                <c:pt idx="478">
                  <c:v>0.15136029667444162</c:v>
                </c:pt>
                <c:pt idx="479">
                  <c:v>5.9358587339319313E-2</c:v>
                </c:pt>
                <c:pt idx="480">
                  <c:v>-9.1776001978802424E-2</c:v>
                </c:pt>
                <c:pt idx="481">
                  <c:v>-0.18122095127192939</c:v>
                </c:pt>
                <c:pt idx="482">
                  <c:v>-0.25880696998524766</c:v>
                </c:pt>
                <c:pt idx="483">
                  <c:v>-0.33004656975877267</c:v>
                </c:pt>
                <c:pt idx="484">
                  <c:v>-0.34814925198700863</c:v>
                </c:pt>
                <c:pt idx="485">
                  <c:v>-0.35736951081195112</c:v>
                </c:pt>
                <c:pt idx="486">
                  <c:v>-0.34185563425300097</c:v>
                </c:pt>
                <c:pt idx="487">
                  <c:v>-0.38873053557674098</c:v>
                </c:pt>
                <c:pt idx="488">
                  <c:v>-0.31118392271635009</c:v>
                </c:pt>
                <c:pt idx="489">
                  <c:v>-0.2202731429555434</c:v>
                </c:pt>
                <c:pt idx="490">
                  <c:v>-0.19225815554555817</c:v>
                </c:pt>
                <c:pt idx="491">
                  <c:v>-0.14725953155748264</c:v>
                </c:pt>
                <c:pt idx="492">
                  <c:v>-0.13256793608493506</c:v>
                </c:pt>
                <c:pt idx="493">
                  <c:v>-0.13670203087236482</c:v>
                </c:pt>
                <c:pt idx="494">
                  <c:v>-0.12338946722220005</c:v>
                </c:pt>
                <c:pt idx="495">
                  <c:v>-0.13082896836153002</c:v>
                </c:pt>
                <c:pt idx="496">
                  <c:v>-0.11357304003656966</c:v>
                </c:pt>
                <c:pt idx="497">
                  <c:v>-0.11211670193101739</c:v>
                </c:pt>
                <c:pt idx="498">
                  <c:v>-8.6560686070085574E-2</c:v>
                </c:pt>
                <c:pt idx="499">
                  <c:v>-7.1292570598915694E-2</c:v>
                </c:pt>
                <c:pt idx="500">
                  <c:v>-6.7577837902480814E-2</c:v>
                </c:pt>
                <c:pt idx="501">
                  <c:v>-0.11135037877226429</c:v>
                </c:pt>
                <c:pt idx="502">
                  <c:v>-0.2072274926606662</c:v>
                </c:pt>
                <c:pt idx="503">
                  <c:v>-0.26134131644772834</c:v>
                </c:pt>
                <c:pt idx="504">
                  <c:v>-0.29860986606630746</c:v>
                </c:pt>
                <c:pt idx="505">
                  <c:v>-0.18675422900994931</c:v>
                </c:pt>
                <c:pt idx="506">
                  <c:v>-3.0902635458278371E-2</c:v>
                </c:pt>
                <c:pt idx="507">
                  <c:v>7.1034893181658842E-2</c:v>
                </c:pt>
                <c:pt idx="508">
                  <c:v>0.18153774170167303</c:v>
                </c:pt>
                <c:pt idx="509">
                  <c:v>0.25674112517178715</c:v>
                </c:pt>
                <c:pt idx="510">
                  <c:v>0.2312635471975466</c:v>
                </c:pt>
                <c:pt idx="511">
                  <c:v>0.2022018241498163</c:v>
                </c:pt>
                <c:pt idx="512">
                  <c:v>0.25811007924624418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FD9-4A54-B092-251A3BCC8C3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axId val="1724644624"/>
        <c:axId val="1724646064"/>
      </c:barChart>
      <c:lineChart>
        <c:grouping val="standard"/>
        <c:varyColors val="0"/>
        <c:ser>
          <c:idx val="0"/>
          <c:order val="0"/>
          <c:tx>
            <c:strRef>
              <c:f>Data!$Y$1</c:f>
              <c:strCache>
                <c:ptCount val="1"/>
                <c:pt idx="0">
                  <c:v>MACD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Data!$B$2:$B$514</c:f>
              <c:numCache>
                <c:formatCode>m/d/yyyy</c:formatCode>
                <c:ptCount val="513"/>
                <c:pt idx="0">
                  <c:v>45293</c:v>
                </c:pt>
                <c:pt idx="1">
                  <c:v>45294</c:v>
                </c:pt>
                <c:pt idx="2">
                  <c:v>45295</c:v>
                </c:pt>
                <c:pt idx="3">
                  <c:v>45296</c:v>
                </c:pt>
                <c:pt idx="4">
                  <c:v>45299</c:v>
                </c:pt>
                <c:pt idx="5">
                  <c:v>45300</c:v>
                </c:pt>
                <c:pt idx="6">
                  <c:v>45301</c:v>
                </c:pt>
                <c:pt idx="7">
                  <c:v>45302</c:v>
                </c:pt>
                <c:pt idx="8">
                  <c:v>45303</c:v>
                </c:pt>
                <c:pt idx="9">
                  <c:v>45307</c:v>
                </c:pt>
                <c:pt idx="10">
                  <c:v>45308</c:v>
                </c:pt>
                <c:pt idx="11">
                  <c:v>45309</c:v>
                </c:pt>
                <c:pt idx="12">
                  <c:v>45310</c:v>
                </c:pt>
                <c:pt idx="13">
                  <c:v>45313</c:v>
                </c:pt>
                <c:pt idx="14">
                  <c:v>45314</c:v>
                </c:pt>
                <c:pt idx="15">
                  <c:v>45315</c:v>
                </c:pt>
                <c:pt idx="16">
                  <c:v>45316</c:v>
                </c:pt>
                <c:pt idx="17">
                  <c:v>45317</c:v>
                </c:pt>
                <c:pt idx="18">
                  <c:v>45320</c:v>
                </c:pt>
                <c:pt idx="19">
                  <c:v>45321</c:v>
                </c:pt>
                <c:pt idx="20">
                  <c:v>45322</c:v>
                </c:pt>
                <c:pt idx="21">
                  <c:v>45323</c:v>
                </c:pt>
                <c:pt idx="22">
                  <c:v>45324</c:v>
                </c:pt>
                <c:pt idx="23">
                  <c:v>45327</c:v>
                </c:pt>
                <c:pt idx="24">
                  <c:v>45328</c:v>
                </c:pt>
                <c:pt idx="25">
                  <c:v>45329</c:v>
                </c:pt>
                <c:pt idx="26">
                  <c:v>45330</c:v>
                </c:pt>
                <c:pt idx="27">
                  <c:v>45331</c:v>
                </c:pt>
                <c:pt idx="28">
                  <c:v>45334</c:v>
                </c:pt>
                <c:pt idx="29">
                  <c:v>45335</c:v>
                </c:pt>
                <c:pt idx="30">
                  <c:v>45336</c:v>
                </c:pt>
                <c:pt idx="31">
                  <c:v>45337</c:v>
                </c:pt>
                <c:pt idx="32">
                  <c:v>45338</c:v>
                </c:pt>
                <c:pt idx="33">
                  <c:v>45342</c:v>
                </c:pt>
                <c:pt idx="34">
                  <c:v>45343</c:v>
                </c:pt>
                <c:pt idx="35">
                  <c:v>45344</c:v>
                </c:pt>
                <c:pt idx="36">
                  <c:v>45345</c:v>
                </c:pt>
                <c:pt idx="37">
                  <c:v>45348</c:v>
                </c:pt>
                <c:pt idx="38">
                  <c:v>45349</c:v>
                </c:pt>
                <c:pt idx="39">
                  <c:v>45350</c:v>
                </c:pt>
                <c:pt idx="40">
                  <c:v>45351</c:v>
                </c:pt>
                <c:pt idx="41">
                  <c:v>45352</c:v>
                </c:pt>
                <c:pt idx="42">
                  <c:v>45355</c:v>
                </c:pt>
                <c:pt idx="43">
                  <c:v>45356</c:v>
                </c:pt>
                <c:pt idx="44">
                  <c:v>45357</c:v>
                </c:pt>
                <c:pt idx="45">
                  <c:v>45358</c:v>
                </c:pt>
                <c:pt idx="46">
                  <c:v>45359</c:v>
                </c:pt>
                <c:pt idx="47">
                  <c:v>45362</c:v>
                </c:pt>
                <c:pt idx="48">
                  <c:v>45363</c:v>
                </c:pt>
                <c:pt idx="49">
                  <c:v>45364</c:v>
                </c:pt>
                <c:pt idx="50">
                  <c:v>45365</c:v>
                </c:pt>
                <c:pt idx="51">
                  <c:v>45366</c:v>
                </c:pt>
                <c:pt idx="52">
                  <c:v>45369</c:v>
                </c:pt>
                <c:pt idx="53">
                  <c:v>45370</c:v>
                </c:pt>
                <c:pt idx="54">
                  <c:v>45371</c:v>
                </c:pt>
                <c:pt idx="55">
                  <c:v>45372</c:v>
                </c:pt>
                <c:pt idx="56">
                  <c:v>45373</c:v>
                </c:pt>
                <c:pt idx="57">
                  <c:v>45376</c:v>
                </c:pt>
                <c:pt idx="58">
                  <c:v>45377</c:v>
                </c:pt>
                <c:pt idx="59">
                  <c:v>45378</c:v>
                </c:pt>
                <c:pt idx="60">
                  <c:v>45379</c:v>
                </c:pt>
                <c:pt idx="61">
                  <c:v>45383</c:v>
                </c:pt>
                <c:pt idx="62">
                  <c:v>45384</c:v>
                </c:pt>
                <c:pt idx="63">
                  <c:v>45385</c:v>
                </c:pt>
                <c:pt idx="64">
                  <c:v>45386</c:v>
                </c:pt>
                <c:pt idx="65">
                  <c:v>45387</c:v>
                </c:pt>
                <c:pt idx="66">
                  <c:v>45390</c:v>
                </c:pt>
                <c:pt idx="67">
                  <c:v>45391</c:v>
                </c:pt>
                <c:pt idx="68">
                  <c:v>45392</c:v>
                </c:pt>
                <c:pt idx="69">
                  <c:v>45393</c:v>
                </c:pt>
                <c:pt idx="70">
                  <c:v>45394</c:v>
                </c:pt>
                <c:pt idx="71">
                  <c:v>45397</c:v>
                </c:pt>
                <c:pt idx="72">
                  <c:v>45398</c:v>
                </c:pt>
                <c:pt idx="73">
                  <c:v>45399</c:v>
                </c:pt>
                <c:pt idx="74">
                  <c:v>45400</c:v>
                </c:pt>
                <c:pt idx="75">
                  <c:v>45401</c:v>
                </c:pt>
                <c:pt idx="76">
                  <c:v>45404</c:v>
                </c:pt>
                <c:pt idx="77">
                  <c:v>45405</c:v>
                </c:pt>
                <c:pt idx="78">
                  <c:v>45406</c:v>
                </c:pt>
                <c:pt idx="79">
                  <c:v>45407</c:v>
                </c:pt>
                <c:pt idx="80">
                  <c:v>45408</c:v>
                </c:pt>
                <c:pt idx="81">
                  <c:v>45411</c:v>
                </c:pt>
                <c:pt idx="82">
                  <c:v>45412</c:v>
                </c:pt>
                <c:pt idx="83">
                  <c:v>45413</c:v>
                </c:pt>
                <c:pt idx="84">
                  <c:v>45414</c:v>
                </c:pt>
                <c:pt idx="85">
                  <c:v>45415</c:v>
                </c:pt>
                <c:pt idx="86">
                  <c:v>45418</c:v>
                </c:pt>
                <c:pt idx="87">
                  <c:v>45419</c:v>
                </c:pt>
                <c:pt idx="88">
                  <c:v>45420</c:v>
                </c:pt>
                <c:pt idx="89">
                  <c:v>45421</c:v>
                </c:pt>
                <c:pt idx="90">
                  <c:v>45422</c:v>
                </c:pt>
                <c:pt idx="91">
                  <c:v>45425</c:v>
                </c:pt>
                <c:pt idx="92">
                  <c:v>45426</c:v>
                </c:pt>
                <c:pt idx="93">
                  <c:v>45427</c:v>
                </c:pt>
                <c:pt idx="94">
                  <c:v>45428</c:v>
                </c:pt>
                <c:pt idx="95">
                  <c:v>45429</c:v>
                </c:pt>
                <c:pt idx="96">
                  <c:v>45432</c:v>
                </c:pt>
                <c:pt idx="97">
                  <c:v>45433</c:v>
                </c:pt>
                <c:pt idx="98">
                  <c:v>45434</c:v>
                </c:pt>
                <c:pt idx="99">
                  <c:v>45435</c:v>
                </c:pt>
                <c:pt idx="100">
                  <c:v>45436</c:v>
                </c:pt>
                <c:pt idx="101">
                  <c:v>45440</c:v>
                </c:pt>
                <c:pt idx="102">
                  <c:v>45441</c:v>
                </c:pt>
                <c:pt idx="103">
                  <c:v>45442</c:v>
                </c:pt>
                <c:pt idx="104">
                  <c:v>45443</c:v>
                </c:pt>
                <c:pt idx="105">
                  <c:v>45446</c:v>
                </c:pt>
                <c:pt idx="106">
                  <c:v>45447</c:v>
                </c:pt>
                <c:pt idx="107">
                  <c:v>45448</c:v>
                </c:pt>
                <c:pt idx="108">
                  <c:v>45449</c:v>
                </c:pt>
                <c:pt idx="109">
                  <c:v>45450</c:v>
                </c:pt>
                <c:pt idx="110">
                  <c:v>45453</c:v>
                </c:pt>
                <c:pt idx="111">
                  <c:v>45454</c:v>
                </c:pt>
                <c:pt idx="112">
                  <c:v>45455</c:v>
                </c:pt>
                <c:pt idx="113">
                  <c:v>45456</c:v>
                </c:pt>
                <c:pt idx="114">
                  <c:v>45457</c:v>
                </c:pt>
                <c:pt idx="115">
                  <c:v>45460</c:v>
                </c:pt>
                <c:pt idx="116">
                  <c:v>45461</c:v>
                </c:pt>
                <c:pt idx="117">
                  <c:v>45463</c:v>
                </c:pt>
                <c:pt idx="118">
                  <c:v>45464</c:v>
                </c:pt>
                <c:pt idx="119">
                  <c:v>45467</c:v>
                </c:pt>
                <c:pt idx="120">
                  <c:v>45468</c:v>
                </c:pt>
                <c:pt idx="121">
                  <c:v>45469</c:v>
                </c:pt>
                <c:pt idx="122">
                  <c:v>45470</c:v>
                </c:pt>
                <c:pt idx="123">
                  <c:v>45471</c:v>
                </c:pt>
                <c:pt idx="124">
                  <c:v>45474</c:v>
                </c:pt>
                <c:pt idx="125">
                  <c:v>45475</c:v>
                </c:pt>
                <c:pt idx="126">
                  <c:v>45476</c:v>
                </c:pt>
                <c:pt idx="127">
                  <c:v>45478</c:v>
                </c:pt>
                <c:pt idx="128">
                  <c:v>45481</c:v>
                </c:pt>
                <c:pt idx="129">
                  <c:v>45482</c:v>
                </c:pt>
                <c:pt idx="130">
                  <c:v>45483</c:v>
                </c:pt>
                <c:pt idx="131">
                  <c:v>45484</c:v>
                </c:pt>
                <c:pt idx="132">
                  <c:v>45485</c:v>
                </c:pt>
                <c:pt idx="133">
                  <c:v>45488</c:v>
                </c:pt>
                <c:pt idx="134">
                  <c:v>45489</c:v>
                </c:pt>
                <c:pt idx="135">
                  <c:v>45490</c:v>
                </c:pt>
                <c:pt idx="136">
                  <c:v>45491</c:v>
                </c:pt>
                <c:pt idx="137">
                  <c:v>45492</c:v>
                </c:pt>
                <c:pt idx="138">
                  <c:v>45495</c:v>
                </c:pt>
                <c:pt idx="139">
                  <c:v>45496</c:v>
                </c:pt>
                <c:pt idx="140">
                  <c:v>45497</c:v>
                </c:pt>
                <c:pt idx="141">
                  <c:v>45498</c:v>
                </c:pt>
                <c:pt idx="142">
                  <c:v>45499</c:v>
                </c:pt>
                <c:pt idx="143">
                  <c:v>45502</c:v>
                </c:pt>
                <c:pt idx="144">
                  <c:v>45503</c:v>
                </c:pt>
                <c:pt idx="145">
                  <c:v>45504</c:v>
                </c:pt>
                <c:pt idx="146">
                  <c:v>45505</c:v>
                </c:pt>
                <c:pt idx="147">
                  <c:v>45506</c:v>
                </c:pt>
                <c:pt idx="148">
                  <c:v>45509</c:v>
                </c:pt>
                <c:pt idx="149">
                  <c:v>45510</c:v>
                </c:pt>
                <c:pt idx="150">
                  <c:v>45511</c:v>
                </c:pt>
                <c:pt idx="151">
                  <c:v>45512</c:v>
                </c:pt>
                <c:pt idx="152">
                  <c:v>45513</c:v>
                </c:pt>
                <c:pt idx="153">
                  <c:v>45516</c:v>
                </c:pt>
                <c:pt idx="154">
                  <c:v>45517</c:v>
                </c:pt>
                <c:pt idx="155">
                  <c:v>45518</c:v>
                </c:pt>
                <c:pt idx="156">
                  <c:v>45519</c:v>
                </c:pt>
                <c:pt idx="157">
                  <c:v>45520</c:v>
                </c:pt>
                <c:pt idx="158">
                  <c:v>45523</c:v>
                </c:pt>
                <c:pt idx="159">
                  <c:v>45524</c:v>
                </c:pt>
                <c:pt idx="160">
                  <c:v>45525</c:v>
                </c:pt>
                <c:pt idx="161">
                  <c:v>45526</c:v>
                </c:pt>
                <c:pt idx="162">
                  <c:v>45527</c:v>
                </c:pt>
                <c:pt idx="163">
                  <c:v>45530</c:v>
                </c:pt>
                <c:pt idx="164">
                  <c:v>45531</c:v>
                </c:pt>
                <c:pt idx="165">
                  <c:v>45532</c:v>
                </c:pt>
                <c:pt idx="166">
                  <c:v>45533</c:v>
                </c:pt>
                <c:pt idx="167">
                  <c:v>45534</c:v>
                </c:pt>
                <c:pt idx="168">
                  <c:v>45538</c:v>
                </c:pt>
                <c:pt idx="169">
                  <c:v>45539</c:v>
                </c:pt>
                <c:pt idx="170">
                  <c:v>45540</c:v>
                </c:pt>
                <c:pt idx="171">
                  <c:v>45541</c:v>
                </c:pt>
                <c:pt idx="172">
                  <c:v>45544</c:v>
                </c:pt>
                <c:pt idx="173">
                  <c:v>45545</c:v>
                </c:pt>
                <c:pt idx="174">
                  <c:v>45546</c:v>
                </c:pt>
                <c:pt idx="175">
                  <c:v>45547</c:v>
                </c:pt>
                <c:pt idx="176">
                  <c:v>45548</c:v>
                </c:pt>
                <c:pt idx="177">
                  <c:v>45551</c:v>
                </c:pt>
                <c:pt idx="178">
                  <c:v>45552</c:v>
                </c:pt>
                <c:pt idx="179">
                  <c:v>45553</c:v>
                </c:pt>
                <c:pt idx="180">
                  <c:v>45554</c:v>
                </c:pt>
                <c:pt idx="181">
                  <c:v>45555</c:v>
                </c:pt>
                <c:pt idx="182">
                  <c:v>45558</c:v>
                </c:pt>
                <c:pt idx="183">
                  <c:v>45559</c:v>
                </c:pt>
                <c:pt idx="184">
                  <c:v>45560</c:v>
                </c:pt>
                <c:pt idx="185">
                  <c:v>45561</c:v>
                </c:pt>
                <c:pt idx="186">
                  <c:v>45562</c:v>
                </c:pt>
                <c:pt idx="187">
                  <c:v>45565</c:v>
                </c:pt>
                <c:pt idx="188">
                  <c:v>45566</c:v>
                </c:pt>
                <c:pt idx="189">
                  <c:v>45567</c:v>
                </c:pt>
                <c:pt idx="190">
                  <c:v>45568</c:v>
                </c:pt>
                <c:pt idx="191">
                  <c:v>45569</c:v>
                </c:pt>
                <c:pt idx="192">
                  <c:v>45572</c:v>
                </c:pt>
                <c:pt idx="193">
                  <c:v>45573</c:v>
                </c:pt>
                <c:pt idx="194">
                  <c:v>45574</c:v>
                </c:pt>
                <c:pt idx="195">
                  <c:v>45575</c:v>
                </c:pt>
                <c:pt idx="196">
                  <c:v>45576</c:v>
                </c:pt>
                <c:pt idx="197">
                  <c:v>45579</c:v>
                </c:pt>
                <c:pt idx="198">
                  <c:v>45580</c:v>
                </c:pt>
                <c:pt idx="199">
                  <c:v>45581</c:v>
                </c:pt>
                <c:pt idx="200">
                  <c:v>45582</c:v>
                </c:pt>
                <c:pt idx="201">
                  <c:v>45583</c:v>
                </c:pt>
                <c:pt idx="202">
                  <c:v>45586</c:v>
                </c:pt>
                <c:pt idx="203">
                  <c:v>45587</c:v>
                </c:pt>
                <c:pt idx="204">
                  <c:v>45588</c:v>
                </c:pt>
                <c:pt idx="205">
                  <c:v>45589</c:v>
                </c:pt>
                <c:pt idx="206">
                  <c:v>45590</c:v>
                </c:pt>
                <c:pt idx="207">
                  <c:v>45593</c:v>
                </c:pt>
                <c:pt idx="208">
                  <c:v>45594</c:v>
                </c:pt>
                <c:pt idx="209">
                  <c:v>45595</c:v>
                </c:pt>
                <c:pt idx="210">
                  <c:v>45596</c:v>
                </c:pt>
                <c:pt idx="211">
                  <c:v>45597</c:v>
                </c:pt>
                <c:pt idx="212">
                  <c:v>45600</c:v>
                </c:pt>
                <c:pt idx="213">
                  <c:v>45601</c:v>
                </c:pt>
                <c:pt idx="214">
                  <c:v>45602</c:v>
                </c:pt>
                <c:pt idx="215">
                  <c:v>45603</c:v>
                </c:pt>
                <c:pt idx="216">
                  <c:v>45604</c:v>
                </c:pt>
                <c:pt idx="217">
                  <c:v>45607</c:v>
                </c:pt>
                <c:pt idx="218">
                  <c:v>45608</c:v>
                </c:pt>
                <c:pt idx="219">
                  <c:v>45609</c:v>
                </c:pt>
                <c:pt idx="220">
                  <c:v>45610</c:v>
                </c:pt>
                <c:pt idx="221">
                  <c:v>45611</c:v>
                </c:pt>
                <c:pt idx="222">
                  <c:v>45614</c:v>
                </c:pt>
                <c:pt idx="223">
                  <c:v>45615</c:v>
                </c:pt>
                <c:pt idx="224">
                  <c:v>45616</c:v>
                </c:pt>
                <c:pt idx="225">
                  <c:v>45617</c:v>
                </c:pt>
                <c:pt idx="226">
                  <c:v>45618</c:v>
                </c:pt>
                <c:pt idx="227">
                  <c:v>45621</c:v>
                </c:pt>
                <c:pt idx="228">
                  <c:v>45622</c:v>
                </c:pt>
                <c:pt idx="229">
                  <c:v>45623</c:v>
                </c:pt>
                <c:pt idx="230">
                  <c:v>45625</c:v>
                </c:pt>
                <c:pt idx="231">
                  <c:v>45628</c:v>
                </c:pt>
                <c:pt idx="232">
                  <c:v>45629</c:v>
                </c:pt>
                <c:pt idx="233">
                  <c:v>45630</c:v>
                </c:pt>
                <c:pt idx="234">
                  <c:v>45631</c:v>
                </c:pt>
                <c:pt idx="235">
                  <c:v>45632</c:v>
                </c:pt>
                <c:pt idx="236">
                  <c:v>45635</c:v>
                </c:pt>
                <c:pt idx="237">
                  <c:v>45636</c:v>
                </c:pt>
                <c:pt idx="238">
                  <c:v>45637</c:v>
                </c:pt>
                <c:pt idx="239">
                  <c:v>45638</c:v>
                </c:pt>
                <c:pt idx="240">
                  <c:v>45639</c:v>
                </c:pt>
                <c:pt idx="241">
                  <c:v>45642</c:v>
                </c:pt>
                <c:pt idx="242">
                  <c:v>45643</c:v>
                </c:pt>
                <c:pt idx="243">
                  <c:v>45644</c:v>
                </c:pt>
                <c:pt idx="244">
                  <c:v>45645</c:v>
                </c:pt>
                <c:pt idx="245">
                  <c:v>45646</c:v>
                </c:pt>
                <c:pt idx="246">
                  <c:v>45649</c:v>
                </c:pt>
                <c:pt idx="247">
                  <c:v>45650</c:v>
                </c:pt>
                <c:pt idx="248">
                  <c:v>45652</c:v>
                </c:pt>
                <c:pt idx="249">
                  <c:v>45653</c:v>
                </c:pt>
                <c:pt idx="250">
                  <c:v>45656</c:v>
                </c:pt>
                <c:pt idx="251">
                  <c:v>45657</c:v>
                </c:pt>
                <c:pt idx="252">
                  <c:v>45659</c:v>
                </c:pt>
                <c:pt idx="253">
                  <c:v>45660</c:v>
                </c:pt>
                <c:pt idx="254">
                  <c:v>45663</c:v>
                </c:pt>
                <c:pt idx="255">
                  <c:v>45664</c:v>
                </c:pt>
                <c:pt idx="256">
                  <c:v>45665</c:v>
                </c:pt>
                <c:pt idx="257">
                  <c:v>45667</c:v>
                </c:pt>
                <c:pt idx="258">
                  <c:v>45670</c:v>
                </c:pt>
                <c:pt idx="259">
                  <c:v>45671</c:v>
                </c:pt>
                <c:pt idx="260">
                  <c:v>45672</c:v>
                </c:pt>
                <c:pt idx="261">
                  <c:v>45673</c:v>
                </c:pt>
                <c:pt idx="262">
                  <c:v>45674</c:v>
                </c:pt>
                <c:pt idx="263">
                  <c:v>45678</c:v>
                </c:pt>
                <c:pt idx="264">
                  <c:v>45679</c:v>
                </c:pt>
                <c:pt idx="265">
                  <c:v>45680</c:v>
                </c:pt>
                <c:pt idx="266">
                  <c:v>45681</c:v>
                </c:pt>
                <c:pt idx="267">
                  <c:v>45684</c:v>
                </c:pt>
                <c:pt idx="268">
                  <c:v>45685</c:v>
                </c:pt>
                <c:pt idx="269">
                  <c:v>45686</c:v>
                </c:pt>
                <c:pt idx="270">
                  <c:v>45687</c:v>
                </c:pt>
                <c:pt idx="271">
                  <c:v>45688</c:v>
                </c:pt>
                <c:pt idx="272">
                  <c:v>45691</c:v>
                </c:pt>
                <c:pt idx="273">
                  <c:v>45692</c:v>
                </c:pt>
                <c:pt idx="274">
                  <c:v>45693</c:v>
                </c:pt>
                <c:pt idx="275">
                  <c:v>45694</c:v>
                </c:pt>
                <c:pt idx="276">
                  <c:v>45695</c:v>
                </c:pt>
                <c:pt idx="277">
                  <c:v>45698</c:v>
                </c:pt>
                <c:pt idx="278">
                  <c:v>45699</c:v>
                </c:pt>
                <c:pt idx="279">
                  <c:v>45700</c:v>
                </c:pt>
                <c:pt idx="280">
                  <c:v>45701</c:v>
                </c:pt>
                <c:pt idx="281">
                  <c:v>45702</c:v>
                </c:pt>
                <c:pt idx="282">
                  <c:v>45706</c:v>
                </c:pt>
                <c:pt idx="283">
                  <c:v>45707</c:v>
                </c:pt>
                <c:pt idx="284">
                  <c:v>45708</c:v>
                </c:pt>
                <c:pt idx="285">
                  <c:v>45709</c:v>
                </c:pt>
                <c:pt idx="286">
                  <c:v>45712</c:v>
                </c:pt>
                <c:pt idx="287">
                  <c:v>45713</c:v>
                </c:pt>
                <c:pt idx="288">
                  <c:v>45714</c:v>
                </c:pt>
                <c:pt idx="289">
                  <c:v>45715</c:v>
                </c:pt>
                <c:pt idx="290">
                  <c:v>45716</c:v>
                </c:pt>
                <c:pt idx="291">
                  <c:v>45719</c:v>
                </c:pt>
                <c:pt idx="292">
                  <c:v>45720</c:v>
                </c:pt>
                <c:pt idx="293">
                  <c:v>45721</c:v>
                </c:pt>
                <c:pt idx="294">
                  <c:v>45722</c:v>
                </c:pt>
                <c:pt idx="295">
                  <c:v>45723</c:v>
                </c:pt>
                <c:pt idx="296">
                  <c:v>45726</c:v>
                </c:pt>
                <c:pt idx="297">
                  <c:v>45727</c:v>
                </c:pt>
                <c:pt idx="298">
                  <c:v>45728</c:v>
                </c:pt>
                <c:pt idx="299">
                  <c:v>45729</c:v>
                </c:pt>
                <c:pt idx="300">
                  <c:v>45730</c:v>
                </c:pt>
                <c:pt idx="301">
                  <c:v>45733</c:v>
                </c:pt>
                <c:pt idx="302">
                  <c:v>45734</c:v>
                </c:pt>
                <c:pt idx="303">
                  <c:v>45735</c:v>
                </c:pt>
                <c:pt idx="304">
                  <c:v>45736</c:v>
                </c:pt>
                <c:pt idx="305">
                  <c:v>45737</c:v>
                </c:pt>
                <c:pt idx="306">
                  <c:v>45740</c:v>
                </c:pt>
                <c:pt idx="307">
                  <c:v>45741</c:v>
                </c:pt>
                <c:pt idx="308">
                  <c:v>45742</c:v>
                </c:pt>
                <c:pt idx="309">
                  <c:v>45743</c:v>
                </c:pt>
                <c:pt idx="310">
                  <c:v>45744</c:v>
                </c:pt>
                <c:pt idx="311">
                  <c:v>45747</c:v>
                </c:pt>
                <c:pt idx="312">
                  <c:v>45748</c:v>
                </c:pt>
                <c:pt idx="313">
                  <c:v>45749</c:v>
                </c:pt>
                <c:pt idx="314">
                  <c:v>45750</c:v>
                </c:pt>
                <c:pt idx="315">
                  <c:v>45751</c:v>
                </c:pt>
                <c:pt idx="316">
                  <c:v>45754</c:v>
                </c:pt>
                <c:pt idx="317">
                  <c:v>45755</c:v>
                </c:pt>
                <c:pt idx="318">
                  <c:v>45756</c:v>
                </c:pt>
                <c:pt idx="319">
                  <c:v>45757</c:v>
                </c:pt>
                <c:pt idx="320">
                  <c:v>45758</c:v>
                </c:pt>
                <c:pt idx="321">
                  <c:v>45761</c:v>
                </c:pt>
                <c:pt idx="322">
                  <c:v>45762</c:v>
                </c:pt>
                <c:pt idx="323">
                  <c:v>45763</c:v>
                </c:pt>
                <c:pt idx="324">
                  <c:v>45764</c:v>
                </c:pt>
                <c:pt idx="325">
                  <c:v>45768</c:v>
                </c:pt>
                <c:pt idx="326">
                  <c:v>45769</c:v>
                </c:pt>
                <c:pt idx="327">
                  <c:v>45770</c:v>
                </c:pt>
                <c:pt idx="328">
                  <c:v>45771</c:v>
                </c:pt>
                <c:pt idx="329">
                  <c:v>45772</c:v>
                </c:pt>
                <c:pt idx="330">
                  <c:v>45775</c:v>
                </c:pt>
                <c:pt idx="331">
                  <c:v>45776</c:v>
                </c:pt>
                <c:pt idx="332">
                  <c:v>45777</c:v>
                </c:pt>
                <c:pt idx="333">
                  <c:v>45778</c:v>
                </c:pt>
                <c:pt idx="334">
                  <c:v>45779</c:v>
                </c:pt>
                <c:pt idx="335">
                  <c:v>45782</c:v>
                </c:pt>
                <c:pt idx="336">
                  <c:v>45783</c:v>
                </c:pt>
                <c:pt idx="337">
                  <c:v>45784</c:v>
                </c:pt>
                <c:pt idx="338">
                  <c:v>45785</c:v>
                </c:pt>
                <c:pt idx="339">
                  <c:v>45786</c:v>
                </c:pt>
                <c:pt idx="340">
                  <c:v>45789</c:v>
                </c:pt>
                <c:pt idx="341">
                  <c:v>45790</c:v>
                </c:pt>
                <c:pt idx="342">
                  <c:v>45791</c:v>
                </c:pt>
                <c:pt idx="343">
                  <c:v>45792</c:v>
                </c:pt>
                <c:pt idx="344">
                  <c:v>45793</c:v>
                </c:pt>
                <c:pt idx="345">
                  <c:v>45796</c:v>
                </c:pt>
                <c:pt idx="346">
                  <c:v>45797</c:v>
                </c:pt>
                <c:pt idx="347">
                  <c:v>45798</c:v>
                </c:pt>
                <c:pt idx="348">
                  <c:v>45799</c:v>
                </c:pt>
                <c:pt idx="349">
                  <c:v>45800</c:v>
                </c:pt>
                <c:pt idx="350">
                  <c:v>45804</c:v>
                </c:pt>
                <c:pt idx="351">
                  <c:v>45805</c:v>
                </c:pt>
                <c:pt idx="352">
                  <c:v>45806</c:v>
                </c:pt>
                <c:pt idx="353">
                  <c:v>45807</c:v>
                </c:pt>
                <c:pt idx="354">
                  <c:v>45810</c:v>
                </c:pt>
                <c:pt idx="355">
                  <c:v>45811</c:v>
                </c:pt>
                <c:pt idx="356">
                  <c:v>45812</c:v>
                </c:pt>
                <c:pt idx="357">
                  <c:v>45813</c:v>
                </c:pt>
                <c:pt idx="358">
                  <c:v>45814</c:v>
                </c:pt>
                <c:pt idx="359">
                  <c:v>45817</c:v>
                </c:pt>
                <c:pt idx="360">
                  <c:v>45818</c:v>
                </c:pt>
                <c:pt idx="361">
                  <c:v>45819</c:v>
                </c:pt>
                <c:pt idx="362">
                  <c:v>45820</c:v>
                </c:pt>
                <c:pt idx="363">
                  <c:v>45821</c:v>
                </c:pt>
                <c:pt idx="364">
                  <c:v>45824</c:v>
                </c:pt>
                <c:pt idx="365">
                  <c:v>45825</c:v>
                </c:pt>
                <c:pt idx="366">
                  <c:v>45826</c:v>
                </c:pt>
                <c:pt idx="367">
                  <c:v>45828</c:v>
                </c:pt>
                <c:pt idx="368">
                  <c:v>45831</c:v>
                </c:pt>
                <c:pt idx="369">
                  <c:v>45832</c:v>
                </c:pt>
                <c:pt idx="370">
                  <c:v>45833</c:v>
                </c:pt>
                <c:pt idx="371">
                  <c:v>45834</c:v>
                </c:pt>
                <c:pt idx="372">
                  <c:v>45835</c:v>
                </c:pt>
                <c:pt idx="373">
                  <c:v>45838</c:v>
                </c:pt>
                <c:pt idx="374">
                  <c:v>45839</c:v>
                </c:pt>
                <c:pt idx="375">
                  <c:v>45840</c:v>
                </c:pt>
                <c:pt idx="376">
                  <c:v>45841</c:v>
                </c:pt>
                <c:pt idx="377">
                  <c:v>45845</c:v>
                </c:pt>
                <c:pt idx="378">
                  <c:v>45846</c:v>
                </c:pt>
                <c:pt idx="379">
                  <c:v>45847</c:v>
                </c:pt>
                <c:pt idx="380">
                  <c:v>45848</c:v>
                </c:pt>
                <c:pt idx="381">
                  <c:v>45849</c:v>
                </c:pt>
                <c:pt idx="382">
                  <c:v>45852</c:v>
                </c:pt>
                <c:pt idx="383">
                  <c:v>45853</c:v>
                </c:pt>
                <c:pt idx="384">
                  <c:v>45854</c:v>
                </c:pt>
                <c:pt idx="385">
                  <c:v>45855</c:v>
                </c:pt>
                <c:pt idx="386">
                  <c:v>45856</c:v>
                </c:pt>
                <c:pt idx="387">
                  <c:v>45859</c:v>
                </c:pt>
                <c:pt idx="388">
                  <c:v>45860</c:v>
                </c:pt>
                <c:pt idx="389">
                  <c:v>45861</c:v>
                </c:pt>
                <c:pt idx="390">
                  <c:v>45862</c:v>
                </c:pt>
                <c:pt idx="391">
                  <c:v>45863</c:v>
                </c:pt>
                <c:pt idx="392">
                  <c:v>45866</c:v>
                </c:pt>
                <c:pt idx="393">
                  <c:v>45867</c:v>
                </c:pt>
                <c:pt idx="394">
                  <c:v>45868</c:v>
                </c:pt>
                <c:pt idx="395">
                  <c:v>45869</c:v>
                </c:pt>
                <c:pt idx="396">
                  <c:v>45870</c:v>
                </c:pt>
                <c:pt idx="397">
                  <c:v>45873</c:v>
                </c:pt>
                <c:pt idx="398">
                  <c:v>45874</c:v>
                </c:pt>
                <c:pt idx="399">
                  <c:v>45875</c:v>
                </c:pt>
                <c:pt idx="400">
                  <c:v>45876</c:v>
                </c:pt>
                <c:pt idx="401">
                  <c:v>45877</c:v>
                </c:pt>
                <c:pt idx="402">
                  <c:v>45880</c:v>
                </c:pt>
                <c:pt idx="403">
                  <c:v>45881</c:v>
                </c:pt>
                <c:pt idx="404">
                  <c:v>45882</c:v>
                </c:pt>
                <c:pt idx="405">
                  <c:v>45883</c:v>
                </c:pt>
                <c:pt idx="406">
                  <c:v>45884</c:v>
                </c:pt>
                <c:pt idx="407">
                  <c:v>45887</c:v>
                </c:pt>
                <c:pt idx="408">
                  <c:v>45888</c:v>
                </c:pt>
                <c:pt idx="409">
                  <c:v>45889</c:v>
                </c:pt>
                <c:pt idx="410">
                  <c:v>45890</c:v>
                </c:pt>
                <c:pt idx="411">
                  <c:v>45891</c:v>
                </c:pt>
                <c:pt idx="412">
                  <c:v>45894</c:v>
                </c:pt>
                <c:pt idx="413">
                  <c:v>45895</c:v>
                </c:pt>
                <c:pt idx="414">
                  <c:v>45896</c:v>
                </c:pt>
                <c:pt idx="415">
                  <c:v>45897</c:v>
                </c:pt>
                <c:pt idx="416">
                  <c:v>45898</c:v>
                </c:pt>
                <c:pt idx="417">
                  <c:v>45902</c:v>
                </c:pt>
                <c:pt idx="418">
                  <c:v>45903</c:v>
                </c:pt>
                <c:pt idx="419">
                  <c:v>45904</c:v>
                </c:pt>
                <c:pt idx="420">
                  <c:v>45905</c:v>
                </c:pt>
                <c:pt idx="421">
                  <c:v>45908</c:v>
                </c:pt>
                <c:pt idx="422">
                  <c:v>45909</c:v>
                </c:pt>
                <c:pt idx="423">
                  <c:v>45910</c:v>
                </c:pt>
                <c:pt idx="424">
                  <c:v>45911</c:v>
                </c:pt>
                <c:pt idx="425">
                  <c:v>45912</c:v>
                </c:pt>
                <c:pt idx="426">
                  <c:v>45915</c:v>
                </c:pt>
                <c:pt idx="427">
                  <c:v>45916</c:v>
                </c:pt>
                <c:pt idx="428">
                  <c:v>45917</c:v>
                </c:pt>
                <c:pt idx="429">
                  <c:v>45918</c:v>
                </c:pt>
                <c:pt idx="430">
                  <c:v>45919</c:v>
                </c:pt>
                <c:pt idx="431">
                  <c:v>45922</c:v>
                </c:pt>
                <c:pt idx="432">
                  <c:v>45923</c:v>
                </c:pt>
                <c:pt idx="433">
                  <c:v>45924</c:v>
                </c:pt>
                <c:pt idx="434">
                  <c:v>45925</c:v>
                </c:pt>
                <c:pt idx="435">
                  <c:v>45926</c:v>
                </c:pt>
                <c:pt idx="436">
                  <c:v>45929</c:v>
                </c:pt>
                <c:pt idx="437">
                  <c:v>45930</c:v>
                </c:pt>
                <c:pt idx="438">
                  <c:v>45931</c:v>
                </c:pt>
                <c:pt idx="439">
                  <c:v>45932</c:v>
                </c:pt>
                <c:pt idx="440">
                  <c:v>45933</c:v>
                </c:pt>
                <c:pt idx="441">
                  <c:v>45936</c:v>
                </c:pt>
                <c:pt idx="442">
                  <c:v>45937</c:v>
                </c:pt>
                <c:pt idx="443">
                  <c:v>45938</c:v>
                </c:pt>
                <c:pt idx="444">
                  <c:v>45939</c:v>
                </c:pt>
                <c:pt idx="445">
                  <c:v>45940</c:v>
                </c:pt>
                <c:pt idx="446">
                  <c:v>45943</c:v>
                </c:pt>
                <c:pt idx="447">
                  <c:v>45944</c:v>
                </c:pt>
                <c:pt idx="448">
                  <c:v>45945</c:v>
                </c:pt>
                <c:pt idx="449">
                  <c:v>45946</c:v>
                </c:pt>
                <c:pt idx="450">
                  <c:v>45947</c:v>
                </c:pt>
                <c:pt idx="451">
                  <c:v>45950</c:v>
                </c:pt>
                <c:pt idx="452">
                  <c:v>45951</c:v>
                </c:pt>
                <c:pt idx="453">
                  <c:v>45952</c:v>
                </c:pt>
                <c:pt idx="454">
                  <c:v>45953</c:v>
                </c:pt>
                <c:pt idx="455">
                  <c:v>45954</c:v>
                </c:pt>
                <c:pt idx="456">
                  <c:v>45957</c:v>
                </c:pt>
                <c:pt idx="457">
                  <c:v>45958</c:v>
                </c:pt>
                <c:pt idx="458">
                  <c:v>45959</c:v>
                </c:pt>
                <c:pt idx="459">
                  <c:v>45960</c:v>
                </c:pt>
                <c:pt idx="460">
                  <c:v>45961</c:v>
                </c:pt>
                <c:pt idx="461">
                  <c:v>45964</c:v>
                </c:pt>
                <c:pt idx="462">
                  <c:v>45965</c:v>
                </c:pt>
                <c:pt idx="463">
                  <c:v>45966</c:v>
                </c:pt>
                <c:pt idx="464">
                  <c:v>45967</c:v>
                </c:pt>
                <c:pt idx="465">
                  <c:v>45968</c:v>
                </c:pt>
                <c:pt idx="466">
                  <c:v>45971</c:v>
                </c:pt>
                <c:pt idx="467">
                  <c:v>45972</c:v>
                </c:pt>
                <c:pt idx="468">
                  <c:v>45973</c:v>
                </c:pt>
                <c:pt idx="469">
                  <c:v>45974</c:v>
                </c:pt>
                <c:pt idx="470">
                  <c:v>45975</c:v>
                </c:pt>
                <c:pt idx="471">
                  <c:v>45978</c:v>
                </c:pt>
                <c:pt idx="472">
                  <c:v>45979</c:v>
                </c:pt>
                <c:pt idx="473">
                  <c:v>45980</c:v>
                </c:pt>
                <c:pt idx="474">
                  <c:v>45981</c:v>
                </c:pt>
                <c:pt idx="475">
                  <c:v>45982</c:v>
                </c:pt>
                <c:pt idx="476">
                  <c:v>45985</c:v>
                </c:pt>
                <c:pt idx="477">
                  <c:v>45986</c:v>
                </c:pt>
                <c:pt idx="478">
                  <c:v>45987</c:v>
                </c:pt>
                <c:pt idx="479">
                  <c:v>45989</c:v>
                </c:pt>
                <c:pt idx="480">
                  <c:v>45992</c:v>
                </c:pt>
                <c:pt idx="481">
                  <c:v>45993</c:v>
                </c:pt>
                <c:pt idx="482">
                  <c:v>45994</c:v>
                </c:pt>
                <c:pt idx="483">
                  <c:v>45995</c:v>
                </c:pt>
                <c:pt idx="484">
                  <c:v>45996</c:v>
                </c:pt>
                <c:pt idx="485">
                  <c:v>45999</c:v>
                </c:pt>
                <c:pt idx="486">
                  <c:v>46000</c:v>
                </c:pt>
                <c:pt idx="487">
                  <c:v>46001</c:v>
                </c:pt>
                <c:pt idx="488">
                  <c:v>46002</c:v>
                </c:pt>
                <c:pt idx="489">
                  <c:v>46003</c:v>
                </c:pt>
                <c:pt idx="490">
                  <c:v>46006</c:v>
                </c:pt>
                <c:pt idx="491">
                  <c:v>46007</c:v>
                </c:pt>
                <c:pt idx="492">
                  <c:v>46008</c:v>
                </c:pt>
                <c:pt idx="493">
                  <c:v>46009</c:v>
                </c:pt>
                <c:pt idx="494">
                  <c:v>46010</c:v>
                </c:pt>
                <c:pt idx="495">
                  <c:v>46013</c:v>
                </c:pt>
                <c:pt idx="496">
                  <c:v>46014</c:v>
                </c:pt>
                <c:pt idx="497">
                  <c:v>46015</c:v>
                </c:pt>
                <c:pt idx="498">
                  <c:v>46017</c:v>
                </c:pt>
                <c:pt idx="499">
                  <c:v>46020</c:v>
                </c:pt>
                <c:pt idx="500">
                  <c:v>46021</c:v>
                </c:pt>
                <c:pt idx="501">
                  <c:v>46022</c:v>
                </c:pt>
                <c:pt idx="502">
                  <c:v>46024</c:v>
                </c:pt>
                <c:pt idx="503">
                  <c:v>46027</c:v>
                </c:pt>
                <c:pt idx="504">
                  <c:v>46028</c:v>
                </c:pt>
                <c:pt idx="505">
                  <c:v>46029</c:v>
                </c:pt>
                <c:pt idx="506">
                  <c:v>46030</c:v>
                </c:pt>
                <c:pt idx="507">
                  <c:v>46031</c:v>
                </c:pt>
                <c:pt idx="508">
                  <c:v>46034</c:v>
                </c:pt>
                <c:pt idx="509">
                  <c:v>46035</c:v>
                </c:pt>
                <c:pt idx="510">
                  <c:v>46036</c:v>
                </c:pt>
                <c:pt idx="511">
                  <c:v>46037</c:v>
                </c:pt>
                <c:pt idx="512">
                  <c:v>46038</c:v>
                </c:pt>
              </c:numCache>
            </c:numRef>
          </c:cat>
          <c:val>
            <c:numRef>
              <c:f>Data!$Y$2:$Y$514</c:f>
              <c:numCache>
                <c:formatCode>General</c:formatCode>
                <c:ptCount val="513"/>
                <c:pt idx="25">
                  <c:v>6.0203684479461117E-2</c:v>
                </c:pt>
                <c:pt idx="26">
                  <c:v>2.4914517706271511E-2</c:v>
                </c:pt>
                <c:pt idx="27">
                  <c:v>8.1504751608179049E-3</c:v>
                </c:pt>
                <c:pt idx="28">
                  <c:v>-3.2996857034746085E-2</c:v>
                </c:pt>
                <c:pt idx="29">
                  <c:v>-6.9645087592128618E-2</c:v>
                </c:pt>
                <c:pt idx="30">
                  <c:v>-8.8789483754268872E-2</c:v>
                </c:pt>
                <c:pt idx="31">
                  <c:v>-0.10357452936558786</c:v>
                </c:pt>
                <c:pt idx="32">
                  <c:v>-9.4764935412285922E-3</c:v>
                </c:pt>
                <c:pt idx="33">
                  <c:v>0.1074319561051027</c:v>
                </c:pt>
                <c:pt idx="34">
                  <c:v>0.19062311231115103</c:v>
                </c:pt>
                <c:pt idx="35">
                  <c:v>0.25761762942630639</c:v>
                </c:pt>
                <c:pt idx="36">
                  <c:v>0.26808207868260325</c:v>
                </c:pt>
                <c:pt idx="37">
                  <c:v>0.24370998532292987</c:v>
                </c:pt>
                <c:pt idx="38">
                  <c:v>0.22662404339927633</c:v>
                </c:pt>
                <c:pt idx="39">
                  <c:v>0.1803416211696387</c:v>
                </c:pt>
                <c:pt idx="40">
                  <c:v>0.10293696989376855</c:v>
                </c:pt>
                <c:pt idx="41">
                  <c:v>6.3455411544943274E-2</c:v>
                </c:pt>
                <c:pt idx="42">
                  <c:v>8.6655249577418658E-3</c:v>
                </c:pt>
                <c:pt idx="43">
                  <c:v>-3.1966614390718462E-2</c:v>
                </c:pt>
                <c:pt idx="44">
                  <c:v>-7.2211548474093945E-2</c:v>
                </c:pt>
                <c:pt idx="45">
                  <c:v>-9.653778972489846E-2</c:v>
                </c:pt>
                <c:pt idx="46">
                  <c:v>-5.706076746015043E-2</c:v>
                </c:pt>
                <c:pt idx="47">
                  <c:v>-4.740470614997605E-3</c:v>
                </c:pt>
                <c:pt idx="48">
                  <c:v>8.5763926863279494E-2</c:v>
                </c:pt>
                <c:pt idx="49">
                  <c:v>0.10623587443898685</c:v>
                </c:pt>
                <c:pt idx="50">
                  <c:v>7.1605794910688303E-2</c:v>
                </c:pt>
                <c:pt idx="51">
                  <c:v>6.3600965708616286E-2</c:v>
                </c:pt>
                <c:pt idx="52">
                  <c:v>6.4581786525124585E-2</c:v>
                </c:pt>
                <c:pt idx="53">
                  <c:v>0.10609574258905496</c:v>
                </c:pt>
                <c:pt idx="54">
                  <c:v>0.11507567121363138</c:v>
                </c:pt>
                <c:pt idx="55">
                  <c:v>0.12239526576320969</c:v>
                </c:pt>
                <c:pt idx="56">
                  <c:v>0.11955568581473131</c:v>
                </c:pt>
                <c:pt idx="57">
                  <c:v>0.12713657689994307</c:v>
                </c:pt>
                <c:pt idx="58">
                  <c:v>0.17071549069149228</c:v>
                </c:pt>
                <c:pt idx="59">
                  <c:v>0.21487885060575707</c:v>
                </c:pt>
                <c:pt idx="60">
                  <c:v>0.20714497189919712</c:v>
                </c:pt>
                <c:pt idx="61">
                  <c:v>0.15644583648068533</c:v>
                </c:pt>
                <c:pt idx="62">
                  <c:v>8.9414367574661924E-2</c:v>
                </c:pt>
                <c:pt idx="63">
                  <c:v>-6.4013344750648571E-3</c:v>
                </c:pt>
                <c:pt idx="64">
                  <c:v>-6.4645530275001306E-2</c:v>
                </c:pt>
                <c:pt idx="65">
                  <c:v>-0.12868704515785367</c:v>
                </c:pt>
                <c:pt idx="66">
                  <c:v>-0.14149806627509065</c:v>
                </c:pt>
                <c:pt idx="67">
                  <c:v>-0.21374034132392694</c:v>
                </c:pt>
                <c:pt idx="68">
                  <c:v>-0.25753425663199891</c:v>
                </c:pt>
                <c:pt idx="69">
                  <c:v>-0.35033536684052535</c:v>
                </c:pt>
                <c:pt idx="70">
                  <c:v>-0.43021845470372</c:v>
                </c:pt>
                <c:pt idx="71">
                  <c:v>-0.49428391152299156</c:v>
                </c:pt>
                <c:pt idx="72">
                  <c:v>-0.50294734451218659</c:v>
                </c:pt>
                <c:pt idx="73">
                  <c:v>-0.47209450888249904</c:v>
                </c:pt>
                <c:pt idx="74">
                  <c:v>-0.34202924439904336</c:v>
                </c:pt>
                <c:pt idx="75">
                  <c:v>-0.20591509992455315</c:v>
                </c:pt>
                <c:pt idx="76">
                  <c:v>-8.9746865935431686E-2</c:v>
                </c:pt>
                <c:pt idx="77">
                  <c:v>7.4883481103746874E-2</c:v>
                </c:pt>
                <c:pt idx="78">
                  <c:v>0.21817069338682415</c:v>
                </c:pt>
                <c:pt idx="79">
                  <c:v>0.32794647858425918</c:v>
                </c:pt>
                <c:pt idx="80">
                  <c:v>0.43414749002288033</c:v>
                </c:pt>
                <c:pt idx="81">
                  <c:v>0.49086739938336876</c:v>
                </c:pt>
                <c:pt idx="82">
                  <c:v>0.54247567709447964</c:v>
                </c:pt>
                <c:pt idx="83">
                  <c:v>0.5815137786961273</c:v>
                </c:pt>
                <c:pt idx="84">
                  <c:v>0.61983122264390289</c:v>
                </c:pt>
                <c:pt idx="85">
                  <c:v>0.65714738274378703</c:v>
                </c:pt>
                <c:pt idx="86">
                  <c:v>0.70043329299020485</c:v>
                </c:pt>
                <c:pt idx="87">
                  <c:v>0.74471218799250494</c:v>
                </c:pt>
                <c:pt idx="88">
                  <c:v>0.77331004375792389</c:v>
                </c:pt>
                <c:pt idx="89">
                  <c:v>0.81721651145153373</c:v>
                </c:pt>
                <c:pt idx="90">
                  <c:v>0.86783022247698938</c:v>
                </c:pt>
                <c:pt idx="91">
                  <c:v>0.85930443798152112</c:v>
                </c:pt>
                <c:pt idx="92">
                  <c:v>0.84522521151947672</c:v>
                </c:pt>
                <c:pt idx="93">
                  <c:v>0.83971897755041169</c:v>
                </c:pt>
                <c:pt idx="94">
                  <c:v>0.80270162640599096</c:v>
                </c:pt>
                <c:pt idx="95">
                  <c:v>0.72785667463863746</c:v>
                </c:pt>
                <c:pt idx="96">
                  <c:v>0.68804531157717008</c:v>
                </c:pt>
                <c:pt idx="97">
                  <c:v>0.65619258767912925</c:v>
                </c:pt>
                <c:pt idx="98">
                  <c:v>0.55116617906750776</c:v>
                </c:pt>
                <c:pt idx="99">
                  <c:v>0.45541994805763863</c:v>
                </c:pt>
                <c:pt idx="100">
                  <c:v>0.36085614942531663</c:v>
                </c:pt>
                <c:pt idx="101">
                  <c:v>0.27308273283958329</c:v>
                </c:pt>
                <c:pt idx="102">
                  <c:v>0.22274079411470638</c:v>
                </c:pt>
                <c:pt idx="103">
                  <c:v>0.25734194418365064</c:v>
                </c:pt>
                <c:pt idx="104">
                  <c:v>0.28151843561449397</c:v>
                </c:pt>
                <c:pt idx="105">
                  <c:v>0.37782174444932082</c:v>
                </c:pt>
                <c:pt idx="106">
                  <c:v>0.44737195228914572</c:v>
                </c:pt>
                <c:pt idx="107">
                  <c:v>0.51511217834839584</c:v>
                </c:pt>
                <c:pt idx="108">
                  <c:v>0.54316948163301504</c:v>
                </c:pt>
                <c:pt idx="109">
                  <c:v>0.53343466817642593</c:v>
                </c:pt>
                <c:pt idx="110">
                  <c:v>0.51653776682807973</c:v>
                </c:pt>
                <c:pt idx="111">
                  <c:v>0.44396569008133469</c:v>
                </c:pt>
                <c:pt idx="112">
                  <c:v>0.39082271610504193</c:v>
                </c:pt>
                <c:pt idx="113">
                  <c:v>0.30963294770646144</c:v>
                </c:pt>
                <c:pt idx="114">
                  <c:v>0.24807819528357555</c:v>
                </c:pt>
                <c:pt idx="115">
                  <c:v>0.19782215625955502</c:v>
                </c:pt>
                <c:pt idx="116">
                  <c:v>0.12029594726627124</c:v>
                </c:pt>
                <c:pt idx="117">
                  <c:v>0.10525067301493607</c:v>
                </c:pt>
                <c:pt idx="118">
                  <c:v>0.18799012284064531</c:v>
                </c:pt>
                <c:pt idx="119">
                  <c:v>0.2403017701645993</c:v>
                </c:pt>
                <c:pt idx="120">
                  <c:v>0.29530033407750267</c:v>
                </c:pt>
                <c:pt idx="121">
                  <c:v>0.32385703988872194</c:v>
                </c:pt>
                <c:pt idx="122">
                  <c:v>0.32179910808966383</c:v>
                </c:pt>
                <c:pt idx="123">
                  <c:v>0.28700387254237114</c:v>
                </c:pt>
                <c:pt idx="124">
                  <c:v>0.2461015783381697</c:v>
                </c:pt>
                <c:pt idx="125">
                  <c:v>0.22561001930822044</c:v>
                </c:pt>
                <c:pt idx="126">
                  <c:v>0.24128631899350239</c:v>
                </c:pt>
                <c:pt idx="127">
                  <c:v>0.18700095471281486</c:v>
                </c:pt>
                <c:pt idx="128">
                  <c:v>0.12080015985229409</c:v>
                </c:pt>
                <c:pt idx="129">
                  <c:v>7.872489140201111E-2</c:v>
                </c:pt>
                <c:pt idx="130">
                  <c:v>6.6401249266874629E-2</c:v>
                </c:pt>
                <c:pt idx="131">
                  <c:v>0.10385251255966921</c:v>
                </c:pt>
                <c:pt idx="132">
                  <c:v>0.10887726285960042</c:v>
                </c:pt>
                <c:pt idx="133">
                  <c:v>0.18017725511329274</c:v>
                </c:pt>
                <c:pt idx="134">
                  <c:v>0.30897152533924555</c:v>
                </c:pt>
                <c:pt idx="135">
                  <c:v>0.40476223249246601</c:v>
                </c:pt>
                <c:pt idx="136">
                  <c:v>0.48317646479208776</c:v>
                </c:pt>
                <c:pt idx="137">
                  <c:v>0.4976243508981355</c:v>
                </c:pt>
                <c:pt idx="138">
                  <c:v>0.51842968216757868</c:v>
                </c:pt>
                <c:pt idx="139">
                  <c:v>0.59662839262463052</c:v>
                </c:pt>
                <c:pt idx="140">
                  <c:v>0.6718367453459706</c:v>
                </c:pt>
                <c:pt idx="141">
                  <c:v>0.80128104738867023</c:v>
                </c:pt>
                <c:pt idx="142">
                  <c:v>0.87601625785073622</c:v>
                </c:pt>
                <c:pt idx="143">
                  <c:v>0.99239266196944698</c:v>
                </c:pt>
                <c:pt idx="144">
                  <c:v>0.99727568329356586</c:v>
                </c:pt>
                <c:pt idx="145">
                  <c:v>1.0870583845213702</c:v>
                </c:pt>
                <c:pt idx="146">
                  <c:v>1.2543005762580037</c:v>
                </c:pt>
                <c:pt idx="147">
                  <c:v>1.2729171016783596</c:v>
                </c:pt>
                <c:pt idx="148">
                  <c:v>1.2690079167321642</c:v>
                </c:pt>
                <c:pt idx="149">
                  <c:v>1.2841900890195319</c:v>
                </c:pt>
                <c:pt idx="150">
                  <c:v>1.3029887699966025</c:v>
                </c:pt>
                <c:pt idx="151">
                  <c:v>1.2988796024430656</c:v>
                </c:pt>
                <c:pt idx="152">
                  <c:v>1.2401743617393777</c:v>
                </c:pt>
                <c:pt idx="153">
                  <c:v>1.2031810892593882</c:v>
                </c:pt>
                <c:pt idx="154">
                  <c:v>1.1700589402877881</c:v>
                </c:pt>
                <c:pt idx="155">
                  <c:v>1.1363585792383759</c:v>
                </c:pt>
                <c:pt idx="156">
                  <c:v>1.139284409422018</c:v>
                </c:pt>
                <c:pt idx="157">
                  <c:v>1.1126390124499892</c:v>
                </c:pt>
                <c:pt idx="158">
                  <c:v>1.1109921742245916</c:v>
                </c:pt>
                <c:pt idx="159">
                  <c:v>1.1121977320340477</c:v>
                </c:pt>
                <c:pt idx="160">
                  <c:v>1.0813223402091552</c:v>
                </c:pt>
                <c:pt idx="161">
                  <c:v>1.0815046133924113</c:v>
                </c:pt>
                <c:pt idx="162">
                  <c:v>1.1530832648791005</c:v>
                </c:pt>
                <c:pt idx="163">
                  <c:v>1.2486724275552348</c:v>
                </c:pt>
                <c:pt idx="164">
                  <c:v>1.3292773564034235</c:v>
                </c:pt>
                <c:pt idx="165">
                  <c:v>1.4012125302143517</c:v>
                </c:pt>
                <c:pt idx="166">
                  <c:v>1.4751080364170406</c:v>
                </c:pt>
                <c:pt idx="167">
                  <c:v>1.559269951118111</c:v>
                </c:pt>
                <c:pt idx="168">
                  <c:v>1.5715418791475315</c:v>
                </c:pt>
                <c:pt idx="169">
                  <c:v>1.4523641375278658</c:v>
                </c:pt>
                <c:pt idx="170">
                  <c:v>1.3400469423839212</c:v>
                </c:pt>
                <c:pt idx="171">
                  <c:v>1.2934161263323176</c:v>
                </c:pt>
                <c:pt idx="172">
                  <c:v>1.2182106023450672</c:v>
                </c:pt>
                <c:pt idx="173">
                  <c:v>1.1079132761175003</c:v>
                </c:pt>
                <c:pt idx="174">
                  <c:v>1.0208380116814624</c:v>
                </c:pt>
                <c:pt idx="175">
                  <c:v>0.95534214340044343</c:v>
                </c:pt>
                <c:pt idx="176">
                  <c:v>0.94818336177399942</c:v>
                </c:pt>
                <c:pt idx="177">
                  <c:v>0.90783749740258202</c:v>
                </c:pt>
                <c:pt idx="178">
                  <c:v>0.86189315924944765</c:v>
                </c:pt>
                <c:pt idx="179">
                  <c:v>0.72593228851125957</c:v>
                </c:pt>
                <c:pt idx="180">
                  <c:v>0.69250502752250043</c:v>
                </c:pt>
                <c:pt idx="181">
                  <c:v>0.6656032700239507</c:v>
                </c:pt>
                <c:pt idx="182">
                  <c:v>0.6050323401316291</c:v>
                </c:pt>
                <c:pt idx="183">
                  <c:v>0.56025417750794304</c:v>
                </c:pt>
                <c:pt idx="184">
                  <c:v>0.5147983044835911</c:v>
                </c:pt>
                <c:pt idx="185">
                  <c:v>0.50442919251884177</c:v>
                </c:pt>
                <c:pt idx="186">
                  <c:v>0.49614080915593206</c:v>
                </c:pt>
                <c:pt idx="187">
                  <c:v>0.47202722322593615</c:v>
                </c:pt>
                <c:pt idx="188">
                  <c:v>0.39191512914145221</c:v>
                </c:pt>
                <c:pt idx="189">
                  <c:v>0.2855946550964461</c:v>
                </c:pt>
                <c:pt idx="190">
                  <c:v>0.17112027053018153</c:v>
                </c:pt>
                <c:pt idx="191">
                  <c:v>-1.3053338694447802E-2</c:v>
                </c:pt>
                <c:pt idx="192">
                  <c:v>-0.14363889191950818</c:v>
                </c:pt>
                <c:pt idx="193">
                  <c:v>-0.21320148898279001</c:v>
                </c:pt>
                <c:pt idx="194">
                  <c:v>-0.29079951814652816</c:v>
                </c:pt>
                <c:pt idx="195">
                  <c:v>-0.32275467469195007</c:v>
                </c:pt>
                <c:pt idx="196">
                  <c:v>-0.28268814862705938</c:v>
                </c:pt>
                <c:pt idx="197">
                  <c:v>-0.24807547836394406</c:v>
                </c:pt>
                <c:pt idx="198">
                  <c:v>-0.19978264008527447</c:v>
                </c:pt>
                <c:pt idx="199">
                  <c:v>-0.21311693898276474</c:v>
                </c:pt>
                <c:pt idx="200">
                  <c:v>-0.17805843311634817</c:v>
                </c:pt>
                <c:pt idx="201">
                  <c:v>-0.22753614580656745</c:v>
                </c:pt>
                <c:pt idx="202">
                  <c:v>-0.26370773101049849</c:v>
                </c:pt>
                <c:pt idx="203">
                  <c:v>-0.4039138706317118</c:v>
                </c:pt>
                <c:pt idx="204">
                  <c:v>-0.56579715528499719</c:v>
                </c:pt>
                <c:pt idx="205">
                  <c:v>-0.71649434804430712</c:v>
                </c:pt>
                <c:pt idx="206">
                  <c:v>-0.84633979139653093</c:v>
                </c:pt>
                <c:pt idx="207">
                  <c:v>-1.0269726624970303</c:v>
                </c:pt>
                <c:pt idx="208">
                  <c:v>-1.1280728018208066</c:v>
                </c:pt>
                <c:pt idx="209">
                  <c:v>-1.2430877508429035</c:v>
                </c:pt>
                <c:pt idx="210">
                  <c:v>-1.3429645598962026</c:v>
                </c:pt>
                <c:pt idx="211">
                  <c:v>-1.3979339737140748</c:v>
                </c:pt>
                <c:pt idx="212">
                  <c:v>-1.4043295660361679</c:v>
                </c:pt>
                <c:pt idx="213">
                  <c:v>-1.5265559752225784</c:v>
                </c:pt>
                <c:pt idx="214">
                  <c:v>-1.6081116408219316</c:v>
                </c:pt>
                <c:pt idx="215">
                  <c:v>-1.632941730498672</c:v>
                </c:pt>
                <c:pt idx="216">
                  <c:v>-1.6784588465645101</c:v>
                </c:pt>
                <c:pt idx="217">
                  <c:v>-1.707756201356105</c:v>
                </c:pt>
                <c:pt idx="218">
                  <c:v>-1.7272027761773785</c:v>
                </c:pt>
                <c:pt idx="219">
                  <c:v>-1.7586529099982897</c:v>
                </c:pt>
                <c:pt idx="220">
                  <c:v>-1.8278670842454545</c:v>
                </c:pt>
                <c:pt idx="221">
                  <c:v>-1.8516916699462769</c:v>
                </c:pt>
                <c:pt idx="222">
                  <c:v>-1.7910221382879996</c:v>
                </c:pt>
                <c:pt idx="223">
                  <c:v>-1.6911696888316357</c:v>
                </c:pt>
                <c:pt idx="224">
                  <c:v>-1.5322406222908285</c:v>
                </c:pt>
                <c:pt idx="225">
                  <c:v>-1.3774985830091069</c:v>
                </c:pt>
                <c:pt idx="226">
                  <c:v>-1.2038687963010872</c:v>
                </c:pt>
                <c:pt idx="227">
                  <c:v>-1.040553507042091</c:v>
                </c:pt>
                <c:pt idx="228">
                  <c:v>-0.91031442278455899</c:v>
                </c:pt>
                <c:pt idx="229">
                  <c:v>-0.82582152859094293</c:v>
                </c:pt>
                <c:pt idx="230">
                  <c:v>-0.78451431486556089</c:v>
                </c:pt>
                <c:pt idx="231">
                  <c:v>-0.75358114952669553</c:v>
                </c:pt>
                <c:pt idx="232">
                  <c:v>-0.82525936871105188</c:v>
                </c:pt>
                <c:pt idx="233">
                  <c:v>-0.81537467583597589</c:v>
                </c:pt>
                <c:pt idx="234">
                  <c:v>-0.82944935035453682</c:v>
                </c:pt>
                <c:pt idx="235">
                  <c:v>-0.82544005716702173</c:v>
                </c:pt>
                <c:pt idx="236">
                  <c:v>-0.78816280401820649</c:v>
                </c:pt>
                <c:pt idx="237">
                  <c:v>-0.77151352814357921</c:v>
                </c:pt>
                <c:pt idx="238">
                  <c:v>-0.65395055099799748</c:v>
                </c:pt>
                <c:pt idx="239">
                  <c:v>-0.61182627487541197</c:v>
                </c:pt>
                <c:pt idx="240">
                  <c:v>-0.61732063090614986</c:v>
                </c:pt>
                <c:pt idx="241">
                  <c:v>-0.54678406505095722</c:v>
                </c:pt>
                <c:pt idx="242">
                  <c:v>-0.52916386029203721</c:v>
                </c:pt>
                <c:pt idx="243">
                  <c:v>-0.54123733109012306</c:v>
                </c:pt>
                <c:pt idx="244">
                  <c:v>-0.53655144831267165</c:v>
                </c:pt>
                <c:pt idx="245">
                  <c:v>-0.54032687977407079</c:v>
                </c:pt>
                <c:pt idx="246">
                  <c:v>-0.50043211092160789</c:v>
                </c:pt>
                <c:pt idx="247">
                  <c:v>-0.48501105713781101</c:v>
                </c:pt>
                <c:pt idx="248">
                  <c:v>-0.47697449298083683</c:v>
                </c:pt>
                <c:pt idx="249">
                  <c:v>-0.49874670632816276</c:v>
                </c:pt>
                <c:pt idx="250">
                  <c:v>-0.49177340674184933</c:v>
                </c:pt>
                <c:pt idx="251">
                  <c:v>-0.5142100135418346</c:v>
                </c:pt>
                <c:pt idx="252">
                  <c:v>-0.53310809563821238</c:v>
                </c:pt>
                <c:pt idx="253">
                  <c:v>-0.61682473436741958</c:v>
                </c:pt>
                <c:pt idx="254">
                  <c:v>-0.67299218939038497</c:v>
                </c:pt>
                <c:pt idx="255">
                  <c:v>-0.63992689415891135</c:v>
                </c:pt>
                <c:pt idx="256">
                  <c:v>-0.65778255294726051</c:v>
                </c:pt>
                <c:pt idx="257">
                  <c:v>-0.61800812546864847</c:v>
                </c:pt>
                <c:pt idx="258">
                  <c:v>-0.54869188598576812</c:v>
                </c:pt>
                <c:pt idx="259">
                  <c:v>-0.50966985350218152</c:v>
                </c:pt>
                <c:pt idx="260">
                  <c:v>-0.43499823427997342</c:v>
                </c:pt>
                <c:pt idx="261">
                  <c:v>-0.33484242737619496</c:v>
                </c:pt>
                <c:pt idx="262">
                  <c:v>-0.27569081310826959</c:v>
                </c:pt>
                <c:pt idx="263">
                  <c:v>-0.27725931118202141</c:v>
                </c:pt>
                <c:pt idx="264">
                  <c:v>-0.29527156111237218</c:v>
                </c:pt>
                <c:pt idx="265">
                  <c:v>-0.27490769355224387</c:v>
                </c:pt>
                <c:pt idx="266">
                  <c:v>-0.10026468969685709</c:v>
                </c:pt>
                <c:pt idx="267">
                  <c:v>-8.2749348332129102E-2</c:v>
                </c:pt>
                <c:pt idx="268">
                  <c:v>-3.0590612524065364E-2</c:v>
                </c:pt>
                <c:pt idx="269">
                  <c:v>0.10794504216914191</c:v>
                </c:pt>
                <c:pt idx="270">
                  <c:v>0.16978414436844247</c:v>
                </c:pt>
                <c:pt idx="271">
                  <c:v>0.20592835099901663</c:v>
                </c:pt>
                <c:pt idx="272">
                  <c:v>0.17765468552725139</c:v>
                </c:pt>
                <c:pt idx="273">
                  <c:v>0.18937583439664962</c:v>
                </c:pt>
                <c:pt idx="274">
                  <c:v>0.21554624066872208</c:v>
                </c:pt>
                <c:pt idx="275">
                  <c:v>0.27188435110218023</c:v>
                </c:pt>
                <c:pt idx="276">
                  <c:v>0.36956367578819993</c:v>
                </c:pt>
                <c:pt idx="277">
                  <c:v>0.68518635266997308</c:v>
                </c:pt>
                <c:pt idx="278">
                  <c:v>1.0132076937862422</c:v>
                </c:pt>
                <c:pt idx="279">
                  <c:v>1.3216778876090984</c:v>
                </c:pt>
                <c:pt idx="280">
                  <c:v>1.4980385478679494</c:v>
                </c:pt>
                <c:pt idx="281">
                  <c:v>1.6335001643343645</c:v>
                </c:pt>
                <c:pt idx="282">
                  <c:v>1.8023831953056515</c:v>
                </c:pt>
                <c:pt idx="283">
                  <c:v>1.9117658184848096</c:v>
                </c:pt>
                <c:pt idx="284">
                  <c:v>2.0801793743262067</c:v>
                </c:pt>
                <c:pt idx="285">
                  <c:v>2.1277947884546364</c:v>
                </c:pt>
                <c:pt idx="286">
                  <c:v>2.2126468104817008</c:v>
                </c:pt>
                <c:pt idx="287">
                  <c:v>2.1988682316085146</c:v>
                </c:pt>
                <c:pt idx="288">
                  <c:v>2.1685987668889766</c:v>
                </c:pt>
                <c:pt idx="289">
                  <c:v>2.147292505164117</c:v>
                </c:pt>
                <c:pt idx="290">
                  <c:v>2.1946760037538837</c:v>
                </c:pt>
                <c:pt idx="291">
                  <c:v>2.0368747447714384</c:v>
                </c:pt>
                <c:pt idx="292">
                  <c:v>1.8812541031781365</c:v>
                </c:pt>
                <c:pt idx="293">
                  <c:v>1.7682036961955845</c:v>
                </c:pt>
                <c:pt idx="294">
                  <c:v>1.7368598879192803</c:v>
                </c:pt>
                <c:pt idx="295">
                  <c:v>1.6941049396923233</c:v>
                </c:pt>
                <c:pt idx="296">
                  <c:v>1.6085948812274182</c:v>
                </c:pt>
                <c:pt idx="297">
                  <c:v>1.435518967829239</c:v>
                </c:pt>
                <c:pt idx="298">
                  <c:v>1.2580319249351817</c:v>
                </c:pt>
                <c:pt idx="299">
                  <c:v>1.0679434220986934</c:v>
                </c:pt>
                <c:pt idx="300">
                  <c:v>0.98342458458179749</c:v>
                </c:pt>
                <c:pt idx="301">
                  <c:v>0.846967665335427</c:v>
                </c:pt>
                <c:pt idx="302">
                  <c:v>0.72242771247478288</c:v>
                </c:pt>
                <c:pt idx="303">
                  <c:v>0.65092287519108538</c:v>
                </c:pt>
                <c:pt idx="304">
                  <c:v>0.50451967931135755</c:v>
                </c:pt>
                <c:pt idx="305">
                  <c:v>0.40640299103736766</c:v>
                </c:pt>
                <c:pt idx="306">
                  <c:v>0.31373147753451747</c:v>
                </c:pt>
                <c:pt idx="307">
                  <c:v>0.3340745199179338</c:v>
                </c:pt>
                <c:pt idx="308">
                  <c:v>0.40364158138736173</c:v>
                </c:pt>
                <c:pt idx="309">
                  <c:v>0.42403011579916949</c:v>
                </c:pt>
                <c:pt idx="310">
                  <c:v>0.53488688645460059</c:v>
                </c:pt>
                <c:pt idx="311">
                  <c:v>0.63558792458685787</c:v>
                </c:pt>
                <c:pt idx="312">
                  <c:v>0.66416465902565847</c:v>
                </c:pt>
                <c:pt idx="313">
                  <c:v>0.82656335798455416</c:v>
                </c:pt>
                <c:pt idx="314">
                  <c:v>0.68512002118043824</c:v>
                </c:pt>
                <c:pt idx="315">
                  <c:v>0.44205051204694712</c:v>
                </c:pt>
                <c:pt idx="316">
                  <c:v>0.25056242925522554</c:v>
                </c:pt>
                <c:pt idx="317">
                  <c:v>0.21973202331577113</c:v>
                </c:pt>
                <c:pt idx="318">
                  <c:v>0.25768846284108804</c:v>
                </c:pt>
                <c:pt idx="319">
                  <c:v>0.33793708682426882</c:v>
                </c:pt>
                <c:pt idx="320">
                  <c:v>0.47832632684729504</c:v>
                </c:pt>
                <c:pt idx="321">
                  <c:v>0.53580135732860867</c:v>
                </c:pt>
                <c:pt idx="322">
                  <c:v>0.56036667913217286</c:v>
                </c:pt>
                <c:pt idx="323">
                  <c:v>0.67852621411635994</c:v>
                </c:pt>
                <c:pt idx="324">
                  <c:v>0.74502127754706748</c:v>
                </c:pt>
                <c:pt idx="325">
                  <c:v>0.8787707286389832</c:v>
                </c:pt>
                <c:pt idx="326">
                  <c:v>0.92568245552138251</c:v>
                </c:pt>
                <c:pt idx="327">
                  <c:v>0.88966534746032266</c:v>
                </c:pt>
                <c:pt idx="328">
                  <c:v>0.80264721040438758</c:v>
                </c:pt>
                <c:pt idx="329">
                  <c:v>0.71575098096849388</c:v>
                </c:pt>
                <c:pt idx="330">
                  <c:v>0.68418554786664743</c:v>
                </c:pt>
                <c:pt idx="331">
                  <c:v>0.66761222509038021</c:v>
                </c:pt>
                <c:pt idx="332">
                  <c:v>0.54650649100537407</c:v>
                </c:pt>
                <c:pt idx="333">
                  <c:v>0.47411303562817864</c:v>
                </c:pt>
                <c:pt idx="334">
                  <c:v>0.41598012288960717</c:v>
                </c:pt>
                <c:pt idx="335">
                  <c:v>0.36728932091048705</c:v>
                </c:pt>
                <c:pt idx="336">
                  <c:v>0.37920063764012468</c:v>
                </c:pt>
                <c:pt idx="337">
                  <c:v>0.28609183293951901</c:v>
                </c:pt>
                <c:pt idx="338">
                  <c:v>0.1580311815878872</c:v>
                </c:pt>
                <c:pt idx="339">
                  <c:v>-2.3076521682909856E-2</c:v>
                </c:pt>
                <c:pt idx="340">
                  <c:v>-0.21017712656249898</c:v>
                </c:pt>
                <c:pt idx="341">
                  <c:v>-0.33841632267541399</c:v>
                </c:pt>
                <c:pt idx="342">
                  <c:v>-0.23959043561090709</c:v>
                </c:pt>
                <c:pt idx="343">
                  <c:v>-0.12832125986962239</c:v>
                </c:pt>
                <c:pt idx="344">
                  <c:v>-4.5266250273243713E-2</c:v>
                </c:pt>
                <c:pt idx="345">
                  <c:v>1.1758940005393015E-3</c:v>
                </c:pt>
                <c:pt idx="346">
                  <c:v>5.0312321633839474E-2</c:v>
                </c:pt>
                <c:pt idx="347">
                  <c:v>3.1597986342163153E-2</c:v>
                </c:pt>
                <c:pt idx="348">
                  <c:v>6.6832077081244279E-2</c:v>
                </c:pt>
                <c:pt idx="349">
                  <c:v>9.4473235613790507E-2</c:v>
                </c:pt>
                <c:pt idx="350">
                  <c:v>6.4796385625172093E-2</c:v>
                </c:pt>
                <c:pt idx="351">
                  <c:v>6.7929379102750431E-2</c:v>
                </c:pt>
                <c:pt idx="352">
                  <c:v>0.11827084830480317</c:v>
                </c:pt>
                <c:pt idx="353">
                  <c:v>0.14838714641690842</c:v>
                </c:pt>
                <c:pt idx="354">
                  <c:v>0.10328296805553805</c:v>
                </c:pt>
                <c:pt idx="355">
                  <c:v>8.3520059447010908E-2</c:v>
                </c:pt>
                <c:pt idx="356">
                  <c:v>3.0389346896768643E-2</c:v>
                </c:pt>
                <c:pt idx="357">
                  <c:v>2.3516118010988407E-2</c:v>
                </c:pt>
                <c:pt idx="358">
                  <c:v>5.1367393180129284E-2</c:v>
                </c:pt>
                <c:pt idx="359">
                  <c:v>0.11887061568381796</c:v>
                </c:pt>
                <c:pt idx="360">
                  <c:v>0.14806692259487875</c:v>
                </c:pt>
                <c:pt idx="361">
                  <c:v>0.18281540325060064</c:v>
                </c:pt>
                <c:pt idx="362">
                  <c:v>0.11063469261618764</c:v>
                </c:pt>
                <c:pt idx="363">
                  <c:v>1.2936019696169865E-2</c:v>
                </c:pt>
                <c:pt idx="364">
                  <c:v>-0.13555081543714209</c:v>
                </c:pt>
                <c:pt idx="365">
                  <c:v>-0.28304846899813185</c:v>
                </c:pt>
                <c:pt idx="366">
                  <c:v>-0.42489935462000972</c:v>
                </c:pt>
                <c:pt idx="367">
                  <c:v>-0.45939905868706887</c:v>
                </c:pt>
                <c:pt idx="368">
                  <c:v>-0.44370054695970396</c:v>
                </c:pt>
                <c:pt idx="369">
                  <c:v>-0.47261253296294115</c:v>
                </c:pt>
                <c:pt idx="370">
                  <c:v>-0.50264200880064891</c:v>
                </c:pt>
                <c:pt idx="371">
                  <c:v>-0.45183727324558731</c:v>
                </c:pt>
                <c:pt idx="372">
                  <c:v>-0.37337957703296354</c:v>
                </c:pt>
                <c:pt idx="373">
                  <c:v>-0.23426452071785775</c:v>
                </c:pt>
                <c:pt idx="374">
                  <c:v>-0.18322834245711306</c:v>
                </c:pt>
                <c:pt idx="375">
                  <c:v>-0.10605494533022863</c:v>
                </c:pt>
                <c:pt idx="376">
                  <c:v>-7.1505361309689874E-2</c:v>
                </c:pt>
                <c:pt idx="377">
                  <c:v>-0.10504622441256117</c:v>
                </c:pt>
                <c:pt idx="378">
                  <c:v>-0.19075435106680061</c:v>
                </c:pt>
                <c:pt idx="379">
                  <c:v>-0.23259685085497495</c:v>
                </c:pt>
                <c:pt idx="380">
                  <c:v>-0.25475155181887033</c:v>
                </c:pt>
                <c:pt idx="381">
                  <c:v>-0.30111490383538353</c:v>
                </c:pt>
                <c:pt idx="382">
                  <c:v>-0.34278288728039286</c:v>
                </c:pt>
                <c:pt idx="383">
                  <c:v>-0.37870187274552336</c:v>
                </c:pt>
                <c:pt idx="384">
                  <c:v>-0.29722869186781509</c:v>
                </c:pt>
                <c:pt idx="385">
                  <c:v>-0.28904054511899346</c:v>
                </c:pt>
                <c:pt idx="386">
                  <c:v>-0.26178156353380189</c:v>
                </c:pt>
                <c:pt idx="387">
                  <c:v>-0.27014809860483524</c:v>
                </c:pt>
                <c:pt idx="388">
                  <c:v>-0.31351050530032865</c:v>
                </c:pt>
                <c:pt idx="389">
                  <c:v>-0.34869745635462834</c:v>
                </c:pt>
                <c:pt idx="390">
                  <c:v>-0.3667077746295746</c:v>
                </c:pt>
                <c:pt idx="391">
                  <c:v>-0.46279326302585844</c:v>
                </c:pt>
                <c:pt idx="392">
                  <c:v>-0.42989393612238302</c:v>
                </c:pt>
                <c:pt idx="393">
                  <c:v>-0.44947544426213426</c:v>
                </c:pt>
                <c:pt idx="394">
                  <c:v>-0.52829884301250729</c:v>
                </c:pt>
                <c:pt idx="395">
                  <c:v>-0.50665565009029478</c:v>
                </c:pt>
                <c:pt idx="396">
                  <c:v>-0.47594767101915636</c:v>
                </c:pt>
                <c:pt idx="397">
                  <c:v>-0.43928532079510774</c:v>
                </c:pt>
                <c:pt idx="398">
                  <c:v>-0.3688600000122193</c:v>
                </c:pt>
                <c:pt idx="399">
                  <c:v>-0.23608962048132298</c:v>
                </c:pt>
                <c:pt idx="400">
                  <c:v>-0.13655625052999198</c:v>
                </c:pt>
                <c:pt idx="401">
                  <c:v>-2.4311516231605879E-2</c:v>
                </c:pt>
                <c:pt idx="402">
                  <c:v>6.0715686039003458E-2</c:v>
                </c:pt>
                <c:pt idx="403">
                  <c:v>0.10669750336168704</c:v>
                </c:pt>
                <c:pt idx="404">
                  <c:v>6.891462515740443E-2</c:v>
                </c:pt>
                <c:pt idx="405">
                  <c:v>6.8042972716355621E-2</c:v>
                </c:pt>
                <c:pt idx="406">
                  <c:v>3.564692624735244E-3</c:v>
                </c:pt>
                <c:pt idx="407">
                  <c:v>3.2778978107074863E-2</c:v>
                </c:pt>
                <c:pt idx="408">
                  <c:v>0.10076419917606927</c:v>
                </c:pt>
                <c:pt idx="409">
                  <c:v>0.14968978036488068</c:v>
                </c:pt>
                <c:pt idx="410">
                  <c:v>0.14403671969668608</c:v>
                </c:pt>
                <c:pt idx="411">
                  <c:v>4.2239743735024149E-2</c:v>
                </c:pt>
                <c:pt idx="412">
                  <c:v>-5.3951502317374889E-2</c:v>
                </c:pt>
                <c:pt idx="413">
                  <c:v>-0.12072297426934142</c:v>
                </c:pt>
                <c:pt idx="414">
                  <c:v>-0.20915392267308164</c:v>
                </c:pt>
                <c:pt idx="415">
                  <c:v>-0.2257974985145097</c:v>
                </c:pt>
                <c:pt idx="416">
                  <c:v>-0.23068010068639921</c:v>
                </c:pt>
                <c:pt idx="417">
                  <c:v>-0.23746071377620126</c:v>
                </c:pt>
                <c:pt idx="418">
                  <c:v>-0.29909839396023585</c:v>
                </c:pt>
                <c:pt idx="419">
                  <c:v>-0.36711539816184313</c:v>
                </c:pt>
                <c:pt idx="420">
                  <c:v>-0.45850062483647491</c:v>
                </c:pt>
                <c:pt idx="421">
                  <c:v>-0.49057166425579624</c:v>
                </c:pt>
                <c:pt idx="422">
                  <c:v>-0.51329886990617979</c:v>
                </c:pt>
                <c:pt idx="423">
                  <c:v>-0.54120994134275691</c:v>
                </c:pt>
                <c:pt idx="424">
                  <c:v>-0.60557092390595813</c:v>
                </c:pt>
                <c:pt idx="425">
                  <c:v>-0.71291276581267482</c:v>
                </c:pt>
                <c:pt idx="426">
                  <c:v>-0.78649497510355104</c:v>
                </c:pt>
                <c:pt idx="427">
                  <c:v>-0.77136428466073426</c:v>
                </c:pt>
                <c:pt idx="428">
                  <c:v>-0.79698708520085404</c:v>
                </c:pt>
                <c:pt idx="429">
                  <c:v>-0.81037261741661837</c:v>
                </c:pt>
                <c:pt idx="430">
                  <c:v>-0.82917469972336733</c:v>
                </c:pt>
                <c:pt idx="431">
                  <c:v>-0.79457035167624213</c:v>
                </c:pt>
                <c:pt idx="432">
                  <c:v>-0.77914449093645999</c:v>
                </c:pt>
                <c:pt idx="433">
                  <c:v>-0.79567244060260123</c:v>
                </c:pt>
                <c:pt idx="434">
                  <c:v>-0.8242835414452685</c:v>
                </c:pt>
                <c:pt idx="435">
                  <c:v>-0.80779043194657163</c:v>
                </c:pt>
                <c:pt idx="436">
                  <c:v>-0.76332670875588349</c:v>
                </c:pt>
                <c:pt idx="437">
                  <c:v>-0.68309642182579466</c:v>
                </c:pt>
                <c:pt idx="438">
                  <c:v>-0.66669837455206959</c:v>
                </c:pt>
                <c:pt idx="439">
                  <c:v>-0.6023785554680785</c:v>
                </c:pt>
                <c:pt idx="440">
                  <c:v>-0.58899546581002937</c:v>
                </c:pt>
                <c:pt idx="441">
                  <c:v>-0.51675520507156136</c:v>
                </c:pt>
                <c:pt idx="442">
                  <c:v>-0.50771505543235662</c:v>
                </c:pt>
                <c:pt idx="443">
                  <c:v>-0.47490337061037735</c:v>
                </c:pt>
                <c:pt idx="444">
                  <c:v>-0.39033691246655167</c:v>
                </c:pt>
                <c:pt idx="445">
                  <c:v>-0.33877815565907099</c:v>
                </c:pt>
                <c:pt idx="446">
                  <c:v>-0.23788422191351799</c:v>
                </c:pt>
                <c:pt idx="447">
                  <c:v>-0.1904273311224074</c:v>
                </c:pt>
                <c:pt idx="448">
                  <c:v>-0.11039213370916912</c:v>
                </c:pt>
                <c:pt idx="449">
                  <c:v>2.1377803109857041E-2</c:v>
                </c:pt>
                <c:pt idx="450">
                  <c:v>0.12437273590983011</c:v>
                </c:pt>
                <c:pt idx="451">
                  <c:v>0.42541580022992775</c:v>
                </c:pt>
                <c:pt idx="452">
                  <c:v>0.62372115489405644</c:v>
                </c:pt>
                <c:pt idx="453">
                  <c:v>0.7025789552161541</c:v>
                </c:pt>
                <c:pt idx="454">
                  <c:v>0.73800795597887259</c:v>
                </c:pt>
                <c:pt idx="455">
                  <c:v>0.78527560095275817</c:v>
                </c:pt>
                <c:pt idx="456">
                  <c:v>0.82133685441145587</c:v>
                </c:pt>
                <c:pt idx="457">
                  <c:v>0.6958425446778449</c:v>
                </c:pt>
                <c:pt idx="458">
                  <c:v>0.63984737272497227</c:v>
                </c:pt>
                <c:pt idx="459">
                  <c:v>0.58230303717529353</c:v>
                </c:pt>
                <c:pt idx="460">
                  <c:v>0.45639447756030904</c:v>
                </c:pt>
                <c:pt idx="461">
                  <c:v>0.40758982854501369</c:v>
                </c:pt>
                <c:pt idx="462">
                  <c:v>0.35274185762368404</c:v>
                </c:pt>
                <c:pt idx="463">
                  <c:v>0.3496245942793621</c:v>
                </c:pt>
                <c:pt idx="464">
                  <c:v>0.46205836693803803</c:v>
                </c:pt>
                <c:pt idx="465">
                  <c:v>0.54248872025252126</c:v>
                </c:pt>
                <c:pt idx="466">
                  <c:v>0.68627331364416477</c:v>
                </c:pt>
                <c:pt idx="467">
                  <c:v>0.78312707412317195</c:v>
                </c:pt>
                <c:pt idx="468">
                  <c:v>0.81498540983608336</c:v>
                </c:pt>
                <c:pt idx="469">
                  <c:v>0.83783754853040193</c:v>
                </c:pt>
                <c:pt idx="470">
                  <c:v>0.80790304125638102</c:v>
                </c:pt>
                <c:pt idx="471">
                  <c:v>0.81832013052878949</c:v>
                </c:pt>
                <c:pt idx="472">
                  <c:v>0.80838115340002048</c:v>
                </c:pt>
                <c:pt idx="473">
                  <c:v>0.79935909264783334</c:v>
                </c:pt>
                <c:pt idx="474">
                  <c:v>0.92198444000555924</c:v>
                </c:pt>
                <c:pt idx="475">
                  <c:v>0.97883353619742763</c:v>
                </c:pt>
                <c:pt idx="476">
                  <c:v>1.0138140698383893</c:v>
                </c:pt>
                <c:pt idx="477">
                  <c:v>1.0512054956843002</c:v>
                </c:pt>
                <c:pt idx="478">
                  <c:v>1.087666521681129</c:v>
                </c:pt>
                <c:pt idx="479">
                  <c:v>1.0105044591808365</c:v>
                </c:pt>
                <c:pt idx="480">
                  <c:v>0.83642586936801422</c:v>
                </c:pt>
                <c:pt idx="481">
                  <c:v>0.70167568225690502</c:v>
                </c:pt>
                <c:pt idx="482">
                  <c:v>0.55938792104727497</c:v>
                </c:pt>
                <c:pt idx="483">
                  <c:v>0.40563667883405685</c:v>
                </c:pt>
                <c:pt idx="484">
                  <c:v>0.30049668360906878</c:v>
                </c:pt>
                <c:pt idx="485">
                  <c:v>0.2019340470811386</c:v>
                </c:pt>
                <c:pt idx="486">
                  <c:v>0.13198401507683855</c:v>
                </c:pt>
                <c:pt idx="487">
                  <c:v>-1.2073520141086647E-2</c:v>
                </c:pt>
                <c:pt idx="488">
                  <c:v>-1.2322887959783202E-2</c:v>
                </c:pt>
                <c:pt idx="489">
                  <c:v>2.3519606062137655E-2</c:v>
                </c:pt>
                <c:pt idx="490">
                  <c:v>3.4700545857333509E-3</c:v>
                </c:pt>
                <c:pt idx="491">
                  <c:v>1.1653795684438251E-2</c:v>
                </c:pt>
                <c:pt idx="492">
                  <c:v>-6.7965928642479412E-3</c:v>
                </c:pt>
                <c:pt idx="493">
                  <c:v>-4.5106195369768898E-2</c:v>
                </c:pt>
                <c:pt idx="494">
                  <c:v>-6.2640998525154146E-2</c:v>
                </c:pt>
                <c:pt idx="495">
                  <c:v>-0.1027877417548666</c:v>
                </c:pt>
                <c:pt idx="496">
                  <c:v>-0.11392507343904867</c:v>
                </c:pt>
                <c:pt idx="497">
                  <c:v>-0.14049791081625074</c:v>
                </c:pt>
                <c:pt idx="498">
                  <c:v>-0.13658206647284032</c:v>
                </c:pt>
                <c:pt idx="499">
                  <c:v>-0.13913709365139937</c:v>
                </c:pt>
                <c:pt idx="500">
                  <c:v>-0.1523168204305847</c:v>
                </c:pt>
                <c:pt idx="501">
                  <c:v>-0.22392695599343426</c:v>
                </c:pt>
                <c:pt idx="502">
                  <c:v>-0.37161094304700271</c:v>
                </c:pt>
                <c:pt idx="503">
                  <c:v>-0.49106009594599698</c:v>
                </c:pt>
                <c:pt idx="504">
                  <c:v>-0.60298111208115301</c:v>
                </c:pt>
                <c:pt idx="505">
                  <c:v>-0.53781403227728219</c:v>
                </c:pt>
                <c:pt idx="506">
                  <c:v>-0.38968809759018086</c:v>
                </c:pt>
                <c:pt idx="507">
                  <c:v>-0.26999184565482892</c:v>
                </c:pt>
                <c:pt idx="508">
                  <c:v>-0.11410456170939653</c:v>
                </c:pt>
                <c:pt idx="509">
                  <c:v>2.5284103053664353E-2</c:v>
                </c:pt>
                <c:pt idx="510">
                  <c:v>5.7622411878810453E-2</c:v>
                </c:pt>
                <c:pt idx="511">
                  <c:v>7.9111144868534211E-2</c:v>
                </c:pt>
                <c:pt idx="512">
                  <c:v>0.19954691977652317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0FD9-4A54-B092-251A3BCC8C3B}"/>
            </c:ext>
          </c:extLst>
        </c:ser>
        <c:ser>
          <c:idx val="1"/>
          <c:order val="1"/>
          <c:tx>
            <c:strRef>
              <c:f>Data!$Z$1</c:f>
              <c:strCache>
                <c:ptCount val="1"/>
                <c:pt idx="0">
                  <c:v>Signal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Data!$B$2:$B$514</c:f>
              <c:numCache>
                <c:formatCode>m/d/yyyy</c:formatCode>
                <c:ptCount val="513"/>
                <c:pt idx="0">
                  <c:v>45293</c:v>
                </c:pt>
                <c:pt idx="1">
                  <c:v>45294</c:v>
                </c:pt>
                <c:pt idx="2">
                  <c:v>45295</c:v>
                </c:pt>
                <c:pt idx="3">
                  <c:v>45296</c:v>
                </c:pt>
                <c:pt idx="4">
                  <c:v>45299</c:v>
                </c:pt>
                <c:pt idx="5">
                  <c:v>45300</c:v>
                </c:pt>
                <c:pt idx="6">
                  <c:v>45301</c:v>
                </c:pt>
                <c:pt idx="7">
                  <c:v>45302</c:v>
                </c:pt>
                <c:pt idx="8">
                  <c:v>45303</c:v>
                </c:pt>
                <c:pt idx="9">
                  <c:v>45307</c:v>
                </c:pt>
                <c:pt idx="10">
                  <c:v>45308</c:v>
                </c:pt>
                <c:pt idx="11">
                  <c:v>45309</c:v>
                </c:pt>
                <c:pt idx="12">
                  <c:v>45310</c:v>
                </c:pt>
                <c:pt idx="13">
                  <c:v>45313</c:v>
                </c:pt>
                <c:pt idx="14">
                  <c:v>45314</c:v>
                </c:pt>
                <c:pt idx="15">
                  <c:v>45315</c:v>
                </c:pt>
                <c:pt idx="16">
                  <c:v>45316</c:v>
                </c:pt>
                <c:pt idx="17">
                  <c:v>45317</c:v>
                </c:pt>
                <c:pt idx="18">
                  <c:v>45320</c:v>
                </c:pt>
                <c:pt idx="19">
                  <c:v>45321</c:v>
                </c:pt>
                <c:pt idx="20">
                  <c:v>45322</c:v>
                </c:pt>
                <c:pt idx="21">
                  <c:v>45323</c:v>
                </c:pt>
                <c:pt idx="22">
                  <c:v>45324</c:v>
                </c:pt>
                <c:pt idx="23">
                  <c:v>45327</c:v>
                </c:pt>
                <c:pt idx="24">
                  <c:v>45328</c:v>
                </c:pt>
                <c:pt idx="25">
                  <c:v>45329</c:v>
                </c:pt>
                <c:pt idx="26">
                  <c:v>45330</c:v>
                </c:pt>
                <c:pt idx="27">
                  <c:v>45331</c:v>
                </c:pt>
                <c:pt idx="28">
                  <c:v>45334</c:v>
                </c:pt>
                <c:pt idx="29">
                  <c:v>45335</c:v>
                </c:pt>
                <c:pt idx="30">
                  <c:v>45336</c:v>
                </c:pt>
                <c:pt idx="31">
                  <c:v>45337</c:v>
                </c:pt>
                <c:pt idx="32">
                  <c:v>45338</c:v>
                </c:pt>
                <c:pt idx="33">
                  <c:v>45342</c:v>
                </c:pt>
                <c:pt idx="34">
                  <c:v>45343</c:v>
                </c:pt>
                <c:pt idx="35">
                  <c:v>45344</c:v>
                </c:pt>
                <c:pt idx="36">
                  <c:v>45345</c:v>
                </c:pt>
                <c:pt idx="37">
                  <c:v>45348</c:v>
                </c:pt>
                <c:pt idx="38">
                  <c:v>45349</c:v>
                </c:pt>
                <c:pt idx="39">
                  <c:v>45350</c:v>
                </c:pt>
                <c:pt idx="40">
                  <c:v>45351</c:v>
                </c:pt>
                <c:pt idx="41">
                  <c:v>45352</c:v>
                </c:pt>
                <c:pt idx="42">
                  <c:v>45355</c:v>
                </c:pt>
                <c:pt idx="43">
                  <c:v>45356</c:v>
                </c:pt>
                <c:pt idx="44">
                  <c:v>45357</c:v>
                </c:pt>
                <c:pt idx="45">
                  <c:v>45358</c:v>
                </c:pt>
                <c:pt idx="46">
                  <c:v>45359</c:v>
                </c:pt>
                <c:pt idx="47">
                  <c:v>45362</c:v>
                </c:pt>
                <c:pt idx="48">
                  <c:v>45363</c:v>
                </c:pt>
                <c:pt idx="49">
                  <c:v>45364</c:v>
                </c:pt>
                <c:pt idx="50">
                  <c:v>45365</c:v>
                </c:pt>
                <c:pt idx="51">
                  <c:v>45366</c:v>
                </c:pt>
                <c:pt idx="52">
                  <c:v>45369</c:v>
                </c:pt>
                <c:pt idx="53">
                  <c:v>45370</c:v>
                </c:pt>
                <c:pt idx="54">
                  <c:v>45371</c:v>
                </c:pt>
                <c:pt idx="55">
                  <c:v>45372</c:v>
                </c:pt>
                <c:pt idx="56">
                  <c:v>45373</c:v>
                </c:pt>
                <c:pt idx="57">
                  <c:v>45376</c:v>
                </c:pt>
                <c:pt idx="58">
                  <c:v>45377</c:v>
                </c:pt>
                <c:pt idx="59">
                  <c:v>45378</c:v>
                </c:pt>
                <c:pt idx="60">
                  <c:v>45379</c:v>
                </c:pt>
                <c:pt idx="61">
                  <c:v>45383</c:v>
                </c:pt>
                <c:pt idx="62">
                  <c:v>45384</c:v>
                </c:pt>
                <c:pt idx="63">
                  <c:v>45385</c:v>
                </c:pt>
                <c:pt idx="64">
                  <c:v>45386</c:v>
                </c:pt>
                <c:pt idx="65">
                  <c:v>45387</c:v>
                </c:pt>
                <c:pt idx="66">
                  <c:v>45390</c:v>
                </c:pt>
                <c:pt idx="67">
                  <c:v>45391</c:v>
                </c:pt>
                <c:pt idx="68">
                  <c:v>45392</c:v>
                </c:pt>
                <c:pt idx="69">
                  <c:v>45393</c:v>
                </c:pt>
                <c:pt idx="70">
                  <c:v>45394</c:v>
                </c:pt>
                <c:pt idx="71">
                  <c:v>45397</c:v>
                </c:pt>
                <c:pt idx="72">
                  <c:v>45398</c:v>
                </c:pt>
                <c:pt idx="73">
                  <c:v>45399</c:v>
                </c:pt>
                <c:pt idx="74">
                  <c:v>45400</c:v>
                </c:pt>
                <c:pt idx="75">
                  <c:v>45401</c:v>
                </c:pt>
                <c:pt idx="76">
                  <c:v>45404</c:v>
                </c:pt>
                <c:pt idx="77">
                  <c:v>45405</c:v>
                </c:pt>
                <c:pt idx="78">
                  <c:v>45406</c:v>
                </c:pt>
                <c:pt idx="79">
                  <c:v>45407</c:v>
                </c:pt>
                <c:pt idx="80">
                  <c:v>45408</c:v>
                </c:pt>
                <c:pt idx="81">
                  <c:v>45411</c:v>
                </c:pt>
                <c:pt idx="82">
                  <c:v>45412</c:v>
                </c:pt>
                <c:pt idx="83">
                  <c:v>45413</c:v>
                </c:pt>
                <c:pt idx="84">
                  <c:v>45414</c:v>
                </c:pt>
                <c:pt idx="85">
                  <c:v>45415</c:v>
                </c:pt>
                <c:pt idx="86">
                  <c:v>45418</c:v>
                </c:pt>
                <c:pt idx="87">
                  <c:v>45419</c:v>
                </c:pt>
                <c:pt idx="88">
                  <c:v>45420</c:v>
                </c:pt>
                <c:pt idx="89">
                  <c:v>45421</c:v>
                </c:pt>
                <c:pt idx="90">
                  <c:v>45422</c:v>
                </c:pt>
                <c:pt idx="91">
                  <c:v>45425</c:v>
                </c:pt>
                <c:pt idx="92">
                  <c:v>45426</c:v>
                </c:pt>
                <c:pt idx="93">
                  <c:v>45427</c:v>
                </c:pt>
                <c:pt idx="94">
                  <c:v>45428</c:v>
                </c:pt>
                <c:pt idx="95">
                  <c:v>45429</c:v>
                </c:pt>
                <c:pt idx="96">
                  <c:v>45432</c:v>
                </c:pt>
                <c:pt idx="97">
                  <c:v>45433</c:v>
                </c:pt>
                <c:pt idx="98">
                  <c:v>45434</c:v>
                </c:pt>
                <c:pt idx="99">
                  <c:v>45435</c:v>
                </c:pt>
                <c:pt idx="100">
                  <c:v>45436</c:v>
                </c:pt>
                <c:pt idx="101">
                  <c:v>45440</c:v>
                </c:pt>
                <c:pt idx="102">
                  <c:v>45441</c:v>
                </c:pt>
                <c:pt idx="103">
                  <c:v>45442</c:v>
                </c:pt>
                <c:pt idx="104">
                  <c:v>45443</c:v>
                </c:pt>
                <c:pt idx="105">
                  <c:v>45446</c:v>
                </c:pt>
                <c:pt idx="106">
                  <c:v>45447</c:v>
                </c:pt>
                <c:pt idx="107">
                  <c:v>45448</c:v>
                </c:pt>
                <c:pt idx="108">
                  <c:v>45449</c:v>
                </c:pt>
                <c:pt idx="109">
                  <c:v>45450</c:v>
                </c:pt>
                <c:pt idx="110">
                  <c:v>45453</c:v>
                </c:pt>
                <c:pt idx="111">
                  <c:v>45454</c:v>
                </c:pt>
                <c:pt idx="112">
                  <c:v>45455</c:v>
                </c:pt>
                <c:pt idx="113">
                  <c:v>45456</c:v>
                </c:pt>
                <c:pt idx="114">
                  <c:v>45457</c:v>
                </c:pt>
                <c:pt idx="115">
                  <c:v>45460</c:v>
                </c:pt>
                <c:pt idx="116">
                  <c:v>45461</c:v>
                </c:pt>
                <c:pt idx="117">
                  <c:v>45463</c:v>
                </c:pt>
                <c:pt idx="118">
                  <c:v>45464</c:v>
                </c:pt>
                <c:pt idx="119">
                  <c:v>45467</c:v>
                </c:pt>
                <c:pt idx="120">
                  <c:v>45468</c:v>
                </c:pt>
                <c:pt idx="121">
                  <c:v>45469</c:v>
                </c:pt>
                <c:pt idx="122">
                  <c:v>45470</c:v>
                </c:pt>
                <c:pt idx="123">
                  <c:v>45471</c:v>
                </c:pt>
                <c:pt idx="124">
                  <c:v>45474</c:v>
                </c:pt>
                <c:pt idx="125">
                  <c:v>45475</c:v>
                </c:pt>
                <c:pt idx="126">
                  <c:v>45476</c:v>
                </c:pt>
                <c:pt idx="127">
                  <c:v>45478</c:v>
                </c:pt>
                <c:pt idx="128">
                  <c:v>45481</c:v>
                </c:pt>
                <c:pt idx="129">
                  <c:v>45482</c:v>
                </c:pt>
                <c:pt idx="130">
                  <c:v>45483</c:v>
                </c:pt>
                <c:pt idx="131">
                  <c:v>45484</c:v>
                </c:pt>
                <c:pt idx="132">
                  <c:v>45485</c:v>
                </c:pt>
                <c:pt idx="133">
                  <c:v>45488</c:v>
                </c:pt>
                <c:pt idx="134">
                  <c:v>45489</c:v>
                </c:pt>
                <c:pt idx="135">
                  <c:v>45490</c:v>
                </c:pt>
                <c:pt idx="136">
                  <c:v>45491</c:v>
                </c:pt>
                <c:pt idx="137">
                  <c:v>45492</c:v>
                </c:pt>
                <c:pt idx="138">
                  <c:v>45495</c:v>
                </c:pt>
                <c:pt idx="139">
                  <c:v>45496</c:v>
                </c:pt>
                <c:pt idx="140">
                  <c:v>45497</c:v>
                </c:pt>
                <c:pt idx="141">
                  <c:v>45498</c:v>
                </c:pt>
                <c:pt idx="142">
                  <c:v>45499</c:v>
                </c:pt>
                <c:pt idx="143">
                  <c:v>45502</c:v>
                </c:pt>
                <c:pt idx="144">
                  <c:v>45503</c:v>
                </c:pt>
                <c:pt idx="145">
                  <c:v>45504</c:v>
                </c:pt>
                <c:pt idx="146">
                  <c:v>45505</c:v>
                </c:pt>
                <c:pt idx="147">
                  <c:v>45506</c:v>
                </c:pt>
                <c:pt idx="148">
                  <c:v>45509</c:v>
                </c:pt>
                <c:pt idx="149">
                  <c:v>45510</c:v>
                </c:pt>
                <c:pt idx="150">
                  <c:v>45511</c:v>
                </c:pt>
                <c:pt idx="151">
                  <c:v>45512</c:v>
                </c:pt>
                <c:pt idx="152">
                  <c:v>45513</c:v>
                </c:pt>
                <c:pt idx="153">
                  <c:v>45516</c:v>
                </c:pt>
                <c:pt idx="154">
                  <c:v>45517</c:v>
                </c:pt>
                <c:pt idx="155">
                  <c:v>45518</c:v>
                </c:pt>
                <c:pt idx="156">
                  <c:v>45519</c:v>
                </c:pt>
                <c:pt idx="157">
                  <c:v>45520</c:v>
                </c:pt>
                <c:pt idx="158">
                  <c:v>45523</c:v>
                </c:pt>
                <c:pt idx="159">
                  <c:v>45524</c:v>
                </c:pt>
                <c:pt idx="160">
                  <c:v>45525</c:v>
                </c:pt>
                <c:pt idx="161">
                  <c:v>45526</c:v>
                </c:pt>
                <c:pt idx="162">
                  <c:v>45527</c:v>
                </c:pt>
                <c:pt idx="163">
                  <c:v>45530</c:v>
                </c:pt>
                <c:pt idx="164">
                  <c:v>45531</c:v>
                </c:pt>
                <c:pt idx="165">
                  <c:v>45532</c:v>
                </c:pt>
                <c:pt idx="166">
                  <c:v>45533</c:v>
                </c:pt>
                <c:pt idx="167">
                  <c:v>45534</c:v>
                </c:pt>
                <c:pt idx="168">
                  <c:v>45538</c:v>
                </c:pt>
                <c:pt idx="169">
                  <c:v>45539</c:v>
                </c:pt>
                <c:pt idx="170">
                  <c:v>45540</c:v>
                </c:pt>
                <c:pt idx="171">
                  <c:v>45541</c:v>
                </c:pt>
                <c:pt idx="172">
                  <c:v>45544</c:v>
                </c:pt>
                <c:pt idx="173">
                  <c:v>45545</c:v>
                </c:pt>
                <c:pt idx="174">
                  <c:v>45546</c:v>
                </c:pt>
                <c:pt idx="175">
                  <c:v>45547</c:v>
                </c:pt>
                <c:pt idx="176">
                  <c:v>45548</c:v>
                </c:pt>
                <c:pt idx="177">
                  <c:v>45551</c:v>
                </c:pt>
                <c:pt idx="178">
                  <c:v>45552</c:v>
                </c:pt>
                <c:pt idx="179">
                  <c:v>45553</c:v>
                </c:pt>
                <c:pt idx="180">
                  <c:v>45554</c:v>
                </c:pt>
                <c:pt idx="181">
                  <c:v>45555</c:v>
                </c:pt>
                <c:pt idx="182">
                  <c:v>45558</c:v>
                </c:pt>
                <c:pt idx="183">
                  <c:v>45559</c:v>
                </c:pt>
                <c:pt idx="184">
                  <c:v>45560</c:v>
                </c:pt>
                <c:pt idx="185">
                  <c:v>45561</c:v>
                </c:pt>
                <c:pt idx="186">
                  <c:v>45562</c:v>
                </c:pt>
                <c:pt idx="187">
                  <c:v>45565</c:v>
                </c:pt>
                <c:pt idx="188">
                  <c:v>45566</c:v>
                </c:pt>
                <c:pt idx="189">
                  <c:v>45567</c:v>
                </c:pt>
                <c:pt idx="190">
                  <c:v>45568</c:v>
                </c:pt>
                <c:pt idx="191">
                  <c:v>45569</c:v>
                </c:pt>
                <c:pt idx="192">
                  <c:v>45572</c:v>
                </c:pt>
                <c:pt idx="193">
                  <c:v>45573</c:v>
                </c:pt>
                <c:pt idx="194">
                  <c:v>45574</c:v>
                </c:pt>
                <c:pt idx="195">
                  <c:v>45575</c:v>
                </c:pt>
                <c:pt idx="196">
                  <c:v>45576</c:v>
                </c:pt>
                <c:pt idx="197">
                  <c:v>45579</c:v>
                </c:pt>
                <c:pt idx="198">
                  <c:v>45580</c:v>
                </c:pt>
                <c:pt idx="199">
                  <c:v>45581</c:v>
                </c:pt>
                <c:pt idx="200">
                  <c:v>45582</c:v>
                </c:pt>
                <c:pt idx="201">
                  <c:v>45583</c:v>
                </c:pt>
                <c:pt idx="202">
                  <c:v>45586</c:v>
                </c:pt>
                <c:pt idx="203">
                  <c:v>45587</c:v>
                </c:pt>
                <c:pt idx="204">
                  <c:v>45588</c:v>
                </c:pt>
                <c:pt idx="205">
                  <c:v>45589</c:v>
                </c:pt>
                <c:pt idx="206">
                  <c:v>45590</c:v>
                </c:pt>
                <c:pt idx="207">
                  <c:v>45593</c:v>
                </c:pt>
                <c:pt idx="208">
                  <c:v>45594</c:v>
                </c:pt>
                <c:pt idx="209">
                  <c:v>45595</c:v>
                </c:pt>
                <c:pt idx="210">
                  <c:v>45596</c:v>
                </c:pt>
                <c:pt idx="211">
                  <c:v>45597</c:v>
                </c:pt>
                <c:pt idx="212">
                  <c:v>45600</c:v>
                </c:pt>
                <c:pt idx="213">
                  <c:v>45601</c:v>
                </c:pt>
                <c:pt idx="214">
                  <c:v>45602</c:v>
                </c:pt>
                <c:pt idx="215">
                  <c:v>45603</c:v>
                </c:pt>
                <c:pt idx="216">
                  <c:v>45604</c:v>
                </c:pt>
                <c:pt idx="217">
                  <c:v>45607</c:v>
                </c:pt>
                <c:pt idx="218">
                  <c:v>45608</c:v>
                </c:pt>
                <c:pt idx="219">
                  <c:v>45609</c:v>
                </c:pt>
                <c:pt idx="220">
                  <c:v>45610</c:v>
                </c:pt>
                <c:pt idx="221">
                  <c:v>45611</c:v>
                </c:pt>
                <c:pt idx="222">
                  <c:v>45614</c:v>
                </c:pt>
                <c:pt idx="223">
                  <c:v>45615</c:v>
                </c:pt>
                <c:pt idx="224">
                  <c:v>45616</c:v>
                </c:pt>
                <c:pt idx="225">
                  <c:v>45617</c:v>
                </c:pt>
                <c:pt idx="226">
                  <c:v>45618</c:v>
                </c:pt>
                <c:pt idx="227">
                  <c:v>45621</c:v>
                </c:pt>
                <c:pt idx="228">
                  <c:v>45622</c:v>
                </c:pt>
                <c:pt idx="229">
                  <c:v>45623</c:v>
                </c:pt>
                <c:pt idx="230">
                  <c:v>45625</c:v>
                </c:pt>
                <c:pt idx="231">
                  <c:v>45628</c:v>
                </c:pt>
                <c:pt idx="232">
                  <c:v>45629</c:v>
                </c:pt>
                <c:pt idx="233">
                  <c:v>45630</c:v>
                </c:pt>
                <c:pt idx="234">
                  <c:v>45631</c:v>
                </c:pt>
                <c:pt idx="235">
                  <c:v>45632</c:v>
                </c:pt>
                <c:pt idx="236">
                  <c:v>45635</c:v>
                </c:pt>
                <c:pt idx="237">
                  <c:v>45636</c:v>
                </c:pt>
                <c:pt idx="238">
                  <c:v>45637</c:v>
                </c:pt>
                <c:pt idx="239">
                  <c:v>45638</c:v>
                </c:pt>
                <c:pt idx="240">
                  <c:v>45639</c:v>
                </c:pt>
                <c:pt idx="241">
                  <c:v>45642</c:v>
                </c:pt>
                <c:pt idx="242">
                  <c:v>45643</c:v>
                </c:pt>
                <c:pt idx="243">
                  <c:v>45644</c:v>
                </c:pt>
                <c:pt idx="244">
                  <c:v>45645</c:v>
                </c:pt>
                <c:pt idx="245">
                  <c:v>45646</c:v>
                </c:pt>
                <c:pt idx="246">
                  <c:v>45649</c:v>
                </c:pt>
                <c:pt idx="247">
                  <c:v>45650</c:v>
                </c:pt>
                <c:pt idx="248">
                  <c:v>45652</c:v>
                </c:pt>
                <c:pt idx="249">
                  <c:v>45653</c:v>
                </c:pt>
                <c:pt idx="250">
                  <c:v>45656</c:v>
                </c:pt>
                <c:pt idx="251">
                  <c:v>45657</c:v>
                </c:pt>
                <c:pt idx="252">
                  <c:v>45659</c:v>
                </c:pt>
                <c:pt idx="253">
                  <c:v>45660</c:v>
                </c:pt>
                <c:pt idx="254">
                  <c:v>45663</c:v>
                </c:pt>
                <c:pt idx="255">
                  <c:v>45664</c:v>
                </c:pt>
                <c:pt idx="256">
                  <c:v>45665</c:v>
                </c:pt>
                <c:pt idx="257">
                  <c:v>45667</c:v>
                </c:pt>
                <c:pt idx="258">
                  <c:v>45670</c:v>
                </c:pt>
                <c:pt idx="259">
                  <c:v>45671</c:v>
                </c:pt>
                <c:pt idx="260">
                  <c:v>45672</c:v>
                </c:pt>
                <c:pt idx="261">
                  <c:v>45673</c:v>
                </c:pt>
                <c:pt idx="262">
                  <c:v>45674</c:v>
                </c:pt>
                <c:pt idx="263">
                  <c:v>45678</c:v>
                </c:pt>
                <c:pt idx="264">
                  <c:v>45679</c:v>
                </c:pt>
                <c:pt idx="265">
                  <c:v>45680</c:v>
                </c:pt>
                <c:pt idx="266">
                  <c:v>45681</c:v>
                </c:pt>
                <c:pt idx="267">
                  <c:v>45684</c:v>
                </c:pt>
                <c:pt idx="268">
                  <c:v>45685</c:v>
                </c:pt>
                <c:pt idx="269">
                  <c:v>45686</c:v>
                </c:pt>
                <c:pt idx="270">
                  <c:v>45687</c:v>
                </c:pt>
                <c:pt idx="271">
                  <c:v>45688</c:v>
                </c:pt>
                <c:pt idx="272">
                  <c:v>45691</c:v>
                </c:pt>
                <c:pt idx="273">
                  <c:v>45692</c:v>
                </c:pt>
                <c:pt idx="274">
                  <c:v>45693</c:v>
                </c:pt>
                <c:pt idx="275">
                  <c:v>45694</c:v>
                </c:pt>
                <c:pt idx="276">
                  <c:v>45695</c:v>
                </c:pt>
                <c:pt idx="277">
                  <c:v>45698</c:v>
                </c:pt>
                <c:pt idx="278">
                  <c:v>45699</c:v>
                </c:pt>
                <c:pt idx="279">
                  <c:v>45700</c:v>
                </c:pt>
                <c:pt idx="280">
                  <c:v>45701</c:v>
                </c:pt>
                <c:pt idx="281">
                  <c:v>45702</c:v>
                </c:pt>
                <c:pt idx="282">
                  <c:v>45706</c:v>
                </c:pt>
                <c:pt idx="283">
                  <c:v>45707</c:v>
                </c:pt>
                <c:pt idx="284">
                  <c:v>45708</c:v>
                </c:pt>
                <c:pt idx="285">
                  <c:v>45709</c:v>
                </c:pt>
                <c:pt idx="286">
                  <c:v>45712</c:v>
                </c:pt>
                <c:pt idx="287">
                  <c:v>45713</c:v>
                </c:pt>
                <c:pt idx="288">
                  <c:v>45714</c:v>
                </c:pt>
                <c:pt idx="289">
                  <c:v>45715</c:v>
                </c:pt>
                <c:pt idx="290">
                  <c:v>45716</c:v>
                </c:pt>
                <c:pt idx="291">
                  <c:v>45719</c:v>
                </c:pt>
                <c:pt idx="292">
                  <c:v>45720</c:v>
                </c:pt>
                <c:pt idx="293">
                  <c:v>45721</c:v>
                </c:pt>
                <c:pt idx="294">
                  <c:v>45722</c:v>
                </c:pt>
                <c:pt idx="295">
                  <c:v>45723</c:v>
                </c:pt>
                <c:pt idx="296">
                  <c:v>45726</c:v>
                </c:pt>
                <c:pt idx="297">
                  <c:v>45727</c:v>
                </c:pt>
                <c:pt idx="298">
                  <c:v>45728</c:v>
                </c:pt>
                <c:pt idx="299">
                  <c:v>45729</c:v>
                </c:pt>
                <c:pt idx="300">
                  <c:v>45730</c:v>
                </c:pt>
                <c:pt idx="301">
                  <c:v>45733</c:v>
                </c:pt>
                <c:pt idx="302">
                  <c:v>45734</c:v>
                </c:pt>
                <c:pt idx="303">
                  <c:v>45735</c:v>
                </c:pt>
                <c:pt idx="304">
                  <c:v>45736</c:v>
                </c:pt>
                <c:pt idx="305">
                  <c:v>45737</c:v>
                </c:pt>
                <c:pt idx="306">
                  <c:v>45740</c:v>
                </c:pt>
                <c:pt idx="307">
                  <c:v>45741</c:v>
                </c:pt>
                <c:pt idx="308">
                  <c:v>45742</c:v>
                </c:pt>
                <c:pt idx="309">
                  <c:v>45743</c:v>
                </c:pt>
                <c:pt idx="310">
                  <c:v>45744</c:v>
                </c:pt>
                <c:pt idx="311">
                  <c:v>45747</c:v>
                </c:pt>
                <c:pt idx="312">
                  <c:v>45748</c:v>
                </c:pt>
                <c:pt idx="313">
                  <c:v>45749</c:v>
                </c:pt>
                <c:pt idx="314">
                  <c:v>45750</c:v>
                </c:pt>
                <c:pt idx="315">
                  <c:v>45751</c:v>
                </c:pt>
                <c:pt idx="316">
                  <c:v>45754</c:v>
                </c:pt>
                <c:pt idx="317">
                  <c:v>45755</c:v>
                </c:pt>
                <c:pt idx="318">
                  <c:v>45756</c:v>
                </c:pt>
                <c:pt idx="319">
                  <c:v>45757</c:v>
                </c:pt>
                <c:pt idx="320">
                  <c:v>45758</c:v>
                </c:pt>
                <c:pt idx="321">
                  <c:v>45761</c:v>
                </c:pt>
                <c:pt idx="322">
                  <c:v>45762</c:v>
                </c:pt>
                <c:pt idx="323">
                  <c:v>45763</c:v>
                </c:pt>
                <c:pt idx="324">
                  <c:v>45764</c:v>
                </c:pt>
                <c:pt idx="325">
                  <c:v>45768</c:v>
                </c:pt>
                <c:pt idx="326">
                  <c:v>45769</c:v>
                </c:pt>
                <c:pt idx="327">
                  <c:v>45770</c:v>
                </c:pt>
                <c:pt idx="328">
                  <c:v>45771</c:v>
                </c:pt>
                <c:pt idx="329">
                  <c:v>45772</c:v>
                </c:pt>
                <c:pt idx="330">
                  <c:v>45775</c:v>
                </c:pt>
                <c:pt idx="331">
                  <c:v>45776</c:v>
                </c:pt>
                <c:pt idx="332">
                  <c:v>45777</c:v>
                </c:pt>
                <c:pt idx="333">
                  <c:v>45778</c:v>
                </c:pt>
                <c:pt idx="334">
                  <c:v>45779</c:v>
                </c:pt>
                <c:pt idx="335">
                  <c:v>45782</c:v>
                </c:pt>
                <c:pt idx="336">
                  <c:v>45783</c:v>
                </c:pt>
                <c:pt idx="337">
                  <c:v>45784</c:v>
                </c:pt>
                <c:pt idx="338">
                  <c:v>45785</c:v>
                </c:pt>
                <c:pt idx="339">
                  <c:v>45786</c:v>
                </c:pt>
                <c:pt idx="340">
                  <c:v>45789</c:v>
                </c:pt>
                <c:pt idx="341">
                  <c:v>45790</c:v>
                </c:pt>
                <c:pt idx="342">
                  <c:v>45791</c:v>
                </c:pt>
                <c:pt idx="343">
                  <c:v>45792</c:v>
                </c:pt>
                <c:pt idx="344">
                  <c:v>45793</c:v>
                </c:pt>
                <c:pt idx="345">
                  <c:v>45796</c:v>
                </c:pt>
                <c:pt idx="346">
                  <c:v>45797</c:v>
                </c:pt>
                <c:pt idx="347">
                  <c:v>45798</c:v>
                </c:pt>
                <c:pt idx="348">
                  <c:v>45799</c:v>
                </c:pt>
                <c:pt idx="349">
                  <c:v>45800</c:v>
                </c:pt>
                <c:pt idx="350">
                  <c:v>45804</c:v>
                </c:pt>
                <c:pt idx="351">
                  <c:v>45805</c:v>
                </c:pt>
                <c:pt idx="352">
                  <c:v>45806</c:v>
                </c:pt>
                <c:pt idx="353">
                  <c:v>45807</c:v>
                </c:pt>
                <c:pt idx="354">
                  <c:v>45810</c:v>
                </c:pt>
                <c:pt idx="355">
                  <c:v>45811</c:v>
                </c:pt>
                <c:pt idx="356">
                  <c:v>45812</c:v>
                </c:pt>
                <c:pt idx="357">
                  <c:v>45813</c:v>
                </c:pt>
                <c:pt idx="358">
                  <c:v>45814</c:v>
                </c:pt>
                <c:pt idx="359">
                  <c:v>45817</c:v>
                </c:pt>
                <c:pt idx="360">
                  <c:v>45818</c:v>
                </c:pt>
                <c:pt idx="361">
                  <c:v>45819</c:v>
                </c:pt>
                <c:pt idx="362">
                  <c:v>45820</c:v>
                </c:pt>
                <c:pt idx="363">
                  <c:v>45821</c:v>
                </c:pt>
                <c:pt idx="364">
                  <c:v>45824</c:v>
                </c:pt>
                <c:pt idx="365">
                  <c:v>45825</c:v>
                </c:pt>
                <c:pt idx="366">
                  <c:v>45826</c:v>
                </c:pt>
                <c:pt idx="367">
                  <c:v>45828</c:v>
                </c:pt>
                <c:pt idx="368">
                  <c:v>45831</c:v>
                </c:pt>
                <c:pt idx="369">
                  <c:v>45832</c:v>
                </c:pt>
                <c:pt idx="370">
                  <c:v>45833</c:v>
                </c:pt>
                <c:pt idx="371">
                  <c:v>45834</c:v>
                </c:pt>
                <c:pt idx="372">
                  <c:v>45835</c:v>
                </c:pt>
                <c:pt idx="373">
                  <c:v>45838</c:v>
                </c:pt>
                <c:pt idx="374">
                  <c:v>45839</c:v>
                </c:pt>
                <c:pt idx="375">
                  <c:v>45840</c:v>
                </c:pt>
                <c:pt idx="376">
                  <c:v>45841</c:v>
                </c:pt>
                <c:pt idx="377">
                  <c:v>45845</c:v>
                </c:pt>
                <c:pt idx="378">
                  <c:v>45846</c:v>
                </c:pt>
                <c:pt idx="379">
                  <c:v>45847</c:v>
                </c:pt>
                <c:pt idx="380">
                  <c:v>45848</c:v>
                </c:pt>
                <c:pt idx="381">
                  <c:v>45849</c:v>
                </c:pt>
                <c:pt idx="382">
                  <c:v>45852</c:v>
                </c:pt>
                <c:pt idx="383">
                  <c:v>45853</c:v>
                </c:pt>
                <c:pt idx="384">
                  <c:v>45854</c:v>
                </c:pt>
                <c:pt idx="385">
                  <c:v>45855</c:v>
                </c:pt>
                <c:pt idx="386">
                  <c:v>45856</c:v>
                </c:pt>
                <c:pt idx="387">
                  <c:v>45859</c:v>
                </c:pt>
                <c:pt idx="388">
                  <c:v>45860</c:v>
                </c:pt>
                <c:pt idx="389">
                  <c:v>45861</c:v>
                </c:pt>
                <c:pt idx="390">
                  <c:v>45862</c:v>
                </c:pt>
                <c:pt idx="391">
                  <c:v>45863</c:v>
                </c:pt>
                <c:pt idx="392">
                  <c:v>45866</c:v>
                </c:pt>
                <c:pt idx="393">
                  <c:v>45867</c:v>
                </c:pt>
                <c:pt idx="394">
                  <c:v>45868</c:v>
                </c:pt>
                <c:pt idx="395">
                  <c:v>45869</c:v>
                </c:pt>
                <c:pt idx="396">
                  <c:v>45870</c:v>
                </c:pt>
                <c:pt idx="397">
                  <c:v>45873</c:v>
                </c:pt>
                <c:pt idx="398">
                  <c:v>45874</c:v>
                </c:pt>
                <c:pt idx="399">
                  <c:v>45875</c:v>
                </c:pt>
                <c:pt idx="400">
                  <c:v>45876</c:v>
                </c:pt>
                <c:pt idx="401">
                  <c:v>45877</c:v>
                </c:pt>
                <c:pt idx="402">
                  <c:v>45880</c:v>
                </c:pt>
                <c:pt idx="403">
                  <c:v>45881</c:v>
                </c:pt>
                <c:pt idx="404">
                  <c:v>45882</c:v>
                </c:pt>
                <c:pt idx="405">
                  <c:v>45883</c:v>
                </c:pt>
                <c:pt idx="406">
                  <c:v>45884</c:v>
                </c:pt>
                <c:pt idx="407">
                  <c:v>45887</c:v>
                </c:pt>
                <c:pt idx="408">
                  <c:v>45888</c:v>
                </c:pt>
                <c:pt idx="409">
                  <c:v>45889</c:v>
                </c:pt>
                <c:pt idx="410">
                  <c:v>45890</c:v>
                </c:pt>
                <c:pt idx="411">
                  <c:v>45891</c:v>
                </c:pt>
                <c:pt idx="412">
                  <c:v>45894</c:v>
                </c:pt>
                <c:pt idx="413">
                  <c:v>45895</c:v>
                </c:pt>
                <c:pt idx="414">
                  <c:v>45896</c:v>
                </c:pt>
                <c:pt idx="415">
                  <c:v>45897</c:v>
                </c:pt>
                <c:pt idx="416">
                  <c:v>45898</c:v>
                </c:pt>
                <c:pt idx="417">
                  <c:v>45902</c:v>
                </c:pt>
                <c:pt idx="418">
                  <c:v>45903</c:v>
                </c:pt>
                <c:pt idx="419">
                  <c:v>45904</c:v>
                </c:pt>
                <c:pt idx="420">
                  <c:v>45905</c:v>
                </c:pt>
                <c:pt idx="421">
                  <c:v>45908</c:v>
                </c:pt>
                <c:pt idx="422">
                  <c:v>45909</c:v>
                </c:pt>
                <c:pt idx="423">
                  <c:v>45910</c:v>
                </c:pt>
                <c:pt idx="424">
                  <c:v>45911</c:v>
                </c:pt>
                <c:pt idx="425">
                  <c:v>45912</c:v>
                </c:pt>
                <c:pt idx="426">
                  <c:v>45915</c:v>
                </c:pt>
                <c:pt idx="427">
                  <c:v>45916</c:v>
                </c:pt>
                <c:pt idx="428">
                  <c:v>45917</c:v>
                </c:pt>
                <c:pt idx="429">
                  <c:v>45918</c:v>
                </c:pt>
                <c:pt idx="430">
                  <c:v>45919</c:v>
                </c:pt>
                <c:pt idx="431">
                  <c:v>45922</c:v>
                </c:pt>
                <c:pt idx="432">
                  <c:v>45923</c:v>
                </c:pt>
                <c:pt idx="433">
                  <c:v>45924</c:v>
                </c:pt>
                <c:pt idx="434">
                  <c:v>45925</c:v>
                </c:pt>
                <c:pt idx="435">
                  <c:v>45926</c:v>
                </c:pt>
                <c:pt idx="436">
                  <c:v>45929</c:v>
                </c:pt>
                <c:pt idx="437">
                  <c:v>45930</c:v>
                </c:pt>
                <c:pt idx="438">
                  <c:v>45931</c:v>
                </c:pt>
                <c:pt idx="439">
                  <c:v>45932</c:v>
                </c:pt>
                <c:pt idx="440">
                  <c:v>45933</c:v>
                </c:pt>
                <c:pt idx="441">
                  <c:v>45936</c:v>
                </c:pt>
                <c:pt idx="442">
                  <c:v>45937</c:v>
                </c:pt>
                <c:pt idx="443">
                  <c:v>45938</c:v>
                </c:pt>
                <c:pt idx="444">
                  <c:v>45939</c:v>
                </c:pt>
                <c:pt idx="445">
                  <c:v>45940</c:v>
                </c:pt>
                <c:pt idx="446">
                  <c:v>45943</c:v>
                </c:pt>
                <c:pt idx="447">
                  <c:v>45944</c:v>
                </c:pt>
                <c:pt idx="448">
                  <c:v>45945</c:v>
                </c:pt>
                <c:pt idx="449">
                  <c:v>45946</c:v>
                </c:pt>
                <c:pt idx="450">
                  <c:v>45947</c:v>
                </c:pt>
                <c:pt idx="451">
                  <c:v>45950</c:v>
                </c:pt>
                <c:pt idx="452">
                  <c:v>45951</c:v>
                </c:pt>
                <c:pt idx="453">
                  <c:v>45952</c:v>
                </c:pt>
                <c:pt idx="454">
                  <c:v>45953</c:v>
                </c:pt>
                <c:pt idx="455">
                  <c:v>45954</c:v>
                </c:pt>
                <c:pt idx="456">
                  <c:v>45957</c:v>
                </c:pt>
                <c:pt idx="457">
                  <c:v>45958</c:v>
                </c:pt>
                <c:pt idx="458">
                  <c:v>45959</c:v>
                </c:pt>
                <c:pt idx="459">
                  <c:v>45960</c:v>
                </c:pt>
                <c:pt idx="460">
                  <c:v>45961</c:v>
                </c:pt>
                <c:pt idx="461">
                  <c:v>45964</c:v>
                </c:pt>
                <c:pt idx="462">
                  <c:v>45965</c:v>
                </c:pt>
                <c:pt idx="463">
                  <c:v>45966</c:v>
                </c:pt>
                <c:pt idx="464">
                  <c:v>45967</c:v>
                </c:pt>
                <c:pt idx="465">
                  <c:v>45968</c:v>
                </c:pt>
                <c:pt idx="466">
                  <c:v>45971</c:v>
                </c:pt>
                <c:pt idx="467">
                  <c:v>45972</c:v>
                </c:pt>
                <c:pt idx="468">
                  <c:v>45973</c:v>
                </c:pt>
                <c:pt idx="469">
                  <c:v>45974</c:v>
                </c:pt>
                <c:pt idx="470">
                  <c:v>45975</c:v>
                </c:pt>
                <c:pt idx="471">
                  <c:v>45978</c:v>
                </c:pt>
                <c:pt idx="472">
                  <c:v>45979</c:v>
                </c:pt>
                <c:pt idx="473">
                  <c:v>45980</c:v>
                </c:pt>
                <c:pt idx="474">
                  <c:v>45981</c:v>
                </c:pt>
                <c:pt idx="475">
                  <c:v>45982</c:v>
                </c:pt>
                <c:pt idx="476">
                  <c:v>45985</c:v>
                </c:pt>
                <c:pt idx="477">
                  <c:v>45986</c:v>
                </c:pt>
                <c:pt idx="478">
                  <c:v>45987</c:v>
                </c:pt>
                <c:pt idx="479">
                  <c:v>45989</c:v>
                </c:pt>
                <c:pt idx="480">
                  <c:v>45992</c:v>
                </c:pt>
                <c:pt idx="481">
                  <c:v>45993</c:v>
                </c:pt>
                <c:pt idx="482">
                  <c:v>45994</c:v>
                </c:pt>
                <c:pt idx="483">
                  <c:v>45995</c:v>
                </c:pt>
                <c:pt idx="484">
                  <c:v>45996</c:v>
                </c:pt>
                <c:pt idx="485">
                  <c:v>45999</c:v>
                </c:pt>
                <c:pt idx="486">
                  <c:v>46000</c:v>
                </c:pt>
                <c:pt idx="487">
                  <c:v>46001</c:v>
                </c:pt>
                <c:pt idx="488">
                  <c:v>46002</c:v>
                </c:pt>
                <c:pt idx="489">
                  <c:v>46003</c:v>
                </c:pt>
                <c:pt idx="490">
                  <c:v>46006</c:v>
                </c:pt>
                <c:pt idx="491">
                  <c:v>46007</c:v>
                </c:pt>
                <c:pt idx="492">
                  <c:v>46008</c:v>
                </c:pt>
                <c:pt idx="493">
                  <c:v>46009</c:v>
                </c:pt>
                <c:pt idx="494">
                  <c:v>46010</c:v>
                </c:pt>
                <c:pt idx="495">
                  <c:v>46013</c:v>
                </c:pt>
                <c:pt idx="496">
                  <c:v>46014</c:v>
                </c:pt>
                <c:pt idx="497">
                  <c:v>46015</c:v>
                </c:pt>
                <c:pt idx="498">
                  <c:v>46017</c:v>
                </c:pt>
                <c:pt idx="499">
                  <c:v>46020</c:v>
                </c:pt>
                <c:pt idx="500">
                  <c:v>46021</c:v>
                </c:pt>
                <c:pt idx="501">
                  <c:v>46022</c:v>
                </c:pt>
                <c:pt idx="502">
                  <c:v>46024</c:v>
                </c:pt>
                <c:pt idx="503">
                  <c:v>46027</c:v>
                </c:pt>
                <c:pt idx="504">
                  <c:v>46028</c:v>
                </c:pt>
                <c:pt idx="505">
                  <c:v>46029</c:v>
                </c:pt>
                <c:pt idx="506">
                  <c:v>46030</c:v>
                </c:pt>
                <c:pt idx="507">
                  <c:v>46031</c:v>
                </c:pt>
                <c:pt idx="508">
                  <c:v>46034</c:v>
                </c:pt>
                <c:pt idx="509">
                  <c:v>46035</c:v>
                </c:pt>
                <c:pt idx="510">
                  <c:v>46036</c:v>
                </c:pt>
                <c:pt idx="511">
                  <c:v>46037</c:v>
                </c:pt>
                <c:pt idx="512">
                  <c:v>46038</c:v>
                </c:pt>
              </c:numCache>
            </c:numRef>
          </c:cat>
          <c:val>
            <c:numRef>
              <c:f>Data!$Z$2:$Z$514</c:f>
              <c:numCache>
                <c:formatCode>General</c:formatCode>
                <c:ptCount val="513"/>
                <c:pt idx="34">
                  <c:v>2.9597344439314575E-3</c:v>
                </c:pt>
                <c:pt idx="35">
                  <c:v>5.3891313440406451E-2</c:v>
                </c:pt>
                <c:pt idx="36">
                  <c:v>9.6729466488845811E-2</c:v>
                </c:pt>
                <c:pt idx="37">
                  <c:v>0.12612557025566262</c:v>
                </c:pt>
                <c:pt idx="38">
                  <c:v>0.14622526488438536</c:v>
                </c:pt>
                <c:pt idx="39">
                  <c:v>0.15304853614143604</c:v>
                </c:pt>
                <c:pt idx="40">
                  <c:v>0.14302622289190253</c:v>
                </c:pt>
                <c:pt idx="41">
                  <c:v>0.12711206062251068</c:v>
                </c:pt>
                <c:pt idx="42">
                  <c:v>0.10342275348955692</c:v>
                </c:pt>
                <c:pt idx="43">
                  <c:v>7.6344879913501848E-2</c:v>
                </c:pt>
                <c:pt idx="44">
                  <c:v>4.6633594235982692E-2</c:v>
                </c:pt>
                <c:pt idx="45">
                  <c:v>1.7999317443806458E-2</c:v>
                </c:pt>
                <c:pt idx="46">
                  <c:v>2.9873004630150812E-3</c:v>
                </c:pt>
                <c:pt idx="47">
                  <c:v>1.4417462474125438E-3</c:v>
                </c:pt>
                <c:pt idx="48">
                  <c:v>1.8306182370585934E-2</c:v>
                </c:pt>
                <c:pt idx="49">
                  <c:v>3.5892120784266117E-2</c:v>
                </c:pt>
                <c:pt idx="50">
                  <c:v>4.303485560955056E-2</c:v>
                </c:pt>
                <c:pt idx="51">
                  <c:v>4.7148077629363704E-2</c:v>
                </c:pt>
                <c:pt idx="52">
                  <c:v>5.0634819408515885E-2</c:v>
                </c:pt>
                <c:pt idx="53">
                  <c:v>6.1727004044623709E-2</c:v>
                </c:pt>
                <c:pt idx="54">
                  <c:v>7.2396737478425247E-2</c:v>
                </c:pt>
                <c:pt idx="55">
                  <c:v>8.2396443135382136E-2</c:v>
                </c:pt>
                <c:pt idx="56">
                  <c:v>8.9828291671251975E-2</c:v>
                </c:pt>
                <c:pt idx="57">
                  <c:v>9.7289948716990204E-2</c:v>
                </c:pt>
                <c:pt idx="58">
                  <c:v>0.11197505711189062</c:v>
                </c:pt>
                <c:pt idx="59">
                  <c:v>0.13255581581066392</c:v>
                </c:pt>
                <c:pt idx="60">
                  <c:v>0.14747364702837057</c:v>
                </c:pt>
                <c:pt idx="61">
                  <c:v>0.14926808491883353</c:v>
                </c:pt>
                <c:pt idx="62">
                  <c:v>0.13729734144999922</c:v>
                </c:pt>
                <c:pt idx="63">
                  <c:v>0.10855760626498641</c:v>
                </c:pt>
                <c:pt idx="64">
                  <c:v>7.3916978956988871E-2</c:v>
                </c:pt>
                <c:pt idx="65">
                  <c:v>3.3396174134020365E-2</c:v>
                </c:pt>
                <c:pt idx="66">
                  <c:v>-1.5826739478018402E-3</c:v>
                </c:pt>
                <c:pt idx="67">
                  <c:v>-4.4014207423026863E-2</c:v>
                </c:pt>
                <c:pt idx="68">
                  <c:v>-8.671821726482129E-2</c:v>
                </c:pt>
                <c:pt idx="69">
                  <c:v>-0.1394416471799621</c:v>
                </c:pt>
                <c:pt idx="70">
                  <c:v>-0.19759700868471369</c:v>
                </c:pt>
                <c:pt idx="71">
                  <c:v>-0.25693438925236928</c:v>
                </c:pt>
                <c:pt idx="72">
                  <c:v>-0.30613698030433273</c:v>
                </c:pt>
                <c:pt idx="73">
                  <c:v>-0.33932848601996601</c:v>
                </c:pt>
                <c:pt idx="74">
                  <c:v>-0.33986863769578146</c:v>
                </c:pt>
                <c:pt idx="75">
                  <c:v>-0.31307793014153584</c:v>
                </c:pt>
                <c:pt idx="76">
                  <c:v>-0.26841171730031504</c:v>
                </c:pt>
                <c:pt idx="77">
                  <c:v>-0.19975267761950266</c:v>
                </c:pt>
                <c:pt idx="78">
                  <c:v>-0.11616800341823731</c:v>
                </c:pt>
                <c:pt idx="79">
                  <c:v>-2.7345107017738027E-2</c:v>
                </c:pt>
                <c:pt idx="80">
                  <c:v>6.4953412390385643E-2</c:v>
                </c:pt>
                <c:pt idx="81">
                  <c:v>0.15013620978898229</c:v>
                </c:pt>
                <c:pt idx="82">
                  <c:v>0.22860410325008179</c:v>
                </c:pt>
                <c:pt idx="83">
                  <c:v>0.29918603833929092</c:v>
                </c:pt>
                <c:pt idx="84">
                  <c:v>0.36331507520021333</c:v>
                </c:pt>
                <c:pt idx="85">
                  <c:v>0.42208153670892812</c:v>
                </c:pt>
                <c:pt idx="86">
                  <c:v>0.47775188796518347</c:v>
                </c:pt>
                <c:pt idx="87">
                  <c:v>0.53114394797064779</c:v>
                </c:pt>
                <c:pt idx="88">
                  <c:v>0.57957716712810303</c:v>
                </c:pt>
                <c:pt idx="89">
                  <c:v>0.62710503599278922</c:v>
                </c:pt>
                <c:pt idx="90">
                  <c:v>0.67525007328962927</c:v>
                </c:pt>
                <c:pt idx="91">
                  <c:v>0.71206094622800764</c:v>
                </c:pt>
                <c:pt idx="92">
                  <c:v>0.73869379928630152</c:v>
                </c:pt>
                <c:pt idx="93">
                  <c:v>0.75889883493912358</c:v>
                </c:pt>
                <c:pt idx="94">
                  <c:v>0.7676593932324971</c:v>
                </c:pt>
                <c:pt idx="95">
                  <c:v>0.75969884951372513</c:v>
                </c:pt>
                <c:pt idx="96">
                  <c:v>0.74536814192641421</c:v>
                </c:pt>
                <c:pt idx="97">
                  <c:v>0.72753303107695722</c:v>
                </c:pt>
                <c:pt idx="98">
                  <c:v>0.69225966067506728</c:v>
                </c:pt>
                <c:pt idx="99">
                  <c:v>0.64489171815158164</c:v>
                </c:pt>
                <c:pt idx="100">
                  <c:v>0.58808460440632859</c:v>
                </c:pt>
                <c:pt idx="101">
                  <c:v>0.52508423009297955</c:v>
                </c:pt>
                <c:pt idx="102">
                  <c:v>0.46461554289732493</c:v>
                </c:pt>
                <c:pt idx="103">
                  <c:v>0.42316082315459014</c:v>
                </c:pt>
                <c:pt idx="104">
                  <c:v>0.39483234564657094</c:v>
                </c:pt>
                <c:pt idx="105">
                  <c:v>0.39143022540712097</c:v>
                </c:pt>
                <c:pt idx="106">
                  <c:v>0.40261857078352592</c:v>
                </c:pt>
                <c:pt idx="107">
                  <c:v>0.42511729229649992</c:v>
                </c:pt>
                <c:pt idx="108">
                  <c:v>0.44872773016380296</c:v>
                </c:pt>
                <c:pt idx="109">
                  <c:v>0.46566911776632758</c:v>
                </c:pt>
                <c:pt idx="110">
                  <c:v>0.47584284757867801</c:v>
                </c:pt>
                <c:pt idx="111">
                  <c:v>0.46946741607920933</c:v>
                </c:pt>
                <c:pt idx="112">
                  <c:v>0.4537384760843759</c:v>
                </c:pt>
                <c:pt idx="113">
                  <c:v>0.42491737040879307</c:v>
                </c:pt>
                <c:pt idx="114">
                  <c:v>0.38954953538374959</c:v>
                </c:pt>
                <c:pt idx="115">
                  <c:v>0.35120405955891071</c:v>
                </c:pt>
                <c:pt idx="116">
                  <c:v>0.30502243710038285</c:v>
                </c:pt>
                <c:pt idx="117">
                  <c:v>0.26506808428329354</c:v>
                </c:pt>
                <c:pt idx="118">
                  <c:v>0.24965249199476391</c:v>
                </c:pt>
                <c:pt idx="119">
                  <c:v>0.247782347628731</c:v>
                </c:pt>
                <c:pt idx="120">
                  <c:v>0.25728594491848533</c:v>
                </c:pt>
                <c:pt idx="121">
                  <c:v>0.27060016391253267</c:v>
                </c:pt>
                <c:pt idx="122">
                  <c:v>0.28083995274795892</c:v>
                </c:pt>
                <c:pt idx="123">
                  <c:v>0.28207273670684141</c:v>
                </c:pt>
                <c:pt idx="124">
                  <c:v>0.27487850503310707</c:v>
                </c:pt>
                <c:pt idx="125">
                  <c:v>0.26502480788812977</c:v>
                </c:pt>
                <c:pt idx="126">
                  <c:v>0.26027711010920429</c:v>
                </c:pt>
                <c:pt idx="127">
                  <c:v>0.24562187902992641</c:v>
                </c:pt>
                <c:pt idx="128">
                  <c:v>0.22065753519439996</c:v>
                </c:pt>
                <c:pt idx="129">
                  <c:v>0.19227100643592221</c:v>
                </c:pt>
                <c:pt idx="130">
                  <c:v>0.16709705500211269</c:v>
                </c:pt>
                <c:pt idx="131">
                  <c:v>0.15444814651362401</c:v>
                </c:pt>
                <c:pt idx="132">
                  <c:v>0.14533396978281932</c:v>
                </c:pt>
                <c:pt idx="133">
                  <c:v>0.15230262684891399</c:v>
                </c:pt>
                <c:pt idx="134">
                  <c:v>0.18363640654698032</c:v>
                </c:pt>
                <c:pt idx="135">
                  <c:v>0.22786157173607746</c:v>
                </c:pt>
                <c:pt idx="136">
                  <c:v>0.27892455034727953</c:v>
                </c:pt>
                <c:pt idx="137">
                  <c:v>0.3226645104574507</c:v>
                </c:pt>
                <c:pt idx="138">
                  <c:v>0.36181754479947631</c:v>
                </c:pt>
                <c:pt idx="139">
                  <c:v>0.40877971436450716</c:v>
                </c:pt>
                <c:pt idx="140">
                  <c:v>0.46139112056079989</c:v>
                </c:pt>
                <c:pt idx="141">
                  <c:v>0.52936910592637398</c:v>
                </c:pt>
                <c:pt idx="142">
                  <c:v>0.59869853631124648</c:v>
                </c:pt>
                <c:pt idx="143">
                  <c:v>0.67743736144288658</c:v>
                </c:pt>
                <c:pt idx="144">
                  <c:v>0.74140502581302248</c:v>
                </c:pt>
                <c:pt idx="145">
                  <c:v>0.81053569755469201</c:v>
                </c:pt>
                <c:pt idx="146">
                  <c:v>0.89928867329535445</c:v>
                </c:pt>
                <c:pt idx="147">
                  <c:v>0.97401435897195554</c:v>
                </c:pt>
                <c:pt idx="148">
                  <c:v>1.0330130705239973</c:v>
                </c:pt>
                <c:pt idx="149">
                  <c:v>1.0832484742231043</c:v>
                </c:pt>
                <c:pt idx="150">
                  <c:v>1.127196533377804</c:v>
                </c:pt>
                <c:pt idx="151">
                  <c:v>1.1615331471908563</c:v>
                </c:pt>
                <c:pt idx="152">
                  <c:v>1.1772613901005606</c:v>
                </c:pt>
                <c:pt idx="153">
                  <c:v>1.1824453299323263</c:v>
                </c:pt>
                <c:pt idx="154">
                  <c:v>1.1799680520034186</c:v>
                </c:pt>
                <c:pt idx="155">
                  <c:v>1.1712461574504101</c:v>
                </c:pt>
                <c:pt idx="156">
                  <c:v>1.1648538078447317</c:v>
                </c:pt>
                <c:pt idx="157">
                  <c:v>1.1544108487657834</c:v>
                </c:pt>
                <c:pt idx="158">
                  <c:v>1.1457271138575451</c:v>
                </c:pt>
                <c:pt idx="159">
                  <c:v>1.1390212374928457</c:v>
                </c:pt>
                <c:pt idx="160">
                  <c:v>1.1274814580361077</c:v>
                </c:pt>
                <c:pt idx="161">
                  <c:v>1.1182860891073685</c:v>
                </c:pt>
                <c:pt idx="162">
                  <c:v>1.125245524261715</c:v>
                </c:pt>
                <c:pt idx="163">
                  <c:v>1.1499309049204189</c:v>
                </c:pt>
                <c:pt idx="164">
                  <c:v>1.1858001952170198</c:v>
                </c:pt>
                <c:pt idx="165">
                  <c:v>1.2288826622164863</c:v>
                </c:pt>
                <c:pt idx="166">
                  <c:v>1.2781277370565973</c:v>
                </c:pt>
                <c:pt idx="167">
                  <c:v>1.3343561798689001</c:v>
                </c:pt>
                <c:pt idx="168">
                  <c:v>1.3817933197246264</c:v>
                </c:pt>
                <c:pt idx="169">
                  <c:v>1.3959074832852745</c:v>
                </c:pt>
                <c:pt idx="170">
                  <c:v>1.3847353751050038</c:v>
                </c:pt>
                <c:pt idx="171">
                  <c:v>1.3664715253504665</c:v>
                </c:pt>
                <c:pt idx="172">
                  <c:v>1.3368193407493867</c:v>
                </c:pt>
                <c:pt idx="173">
                  <c:v>1.2910381278230094</c:v>
                </c:pt>
                <c:pt idx="174">
                  <c:v>1.2369981045947003</c:v>
                </c:pt>
                <c:pt idx="175">
                  <c:v>1.1806669123558491</c:v>
                </c:pt>
                <c:pt idx="176">
                  <c:v>1.1341702022394793</c:v>
                </c:pt>
                <c:pt idx="177">
                  <c:v>1.0889036612720999</c:v>
                </c:pt>
                <c:pt idx="178">
                  <c:v>1.0435015608675695</c:v>
                </c:pt>
                <c:pt idx="179">
                  <c:v>0.97998770639630761</c:v>
                </c:pt>
                <c:pt idx="180">
                  <c:v>0.92249117062154617</c:v>
                </c:pt>
                <c:pt idx="181">
                  <c:v>0.87111359050202708</c:v>
                </c:pt>
                <c:pt idx="182">
                  <c:v>0.81789734042794759</c:v>
                </c:pt>
                <c:pt idx="183">
                  <c:v>0.76636870784394673</c:v>
                </c:pt>
                <c:pt idx="184">
                  <c:v>0.71605462717187573</c:v>
                </c:pt>
                <c:pt idx="185">
                  <c:v>0.67372954024126908</c:v>
                </c:pt>
                <c:pt idx="186">
                  <c:v>0.6382117940242017</c:v>
                </c:pt>
                <c:pt idx="187">
                  <c:v>0.60497487986454868</c:v>
                </c:pt>
                <c:pt idx="188">
                  <c:v>0.56236292971992941</c:v>
                </c:pt>
                <c:pt idx="189">
                  <c:v>0.50700927479523283</c:v>
                </c:pt>
                <c:pt idx="190">
                  <c:v>0.43983147394222261</c:v>
                </c:pt>
                <c:pt idx="191">
                  <c:v>0.34925451141488856</c:v>
                </c:pt>
                <c:pt idx="192">
                  <c:v>0.25067583074800925</c:v>
                </c:pt>
                <c:pt idx="193">
                  <c:v>0.15790036680184941</c:v>
                </c:pt>
                <c:pt idx="194">
                  <c:v>6.8160389812173885E-2</c:v>
                </c:pt>
                <c:pt idx="195">
                  <c:v>-1.0022623088650914E-2</c:v>
                </c:pt>
                <c:pt idx="196">
                  <c:v>-6.455572819633261E-2</c:v>
                </c:pt>
                <c:pt idx="197">
                  <c:v>-0.1012596782298549</c:v>
                </c:pt>
                <c:pt idx="198">
                  <c:v>-0.12096427060093884</c:v>
                </c:pt>
                <c:pt idx="199">
                  <c:v>-0.13939480427730402</c:v>
                </c:pt>
                <c:pt idx="200">
                  <c:v>-0.14712753004511286</c:v>
                </c:pt>
                <c:pt idx="201">
                  <c:v>-0.16320925319740379</c:v>
                </c:pt>
                <c:pt idx="202">
                  <c:v>-0.18330894876002274</c:v>
                </c:pt>
                <c:pt idx="203">
                  <c:v>-0.22742993313436055</c:v>
                </c:pt>
                <c:pt idx="204">
                  <c:v>-0.2951033775644879</c:v>
                </c:pt>
                <c:pt idx="205">
                  <c:v>-0.37938157166045172</c:v>
                </c:pt>
                <c:pt idx="206">
                  <c:v>-0.47277321560766761</c:v>
                </c:pt>
                <c:pt idx="207">
                  <c:v>-0.5836131049855402</c:v>
                </c:pt>
                <c:pt idx="208">
                  <c:v>-0.69250504435259352</c:v>
                </c:pt>
                <c:pt idx="209">
                  <c:v>-0.80262158565065556</c:v>
                </c:pt>
                <c:pt idx="210">
                  <c:v>-0.91069018049976502</c:v>
                </c:pt>
                <c:pt idx="211">
                  <c:v>-1.008138939142627</c:v>
                </c:pt>
                <c:pt idx="212">
                  <c:v>-1.0873770645213352</c:v>
                </c:pt>
                <c:pt idx="213">
                  <c:v>-1.1752128466615839</c:v>
                </c:pt>
                <c:pt idx="214">
                  <c:v>-1.2617926054936535</c:v>
                </c:pt>
                <c:pt idx="215">
                  <c:v>-1.3360224304946571</c:v>
                </c:pt>
                <c:pt idx="216">
                  <c:v>-1.4045097137086278</c:v>
                </c:pt>
                <c:pt idx="217">
                  <c:v>-1.4651590112381234</c:v>
                </c:pt>
                <c:pt idx="218">
                  <c:v>-1.5175677642259746</c:v>
                </c:pt>
                <c:pt idx="219">
                  <c:v>-1.5657847933804376</c:v>
                </c:pt>
                <c:pt idx="220">
                  <c:v>-1.6182012515534412</c:v>
                </c:pt>
                <c:pt idx="221">
                  <c:v>-1.6648993352320085</c:v>
                </c:pt>
                <c:pt idx="222">
                  <c:v>-1.6901238958432068</c:v>
                </c:pt>
                <c:pt idx="223">
                  <c:v>-1.6903330544408925</c:v>
                </c:pt>
                <c:pt idx="224">
                  <c:v>-1.6587145680108799</c:v>
                </c:pt>
                <c:pt idx="225">
                  <c:v>-1.6024713710105254</c:v>
                </c:pt>
                <c:pt idx="226">
                  <c:v>-1.5227508560686378</c:v>
                </c:pt>
                <c:pt idx="227">
                  <c:v>-1.4263113862633285</c:v>
                </c:pt>
                <c:pt idx="228">
                  <c:v>-1.3231119935675748</c:v>
                </c:pt>
                <c:pt idx="229">
                  <c:v>-1.2236539005722484</c:v>
                </c:pt>
                <c:pt idx="230">
                  <c:v>-1.135825983430911</c:v>
                </c:pt>
                <c:pt idx="231">
                  <c:v>-1.059377016650068</c:v>
                </c:pt>
                <c:pt idx="232">
                  <c:v>-1.0125534870622648</c:v>
                </c:pt>
                <c:pt idx="233">
                  <c:v>-0.97311772481700709</c:v>
                </c:pt>
                <c:pt idx="234">
                  <c:v>-0.94438404992451308</c:v>
                </c:pt>
                <c:pt idx="235">
                  <c:v>-0.9205952513730149</c:v>
                </c:pt>
                <c:pt idx="236">
                  <c:v>-0.89410876190205324</c:v>
                </c:pt>
                <c:pt idx="237">
                  <c:v>-0.86958971515035843</c:v>
                </c:pt>
                <c:pt idx="238">
                  <c:v>-0.82646188231988627</c:v>
                </c:pt>
                <c:pt idx="239">
                  <c:v>-0.78353476083099149</c:v>
                </c:pt>
                <c:pt idx="240">
                  <c:v>-0.7502919348460233</c:v>
                </c:pt>
                <c:pt idx="241">
                  <c:v>-0.70959036088701022</c:v>
                </c:pt>
                <c:pt idx="242">
                  <c:v>-0.67350506076801564</c:v>
                </c:pt>
                <c:pt idx="243">
                  <c:v>-0.64705151483243717</c:v>
                </c:pt>
                <c:pt idx="244">
                  <c:v>-0.62495150152848411</c:v>
                </c:pt>
                <c:pt idx="245">
                  <c:v>-0.60802657717760145</c:v>
                </c:pt>
                <c:pt idx="246">
                  <c:v>-0.58650768392640273</c:v>
                </c:pt>
                <c:pt idx="247">
                  <c:v>-0.56620835856868434</c:v>
                </c:pt>
                <c:pt idx="248">
                  <c:v>-0.54836158545111491</c:v>
                </c:pt>
                <c:pt idx="249">
                  <c:v>-0.53843860962652457</c:v>
                </c:pt>
                <c:pt idx="250">
                  <c:v>-0.5291055690495895</c:v>
                </c:pt>
                <c:pt idx="251">
                  <c:v>-0.52612645794803858</c:v>
                </c:pt>
                <c:pt idx="252">
                  <c:v>-0.52752278548607334</c:v>
                </c:pt>
                <c:pt idx="253">
                  <c:v>-0.54538317526234259</c:v>
                </c:pt>
                <c:pt idx="254">
                  <c:v>-0.57090497808795104</c:v>
                </c:pt>
                <c:pt idx="255">
                  <c:v>-0.58470936130214313</c:v>
                </c:pt>
                <c:pt idx="256">
                  <c:v>-0.59932399963116656</c:v>
                </c:pt>
                <c:pt idx="257">
                  <c:v>-0.60306082479866296</c:v>
                </c:pt>
                <c:pt idx="258">
                  <c:v>-0.592187037036084</c:v>
                </c:pt>
                <c:pt idx="259">
                  <c:v>-0.57568360032930355</c:v>
                </c:pt>
                <c:pt idx="260">
                  <c:v>-0.54754652711943752</c:v>
                </c:pt>
                <c:pt idx="261">
                  <c:v>-0.50500570717078908</c:v>
                </c:pt>
                <c:pt idx="262">
                  <c:v>-0.45914272835828523</c:v>
                </c:pt>
                <c:pt idx="263">
                  <c:v>-0.42276604492303249</c:v>
                </c:pt>
                <c:pt idx="264">
                  <c:v>-0.39726714816090042</c:v>
                </c:pt>
                <c:pt idx="265">
                  <c:v>-0.37279525723916918</c:v>
                </c:pt>
                <c:pt idx="266">
                  <c:v>-0.31828914373070677</c:v>
                </c:pt>
                <c:pt idx="267">
                  <c:v>-0.27118118465099122</c:v>
                </c:pt>
                <c:pt idx="268">
                  <c:v>-0.22306307022560606</c:v>
                </c:pt>
                <c:pt idx="269">
                  <c:v>-0.15686144774665647</c:v>
                </c:pt>
                <c:pt idx="270">
                  <c:v>-9.1532329323636669E-2</c:v>
                </c:pt>
                <c:pt idx="271">
                  <c:v>-3.2040193259106016E-2</c:v>
                </c:pt>
                <c:pt idx="272">
                  <c:v>9.8987824981654655E-3</c:v>
                </c:pt>
                <c:pt idx="273">
                  <c:v>4.5794192877862301E-2</c:v>
                </c:pt>
                <c:pt idx="274">
                  <c:v>7.9744602436034262E-2</c:v>
                </c:pt>
                <c:pt idx="275">
                  <c:v>0.11817255216926346</c:v>
                </c:pt>
                <c:pt idx="276">
                  <c:v>0.16845077689305077</c:v>
                </c:pt>
                <c:pt idx="277">
                  <c:v>0.27179789204843524</c:v>
                </c:pt>
                <c:pt idx="278">
                  <c:v>0.42007985239599666</c:v>
                </c:pt>
                <c:pt idx="279">
                  <c:v>0.60039945943861706</c:v>
                </c:pt>
                <c:pt idx="280">
                  <c:v>0.77992727712448362</c:v>
                </c:pt>
                <c:pt idx="281">
                  <c:v>0.95064185456645989</c:v>
                </c:pt>
                <c:pt idx="282">
                  <c:v>1.1209901227142982</c:v>
                </c:pt>
                <c:pt idx="283">
                  <c:v>1.2791452618684005</c:v>
                </c:pt>
                <c:pt idx="284">
                  <c:v>1.4393520843599616</c:v>
                </c:pt>
                <c:pt idx="285">
                  <c:v>1.5770406251788966</c:v>
                </c:pt>
                <c:pt idx="286">
                  <c:v>1.7041618622394576</c:v>
                </c:pt>
                <c:pt idx="287">
                  <c:v>1.8031031361132692</c:v>
                </c:pt>
                <c:pt idx="288">
                  <c:v>1.8762022622684107</c:v>
                </c:pt>
                <c:pt idx="289">
                  <c:v>1.9304203108475519</c:v>
                </c:pt>
                <c:pt idx="290">
                  <c:v>1.9832714494288184</c:v>
                </c:pt>
                <c:pt idx="291">
                  <c:v>1.9939921084973424</c:v>
                </c:pt>
                <c:pt idx="292">
                  <c:v>1.9714445074335014</c:v>
                </c:pt>
                <c:pt idx="293">
                  <c:v>1.9307963451859183</c:v>
                </c:pt>
                <c:pt idx="294">
                  <c:v>1.8920090537325907</c:v>
                </c:pt>
                <c:pt idx="295">
                  <c:v>1.8524282309245372</c:v>
                </c:pt>
                <c:pt idx="296">
                  <c:v>1.8036615609851137</c:v>
                </c:pt>
                <c:pt idx="297">
                  <c:v>1.7300330423539387</c:v>
                </c:pt>
                <c:pt idx="298">
                  <c:v>1.6356328188701874</c:v>
                </c:pt>
                <c:pt idx="299">
                  <c:v>1.5220949395158887</c:v>
                </c:pt>
                <c:pt idx="300">
                  <c:v>1.4143608685290707</c:v>
                </c:pt>
                <c:pt idx="301">
                  <c:v>1.300882227890342</c:v>
                </c:pt>
                <c:pt idx="302">
                  <c:v>1.1851913248072301</c:v>
                </c:pt>
                <c:pt idx="303">
                  <c:v>1.0783376348840013</c:v>
                </c:pt>
                <c:pt idx="304">
                  <c:v>0.96357404376947253</c:v>
                </c:pt>
                <c:pt idx="305">
                  <c:v>0.85213983322305165</c:v>
                </c:pt>
                <c:pt idx="306">
                  <c:v>0.74445816208534488</c:v>
                </c:pt>
                <c:pt idx="307">
                  <c:v>0.66238143365186275</c:v>
                </c:pt>
                <c:pt idx="308">
                  <c:v>0.61063346319896261</c:v>
                </c:pt>
                <c:pt idx="309">
                  <c:v>0.57331279371900401</c:v>
                </c:pt>
                <c:pt idx="310">
                  <c:v>0.56562761226612335</c:v>
                </c:pt>
                <c:pt idx="311">
                  <c:v>0.57961967473027021</c:v>
                </c:pt>
                <c:pt idx="312">
                  <c:v>0.59652867158934786</c:v>
                </c:pt>
                <c:pt idx="313">
                  <c:v>0.64253560886838912</c:v>
                </c:pt>
                <c:pt idx="314">
                  <c:v>0.6510524913307989</c:v>
                </c:pt>
                <c:pt idx="315">
                  <c:v>0.60925209547402859</c:v>
                </c:pt>
                <c:pt idx="316">
                  <c:v>0.53751416223026793</c:v>
                </c:pt>
                <c:pt idx="317">
                  <c:v>0.47395773444736861</c:v>
                </c:pt>
                <c:pt idx="318">
                  <c:v>0.43070388012611249</c:v>
                </c:pt>
                <c:pt idx="319">
                  <c:v>0.41215052146574382</c:v>
                </c:pt>
                <c:pt idx="320">
                  <c:v>0.42538568254205411</c:v>
                </c:pt>
                <c:pt idx="321">
                  <c:v>0.44746881749936507</c:v>
                </c:pt>
                <c:pt idx="322">
                  <c:v>0.47004838982592667</c:v>
                </c:pt>
                <c:pt idx="323">
                  <c:v>0.51174395468401335</c:v>
                </c:pt>
                <c:pt idx="324">
                  <c:v>0.55839941925662417</c:v>
                </c:pt>
                <c:pt idx="325">
                  <c:v>0.62247368113309598</c:v>
                </c:pt>
                <c:pt idx="326">
                  <c:v>0.68311543601075331</c:v>
                </c:pt>
                <c:pt idx="327">
                  <c:v>0.7244254183006672</c:v>
                </c:pt>
                <c:pt idx="328">
                  <c:v>0.74006977672141128</c:v>
                </c:pt>
                <c:pt idx="329">
                  <c:v>0.73520601757082793</c:v>
                </c:pt>
                <c:pt idx="330">
                  <c:v>0.72500192362999183</c:v>
                </c:pt>
                <c:pt idx="331">
                  <c:v>0.71352398392206962</c:v>
                </c:pt>
                <c:pt idx="332">
                  <c:v>0.68012048533873048</c:v>
                </c:pt>
                <c:pt idx="333">
                  <c:v>0.63891899539662012</c:v>
                </c:pt>
                <c:pt idx="334">
                  <c:v>0.5943312208952175</c:v>
                </c:pt>
                <c:pt idx="335">
                  <c:v>0.54892284089827148</c:v>
                </c:pt>
                <c:pt idx="336">
                  <c:v>0.51497840024664221</c:v>
                </c:pt>
                <c:pt idx="337">
                  <c:v>0.4692010867852176</c:v>
                </c:pt>
                <c:pt idx="338">
                  <c:v>0.40696710574575151</c:v>
                </c:pt>
                <c:pt idx="339">
                  <c:v>0.32095838026001927</c:v>
                </c:pt>
                <c:pt idx="340">
                  <c:v>0.21473127889551566</c:v>
                </c:pt>
                <c:pt idx="341">
                  <c:v>0.10410175858132972</c:v>
                </c:pt>
                <c:pt idx="342">
                  <c:v>3.5363319742882364E-2</c:v>
                </c:pt>
                <c:pt idx="343">
                  <c:v>2.6264038203814115E-3</c:v>
                </c:pt>
                <c:pt idx="344">
                  <c:v>-6.9521269983436138E-3</c:v>
                </c:pt>
                <c:pt idx="345">
                  <c:v>-5.3265227985670313E-3</c:v>
                </c:pt>
                <c:pt idx="346">
                  <c:v>5.8012460879142708E-3</c:v>
                </c:pt>
                <c:pt idx="347">
                  <c:v>1.0960594138764048E-2</c:v>
                </c:pt>
                <c:pt idx="348">
                  <c:v>2.2134890727260097E-2</c:v>
                </c:pt>
                <c:pt idx="349">
                  <c:v>3.6602559704566176E-2</c:v>
                </c:pt>
                <c:pt idx="350">
                  <c:v>4.2241324888687357E-2</c:v>
                </c:pt>
                <c:pt idx="351">
                  <c:v>4.7378935731499969E-2</c:v>
                </c:pt>
                <c:pt idx="352">
                  <c:v>6.1557318246160612E-2</c:v>
                </c:pt>
                <c:pt idx="353">
                  <c:v>7.8923283880310169E-2</c:v>
                </c:pt>
                <c:pt idx="354">
                  <c:v>8.379522071535575E-2</c:v>
                </c:pt>
                <c:pt idx="355">
                  <c:v>8.3740188461686779E-2</c:v>
                </c:pt>
                <c:pt idx="356">
                  <c:v>7.307002014870316E-2</c:v>
                </c:pt>
                <c:pt idx="357">
                  <c:v>6.3159239721160221E-2</c:v>
                </c:pt>
                <c:pt idx="358">
                  <c:v>6.0800870412954039E-2</c:v>
                </c:pt>
                <c:pt idx="359">
                  <c:v>7.2414819467126829E-2</c:v>
                </c:pt>
                <c:pt idx="360">
                  <c:v>8.7545240092677223E-2</c:v>
                </c:pt>
                <c:pt idx="361">
                  <c:v>0.10659927272426192</c:v>
                </c:pt>
                <c:pt idx="362">
                  <c:v>0.10740635670264706</c:v>
                </c:pt>
                <c:pt idx="363">
                  <c:v>8.8512289301351632E-2</c:v>
                </c:pt>
                <c:pt idx="364">
                  <c:v>4.3699668353652896E-2</c:v>
                </c:pt>
                <c:pt idx="365">
                  <c:v>-2.1649959116704059E-2</c:v>
                </c:pt>
                <c:pt idx="366">
                  <c:v>-0.10229983821736519</c:v>
                </c:pt>
                <c:pt idx="367">
                  <c:v>-0.17371968231130591</c:v>
                </c:pt>
                <c:pt idx="368">
                  <c:v>-0.22771585524098553</c:v>
                </c:pt>
                <c:pt idx="369">
                  <c:v>-0.27669519078537663</c:v>
                </c:pt>
                <c:pt idx="370">
                  <c:v>-0.32188455438843111</c:v>
                </c:pt>
                <c:pt idx="371">
                  <c:v>-0.34787509815986239</c:v>
                </c:pt>
                <c:pt idx="372">
                  <c:v>-0.35297599393448265</c:v>
                </c:pt>
                <c:pt idx="373">
                  <c:v>-0.3292336992911577</c:v>
                </c:pt>
                <c:pt idx="374">
                  <c:v>-0.30003262792434876</c:v>
                </c:pt>
                <c:pt idx="375">
                  <c:v>-0.26123709140552476</c:v>
                </c:pt>
                <c:pt idx="376">
                  <c:v>-0.22329074538635779</c:v>
                </c:pt>
                <c:pt idx="377">
                  <c:v>-0.19964184119159847</c:v>
                </c:pt>
                <c:pt idx="378">
                  <c:v>-0.19786434316663892</c:v>
                </c:pt>
                <c:pt idx="379">
                  <c:v>-0.20481084470430616</c:v>
                </c:pt>
                <c:pt idx="380">
                  <c:v>-0.21479898612721901</c:v>
                </c:pt>
                <c:pt idx="381">
                  <c:v>-0.23206216966885193</c:v>
                </c:pt>
                <c:pt idx="382">
                  <c:v>-0.25420631319116016</c:v>
                </c:pt>
                <c:pt idx="383">
                  <c:v>-0.27910542510203284</c:v>
                </c:pt>
                <c:pt idx="384">
                  <c:v>-0.28273007845518933</c:v>
                </c:pt>
                <c:pt idx="385">
                  <c:v>-0.28399217178795017</c:v>
                </c:pt>
                <c:pt idx="386">
                  <c:v>-0.27955005013712053</c:v>
                </c:pt>
                <c:pt idx="387">
                  <c:v>-0.2776696598306635</c:v>
                </c:pt>
                <c:pt idx="388">
                  <c:v>-0.28483782892459653</c:v>
                </c:pt>
                <c:pt idx="389">
                  <c:v>-0.29760975441060289</c:v>
                </c:pt>
                <c:pt idx="390">
                  <c:v>-0.31142935845439723</c:v>
                </c:pt>
                <c:pt idx="391">
                  <c:v>-0.34170213936868948</c:v>
                </c:pt>
                <c:pt idx="392">
                  <c:v>-0.35934049871942819</c:v>
                </c:pt>
                <c:pt idx="393">
                  <c:v>-0.37736748782796942</c:v>
                </c:pt>
                <c:pt idx="394">
                  <c:v>-0.40755375886487705</c:v>
                </c:pt>
                <c:pt idx="395">
                  <c:v>-0.42737413710996064</c:v>
                </c:pt>
                <c:pt idx="396">
                  <c:v>-0.43708884389179981</c:v>
                </c:pt>
                <c:pt idx="397">
                  <c:v>-0.43752813927246142</c:v>
                </c:pt>
                <c:pt idx="398">
                  <c:v>-0.42379451142041302</c:v>
                </c:pt>
                <c:pt idx="399">
                  <c:v>-0.38625353323259504</c:v>
                </c:pt>
                <c:pt idx="400">
                  <c:v>-0.33631407669207442</c:v>
                </c:pt>
                <c:pt idx="401">
                  <c:v>-0.27391356459998073</c:v>
                </c:pt>
                <c:pt idx="402">
                  <c:v>-0.20698771447218389</c:v>
                </c:pt>
                <c:pt idx="403">
                  <c:v>-0.14425067090540972</c:v>
                </c:pt>
                <c:pt idx="404">
                  <c:v>-0.10161761169284689</c:v>
                </c:pt>
                <c:pt idx="405">
                  <c:v>-6.7685494811006386E-2</c:v>
                </c:pt>
                <c:pt idx="406">
                  <c:v>-5.3435457323858064E-2</c:v>
                </c:pt>
                <c:pt idx="407">
                  <c:v>-3.619257023767148E-2</c:v>
                </c:pt>
                <c:pt idx="408">
                  <c:v>-8.8012163549233309E-3</c:v>
                </c:pt>
                <c:pt idx="409">
                  <c:v>2.2896982989037473E-2</c:v>
                </c:pt>
                <c:pt idx="410">
                  <c:v>4.7124930330567194E-2</c:v>
                </c:pt>
                <c:pt idx="411">
                  <c:v>4.6147893011458586E-2</c:v>
                </c:pt>
                <c:pt idx="412">
                  <c:v>2.6128013945691891E-2</c:v>
                </c:pt>
                <c:pt idx="413">
                  <c:v>-3.2421836973147711E-3</c:v>
                </c:pt>
                <c:pt idx="414">
                  <c:v>-4.4424531492468153E-2</c:v>
                </c:pt>
                <c:pt idx="415">
                  <c:v>-8.0699124896876473E-2</c:v>
                </c:pt>
                <c:pt idx="416">
                  <c:v>-0.11069532005478103</c:v>
                </c:pt>
                <c:pt idx="417">
                  <c:v>-0.13604839879906508</c:v>
                </c:pt>
                <c:pt idx="418">
                  <c:v>-0.16865839783129924</c:v>
                </c:pt>
                <c:pt idx="419">
                  <c:v>-0.20834979789740804</c:v>
                </c:pt>
                <c:pt idx="420">
                  <c:v>-0.25837996328522139</c:v>
                </c:pt>
                <c:pt idx="421">
                  <c:v>-0.30481830347933636</c:v>
                </c:pt>
                <c:pt idx="422">
                  <c:v>-0.34651441676470507</c:v>
                </c:pt>
                <c:pt idx="423">
                  <c:v>-0.38545352168031544</c:v>
                </c:pt>
                <c:pt idx="424">
                  <c:v>-0.42947700212544399</c:v>
                </c:pt>
                <c:pt idx="425">
                  <c:v>-0.48616415486289022</c:v>
                </c:pt>
                <c:pt idx="426">
                  <c:v>-0.54623031891102247</c:v>
                </c:pt>
                <c:pt idx="427">
                  <c:v>-0.59125711206096487</c:v>
                </c:pt>
                <c:pt idx="428">
                  <c:v>-0.63240310668894273</c:v>
                </c:pt>
                <c:pt idx="429">
                  <c:v>-0.66799700883447799</c:v>
                </c:pt>
                <c:pt idx="430">
                  <c:v>-0.7002325470122559</c:v>
                </c:pt>
                <c:pt idx="431">
                  <c:v>-0.71910010794505319</c:v>
                </c:pt>
                <c:pt idx="432">
                  <c:v>-0.73110898454333451</c:v>
                </c:pt>
                <c:pt idx="433">
                  <c:v>-0.74402167575518785</c:v>
                </c:pt>
                <c:pt idx="434">
                  <c:v>-0.76007404889320407</c:v>
                </c:pt>
                <c:pt idx="435">
                  <c:v>-0.76961732550387763</c:v>
                </c:pt>
                <c:pt idx="436">
                  <c:v>-0.76835920215427889</c:v>
                </c:pt>
                <c:pt idx="437">
                  <c:v>-0.75130664608858211</c:v>
                </c:pt>
                <c:pt idx="438">
                  <c:v>-0.73438499178127969</c:v>
                </c:pt>
                <c:pt idx="439">
                  <c:v>-0.70798370451863946</c:v>
                </c:pt>
                <c:pt idx="440">
                  <c:v>-0.68418605677691746</c:v>
                </c:pt>
                <c:pt idx="441">
                  <c:v>-0.6506998864358462</c:v>
                </c:pt>
                <c:pt idx="442">
                  <c:v>-0.62210292023514835</c:v>
                </c:pt>
                <c:pt idx="443">
                  <c:v>-0.59266301031019419</c:v>
                </c:pt>
                <c:pt idx="444">
                  <c:v>-0.55219779074146569</c:v>
                </c:pt>
                <c:pt idx="445">
                  <c:v>-0.50951386372498675</c:v>
                </c:pt>
                <c:pt idx="446">
                  <c:v>-0.45518793536269303</c:v>
                </c:pt>
                <c:pt idx="447">
                  <c:v>-0.40223581451463597</c:v>
                </c:pt>
                <c:pt idx="448">
                  <c:v>-0.34386707835354258</c:v>
                </c:pt>
                <c:pt idx="449">
                  <c:v>-0.27081810206086265</c:v>
                </c:pt>
                <c:pt idx="450">
                  <c:v>-0.19177993446672412</c:v>
                </c:pt>
                <c:pt idx="451">
                  <c:v>-6.834078752739374E-2</c:v>
                </c:pt>
                <c:pt idx="452">
                  <c:v>7.0071600956896296E-2</c:v>
                </c:pt>
                <c:pt idx="453">
                  <c:v>0.19657307180874789</c:v>
                </c:pt>
                <c:pt idx="454">
                  <c:v>0.30486004864277283</c:v>
                </c:pt>
                <c:pt idx="455">
                  <c:v>0.40094315910476996</c:v>
                </c:pt>
                <c:pt idx="456">
                  <c:v>0.48502189816610719</c:v>
                </c:pt>
                <c:pt idx="457">
                  <c:v>0.52718602746845478</c:v>
                </c:pt>
                <c:pt idx="458">
                  <c:v>0.54971829651975823</c:v>
                </c:pt>
                <c:pt idx="459">
                  <c:v>0.55623524465086538</c:v>
                </c:pt>
                <c:pt idx="460">
                  <c:v>0.53626709123275407</c:v>
                </c:pt>
                <c:pt idx="461">
                  <c:v>0.51053163869520601</c:v>
                </c:pt>
                <c:pt idx="462">
                  <c:v>0.47897368248090166</c:v>
                </c:pt>
                <c:pt idx="463">
                  <c:v>0.45310386484059378</c:v>
                </c:pt>
                <c:pt idx="464">
                  <c:v>0.45489476526008266</c:v>
                </c:pt>
                <c:pt idx="465">
                  <c:v>0.4724135562585704</c:v>
                </c:pt>
                <c:pt idx="466">
                  <c:v>0.51518550773568927</c:v>
                </c:pt>
                <c:pt idx="467">
                  <c:v>0.56877382101318585</c:v>
                </c:pt>
                <c:pt idx="468">
                  <c:v>0.6180161387777654</c:v>
                </c:pt>
                <c:pt idx="469">
                  <c:v>0.66198042072829277</c:v>
                </c:pt>
                <c:pt idx="470">
                  <c:v>0.69116494483391044</c:v>
                </c:pt>
                <c:pt idx="471">
                  <c:v>0.71659598197288632</c:v>
                </c:pt>
                <c:pt idx="472">
                  <c:v>0.73495301625831322</c:v>
                </c:pt>
                <c:pt idx="473">
                  <c:v>0.74783423153621731</c:v>
                </c:pt>
                <c:pt idx="474">
                  <c:v>0.78266427323008569</c:v>
                </c:pt>
                <c:pt idx="475">
                  <c:v>0.82189812582355415</c:v>
                </c:pt>
                <c:pt idx="476">
                  <c:v>0.86028131462652113</c:v>
                </c:pt>
                <c:pt idx="477">
                  <c:v>0.89846615083807702</c:v>
                </c:pt>
                <c:pt idx="478">
                  <c:v>0.93630622500668736</c:v>
                </c:pt>
                <c:pt idx="479">
                  <c:v>0.95114587184151722</c:v>
                </c:pt>
                <c:pt idx="480">
                  <c:v>0.92820187134681664</c:v>
                </c:pt>
                <c:pt idx="481">
                  <c:v>0.88289663352883441</c:v>
                </c:pt>
                <c:pt idx="482">
                  <c:v>0.81819489103252263</c:v>
                </c:pt>
                <c:pt idx="483">
                  <c:v>0.73568324859282952</c:v>
                </c:pt>
                <c:pt idx="484">
                  <c:v>0.64864593559607742</c:v>
                </c:pt>
                <c:pt idx="485">
                  <c:v>0.55930355789308972</c:v>
                </c:pt>
                <c:pt idx="486">
                  <c:v>0.47383964932983952</c:v>
                </c:pt>
                <c:pt idx="487">
                  <c:v>0.37665701543565433</c:v>
                </c:pt>
                <c:pt idx="488">
                  <c:v>0.29886103475656689</c:v>
                </c:pt>
                <c:pt idx="489">
                  <c:v>0.24379274901768105</c:v>
                </c:pt>
                <c:pt idx="490">
                  <c:v>0.19572821013129152</c:v>
                </c:pt>
                <c:pt idx="491">
                  <c:v>0.15891332724192089</c:v>
                </c:pt>
                <c:pt idx="492">
                  <c:v>0.12577134322068712</c:v>
                </c:pt>
                <c:pt idx="493">
                  <c:v>9.1595835502595924E-2</c:v>
                </c:pt>
                <c:pt idx="494">
                  <c:v>6.0748468697045907E-2</c:v>
                </c:pt>
                <c:pt idx="495">
                  <c:v>2.8041226606663409E-2</c:v>
                </c:pt>
                <c:pt idx="496">
                  <c:v>-3.5203340247900658E-4</c:v>
                </c:pt>
                <c:pt idx="497">
                  <c:v>-2.8381208885233353E-2</c:v>
                </c:pt>
                <c:pt idx="498">
                  <c:v>-5.002138040275475E-2</c:v>
                </c:pt>
                <c:pt idx="499">
                  <c:v>-6.7844523052483674E-2</c:v>
                </c:pt>
                <c:pt idx="500">
                  <c:v>-8.4738982528103884E-2</c:v>
                </c:pt>
                <c:pt idx="501">
                  <c:v>-0.11257657722116997</c:v>
                </c:pt>
                <c:pt idx="502">
                  <c:v>-0.1643834503863365</c:v>
                </c:pt>
                <c:pt idx="503">
                  <c:v>-0.22971877949826863</c:v>
                </c:pt>
                <c:pt idx="504">
                  <c:v>-0.30437124601484555</c:v>
                </c:pt>
                <c:pt idx="505">
                  <c:v>-0.35105980326733288</c:v>
                </c:pt>
                <c:pt idx="506">
                  <c:v>-0.35878546213190249</c:v>
                </c:pt>
                <c:pt idx="507">
                  <c:v>-0.34102673883648776</c:v>
                </c:pt>
                <c:pt idx="508">
                  <c:v>-0.29564230341106956</c:v>
                </c:pt>
                <c:pt idx="509">
                  <c:v>-0.2314570221181228</c:v>
                </c:pt>
                <c:pt idx="510">
                  <c:v>-0.17364113531873615</c:v>
                </c:pt>
                <c:pt idx="511">
                  <c:v>-0.12309067928128208</c:v>
                </c:pt>
                <c:pt idx="512">
                  <c:v>-5.8563159469721029E-2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0FD9-4A54-B092-251A3BCC8C3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724644624"/>
        <c:axId val="1724646064"/>
      </c:lineChart>
      <c:dateAx>
        <c:axId val="1724644624"/>
        <c:scaling>
          <c:orientation val="minMax"/>
          <c:max val="46044"/>
          <c:min val="45901"/>
        </c:scaling>
        <c:delete val="0"/>
        <c:axPos val="b"/>
        <c:numFmt formatCode="m/d/yyyy" sourceLinked="1"/>
        <c:majorTickMark val="out"/>
        <c:minorTickMark val="none"/>
        <c:tickLblPos val="low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b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24646064"/>
        <c:crosses val="autoZero"/>
        <c:auto val="1"/>
        <c:lblOffset val="100"/>
        <c:baseTimeUnit val="days"/>
      </c:dateAx>
      <c:valAx>
        <c:axId val="1724646064"/>
        <c:scaling>
          <c:orientation val="minMax"/>
          <c:max val="1.5"/>
          <c:min val="-1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2464462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Close</a:t>
            </a:r>
            <a:r>
              <a:rPr lang="en-US" baseline="0"/>
              <a:t> + 20d SMA + 100d SMA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Data!$C$1</c:f>
              <c:strCache>
                <c:ptCount val="1"/>
                <c:pt idx="0">
                  <c:v>Close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Data!$B$2:$B$523</c:f>
              <c:numCache>
                <c:formatCode>m/d/yyyy</c:formatCode>
                <c:ptCount val="522"/>
                <c:pt idx="0">
                  <c:v>45293</c:v>
                </c:pt>
                <c:pt idx="1">
                  <c:v>45294</c:v>
                </c:pt>
                <c:pt idx="2">
                  <c:v>45295</c:v>
                </c:pt>
                <c:pt idx="3">
                  <c:v>45296</c:v>
                </c:pt>
                <c:pt idx="4">
                  <c:v>45299</c:v>
                </c:pt>
                <c:pt idx="5">
                  <c:v>45300</c:v>
                </c:pt>
                <c:pt idx="6">
                  <c:v>45301</c:v>
                </c:pt>
                <c:pt idx="7">
                  <c:v>45302</c:v>
                </c:pt>
                <c:pt idx="8">
                  <c:v>45303</c:v>
                </c:pt>
                <c:pt idx="9">
                  <c:v>45307</c:v>
                </c:pt>
                <c:pt idx="10">
                  <c:v>45308</c:v>
                </c:pt>
                <c:pt idx="11">
                  <c:v>45309</c:v>
                </c:pt>
                <c:pt idx="12">
                  <c:v>45310</c:v>
                </c:pt>
                <c:pt idx="13">
                  <c:v>45313</c:v>
                </c:pt>
                <c:pt idx="14">
                  <c:v>45314</c:v>
                </c:pt>
                <c:pt idx="15">
                  <c:v>45315</c:v>
                </c:pt>
                <c:pt idx="16">
                  <c:v>45316</c:v>
                </c:pt>
                <c:pt idx="17">
                  <c:v>45317</c:v>
                </c:pt>
                <c:pt idx="18">
                  <c:v>45320</c:v>
                </c:pt>
                <c:pt idx="19">
                  <c:v>45321</c:v>
                </c:pt>
                <c:pt idx="20">
                  <c:v>45322</c:v>
                </c:pt>
                <c:pt idx="21">
                  <c:v>45323</c:v>
                </c:pt>
                <c:pt idx="22">
                  <c:v>45324</c:v>
                </c:pt>
                <c:pt idx="23">
                  <c:v>45327</c:v>
                </c:pt>
                <c:pt idx="24">
                  <c:v>45328</c:v>
                </c:pt>
                <c:pt idx="25">
                  <c:v>45329</c:v>
                </c:pt>
                <c:pt idx="26">
                  <c:v>45330</c:v>
                </c:pt>
                <c:pt idx="27">
                  <c:v>45331</c:v>
                </c:pt>
                <c:pt idx="28">
                  <c:v>45334</c:v>
                </c:pt>
                <c:pt idx="29">
                  <c:v>45335</c:v>
                </c:pt>
                <c:pt idx="30">
                  <c:v>45336</c:v>
                </c:pt>
                <c:pt idx="31">
                  <c:v>45337</c:v>
                </c:pt>
                <c:pt idx="32">
                  <c:v>45338</c:v>
                </c:pt>
                <c:pt idx="33">
                  <c:v>45342</c:v>
                </c:pt>
                <c:pt idx="34">
                  <c:v>45343</c:v>
                </c:pt>
                <c:pt idx="35">
                  <c:v>45344</c:v>
                </c:pt>
                <c:pt idx="36">
                  <c:v>45345</c:v>
                </c:pt>
                <c:pt idx="37">
                  <c:v>45348</c:v>
                </c:pt>
                <c:pt idx="38">
                  <c:v>45349</c:v>
                </c:pt>
                <c:pt idx="39">
                  <c:v>45350</c:v>
                </c:pt>
                <c:pt idx="40">
                  <c:v>45351</c:v>
                </c:pt>
                <c:pt idx="41">
                  <c:v>45352</c:v>
                </c:pt>
                <c:pt idx="42">
                  <c:v>45355</c:v>
                </c:pt>
                <c:pt idx="43">
                  <c:v>45356</c:v>
                </c:pt>
                <c:pt idx="44">
                  <c:v>45357</c:v>
                </c:pt>
                <c:pt idx="45">
                  <c:v>45358</c:v>
                </c:pt>
                <c:pt idx="46">
                  <c:v>45359</c:v>
                </c:pt>
                <c:pt idx="47">
                  <c:v>45362</c:v>
                </c:pt>
                <c:pt idx="48">
                  <c:v>45363</c:v>
                </c:pt>
                <c:pt idx="49">
                  <c:v>45364</c:v>
                </c:pt>
                <c:pt idx="50">
                  <c:v>45365</c:v>
                </c:pt>
                <c:pt idx="51">
                  <c:v>45366</c:v>
                </c:pt>
                <c:pt idx="52">
                  <c:v>45369</c:v>
                </c:pt>
                <c:pt idx="53">
                  <c:v>45370</c:v>
                </c:pt>
                <c:pt idx="54">
                  <c:v>45371</c:v>
                </c:pt>
                <c:pt idx="55">
                  <c:v>45372</c:v>
                </c:pt>
                <c:pt idx="56">
                  <c:v>45373</c:v>
                </c:pt>
                <c:pt idx="57">
                  <c:v>45376</c:v>
                </c:pt>
                <c:pt idx="58">
                  <c:v>45377</c:v>
                </c:pt>
                <c:pt idx="59">
                  <c:v>45378</c:v>
                </c:pt>
                <c:pt idx="60">
                  <c:v>45379</c:v>
                </c:pt>
                <c:pt idx="61">
                  <c:v>45383</c:v>
                </c:pt>
                <c:pt idx="62">
                  <c:v>45384</c:v>
                </c:pt>
                <c:pt idx="63">
                  <c:v>45385</c:v>
                </c:pt>
                <c:pt idx="64">
                  <c:v>45386</c:v>
                </c:pt>
                <c:pt idx="65">
                  <c:v>45387</c:v>
                </c:pt>
                <c:pt idx="66">
                  <c:v>45390</c:v>
                </c:pt>
                <c:pt idx="67">
                  <c:v>45391</c:v>
                </c:pt>
                <c:pt idx="68">
                  <c:v>45392</c:v>
                </c:pt>
                <c:pt idx="69">
                  <c:v>45393</c:v>
                </c:pt>
                <c:pt idx="70">
                  <c:v>45394</c:v>
                </c:pt>
                <c:pt idx="71">
                  <c:v>45397</c:v>
                </c:pt>
                <c:pt idx="72">
                  <c:v>45398</c:v>
                </c:pt>
                <c:pt idx="73">
                  <c:v>45399</c:v>
                </c:pt>
                <c:pt idx="74">
                  <c:v>45400</c:v>
                </c:pt>
                <c:pt idx="75">
                  <c:v>45401</c:v>
                </c:pt>
                <c:pt idx="76">
                  <c:v>45404</c:v>
                </c:pt>
                <c:pt idx="77">
                  <c:v>45405</c:v>
                </c:pt>
                <c:pt idx="78">
                  <c:v>45406</c:v>
                </c:pt>
                <c:pt idx="79">
                  <c:v>45407</c:v>
                </c:pt>
                <c:pt idx="80">
                  <c:v>45408</c:v>
                </c:pt>
                <c:pt idx="81">
                  <c:v>45411</c:v>
                </c:pt>
                <c:pt idx="82">
                  <c:v>45412</c:v>
                </c:pt>
                <c:pt idx="83">
                  <c:v>45413</c:v>
                </c:pt>
                <c:pt idx="84">
                  <c:v>45414</c:v>
                </c:pt>
                <c:pt idx="85">
                  <c:v>45415</c:v>
                </c:pt>
                <c:pt idx="86">
                  <c:v>45418</c:v>
                </c:pt>
                <c:pt idx="87">
                  <c:v>45419</c:v>
                </c:pt>
                <c:pt idx="88">
                  <c:v>45420</c:v>
                </c:pt>
                <c:pt idx="89">
                  <c:v>45421</c:v>
                </c:pt>
                <c:pt idx="90">
                  <c:v>45422</c:v>
                </c:pt>
                <c:pt idx="91">
                  <c:v>45425</c:v>
                </c:pt>
                <c:pt idx="92">
                  <c:v>45426</c:v>
                </c:pt>
                <c:pt idx="93">
                  <c:v>45427</c:v>
                </c:pt>
                <c:pt idx="94">
                  <c:v>45428</c:v>
                </c:pt>
                <c:pt idx="95">
                  <c:v>45429</c:v>
                </c:pt>
                <c:pt idx="96">
                  <c:v>45432</c:v>
                </c:pt>
                <c:pt idx="97">
                  <c:v>45433</c:v>
                </c:pt>
                <c:pt idx="98">
                  <c:v>45434</c:v>
                </c:pt>
                <c:pt idx="99">
                  <c:v>45435</c:v>
                </c:pt>
                <c:pt idx="100">
                  <c:v>45436</c:v>
                </c:pt>
                <c:pt idx="101">
                  <c:v>45440</c:v>
                </c:pt>
                <c:pt idx="102">
                  <c:v>45441</c:v>
                </c:pt>
                <c:pt idx="103">
                  <c:v>45442</c:v>
                </c:pt>
                <c:pt idx="104">
                  <c:v>45443</c:v>
                </c:pt>
                <c:pt idx="105">
                  <c:v>45446</c:v>
                </c:pt>
                <c:pt idx="106">
                  <c:v>45447</c:v>
                </c:pt>
                <c:pt idx="107">
                  <c:v>45448</c:v>
                </c:pt>
                <c:pt idx="108">
                  <c:v>45449</c:v>
                </c:pt>
                <c:pt idx="109">
                  <c:v>45450</c:v>
                </c:pt>
                <c:pt idx="110">
                  <c:v>45453</c:v>
                </c:pt>
                <c:pt idx="111">
                  <c:v>45454</c:v>
                </c:pt>
                <c:pt idx="112">
                  <c:v>45455</c:v>
                </c:pt>
                <c:pt idx="113">
                  <c:v>45456</c:v>
                </c:pt>
                <c:pt idx="114">
                  <c:v>45457</c:v>
                </c:pt>
                <c:pt idx="115">
                  <c:v>45460</c:v>
                </c:pt>
                <c:pt idx="116">
                  <c:v>45461</c:v>
                </c:pt>
                <c:pt idx="117">
                  <c:v>45463</c:v>
                </c:pt>
                <c:pt idx="118">
                  <c:v>45464</c:v>
                </c:pt>
                <c:pt idx="119">
                  <c:v>45467</c:v>
                </c:pt>
                <c:pt idx="120">
                  <c:v>45468</c:v>
                </c:pt>
                <c:pt idx="121">
                  <c:v>45469</c:v>
                </c:pt>
                <c:pt idx="122">
                  <c:v>45470</c:v>
                </c:pt>
                <c:pt idx="123">
                  <c:v>45471</c:v>
                </c:pt>
                <c:pt idx="124">
                  <c:v>45474</c:v>
                </c:pt>
                <c:pt idx="125">
                  <c:v>45475</c:v>
                </c:pt>
                <c:pt idx="126">
                  <c:v>45476</c:v>
                </c:pt>
                <c:pt idx="127">
                  <c:v>45478</c:v>
                </c:pt>
                <c:pt idx="128">
                  <c:v>45481</c:v>
                </c:pt>
                <c:pt idx="129">
                  <c:v>45482</c:v>
                </c:pt>
                <c:pt idx="130">
                  <c:v>45483</c:v>
                </c:pt>
                <c:pt idx="131">
                  <c:v>45484</c:v>
                </c:pt>
                <c:pt idx="132">
                  <c:v>45485</c:v>
                </c:pt>
                <c:pt idx="133">
                  <c:v>45488</c:v>
                </c:pt>
                <c:pt idx="134">
                  <c:v>45489</c:v>
                </c:pt>
                <c:pt idx="135">
                  <c:v>45490</c:v>
                </c:pt>
                <c:pt idx="136">
                  <c:v>45491</c:v>
                </c:pt>
                <c:pt idx="137">
                  <c:v>45492</c:v>
                </c:pt>
                <c:pt idx="138">
                  <c:v>45495</c:v>
                </c:pt>
                <c:pt idx="139">
                  <c:v>45496</c:v>
                </c:pt>
                <c:pt idx="140">
                  <c:v>45497</c:v>
                </c:pt>
                <c:pt idx="141">
                  <c:v>45498</c:v>
                </c:pt>
                <c:pt idx="142">
                  <c:v>45499</c:v>
                </c:pt>
                <c:pt idx="143">
                  <c:v>45502</c:v>
                </c:pt>
                <c:pt idx="144">
                  <c:v>45503</c:v>
                </c:pt>
                <c:pt idx="145">
                  <c:v>45504</c:v>
                </c:pt>
                <c:pt idx="146">
                  <c:v>45505</c:v>
                </c:pt>
                <c:pt idx="147">
                  <c:v>45506</c:v>
                </c:pt>
                <c:pt idx="148">
                  <c:v>45509</c:v>
                </c:pt>
                <c:pt idx="149">
                  <c:v>45510</c:v>
                </c:pt>
                <c:pt idx="150">
                  <c:v>45511</c:v>
                </c:pt>
                <c:pt idx="151">
                  <c:v>45512</c:v>
                </c:pt>
                <c:pt idx="152">
                  <c:v>45513</c:v>
                </c:pt>
                <c:pt idx="153">
                  <c:v>45516</c:v>
                </c:pt>
                <c:pt idx="154">
                  <c:v>45517</c:v>
                </c:pt>
                <c:pt idx="155">
                  <c:v>45518</c:v>
                </c:pt>
                <c:pt idx="156">
                  <c:v>45519</c:v>
                </c:pt>
                <c:pt idx="157">
                  <c:v>45520</c:v>
                </c:pt>
                <c:pt idx="158">
                  <c:v>45523</c:v>
                </c:pt>
                <c:pt idx="159">
                  <c:v>45524</c:v>
                </c:pt>
                <c:pt idx="160">
                  <c:v>45525</c:v>
                </c:pt>
                <c:pt idx="161">
                  <c:v>45526</c:v>
                </c:pt>
                <c:pt idx="162">
                  <c:v>45527</c:v>
                </c:pt>
                <c:pt idx="163">
                  <c:v>45530</c:v>
                </c:pt>
                <c:pt idx="164">
                  <c:v>45531</c:v>
                </c:pt>
                <c:pt idx="165">
                  <c:v>45532</c:v>
                </c:pt>
                <c:pt idx="166">
                  <c:v>45533</c:v>
                </c:pt>
                <c:pt idx="167">
                  <c:v>45534</c:v>
                </c:pt>
                <c:pt idx="168">
                  <c:v>45538</c:v>
                </c:pt>
                <c:pt idx="169">
                  <c:v>45539</c:v>
                </c:pt>
                <c:pt idx="170">
                  <c:v>45540</c:v>
                </c:pt>
                <c:pt idx="171">
                  <c:v>45541</c:v>
                </c:pt>
                <c:pt idx="172">
                  <c:v>45544</c:v>
                </c:pt>
                <c:pt idx="173">
                  <c:v>45545</c:v>
                </c:pt>
                <c:pt idx="174">
                  <c:v>45546</c:v>
                </c:pt>
                <c:pt idx="175">
                  <c:v>45547</c:v>
                </c:pt>
                <c:pt idx="176">
                  <c:v>45548</c:v>
                </c:pt>
                <c:pt idx="177">
                  <c:v>45551</c:v>
                </c:pt>
                <c:pt idx="178">
                  <c:v>45552</c:v>
                </c:pt>
                <c:pt idx="179">
                  <c:v>45553</c:v>
                </c:pt>
                <c:pt idx="180">
                  <c:v>45554</c:v>
                </c:pt>
                <c:pt idx="181">
                  <c:v>45555</c:v>
                </c:pt>
                <c:pt idx="182">
                  <c:v>45558</c:v>
                </c:pt>
                <c:pt idx="183">
                  <c:v>45559</c:v>
                </c:pt>
                <c:pt idx="184">
                  <c:v>45560</c:v>
                </c:pt>
                <c:pt idx="185">
                  <c:v>45561</c:v>
                </c:pt>
                <c:pt idx="186">
                  <c:v>45562</c:v>
                </c:pt>
                <c:pt idx="187">
                  <c:v>45565</c:v>
                </c:pt>
                <c:pt idx="188">
                  <c:v>45566</c:v>
                </c:pt>
                <c:pt idx="189">
                  <c:v>45567</c:v>
                </c:pt>
                <c:pt idx="190">
                  <c:v>45568</c:v>
                </c:pt>
                <c:pt idx="191">
                  <c:v>45569</c:v>
                </c:pt>
                <c:pt idx="192">
                  <c:v>45572</c:v>
                </c:pt>
                <c:pt idx="193">
                  <c:v>45573</c:v>
                </c:pt>
                <c:pt idx="194">
                  <c:v>45574</c:v>
                </c:pt>
                <c:pt idx="195">
                  <c:v>45575</c:v>
                </c:pt>
                <c:pt idx="196">
                  <c:v>45576</c:v>
                </c:pt>
                <c:pt idx="197">
                  <c:v>45579</c:v>
                </c:pt>
                <c:pt idx="198">
                  <c:v>45580</c:v>
                </c:pt>
                <c:pt idx="199">
                  <c:v>45581</c:v>
                </c:pt>
                <c:pt idx="200">
                  <c:v>45582</c:v>
                </c:pt>
                <c:pt idx="201">
                  <c:v>45583</c:v>
                </c:pt>
                <c:pt idx="202">
                  <c:v>45586</c:v>
                </c:pt>
                <c:pt idx="203">
                  <c:v>45587</c:v>
                </c:pt>
                <c:pt idx="204">
                  <c:v>45588</c:v>
                </c:pt>
                <c:pt idx="205">
                  <c:v>45589</c:v>
                </c:pt>
                <c:pt idx="206">
                  <c:v>45590</c:v>
                </c:pt>
                <c:pt idx="207">
                  <c:v>45593</c:v>
                </c:pt>
                <c:pt idx="208">
                  <c:v>45594</c:v>
                </c:pt>
                <c:pt idx="209">
                  <c:v>45595</c:v>
                </c:pt>
                <c:pt idx="210">
                  <c:v>45596</c:v>
                </c:pt>
                <c:pt idx="211">
                  <c:v>45597</c:v>
                </c:pt>
                <c:pt idx="212">
                  <c:v>45600</c:v>
                </c:pt>
                <c:pt idx="213">
                  <c:v>45601</c:v>
                </c:pt>
                <c:pt idx="214">
                  <c:v>45602</c:v>
                </c:pt>
                <c:pt idx="215">
                  <c:v>45603</c:v>
                </c:pt>
                <c:pt idx="216">
                  <c:v>45604</c:v>
                </c:pt>
                <c:pt idx="217">
                  <c:v>45607</c:v>
                </c:pt>
                <c:pt idx="218">
                  <c:v>45608</c:v>
                </c:pt>
                <c:pt idx="219">
                  <c:v>45609</c:v>
                </c:pt>
                <c:pt idx="220">
                  <c:v>45610</c:v>
                </c:pt>
                <c:pt idx="221">
                  <c:v>45611</c:v>
                </c:pt>
                <c:pt idx="222">
                  <c:v>45614</c:v>
                </c:pt>
                <c:pt idx="223">
                  <c:v>45615</c:v>
                </c:pt>
                <c:pt idx="224">
                  <c:v>45616</c:v>
                </c:pt>
                <c:pt idx="225">
                  <c:v>45617</c:v>
                </c:pt>
                <c:pt idx="226">
                  <c:v>45618</c:v>
                </c:pt>
                <c:pt idx="227">
                  <c:v>45621</c:v>
                </c:pt>
                <c:pt idx="228">
                  <c:v>45622</c:v>
                </c:pt>
                <c:pt idx="229">
                  <c:v>45623</c:v>
                </c:pt>
                <c:pt idx="230">
                  <c:v>45625</c:v>
                </c:pt>
                <c:pt idx="231">
                  <c:v>45628</c:v>
                </c:pt>
                <c:pt idx="232">
                  <c:v>45629</c:v>
                </c:pt>
                <c:pt idx="233">
                  <c:v>45630</c:v>
                </c:pt>
                <c:pt idx="234">
                  <c:v>45631</c:v>
                </c:pt>
                <c:pt idx="235">
                  <c:v>45632</c:v>
                </c:pt>
                <c:pt idx="236">
                  <c:v>45635</c:v>
                </c:pt>
                <c:pt idx="237">
                  <c:v>45636</c:v>
                </c:pt>
                <c:pt idx="238">
                  <c:v>45637</c:v>
                </c:pt>
                <c:pt idx="239">
                  <c:v>45638</c:v>
                </c:pt>
                <c:pt idx="240">
                  <c:v>45639</c:v>
                </c:pt>
                <c:pt idx="241">
                  <c:v>45642</c:v>
                </c:pt>
                <c:pt idx="242">
                  <c:v>45643</c:v>
                </c:pt>
                <c:pt idx="243">
                  <c:v>45644</c:v>
                </c:pt>
                <c:pt idx="244">
                  <c:v>45645</c:v>
                </c:pt>
                <c:pt idx="245">
                  <c:v>45646</c:v>
                </c:pt>
                <c:pt idx="246">
                  <c:v>45649</c:v>
                </c:pt>
                <c:pt idx="247">
                  <c:v>45650</c:v>
                </c:pt>
                <c:pt idx="248">
                  <c:v>45652</c:v>
                </c:pt>
                <c:pt idx="249">
                  <c:v>45653</c:v>
                </c:pt>
                <c:pt idx="250">
                  <c:v>45656</c:v>
                </c:pt>
                <c:pt idx="251">
                  <c:v>45657</c:v>
                </c:pt>
                <c:pt idx="252">
                  <c:v>45659</c:v>
                </c:pt>
                <c:pt idx="253">
                  <c:v>45660</c:v>
                </c:pt>
                <c:pt idx="254">
                  <c:v>45663</c:v>
                </c:pt>
                <c:pt idx="255">
                  <c:v>45664</c:v>
                </c:pt>
                <c:pt idx="256">
                  <c:v>45665</c:v>
                </c:pt>
                <c:pt idx="257">
                  <c:v>45667</c:v>
                </c:pt>
                <c:pt idx="258">
                  <c:v>45670</c:v>
                </c:pt>
                <c:pt idx="259">
                  <c:v>45671</c:v>
                </c:pt>
                <c:pt idx="260">
                  <c:v>45672</c:v>
                </c:pt>
                <c:pt idx="261">
                  <c:v>45673</c:v>
                </c:pt>
                <c:pt idx="262">
                  <c:v>45674</c:v>
                </c:pt>
                <c:pt idx="263">
                  <c:v>45678</c:v>
                </c:pt>
                <c:pt idx="264">
                  <c:v>45679</c:v>
                </c:pt>
                <c:pt idx="265">
                  <c:v>45680</c:v>
                </c:pt>
                <c:pt idx="266">
                  <c:v>45681</c:v>
                </c:pt>
                <c:pt idx="267">
                  <c:v>45684</c:v>
                </c:pt>
                <c:pt idx="268">
                  <c:v>45685</c:v>
                </c:pt>
                <c:pt idx="269">
                  <c:v>45686</c:v>
                </c:pt>
                <c:pt idx="270">
                  <c:v>45687</c:v>
                </c:pt>
                <c:pt idx="271">
                  <c:v>45688</c:v>
                </c:pt>
                <c:pt idx="272">
                  <c:v>45691</c:v>
                </c:pt>
                <c:pt idx="273">
                  <c:v>45692</c:v>
                </c:pt>
                <c:pt idx="274">
                  <c:v>45693</c:v>
                </c:pt>
                <c:pt idx="275">
                  <c:v>45694</c:v>
                </c:pt>
                <c:pt idx="276">
                  <c:v>45695</c:v>
                </c:pt>
                <c:pt idx="277">
                  <c:v>45698</c:v>
                </c:pt>
                <c:pt idx="278">
                  <c:v>45699</c:v>
                </c:pt>
                <c:pt idx="279">
                  <c:v>45700</c:v>
                </c:pt>
                <c:pt idx="280">
                  <c:v>45701</c:v>
                </c:pt>
                <c:pt idx="281">
                  <c:v>45702</c:v>
                </c:pt>
                <c:pt idx="282">
                  <c:v>45706</c:v>
                </c:pt>
                <c:pt idx="283">
                  <c:v>45707</c:v>
                </c:pt>
                <c:pt idx="284">
                  <c:v>45708</c:v>
                </c:pt>
                <c:pt idx="285">
                  <c:v>45709</c:v>
                </c:pt>
                <c:pt idx="286">
                  <c:v>45712</c:v>
                </c:pt>
                <c:pt idx="287">
                  <c:v>45713</c:v>
                </c:pt>
                <c:pt idx="288">
                  <c:v>45714</c:v>
                </c:pt>
                <c:pt idx="289">
                  <c:v>45715</c:v>
                </c:pt>
                <c:pt idx="290">
                  <c:v>45716</c:v>
                </c:pt>
                <c:pt idx="291">
                  <c:v>45719</c:v>
                </c:pt>
                <c:pt idx="292">
                  <c:v>45720</c:v>
                </c:pt>
                <c:pt idx="293">
                  <c:v>45721</c:v>
                </c:pt>
                <c:pt idx="294">
                  <c:v>45722</c:v>
                </c:pt>
                <c:pt idx="295">
                  <c:v>45723</c:v>
                </c:pt>
                <c:pt idx="296">
                  <c:v>45726</c:v>
                </c:pt>
                <c:pt idx="297">
                  <c:v>45727</c:v>
                </c:pt>
                <c:pt idx="298">
                  <c:v>45728</c:v>
                </c:pt>
                <c:pt idx="299">
                  <c:v>45729</c:v>
                </c:pt>
                <c:pt idx="300">
                  <c:v>45730</c:v>
                </c:pt>
                <c:pt idx="301">
                  <c:v>45733</c:v>
                </c:pt>
                <c:pt idx="302">
                  <c:v>45734</c:v>
                </c:pt>
                <c:pt idx="303">
                  <c:v>45735</c:v>
                </c:pt>
                <c:pt idx="304">
                  <c:v>45736</c:v>
                </c:pt>
                <c:pt idx="305">
                  <c:v>45737</c:v>
                </c:pt>
                <c:pt idx="306">
                  <c:v>45740</c:v>
                </c:pt>
                <c:pt idx="307">
                  <c:v>45741</c:v>
                </c:pt>
                <c:pt idx="308">
                  <c:v>45742</c:v>
                </c:pt>
                <c:pt idx="309">
                  <c:v>45743</c:v>
                </c:pt>
                <c:pt idx="310">
                  <c:v>45744</c:v>
                </c:pt>
                <c:pt idx="311">
                  <c:v>45747</c:v>
                </c:pt>
                <c:pt idx="312">
                  <c:v>45748</c:v>
                </c:pt>
                <c:pt idx="313">
                  <c:v>45749</c:v>
                </c:pt>
                <c:pt idx="314">
                  <c:v>45750</c:v>
                </c:pt>
                <c:pt idx="315">
                  <c:v>45751</c:v>
                </c:pt>
                <c:pt idx="316">
                  <c:v>45754</c:v>
                </c:pt>
                <c:pt idx="317">
                  <c:v>45755</c:v>
                </c:pt>
                <c:pt idx="318">
                  <c:v>45756</c:v>
                </c:pt>
                <c:pt idx="319">
                  <c:v>45757</c:v>
                </c:pt>
                <c:pt idx="320">
                  <c:v>45758</c:v>
                </c:pt>
                <c:pt idx="321">
                  <c:v>45761</c:v>
                </c:pt>
                <c:pt idx="322">
                  <c:v>45762</c:v>
                </c:pt>
                <c:pt idx="323">
                  <c:v>45763</c:v>
                </c:pt>
                <c:pt idx="324">
                  <c:v>45764</c:v>
                </c:pt>
                <c:pt idx="325">
                  <c:v>45768</c:v>
                </c:pt>
                <c:pt idx="326">
                  <c:v>45769</c:v>
                </c:pt>
                <c:pt idx="327">
                  <c:v>45770</c:v>
                </c:pt>
                <c:pt idx="328">
                  <c:v>45771</c:v>
                </c:pt>
                <c:pt idx="329">
                  <c:v>45772</c:v>
                </c:pt>
                <c:pt idx="330">
                  <c:v>45775</c:v>
                </c:pt>
                <c:pt idx="331">
                  <c:v>45776</c:v>
                </c:pt>
                <c:pt idx="332">
                  <c:v>45777</c:v>
                </c:pt>
                <c:pt idx="333">
                  <c:v>45778</c:v>
                </c:pt>
                <c:pt idx="334">
                  <c:v>45779</c:v>
                </c:pt>
                <c:pt idx="335">
                  <c:v>45782</c:v>
                </c:pt>
                <c:pt idx="336">
                  <c:v>45783</c:v>
                </c:pt>
                <c:pt idx="337">
                  <c:v>45784</c:v>
                </c:pt>
                <c:pt idx="338">
                  <c:v>45785</c:v>
                </c:pt>
                <c:pt idx="339">
                  <c:v>45786</c:v>
                </c:pt>
                <c:pt idx="340">
                  <c:v>45789</c:v>
                </c:pt>
                <c:pt idx="341">
                  <c:v>45790</c:v>
                </c:pt>
                <c:pt idx="342">
                  <c:v>45791</c:v>
                </c:pt>
                <c:pt idx="343">
                  <c:v>45792</c:v>
                </c:pt>
                <c:pt idx="344">
                  <c:v>45793</c:v>
                </c:pt>
                <c:pt idx="345">
                  <c:v>45796</c:v>
                </c:pt>
                <c:pt idx="346">
                  <c:v>45797</c:v>
                </c:pt>
                <c:pt idx="347">
                  <c:v>45798</c:v>
                </c:pt>
                <c:pt idx="348">
                  <c:v>45799</c:v>
                </c:pt>
                <c:pt idx="349">
                  <c:v>45800</c:v>
                </c:pt>
                <c:pt idx="350">
                  <c:v>45804</c:v>
                </c:pt>
                <c:pt idx="351">
                  <c:v>45805</c:v>
                </c:pt>
                <c:pt idx="352">
                  <c:v>45806</c:v>
                </c:pt>
                <c:pt idx="353">
                  <c:v>45807</c:v>
                </c:pt>
                <c:pt idx="354">
                  <c:v>45810</c:v>
                </c:pt>
                <c:pt idx="355">
                  <c:v>45811</c:v>
                </c:pt>
                <c:pt idx="356">
                  <c:v>45812</c:v>
                </c:pt>
                <c:pt idx="357">
                  <c:v>45813</c:v>
                </c:pt>
                <c:pt idx="358">
                  <c:v>45814</c:v>
                </c:pt>
                <c:pt idx="359">
                  <c:v>45817</c:v>
                </c:pt>
                <c:pt idx="360">
                  <c:v>45818</c:v>
                </c:pt>
                <c:pt idx="361">
                  <c:v>45819</c:v>
                </c:pt>
                <c:pt idx="362">
                  <c:v>45820</c:v>
                </c:pt>
                <c:pt idx="363">
                  <c:v>45821</c:v>
                </c:pt>
                <c:pt idx="364">
                  <c:v>45824</c:v>
                </c:pt>
                <c:pt idx="365">
                  <c:v>45825</c:v>
                </c:pt>
                <c:pt idx="366">
                  <c:v>45826</c:v>
                </c:pt>
                <c:pt idx="367">
                  <c:v>45828</c:v>
                </c:pt>
                <c:pt idx="368">
                  <c:v>45831</c:v>
                </c:pt>
                <c:pt idx="369">
                  <c:v>45832</c:v>
                </c:pt>
                <c:pt idx="370">
                  <c:v>45833</c:v>
                </c:pt>
                <c:pt idx="371">
                  <c:v>45834</c:v>
                </c:pt>
                <c:pt idx="372">
                  <c:v>45835</c:v>
                </c:pt>
                <c:pt idx="373">
                  <c:v>45838</c:v>
                </c:pt>
                <c:pt idx="374">
                  <c:v>45839</c:v>
                </c:pt>
                <c:pt idx="375">
                  <c:v>45840</c:v>
                </c:pt>
                <c:pt idx="376">
                  <c:v>45841</c:v>
                </c:pt>
                <c:pt idx="377">
                  <c:v>45845</c:v>
                </c:pt>
                <c:pt idx="378">
                  <c:v>45846</c:v>
                </c:pt>
                <c:pt idx="379">
                  <c:v>45847</c:v>
                </c:pt>
                <c:pt idx="380">
                  <c:v>45848</c:v>
                </c:pt>
                <c:pt idx="381">
                  <c:v>45849</c:v>
                </c:pt>
                <c:pt idx="382">
                  <c:v>45852</c:v>
                </c:pt>
                <c:pt idx="383">
                  <c:v>45853</c:v>
                </c:pt>
                <c:pt idx="384">
                  <c:v>45854</c:v>
                </c:pt>
                <c:pt idx="385">
                  <c:v>45855</c:v>
                </c:pt>
                <c:pt idx="386">
                  <c:v>45856</c:v>
                </c:pt>
                <c:pt idx="387">
                  <c:v>45859</c:v>
                </c:pt>
                <c:pt idx="388">
                  <c:v>45860</c:v>
                </c:pt>
                <c:pt idx="389">
                  <c:v>45861</c:v>
                </c:pt>
                <c:pt idx="390">
                  <c:v>45862</c:v>
                </c:pt>
                <c:pt idx="391">
                  <c:v>45863</c:v>
                </c:pt>
                <c:pt idx="392">
                  <c:v>45866</c:v>
                </c:pt>
                <c:pt idx="393">
                  <c:v>45867</c:v>
                </c:pt>
                <c:pt idx="394">
                  <c:v>45868</c:v>
                </c:pt>
                <c:pt idx="395">
                  <c:v>45869</c:v>
                </c:pt>
                <c:pt idx="396">
                  <c:v>45870</c:v>
                </c:pt>
                <c:pt idx="397">
                  <c:v>45873</c:v>
                </c:pt>
                <c:pt idx="398">
                  <c:v>45874</c:v>
                </c:pt>
                <c:pt idx="399">
                  <c:v>45875</c:v>
                </c:pt>
                <c:pt idx="400">
                  <c:v>45876</c:v>
                </c:pt>
                <c:pt idx="401">
                  <c:v>45877</c:v>
                </c:pt>
                <c:pt idx="402">
                  <c:v>45880</c:v>
                </c:pt>
                <c:pt idx="403">
                  <c:v>45881</c:v>
                </c:pt>
                <c:pt idx="404">
                  <c:v>45882</c:v>
                </c:pt>
                <c:pt idx="405">
                  <c:v>45883</c:v>
                </c:pt>
                <c:pt idx="406">
                  <c:v>45884</c:v>
                </c:pt>
                <c:pt idx="407">
                  <c:v>45887</c:v>
                </c:pt>
                <c:pt idx="408">
                  <c:v>45888</c:v>
                </c:pt>
                <c:pt idx="409">
                  <c:v>45889</c:v>
                </c:pt>
                <c:pt idx="410">
                  <c:v>45890</c:v>
                </c:pt>
                <c:pt idx="411">
                  <c:v>45891</c:v>
                </c:pt>
                <c:pt idx="412">
                  <c:v>45894</c:v>
                </c:pt>
                <c:pt idx="413">
                  <c:v>45895</c:v>
                </c:pt>
                <c:pt idx="414">
                  <c:v>45896</c:v>
                </c:pt>
                <c:pt idx="415">
                  <c:v>45897</c:v>
                </c:pt>
                <c:pt idx="416">
                  <c:v>45898</c:v>
                </c:pt>
                <c:pt idx="417">
                  <c:v>45902</c:v>
                </c:pt>
                <c:pt idx="418">
                  <c:v>45903</c:v>
                </c:pt>
                <c:pt idx="419">
                  <c:v>45904</c:v>
                </c:pt>
                <c:pt idx="420">
                  <c:v>45905</c:v>
                </c:pt>
                <c:pt idx="421">
                  <c:v>45908</c:v>
                </c:pt>
                <c:pt idx="422">
                  <c:v>45909</c:v>
                </c:pt>
                <c:pt idx="423">
                  <c:v>45910</c:v>
                </c:pt>
                <c:pt idx="424">
                  <c:v>45911</c:v>
                </c:pt>
                <c:pt idx="425">
                  <c:v>45912</c:v>
                </c:pt>
                <c:pt idx="426">
                  <c:v>45915</c:v>
                </c:pt>
                <c:pt idx="427">
                  <c:v>45916</c:v>
                </c:pt>
                <c:pt idx="428">
                  <c:v>45917</c:v>
                </c:pt>
                <c:pt idx="429">
                  <c:v>45918</c:v>
                </c:pt>
                <c:pt idx="430">
                  <c:v>45919</c:v>
                </c:pt>
                <c:pt idx="431">
                  <c:v>45922</c:v>
                </c:pt>
                <c:pt idx="432">
                  <c:v>45923</c:v>
                </c:pt>
                <c:pt idx="433">
                  <c:v>45924</c:v>
                </c:pt>
                <c:pt idx="434">
                  <c:v>45925</c:v>
                </c:pt>
                <c:pt idx="435">
                  <c:v>45926</c:v>
                </c:pt>
                <c:pt idx="436">
                  <c:v>45929</c:v>
                </c:pt>
                <c:pt idx="437">
                  <c:v>45930</c:v>
                </c:pt>
                <c:pt idx="438">
                  <c:v>45931</c:v>
                </c:pt>
                <c:pt idx="439">
                  <c:v>45932</c:v>
                </c:pt>
                <c:pt idx="440">
                  <c:v>45933</c:v>
                </c:pt>
                <c:pt idx="441">
                  <c:v>45936</c:v>
                </c:pt>
                <c:pt idx="442">
                  <c:v>45937</c:v>
                </c:pt>
                <c:pt idx="443">
                  <c:v>45938</c:v>
                </c:pt>
                <c:pt idx="444">
                  <c:v>45939</c:v>
                </c:pt>
                <c:pt idx="445">
                  <c:v>45940</c:v>
                </c:pt>
                <c:pt idx="446">
                  <c:v>45943</c:v>
                </c:pt>
                <c:pt idx="447">
                  <c:v>45944</c:v>
                </c:pt>
                <c:pt idx="448">
                  <c:v>45945</c:v>
                </c:pt>
                <c:pt idx="449">
                  <c:v>45946</c:v>
                </c:pt>
                <c:pt idx="450">
                  <c:v>45947</c:v>
                </c:pt>
                <c:pt idx="451">
                  <c:v>45950</c:v>
                </c:pt>
                <c:pt idx="452">
                  <c:v>45951</c:v>
                </c:pt>
                <c:pt idx="453">
                  <c:v>45952</c:v>
                </c:pt>
                <c:pt idx="454">
                  <c:v>45953</c:v>
                </c:pt>
                <c:pt idx="455">
                  <c:v>45954</c:v>
                </c:pt>
                <c:pt idx="456">
                  <c:v>45957</c:v>
                </c:pt>
                <c:pt idx="457">
                  <c:v>45958</c:v>
                </c:pt>
                <c:pt idx="458">
                  <c:v>45959</c:v>
                </c:pt>
                <c:pt idx="459">
                  <c:v>45960</c:v>
                </c:pt>
                <c:pt idx="460">
                  <c:v>45961</c:v>
                </c:pt>
                <c:pt idx="461">
                  <c:v>45964</c:v>
                </c:pt>
                <c:pt idx="462">
                  <c:v>45965</c:v>
                </c:pt>
                <c:pt idx="463">
                  <c:v>45966</c:v>
                </c:pt>
                <c:pt idx="464">
                  <c:v>45967</c:v>
                </c:pt>
                <c:pt idx="465">
                  <c:v>45968</c:v>
                </c:pt>
                <c:pt idx="466">
                  <c:v>45971</c:v>
                </c:pt>
                <c:pt idx="467">
                  <c:v>45972</c:v>
                </c:pt>
                <c:pt idx="468">
                  <c:v>45973</c:v>
                </c:pt>
                <c:pt idx="469">
                  <c:v>45974</c:v>
                </c:pt>
                <c:pt idx="470">
                  <c:v>45975</c:v>
                </c:pt>
                <c:pt idx="471">
                  <c:v>45978</c:v>
                </c:pt>
                <c:pt idx="472">
                  <c:v>45979</c:v>
                </c:pt>
                <c:pt idx="473">
                  <c:v>45980</c:v>
                </c:pt>
                <c:pt idx="474">
                  <c:v>45981</c:v>
                </c:pt>
                <c:pt idx="475">
                  <c:v>45982</c:v>
                </c:pt>
                <c:pt idx="476">
                  <c:v>45985</c:v>
                </c:pt>
                <c:pt idx="477">
                  <c:v>45986</c:v>
                </c:pt>
                <c:pt idx="478">
                  <c:v>45987</c:v>
                </c:pt>
                <c:pt idx="479">
                  <c:v>45989</c:v>
                </c:pt>
                <c:pt idx="480">
                  <c:v>45992</c:v>
                </c:pt>
                <c:pt idx="481">
                  <c:v>45993</c:v>
                </c:pt>
                <c:pt idx="482">
                  <c:v>45994</c:v>
                </c:pt>
                <c:pt idx="483">
                  <c:v>45995</c:v>
                </c:pt>
                <c:pt idx="484">
                  <c:v>45996</c:v>
                </c:pt>
                <c:pt idx="485">
                  <c:v>45999</c:v>
                </c:pt>
                <c:pt idx="486">
                  <c:v>46000</c:v>
                </c:pt>
                <c:pt idx="487">
                  <c:v>46001</c:v>
                </c:pt>
                <c:pt idx="488">
                  <c:v>46002</c:v>
                </c:pt>
                <c:pt idx="489">
                  <c:v>46003</c:v>
                </c:pt>
                <c:pt idx="490">
                  <c:v>46006</c:v>
                </c:pt>
                <c:pt idx="491">
                  <c:v>46007</c:v>
                </c:pt>
                <c:pt idx="492">
                  <c:v>46008</c:v>
                </c:pt>
                <c:pt idx="493">
                  <c:v>46009</c:v>
                </c:pt>
                <c:pt idx="494">
                  <c:v>46010</c:v>
                </c:pt>
                <c:pt idx="495">
                  <c:v>46013</c:v>
                </c:pt>
                <c:pt idx="496">
                  <c:v>46014</c:v>
                </c:pt>
                <c:pt idx="497">
                  <c:v>46015</c:v>
                </c:pt>
                <c:pt idx="498">
                  <c:v>46017</c:v>
                </c:pt>
                <c:pt idx="499">
                  <c:v>46020</c:v>
                </c:pt>
                <c:pt idx="500">
                  <c:v>46021</c:v>
                </c:pt>
                <c:pt idx="501">
                  <c:v>46022</c:v>
                </c:pt>
                <c:pt idx="502">
                  <c:v>46024</c:v>
                </c:pt>
                <c:pt idx="503">
                  <c:v>46027</c:v>
                </c:pt>
                <c:pt idx="504">
                  <c:v>46028</c:v>
                </c:pt>
                <c:pt idx="505">
                  <c:v>46029</c:v>
                </c:pt>
                <c:pt idx="506">
                  <c:v>46030</c:v>
                </c:pt>
                <c:pt idx="507">
                  <c:v>46031</c:v>
                </c:pt>
                <c:pt idx="508">
                  <c:v>46034</c:v>
                </c:pt>
                <c:pt idx="509">
                  <c:v>46035</c:v>
                </c:pt>
                <c:pt idx="510">
                  <c:v>46036</c:v>
                </c:pt>
                <c:pt idx="511">
                  <c:v>46037</c:v>
                </c:pt>
                <c:pt idx="512">
                  <c:v>46038</c:v>
                </c:pt>
                <c:pt idx="513">
                  <c:v>46042</c:v>
                </c:pt>
                <c:pt idx="514">
                  <c:v>46043</c:v>
                </c:pt>
                <c:pt idx="515">
                  <c:v>46044</c:v>
                </c:pt>
                <c:pt idx="516">
                  <c:v>46045</c:v>
                </c:pt>
                <c:pt idx="517">
                  <c:v>46048</c:v>
                </c:pt>
                <c:pt idx="518">
                  <c:v>46049</c:v>
                </c:pt>
                <c:pt idx="519">
                  <c:v>46050</c:v>
                </c:pt>
                <c:pt idx="520">
                  <c:v>46051</c:v>
                </c:pt>
                <c:pt idx="521">
                  <c:v>46052</c:v>
                </c:pt>
              </c:numCache>
            </c:numRef>
          </c:cat>
          <c:val>
            <c:numRef>
              <c:f>Data!$C$2:$C$523</c:f>
              <c:numCache>
                <c:formatCode>_([$$-409]* #,##0.00_);_([$$-409]* \(#,##0.00\);_([$$-409]* "-"??_);_(@_)</c:formatCode>
                <c:ptCount val="522"/>
                <c:pt idx="0">
                  <c:v>59.82</c:v>
                </c:pt>
                <c:pt idx="1">
                  <c:v>59.96</c:v>
                </c:pt>
                <c:pt idx="2">
                  <c:v>59.76</c:v>
                </c:pt>
                <c:pt idx="3">
                  <c:v>59.67</c:v>
                </c:pt>
                <c:pt idx="4">
                  <c:v>60.11</c:v>
                </c:pt>
                <c:pt idx="5">
                  <c:v>60</c:v>
                </c:pt>
                <c:pt idx="6">
                  <c:v>60.2</c:v>
                </c:pt>
                <c:pt idx="7">
                  <c:v>59.81</c:v>
                </c:pt>
                <c:pt idx="8">
                  <c:v>60.39</c:v>
                </c:pt>
                <c:pt idx="9">
                  <c:v>59.99</c:v>
                </c:pt>
                <c:pt idx="10">
                  <c:v>59.99</c:v>
                </c:pt>
                <c:pt idx="11">
                  <c:v>60.16</c:v>
                </c:pt>
                <c:pt idx="12">
                  <c:v>59.83</c:v>
                </c:pt>
                <c:pt idx="13">
                  <c:v>59.57</c:v>
                </c:pt>
                <c:pt idx="14">
                  <c:v>59.85</c:v>
                </c:pt>
                <c:pt idx="15">
                  <c:v>58.91</c:v>
                </c:pt>
                <c:pt idx="16">
                  <c:v>59.16</c:v>
                </c:pt>
                <c:pt idx="17">
                  <c:v>59.37</c:v>
                </c:pt>
                <c:pt idx="18">
                  <c:v>59.73</c:v>
                </c:pt>
                <c:pt idx="19">
                  <c:v>59.9</c:v>
                </c:pt>
                <c:pt idx="20">
                  <c:v>59.49</c:v>
                </c:pt>
                <c:pt idx="21">
                  <c:v>60.98</c:v>
                </c:pt>
                <c:pt idx="22">
                  <c:v>60.54</c:v>
                </c:pt>
                <c:pt idx="23">
                  <c:v>60.04</c:v>
                </c:pt>
                <c:pt idx="24">
                  <c:v>59.94</c:v>
                </c:pt>
                <c:pt idx="25">
                  <c:v>59.99</c:v>
                </c:pt>
                <c:pt idx="26">
                  <c:v>59.83</c:v>
                </c:pt>
                <c:pt idx="27">
                  <c:v>59.56</c:v>
                </c:pt>
                <c:pt idx="28">
                  <c:v>59.7</c:v>
                </c:pt>
                <c:pt idx="29">
                  <c:v>59.35</c:v>
                </c:pt>
                <c:pt idx="30">
                  <c:v>59.29</c:v>
                </c:pt>
                <c:pt idx="31">
                  <c:v>59.4</c:v>
                </c:pt>
                <c:pt idx="32">
                  <c:v>59.39</c:v>
                </c:pt>
                <c:pt idx="33">
                  <c:v>60.7</c:v>
                </c:pt>
                <c:pt idx="34">
                  <c:v>61.24</c:v>
                </c:pt>
                <c:pt idx="35">
                  <c:v>61.15</c:v>
                </c:pt>
                <c:pt idx="36">
                  <c:v>61.2</c:v>
                </c:pt>
                <c:pt idx="37">
                  <c:v>60.71</c:v>
                </c:pt>
                <c:pt idx="38">
                  <c:v>60.34</c:v>
                </c:pt>
                <c:pt idx="39">
                  <c:v>60.4</c:v>
                </c:pt>
                <c:pt idx="40">
                  <c:v>60.02</c:v>
                </c:pt>
                <c:pt idx="41">
                  <c:v>59.53</c:v>
                </c:pt>
                <c:pt idx="42">
                  <c:v>59.81</c:v>
                </c:pt>
                <c:pt idx="43">
                  <c:v>59.52</c:v>
                </c:pt>
                <c:pt idx="44">
                  <c:v>59.55</c:v>
                </c:pt>
                <c:pt idx="45">
                  <c:v>59.44</c:v>
                </c:pt>
                <c:pt idx="46">
                  <c:v>59.52</c:v>
                </c:pt>
                <c:pt idx="47">
                  <c:v>60.24</c:v>
                </c:pt>
                <c:pt idx="48">
                  <c:v>60.5</c:v>
                </c:pt>
                <c:pt idx="49">
                  <c:v>61.12</c:v>
                </c:pt>
                <c:pt idx="50">
                  <c:v>60.5</c:v>
                </c:pt>
                <c:pt idx="51">
                  <c:v>59.88</c:v>
                </c:pt>
                <c:pt idx="52">
                  <c:v>60.13</c:v>
                </c:pt>
                <c:pt idx="53">
                  <c:v>60.23</c:v>
                </c:pt>
                <c:pt idx="54">
                  <c:v>60.75</c:v>
                </c:pt>
                <c:pt idx="55">
                  <c:v>60.47</c:v>
                </c:pt>
                <c:pt idx="56">
                  <c:v>60.49</c:v>
                </c:pt>
                <c:pt idx="57">
                  <c:v>60.4</c:v>
                </c:pt>
                <c:pt idx="58">
                  <c:v>60.54</c:v>
                </c:pt>
                <c:pt idx="59">
                  <c:v>61.03</c:v>
                </c:pt>
                <c:pt idx="60">
                  <c:v>61.18</c:v>
                </c:pt>
                <c:pt idx="61">
                  <c:v>60.68</c:v>
                </c:pt>
                <c:pt idx="62">
                  <c:v>60.15</c:v>
                </c:pt>
                <c:pt idx="63">
                  <c:v>59.83</c:v>
                </c:pt>
                <c:pt idx="64">
                  <c:v>59.3</c:v>
                </c:pt>
                <c:pt idx="65">
                  <c:v>59.51</c:v>
                </c:pt>
                <c:pt idx="66">
                  <c:v>59.27</c:v>
                </c:pt>
                <c:pt idx="67">
                  <c:v>59.72</c:v>
                </c:pt>
                <c:pt idx="68">
                  <c:v>58.92</c:v>
                </c:pt>
                <c:pt idx="69">
                  <c:v>59.05</c:v>
                </c:pt>
                <c:pt idx="70">
                  <c:v>58.28</c:v>
                </c:pt>
                <c:pt idx="71">
                  <c:v>58.14</c:v>
                </c:pt>
                <c:pt idx="72">
                  <c:v>58.06</c:v>
                </c:pt>
                <c:pt idx="73">
                  <c:v>58.51</c:v>
                </c:pt>
                <c:pt idx="74">
                  <c:v>58.91</c:v>
                </c:pt>
                <c:pt idx="75">
                  <c:v>60.17</c:v>
                </c:pt>
                <c:pt idx="76">
                  <c:v>60.55</c:v>
                </c:pt>
                <c:pt idx="77">
                  <c:v>60.64</c:v>
                </c:pt>
                <c:pt idx="78">
                  <c:v>61.55</c:v>
                </c:pt>
                <c:pt idx="79">
                  <c:v>61.74</c:v>
                </c:pt>
                <c:pt idx="80">
                  <c:v>61.74</c:v>
                </c:pt>
                <c:pt idx="81">
                  <c:v>62.04</c:v>
                </c:pt>
                <c:pt idx="82">
                  <c:v>61.77</c:v>
                </c:pt>
                <c:pt idx="83">
                  <c:v>61.93</c:v>
                </c:pt>
                <c:pt idx="84">
                  <c:v>61.99</c:v>
                </c:pt>
                <c:pt idx="85">
                  <c:v>62.17</c:v>
                </c:pt>
                <c:pt idx="86">
                  <c:v>62.35</c:v>
                </c:pt>
                <c:pt idx="87">
                  <c:v>62.62</c:v>
                </c:pt>
                <c:pt idx="88">
                  <c:v>62.85</c:v>
                </c:pt>
                <c:pt idx="89">
                  <c:v>62.88</c:v>
                </c:pt>
                <c:pt idx="90">
                  <c:v>63.26</c:v>
                </c:pt>
                <c:pt idx="91">
                  <c:v>63.58</c:v>
                </c:pt>
                <c:pt idx="92">
                  <c:v>63.1</c:v>
                </c:pt>
                <c:pt idx="93">
                  <c:v>63.13</c:v>
                </c:pt>
                <c:pt idx="94">
                  <c:v>63.32</c:v>
                </c:pt>
                <c:pt idx="95">
                  <c:v>63.03</c:v>
                </c:pt>
                <c:pt idx="96">
                  <c:v>62.57</c:v>
                </c:pt>
                <c:pt idx="97">
                  <c:v>62.91</c:v>
                </c:pt>
                <c:pt idx="98">
                  <c:v>63</c:v>
                </c:pt>
                <c:pt idx="99">
                  <c:v>62.09</c:v>
                </c:pt>
                <c:pt idx="100">
                  <c:v>62</c:v>
                </c:pt>
                <c:pt idx="101">
                  <c:v>61.82</c:v>
                </c:pt>
                <c:pt idx="102">
                  <c:v>61.7</c:v>
                </c:pt>
                <c:pt idx="103">
                  <c:v>61.97</c:v>
                </c:pt>
                <c:pt idx="104">
                  <c:v>62.93</c:v>
                </c:pt>
                <c:pt idx="105">
                  <c:v>62.93</c:v>
                </c:pt>
                <c:pt idx="106">
                  <c:v>63.94</c:v>
                </c:pt>
                <c:pt idx="107">
                  <c:v>63.92</c:v>
                </c:pt>
                <c:pt idx="108">
                  <c:v>64.150000000000006</c:v>
                </c:pt>
                <c:pt idx="109">
                  <c:v>63.91</c:v>
                </c:pt>
                <c:pt idx="110">
                  <c:v>63.59</c:v>
                </c:pt>
                <c:pt idx="111">
                  <c:v>63.55</c:v>
                </c:pt>
                <c:pt idx="112">
                  <c:v>62.88</c:v>
                </c:pt>
                <c:pt idx="113">
                  <c:v>62.99</c:v>
                </c:pt>
                <c:pt idx="114">
                  <c:v>62.55</c:v>
                </c:pt>
                <c:pt idx="115">
                  <c:v>62.62</c:v>
                </c:pt>
                <c:pt idx="116">
                  <c:v>62.63</c:v>
                </c:pt>
                <c:pt idx="117">
                  <c:v>62.18</c:v>
                </c:pt>
                <c:pt idx="118">
                  <c:v>62.77</c:v>
                </c:pt>
                <c:pt idx="119">
                  <c:v>63.97</c:v>
                </c:pt>
                <c:pt idx="120">
                  <c:v>63.84</c:v>
                </c:pt>
                <c:pt idx="121">
                  <c:v>64.05</c:v>
                </c:pt>
                <c:pt idx="122">
                  <c:v>63.91</c:v>
                </c:pt>
                <c:pt idx="123">
                  <c:v>63.65</c:v>
                </c:pt>
                <c:pt idx="124">
                  <c:v>63.28</c:v>
                </c:pt>
                <c:pt idx="125">
                  <c:v>63.15</c:v>
                </c:pt>
                <c:pt idx="126">
                  <c:v>63.33</c:v>
                </c:pt>
                <c:pt idx="127">
                  <c:v>63.76</c:v>
                </c:pt>
                <c:pt idx="128">
                  <c:v>62.96</c:v>
                </c:pt>
                <c:pt idx="129">
                  <c:v>62.69</c:v>
                </c:pt>
                <c:pt idx="130">
                  <c:v>62.83</c:v>
                </c:pt>
                <c:pt idx="131">
                  <c:v>63.1</c:v>
                </c:pt>
                <c:pt idx="132">
                  <c:v>63.7</c:v>
                </c:pt>
                <c:pt idx="133">
                  <c:v>63.41</c:v>
                </c:pt>
                <c:pt idx="134">
                  <c:v>64.27</c:v>
                </c:pt>
                <c:pt idx="135">
                  <c:v>65.209999999999994</c:v>
                </c:pt>
                <c:pt idx="136">
                  <c:v>65.19</c:v>
                </c:pt>
                <c:pt idx="137">
                  <c:v>65.290000000000006</c:v>
                </c:pt>
                <c:pt idx="138">
                  <c:v>64.77</c:v>
                </c:pt>
                <c:pt idx="139">
                  <c:v>64.959999999999994</c:v>
                </c:pt>
                <c:pt idx="140">
                  <c:v>65.81</c:v>
                </c:pt>
                <c:pt idx="141">
                  <c:v>66.069999999999993</c:v>
                </c:pt>
                <c:pt idx="142">
                  <c:v>67.05</c:v>
                </c:pt>
                <c:pt idx="143">
                  <c:v>66.83</c:v>
                </c:pt>
                <c:pt idx="144">
                  <c:v>67.680000000000007</c:v>
                </c:pt>
                <c:pt idx="145">
                  <c:v>66.739999999999995</c:v>
                </c:pt>
                <c:pt idx="146">
                  <c:v>67.959999999999994</c:v>
                </c:pt>
                <c:pt idx="147">
                  <c:v>69.33</c:v>
                </c:pt>
                <c:pt idx="148">
                  <c:v>68.099999999999994</c:v>
                </c:pt>
                <c:pt idx="149">
                  <c:v>68.05</c:v>
                </c:pt>
                <c:pt idx="150">
                  <c:v>68.459999999999994</c:v>
                </c:pt>
                <c:pt idx="151">
                  <c:v>68.73</c:v>
                </c:pt>
                <c:pt idx="152">
                  <c:v>68.680000000000007</c:v>
                </c:pt>
                <c:pt idx="153">
                  <c:v>68.17</c:v>
                </c:pt>
                <c:pt idx="154">
                  <c:v>68.459999999999994</c:v>
                </c:pt>
                <c:pt idx="155">
                  <c:v>68.58</c:v>
                </c:pt>
                <c:pt idx="156">
                  <c:v>68.650000000000006</c:v>
                </c:pt>
                <c:pt idx="157">
                  <c:v>69.180000000000007</c:v>
                </c:pt>
                <c:pt idx="158">
                  <c:v>68.98</c:v>
                </c:pt>
                <c:pt idx="159">
                  <c:v>69.38</c:v>
                </c:pt>
                <c:pt idx="160">
                  <c:v>69.569999999999993</c:v>
                </c:pt>
                <c:pt idx="161">
                  <c:v>69.33</c:v>
                </c:pt>
                <c:pt idx="162">
                  <c:v>69.790000000000006</c:v>
                </c:pt>
                <c:pt idx="163">
                  <c:v>70.84</c:v>
                </c:pt>
                <c:pt idx="164">
                  <c:v>71.5</c:v>
                </c:pt>
                <c:pt idx="165">
                  <c:v>71.75</c:v>
                </c:pt>
                <c:pt idx="166">
                  <c:v>72.05</c:v>
                </c:pt>
                <c:pt idx="167">
                  <c:v>72.47</c:v>
                </c:pt>
                <c:pt idx="168">
                  <c:v>73.010000000000005</c:v>
                </c:pt>
                <c:pt idx="169">
                  <c:v>72.56</c:v>
                </c:pt>
                <c:pt idx="170">
                  <c:v>71.17</c:v>
                </c:pt>
                <c:pt idx="171">
                  <c:v>71.14</c:v>
                </c:pt>
                <c:pt idx="172">
                  <c:v>71.849999999999994</c:v>
                </c:pt>
                <c:pt idx="173">
                  <c:v>71.55</c:v>
                </c:pt>
                <c:pt idx="174">
                  <c:v>71.08</c:v>
                </c:pt>
                <c:pt idx="175">
                  <c:v>71.23</c:v>
                </c:pt>
                <c:pt idx="176">
                  <c:v>71.41</c:v>
                </c:pt>
                <c:pt idx="177">
                  <c:v>72.099999999999994</c:v>
                </c:pt>
                <c:pt idx="178">
                  <c:v>71.8</c:v>
                </c:pt>
                <c:pt idx="179">
                  <c:v>71.75</c:v>
                </c:pt>
                <c:pt idx="180">
                  <c:v>70.62</c:v>
                </c:pt>
                <c:pt idx="181">
                  <c:v>71.64</c:v>
                </c:pt>
                <c:pt idx="182">
                  <c:v>71.73</c:v>
                </c:pt>
                <c:pt idx="183">
                  <c:v>71.33</c:v>
                </c:pt>
                <c:pt idx="184">
                  <c:v>71.45</c:v>
                </c:pt>
                <c:pt idx="185">
                  <c:v>71.400000000000006</c:v>
                </c:pt>
                <c:pt idx="186">
                  <c:v>71.790000000000006</c:v>
                </c:pt>
                <c:pt idx="187">
                  <c:v>71.86</c:v>
                </c:pt>
                <c:pt idx="188">
                  <c:v>71.709999999999994</c:v>
                </c:pt>
                <c:pt idx="189">
                  <c:v>71.010000000000005</c:v>
                </c:pt>
                <c:pt idx="190">
                  <c:v>70.52</c:v>
                </c:pt>
                <c:pt idx="191">
                  <c:v>70.17</c:v>
                </c:pt>
                <c:pt idx="192">
                  <c:v>69.010000000000005</c:v>
                </c:pt>
                <c:pt idx="193">
                  <c:v>69.180000000000007</c:v>
                </c:pt>
                <c:pt idx="194">
                  <c:v>69.569999999999993</c:v>
                </c:pt>
                <c:pt idx="195">
                  <c:v>69.25</c:v>
                </c:pt>
                <c:pt idx="196">
                  <c:v>69.569999999999993</c:v>
                </c:pt>
                <c:pt idx="197">
                  <c:v>70.34</c:v>
                </c:pt>
                <c:pt idx="198">
                  <c:v>70.34</c:v>
                </c:pt>
                <c:pt idx="199">
                  <c:v>70.569999999999993</c:v>
                </c:pt>
                <c:pt idx="200">
                  <c:v>69.900000000000006</c:v>
                </c:pt>
                <c:pt idx="201">
                  <c:v>70.44</c:v>
                </c:pt>
                <c:pt idx="202">
                  <c:v>69.45</c:v>
                </c:pt>
                <c:pt idx="203">
                  <c:v>69.45</c:v>
                </c:pt>
                <c:pt idx="204">
                  <c:v>68.010000000000005</c:v>
                </c:pt>
                <c:pt idx="205">
                  <c:v>67.3</c:v>
                </c:pt>
                <c:pt idx="206">
                  <c:v>66.92</c:v>
                </c:pt>
                <c:pt idx="207">
                  <c:v>66.67</c:v>
                </c:pt>
                <c:pt idx="208">
                  <c:v>65.56</c:v>
                </c:pt>
                <c:pt idx="209">
                  <c:v>65.92</c:v>
                </c:pt>
                <c:pt idx="210">
                  <c:v>65.31</c:v>
                </c:pt>
                <c:pt idx="211">
                  <c:v>65.010000000000005</c:v>
                </c:pt>
                <c:pt idx="212">
                  <c:v>65.11</c:v>
                </c:pt>
                <c:pt idx="213">
                  <c:v>65.37</c:v>
                </c:pt>
                <c:pt idx="214">
                  <c:v>63.7</c:v>
                </c:pt>
                <c:pt idx="215">
                  <c:v>63.66</c:v>
                </c:pt>
                <c:pt idx="216">
                  <c:v>63.92</c:v>
                </c:pt>
                <c:pt idx="217">
                  <c:v>63.36</c:v>
                </c:pt>
                <c:pt idx="218">
                  <c:v>63.2</c:v>
                </c:pt>
                <c:pt idx="219">
                  <c:v>63</c:v>
                </c:pt>
                <c:pt idx="220">
                  <c:v>62.55</c:v>
                </c:pt>
                <c:pt idx="221">
                  <c:v>61.74</c:v>
                </c:pt>
                <c:pt idx="222">
                  <c:v>61.86</c:v>
                </c:pt>
                <c:pt idx="223">
                  <c:v>62.59</c:v>
                </c:pt>
                <c:pt idx="224">
                  <c:v>62.99</c:v>
                </c:pt>
                <c:pt idx="225">
                  <c:v>63.76</c:v>
                </c:pt>
                <c:pt idx="226">
                  <c:v>63.92</c:v>
                </c:pt>
                <c:pt idx="227">
                  <c:v>64.38</c:v>
                </c:pt>
                <c:pt idx="228">
                  <c:v>64.55</c:v>
                </c:pt>
                <c:pt idx="229">
                  <c:v>64.430000000000007</c:v>
                </c:pt>
                <c:pt idx="230">
                  <c:v>64.08</c:v>
                </c:pt>
                <c:pt idx="231">
                  <c:v>63.65</c:v>
                </c:pt>
                <c:pt idx="232">
                  <c:v>63.52</c:v>
                </c:pt>
                <c:pt idx="233">
                  <c:v>62.21</c:v>
                </c:pt>
                <c:pt idx="234">
                  <c:v>62.92</c:v>
                </c:pt>
                <c:pt idx="235">
                  <c:v>62.53</c:v>
                </c:pt>
                <c:pt idx="236">
                  <c:v>62.6</c:v>
                </c:pt>
                <c:pt idx="237">
                  <c:v>62.91</c:v>
                </c:pt>
                <c:pt idx="238">
                  <c:v>62.64</c:v>
                </c:pt>
                <c:pt idx="239">
                  <c:v>63.84</c:v>
                </c:pt>
                <c:pt idx="240">
                  <c:v>63.12</c:v>
                </c:pt>
                <c:pt idx="241">
                  <c:v>62.55</c:v>
                </c:pt>
                <c:pt idx="242">
                  <c:v>63.4</c:v>
                </c:pt>
                <c:pt idx="243">
                  <c:v>62.85</c:v>
                </c:pt>
                <c:pt idx="244">
                  <c:v>62.45</c:v>
                </c:pt>
                <c:pt idx="245">
                  <c:v>62.55</c:v>
                </c:pt>
                <c:pt idx="246">
                  <c:v>62.38</c:v>
                </c:pt>
                <c:pt idx="247">
                  <c:v>62.84</c:v>
                </c:pt>
                <c:pt idx="248">
                  <c:v>62.57</c:v>
                </c:pt>
                <c:pt idx="249">
                  <c:v>62.45</c:v>
                </c:pt>
                <c:pt idx="250">
                  <c:v>62.03</c:v>
                </c:pt>
                <c:pt idx="251">
                  <c:v>62.26</c:v>
                </c:pt>
                <c:pt idx="252">
                  <c:v>61.84</c:v>
                </c:pt>
                <c:pt idx="253">
                  <c:v>61.75</c:v>
                </c:pt>
                <c:pt idx="254">
                  <c:v>60.81</c:v>
                </c:pt>
                <c:pt idx="255">
                  <c:v>60.84</c:v>
                </c:pt>
                <c:pt idx="256">
                  <c:v>61.71</c:v>
                </c:pt>
                <c:pt idx="257">
                  <c:v>61.07</c:v>
                </c:pt>
                <c:pt idx="258">
                  <c:v>61.65</c:v>
                </c:pt>
                <c:pt idx="259">
                  <c:v>62.04</c:v>
                </c:pt>
                <c:pt idx="260">
                  <c:v>61.77</c:v>
                </c:pt>
                <c:pt idx="261">
                  <c:v>62.25</c:v>
                </c:pt>
                <c:pt idx="262">
                  <c:v>62.71</c:v>
                </c:pt>
                <c:pt idx="263">
                  <c:v>62.42</c:v>
                </c:pt>
                <c:pt idx="264">
                  <c:v>61.78</c:v>
                </c:pt>
                <c:pt idx="265">
                  <c:v>61.53</c:v>
                </c:pt>
                <c:pt idx="266">
                  <c:v>61.92</c:v>
                </c:pt>
                <c:pt idx="267">
                  <c:v>63.87</c:v>
                </c:pt>
                <c:pt idx="268">
                  <c:v>62.36</c:v>
                </c:pt>
                <c:pt idx="269">
                  <c:v>62.83</c:v>
                </c:pt>
                <c:pt idx="270">
                  <c:v>64.05</c:v>
                </c:pt>
                <c:pt idx="271">
                  <c:v>63.48</c:v>
                </c:pt>
                <c:pt idx="272">
                  <c:v>63.35</c:v>
                </c:pt>
                <c:pt idx="273">
                  <c:v>62.67</c:v>
                </c:pt>
                <c:pt idx="274">
                  <c:v>63.12</c:v>
                </c:pt>
                <c:pt idx="275">
                  <c:v>63.36</c:v>
                </c:pt>
                <c:pt idx="276">
                  <c:v>63.84</c:v>
                </c:pt>
                <c:pt idx="277">
                  <c:v>64.55</c:v>
                </c:pt>
                <c:pt idx="278">
                  <c:v>67.599999999999994</c:v>
                </c:pt>
                <c:pt idx="279">
                  <c:v>68.709999999999994</c:v>
                </c:pt>
                <c:pt idx="280">
                  <c:v>69.5</c:v>
                </c:pt>
                <c:pt idx="281">
                  <c:v>68.87</c:v>
                </c:pt>
                <c:pt idx="282">
                  <c:v>69.05</c:v>
                </c:pt>
                <c:pt idx="283">
                  <c:v>70.069999999999993</c:v>
                </c:pt>
                <c:pt idx="284">
                  <c:v>70.040000000000006</c:v>
                </c:pt>
                <c:pt idx="285">
                  <c:v>71.349999999999994</c:v>
                </c:pt>
                <c:pt idx="286">
                  <c:v>70.59</c:v>
                </c:pt>
                <c:pt idx="287">
                  <c:v>71.489999999999995</c:v>
                </c:pt>
                <c:pt idx="288">
                  <c:v>70.8</c:v>
                </c:pt>
                <c:pt idx="289">
                  <c:v>70.87</c:v>
                </c:pt>
                <c:pt idx="290">
                  <c:v>71.209999999999994</c:v>
                </c:pt>
                <c:pt idx="291">
                  <c:v>72.319999999999993</c:v>
                </c:pt>
                <c:pt idx="292">
                  <c:v>70.19</c:v>
                </c:pt>
                <c:pt idx="293">
                  <c:v>70.08</c:v>
                </c:pt>
                <c:pt idx="294">
                  <c:v>70.459999999999994</c:v>
                </c:pt>
                <c:pt idx="295">
                  <c:v>71.430000000000007</c:v>
                </c:pt>
                <c:pt idx="296">
                  <c:v>71.45</c:v>
                </c:pt>
                <c:pt idx="297">
                  <c:v>71.040000000000006</c:v>
                </c:pt>
                <c:pt idx="298">
                  <c:v>69.94</c:v>
                </c:pt>
                <c:pt idx="299">
                  <c:v>69.62</c:v>
                </c:pt>
                <c:pt idx="300">
                  <c:v>69.16</c:v>
                </c:pt>
                <c:pt idx="301">
                  <c:v>70.12</c:v>
                </c:pt>
                <c:pt idx="302">
                  <c:v>69.38</c:v>
                </c:pt>
                <c:pt idx="303">
                  <c:v>69.28</c:v>
                </c:pt>
                <c:pt idx="304">
                  <c:v>69.709999999999994</c:v>
                </c:pt>
                <c:pt idx="305">
                  <c:v>68.67</c:v>
                </c:pt>
                <c:pt idx="306">
                  <c:v>68.95</c:v>
                </c:pt>
                <c:pt idx="307">
                  <c:v>68.81</c:v>
                </c:pt>
                <c:pt idx="308">
                  <c:v>70.02</c:v>
                </c:pt>
                <c:pt idx="309">
                  <c:v>70.739999999999995</c:v>
                </c:pt>
                <c:pt idx="310">
                  <c:v>70.37</c:v>
                </c:pt>
                <c:pt idx="311">
                  <c:v>71.62</c:v>
                </c:pt>
                <c:pt idx="312">
                  <c:v>71.87</c:v>
                </c:pt>
                <c:pt idx="313">
                  <c:v>71.33</c:v>
                </c:pt>
                <c:pt idx="314">
                  <c:v>73.180000000000007</c:v>
                </c:pt>
                <c:pt idx="315">
                  <c:v>69.930000000000007</c:v>
                </c:pt>
                <c:pt idx="316">
                  <c:v>68.37</c:v>
                </c:pt>
                <c:pt idx="317">
                  <c:v>68.42</c:v>
                </c:pt>
                <c:pt idx="318">
                  <c:v>69.95</c:v>
                </c:pt>
                <c:pt idx="319">
                  <c:v>70.760000000000005</c:v>
                </c:pt>
                <c:pt idx="320">
                  <c:v>71.430000000000007</c:v>
                </c:pt>
                <c:pt idx="321">
                  <c:v>72.45</c:v>
                </c:pt>
                <c:pt idx="322">
                  <c:v>71.86</c:v>
                </c:pt>
                <c:pt idx="323">
                  <c:v>71.680000000000007</c:v>
                </c:pt>
                <c:pt idx="324">
                  <c:v>73</c:v>
                </c:pt>
                <c:pt idx="325">
                  <c:v>72.77</c:v>
                </c:pt>
                <c:pt idx="326">
                  <c:v>73.900000000000006</c:v>
                </c:pt>
                <c:pt idx="327">
                  <c:v>73.3</c:v>
                </c:pt>
                <c:pt idx="328">
                  <c:v>72.52</c:v>
                </c:pt>
                <c:pt idx="329">
                  <c:v>71.91</c:v>
                </c:pt>
                <c:pt idx="330">
                  <c:v>71.790000000000006</c:v>
                </c:pt>
                <c:pt idx="331">
                  <c:v>72.349999999999994</c:v>
                </c:pt>
                <c:pt idx="332">
                  <c:v>72.55</c:v>
                </c:pt>
                <c:pt idx="333">
                  <c:v>71.290000000000006</c:v>
                </c:pt>
                <c:pt idx="334">
                  <c:v>71.650000000000006</c:v>
                </c:pt>
                <c:pt idx="335">
                  <c:v>71.7</c:v>
                </c:pt>
                <c:pt idx="336">
                  <c:v>71.72</c:v>
                </c:pt>
                <c:pt idx="337">
                  <c:v>72.400000000000006</c:v>
                </c:pt>
                <c:pt idx="338">
                  <c:v>71.17</c:v>
                </c:pt>
                <c:pt idx="339">
                  <c:v>70.52</c:v>
                </c:pt>
                <c:pt idx="340">
                  <c:v>69.53</c:v>
                </c:pt>
                <c:pt idx="341">
                  <c:v>68.959999999999994</c:v>
                </c:pt>
                <c:pt idx="342">
                  <c:v>69.16</c:v>
                </c:pt>
                <c:pt idx="343">
                  <c:v>71.61</c:v>
                </c:pt>
                <c:pt idx="344">
                  <c:v>72</c:v>
                </c:pt>
                <c:pt idx="345">
                  <c:v>71.930000000000007</c:v>
                </c:pt>
                <c:pt idx="346">
                  <c:v>71.69</c:v>
                </c:pt>
                <c:pt idx="347">
                  <c:v>71.849999999999994</c:v>
                </c:pt>
                <c:pt idx="348">
                  <c:v>71.14</c:v>
                </c:pt>
                <c:pt idx="349">
                  <c:v>71.77</c:v>
                </c:pt>
                <c:pt idx="350">
                  <c:v>71.78</c:v>
                </c:pt>
                <c:pt idx="351">
                  <c:v>71.150000000000006</c:v>
                </c:pt>
                <c:pt idx="352">
                  <c:v>71.489999999999995</c:v>
                </c:pt>
                <c:pt idx="353">
                  <c:v>72.099999999999994</c:v>
                </c:pt>
                <c:pt idx="354">
                  <c:v>72</c:v>
                </c:pt>
                <c:pt idx="355">
                  <c:v>71.16</c:v>
                </c:pt>
                <c:pt idx="356">
                  <c:v>71.37</c:v>
                </c:pt>
                <c:pt idx="357">
                  <c:v>70.91</c:v>
                </c:pt>
                <c:pt idx="358">
                  <c:v>71.349999999999994</c:v>
                </c:pt>
                <c:pt idx="359">
                  <c:v>71.77</c:v>
                </c:pt>
                <c:pt idx="360">
                  <c:v>72.349999999999994</c:v>
                </c:pt>
                <c:pt idx="361">
                  <c:v>72.069999999999993</c:v>
                </c:pt>
                <c:pt idx="362">
                  <c:v>72.239999999999995</c:v>
                </c:pt>
                <c:pt idx="363">
                  <c:v>71.02</c:v>
                </c:pt>
                <c:pt idx="364">
                  <c:v>70.52</c:v>
                </c:pt>
                <c:pt idx="365">
                  <c:v>69.62</c:v>
                </c:pt>
                <c:pt idx="366">
                  <c:v>69.209999999999994</c:v>
                </c:pt>
                <c:pt idx="367">
                  <c:v>68.84</c:v>
                </c:pt>
                <c:pt idx="368">
                  <c:v>69.739999999999995</c:v>
                </c:pt>
                <c:pt idx="369">
                  <c:v>70.209999999999994</c:v>
                </c:pt>
                <c:pt idx="370">
                  <c:v>69.63</c:v>
                </c:pt>
                <c:pt idx="371">
                  <c:v>69.47</c:v>
                </c:pt>
                <c:pt idx="372">
                  <c:v>70.33</c:v>
                </c:pt>
                <c:pt idx="373">
                  <c:v>70.75</c:v>
                </c:pt>
                <c:pt idx="374">
                  <c:v>71.67</c:v>
                </c:pt>
                <c:pt idx="375">
                  <c:v>70.91</c:v>
                </c:pt>
                <c:pt idx="376">
                  <c:v>71.349999999999994</c:v>
                </c:pt>
                <c:pt idx="377">
                  <c:v>71.010000000000005</c:v>
                </c:pt>
                <c:pt idx="378">
                  <c:v>70.239999999999995</c:v>
                </c:pt>
                <c:pt idx="379">
                  <c:v>69.48</c:v>
                </c:pt>
                <c:pt idx="380">
                  <c:v>69.77</c:v>
                </c:pt>
                <c:pt idx="381">
                  <c:v>69.87</c:v>
                </c:pt>
                <c:pt idx="382">
                  <c:v>69.47</c:v>
                </c:pt>
                <c:pt idx="383">
                  <c:v>69.36</c:v>
                </c:pt>
                <c:pt idx="384">
                  <c:v>69.27</c:v>
                </c:pt>
                <c:pt idx="385">
                  <c:v>70.59</c:v>
                </c:pt>
                <c:pt idx="386">
                  <c:v>69.849999999999994</c:v>
                </c:pt>
                <c:pt idx="387">
                  <c:v>70.069999999999993</c:v>
                </c:pt>
                <c:pt idx="388">
                  <c:v>69.66</c:v>
                </c:pt>
                <c:pt idx="389">
                  <c:v>69.16</c:v>
                </c:pt>
                <c:pt idx="390">
                  <c:v>69.099999999999994</c:v>
                </c:pt>
                <c:pt idx="391">
                  <c:v>69.17</c:v>
                </c:pt>
                <c:pt idx="392">
                  <c:v>68.09</c:v>
                </c:pt>
                <c:pt idx="393">
                  <c:v>69.38</c:v>
                </c:pt>
                <c:pt idx="394">
                  <c:v>68.75</c:v>
                </c:pt>
                <c:pt idx="395">
                  <c:v>67.89</c:v>
                </c:pt>
                <c:pt idx="396">
                  <c:v>68.86</c:v>
                </c:pt>
                <c:pt idx="397">
                  <c:v>68.959999999999994</c:v>
                </c:pt>
                <c:pt idx="398">
                  <c:v>69.05</c:v>
                </c:pt>
                <c:pt idx="399">
                  <c:v>69.510000000000005</c:v>
                </c:pt>
                <c:pt idx="400">
                  <c:v>70.430000000000007</c:v>
                </c:pt>
                <c:pt idx="401">
                  <c:v>70.34</c:v>
                </c:pt>
                <c:pt idx="402">
                  <c:v>70.75</c:v>
                </c:pt>
                <c:pt idx="403">
                  <c:v>70.709999999999994</c:v>
                </c:pt>
                <c:pt idx="404">
                  <c:v>70.459999999999994</c:v>
                </c:pt>
                <c:pt idx="405">
                  <c:v>69.55</c:v>
                </c:pt>
                <c:pt idx="406">
                  <c:v>69.92</c:v>
                </c:pt>
                <c:pt idx="407">
                  <c:v>69.13</c:v>
                </c:pt>
                <c:pt idx="408">
                  <c:v>70.13</c:v>
                </c:pt>
                <c:pt idx="409">
                  <c:v>70.7</c:v>
                </c:pt>
                <c:pt idx="410">
                  <c:v>70.66</c:v>
                </c:pt>
                <c:pt idx="411">
                  <c:v>70.13</c:v>
                </c:pt>
                <c:pt idx="412">
                  <c:v>68.930000000000007</c:v>
                </c:pt>
                <c:pt idx="413">
                  <c:v>68.73</c:v>
                </c:pt>
                <c:pt idx="414">
                  <c:v>68.83</c:v>
                </c:pt>
                <c:pt idx="415">
                  <c:v>68.36</c:v>
                </c:pt>
                <c:pt idx="416">
                  <c:v>68.989999999999995</c:v>
                </c:pt>
                <c:pt idx="417">
                  <c:v>69.06</c:v>
                </c:pt>
                <c:pt idx="418">
                  <c:v>68.989999999999995</c:v>
                </c:pt>
                <c:pt idx="419">
                  <c:v>68.25</c:v>
                </c:pt>
                <c:pt idx="420">
                  <c:v>67.959999999999994</c:v>
                </c:pt>
                <c:pt idx="421">
                  <c:v>67.430000000000007</c:v>
                </c:pt>
                <c:pt idx="422">
                  <c:v>67.86</c:v>
                </c:pt>
                <c:pt idx="423">
                  <c:v>67.819999999999993</c:v>
                </c:pt>
                <c:pt idx="424">
                  <c:v>67.62</c:v>
                </c:pt>
                <c:pt idx="425">
                  <c:v>67.010000000000005</c:v>
                </c:pt>
                <c:pt idx="426">
                  <c:v>66.209999999999994</c:v>
                </c:pt>
                <c:pt idx="427">
                  <c:v>66.239999999999995</c:v>
                </c:pt>
                <c:pt idx="428">
                  <c:v>67.040000000000006</c:v>
                </c:pt>
                <c:pt idx="429">
                  <c:v>66.459999999999994</c:v>
                </c:pt>
                <c:pt idx="430">
                  <c:v>66.430000000000007</c:v>
                </c:pt>
                <c:pt idx="431">
                  <c:v>66.209999999999994</c:v>
                </c:pt>
                <c:pt idx="432">
                  <c:v>66.709999999999994</c:v>
                </c:pt>
                <c:pt idx="433">
                  <c:v>66.45</c:v>
                </c:pt>
                <c:pt idx="434">
                  <c:v>65.98</c:v>
                </c:pt>
                <c:pt idx="435">
                  <c:v>65.67</c:v>
                </c:pt>
                <c:pt idx="436">
                  <c:v>66.040000000000006</c:v>
                </c:pt>
                <c:pt idx="437">
                  <c:v>66.319999999999993</c:v>
                </c:pt>
                <c:pt idx="438">
                  <c:v>66.78</c:v>
                </c:pt>
                <c:pt idx="439">
                  <c:v>66.099999999999994</c:v>
                </c:pt>
                <c:pt idx="440">
                  <c:v>66.650000000000006</c:v>
                </c:pt>
                <c:pt idx="441">
                  <c:v>66.099999999999994</c:v>
                </c:pt>
                <c:pt idx="442">
                  <c:v>66.790000000000006</c:v>
                </c:pt>
                <c:pt idx="443">
                  <c:v>66.12</c:v>
                </c:pt>
                <c:pt idx="444">
                  <c:v>66.37</c:v>
                </c:pt>
                <c:pt idx="445">
                  <c:v>67.040000000000006</c:v>
                </c:pt>
                <c:pt idx="446">
                  <c:v>66.8</c:v>
                </c:pt>
                <c:pt idx="447">
                  <c:v>67.510000000000005</c:v>
                </c:pt>
                <c:pt idx="448">
                  <c:v>67.08</c:v>
                </c:pt>
                <c:pt idx="449">
                  <c:v>67.59</c:v>
                </c:pt>
                <c:pt idx="450">
                  <c:v>68.44</c:v>
                </c:pt>
                <c:pt idx="451">
                  <c:v>68.44</c:v>
                </c:pt>
                <c:pt idx="452">
                  <c:v>71.22</c:v>
                </c:pt>
                <c:pt idx="453">
                  <c:v>70.81</c:v>
                </c:pt>
                <c:pt idx="454">
                  <c:v>69.94</c:v>
                </c:pt>
                <c:pt idx="455">
                  <c:v>69.709999999999994</c:v>
                </c:pt>
                <c:pt idx="456">
                  <c:v>70.06</c:v>
                </c:pt>
                <c:pt idx="457">
                  <c:v>70.16</c:v>
                </c:pt>
                <c:pt idx="458">
                  <c:v>68.349999999999994</c:v>
                </c:pt>
                <c:pt idx="459">
                  <c:v>68.98</c:v>
                </c:pt>
                <c:pt idx="460">
                  <c:v>68.900000000000006</c:v>
                </c:pt>
                <c:pt idx="461">
                  <c:v>67.97</c:v>
                </c:pt>
                <c:pt idx="462">
                  <c:v>68.66</c:v>
                </c:pt>
                <c:pt idx="463">
                  <c:v>68.510000000000005</c:v>
                </c:pt>
                <c:pt idx="464">
                  <c:v>69.06</c:v>
                </c:pt>
                <c:pt idx="465">
                  <c:v>70.55</c:v>
                </c:pt>
                <c:pt idx="466">
                  <c:v>70.52</c:v>
                </c:pt>
                <c:pt idx="467">
                  <c:v>71.61</c:v>
                </c:pt>
                <c:pt idx="468">
                  <c:v>71.510000000000005</c:v>
                </c:pt>
                <c:pt idx="469">
                  <c:v>71.069999999999993</c:v>
                </c:pt>
                <c:pt idx="470">
                  <c:v>71.16</c:v>
                </c:pt>
                <c:pt idx="471">
                  <c:v>70.680000000000007</c:v>
                </c:pt>
                <c:pt idx="472">
                  <c:v>71.22</c:v>
                </c:pt>
                <c:pt idx="473">
                  <c:v>71.11</c:v>
                </c:pt>
                <c:pt idx="474">
                  <c:v>71.209999999999994</c:v>
                </c:pt>
                <c:pt idx="475">
                  <c:v>72.95</c:v>
                </c:pt>
                <c:pt idx="476">
                  <c:v>72.59</c:v>
                </c:pt>
                <c:pt idx="477">
                  <c:v>72.61</c:v>
                </c:pt>
                <c:pt idx="478">
                  <c:v>72.88</c:v>
                </c:pt>
                <c:pt idx="479">
                  <c:v>73.12</c:v>
                </c:pt>
                <c:pt idx="480">
                  <c:v>71.95</c:v>
                </c:pt>
                <c:pt idx="481">
                  <c:v>70.67</c:v>
                </c:pt>
                <c:pt idx="482">
                  <c:v>70.81</c:v>
                </c:pt>
                <c:pt idx="483">
                  <c:v>70.45</c:v>
                </c:pt>
                <c:pt idx="484">
                  <c:v>70</c:v>
                </c:pt>
                <c:pt idx="485">
                  <c:v>70.25</c:v>
                </c:pt>
                <c:pt idx="486">
                  <c:v>70.09</c:v>
                </c:pt>
                <c:pt idx="487">
                  <c:v>70.209999999999994</c:v>
                </c:pt>
                <c:pt idx="488">
                  <c:v>69.11</c:v>
                </c:pt>
                <c:pt idx="489">
                  <c:v>70.52</c:v>
                </c:pt>
                <c:pt idx="490">
                  <c:v>70.97</c:v>
                </c:pt>
                <c:pt idx="491">
                  <c:v>70.37</c:v>
                </c:pt>
                <c:pt idx="492">
                  <c:v>70.67</c:v>
                </c:pt>
                <c:pt idx="493">
                  <c:v>70.36</c:v>
                </c:pt>
                <c:pt idx="494">
                  <c:v>70.06</c:v>
                </c:pt>
                <c:pt idx="495">
                  <c:v>70.209999999999994</c:v>
                </c:pt>
                <c:pt idx="496">
                  <c:v>69.87</c:v>
                </c:pt>
                <c:pt idx="497">
                  <c:v>70.11</c:v>
                </c:pt>
                <c:pt idx="498">
                  <c:v>69.87</c:v>
                </c:pt>
                <c:pt idx="499">
                  <c:v>70.16</c:v>
                </c:pt>
                <c:pt idx="500">
                  <c:v>70.069999999999993</c:v>
                </c:pt>
                <c:pt idx="501">
                  <c:v>69.91</c:v>
                </c:pt>
                <c:pt idx="502">
                  <c:v>69.12</c:v>
                </c:pt>
                <c:pt idx="503">
                  <c:v>67.94</c:v>
                </c:pt>
                <c:pt idx="504">
                  <c:v>67.84</c:v>
                </c:pt>
                <c:pt idx="505">
                  <c:v>67.540000000000006</c:v>
                </c:pt>
                <c:pt idx="506">
                  <c:v>69.37</c:v>
                </c:pt>
                <c:pt idx="507">
                  <c:v>70.510000000000005</c:v>
                </c:pt>
                <c:pt idx="508">
                  <c:v>70.5</c:v>
                </c:pt>
                <c:pt idx="509">
                  <c:v>71.239999999999995</c:v>
                </c:pt>
                <c:pt idx="510">
                  <c:v>71.44</c:v>
                </c:pt>
                <c:pt idx="511">
                  <c:v>70.48</c:v>
                </c:pt>
                <c:pt idx="512">
                  <c:v>70.44</c:v>
                </c:pt>
                <c:pt idx="513">
                  <c:v>71.75</c:v>
                </c:pt>
                <c:pt idx="514">
                  <c:v>72.010000000000005</c:v>
                </c:pt>
                <c:pt idx="515">
                  <c:v>71.87</c:v>
                </c:pt>
                <c:pt idx="516">
                  <c:v>72.88</c:v>
                </c:pt>
                <c:pt idx="517">
                  <c:v>72.56</c:v>
                </c:pt>
                <c:pt idx="518">
                  <c:v>73.55</c:v>
                </c:pt>
                <c:pt idx="519">
                  <c:v>73.06</c:v>
                </c:pt>
                <c:pt idx="520">
                  <c:v>73.430000000000007</c:v>
                </c:pt>
                <c:pt idx="521">
                  <c:v>74.81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C3FB-4536-BB01-2BC035A9E0F4}"/>
            </c:ext>
          </c:extLst>
        </c:ser>
        <c:ser>
          <c:idx val="1"/>
          <c:order val="1"/>
          <c:tx>
            <c:strRef>
              <c:f>Data!$J$1</c:f>
              <c:strCache>
                <c:ptCount val="1"/>
                <c:pt idx="0">
                  <c:v>20d SMA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Data!$B$2:$B$523</c:f>
              <c:numCache>
                <c:formatCode>m/d/yyyy</c:formatCode>
                <c:ptCount val="522"/>
                <c:pt idx="0">
                  <c:v>45293</c:v>
                </c:pt>
                <c:pt idx="1">
                  <c:v>45294</c:v>
                </c:pt>
                <c:pt idx="2">
                  <c:v>45295</c:v>
                </c:pt>
                <c:pt idx="3">
                  <c:v>45296</c:v>
                </c:pt>
                <c:pt idx="4">
                  <c:v>45299</c:v>
                </c:pt>
                <c:pt idx="5">
                  <c:v>45300</c:v>
                </c:pt>
                <c:pt idx="6">
                  <c:v>45301</c:v>
                </c:pt>
                <c:pt idx="7">
                  <c:v>45302</c:v>
                </c:pt>
                <c:pt idx="8">
                  <c:v>45303</c:v>
                </c:pt>
                <c:pt idx="9">
                  <c:v>45307</c:v>
                </c:pt>
                <c:pt idx="10">
                  <c:v>45308</c:v>
                </c:pt>
                <c:pt idx="11">
                  <c:v>45309</c:v>
                </c:pt>
                <c:pt idx="12">
                  <c:v>45310</c:v>
                </c:pt>
                <c:pt idx="13">
                  <c:v>45313</c:v>
                </c:pt>
                <c:pt idx="14">
                  <c:v>45314</c:v>
                </c:pt>
                <c:pt idx="15">
                  <c:v>45315</c:v>
                </c:pt>
                <c:pt idx="16">
                  <c:v>45316</c:v>
                </c:pt>
                <c:pt idx="17">
                  <c:v>45317</c:v>
                </c:pt>
                <c:pt idx="18">
                  <c:v>45320</c:v>
                </c:pt>
                <c:pt idx="19">
                  <c:v>45321</c:v>
                </c:pt>
                <c:pt idx="20">
                  <c:v>45322</c:v>
                </c:pt>
                <c:pt idx="21">
                  <c:v>45323</c:v>
                </c:pt>
                <c:pt idx="22">
                  <c:v>45324</c:v>
                </c:pt>
                <c:pt idx="23">
                  <c:v>45327</c:v>
                </c:pt>
                <c:pt idx="24">
                  <c:v>45328</c:v>
                </c:pt>
                <c:pt idx="25">
                  <c:v>45329</c:v>
                </c:pt>
                <c:pt idx="26">
                  <c:v>45330</c:v>
                </c:pt>
                <c:pt idx="27">
                  <c:v>45331</c:v>
                </c:pt>
                <c:pt idx="28">
                  <c:v>45334</c:v>
                </c:pt>
                <c:pt idx="29">
                  <c:v>45335</c:v>
                </c:pt>
                <c:pt idx="30">
                  <c:v>45336</c:v>
                </c:pt>
                <c:pt idx="31">
                  <c:v>45337</c:v>
                </c:pt>
                <c:pt idx="32">
                  <c:v>45338</c:v>
                </c:pt>
                <c:pt idx="33">
                  <c:v>45342</c:v>
                </c:pt>
                <c:pt idx="34">
                  <c:v>45343</c:v>
                </c:pt>
                <c:pt idx="35">
                  <c:v>45344</c:v>
                </c:pt>
                <c:pt idx="36">
                  <c:v>45345</c:v>
                </c:pt>
                <c:pt idx="37">
                  <c:v>45348</c:v>
                </c:pt>
                <c:pt idx="38">
                  <c:v>45349</c:v>
                </c:pt>
                <c:pt idx="39">
                  <c:v>45350</c:v>
                </c:pt>
                <c:pt idx="40">
                  <c:v>45351</c:v>
                </c:pt>
                <c:pt idx="41">
                  <c:v>45352</c:v>
                </c:pt>
                <c:pt idx="42">
                  <c:v>45355</c:v>
                </c:pt>
                <c:pt idx="43">
                  <c:v>45356</c:v>
                </c:pt>
                <c:pt idx="44">
                  <c:v>45357</c:v>
                </c:pt>
                <c:pt idx="45">
                  <c:v>45358</c:v>
                </c:pt>
                <c:pt idx="46">
                  <c:v>45359</c:v>
                </c:pt>
                <c:pt idx="47">
                  <c:v>45362</c:v>
                </c:pt>
                <c:pt idx="48">
                  <c:v>45363</c:v>
                </c:pt>
                <c:pt idx="49">
                  <c:v>45364</c:v>
                </c:pt>
                <c:pt idx="50">
                  <c:v>45365</c:v>
                </c:pt>
                <c:pt idx="51">
                  <c:v>45366</c:v>
                </c:pt>
                <c:pt idx="52">
                  <c:v>45369</c:v>
                </c:pt>
                <c:pt idx="53">
                  <c:v>45370</c:v>
                </c:pt>
                <c:pt idx="54">
                  <c:v>45371</c:v>
                </c:pt>
                <c:pt idx="55">
                  <c:v>45372</c:v>
                </c:pt>
                <c:pt idx="56">
                  <c:v>45373</c:v>
                </c:pt>
                <c:pt idx="57">
                  <c:v>45376</c:v>
                </c:pt>
                <c:pt idx="58">
                  <c:v>45377</c:v>
                </c:pt>
                <c:pt idx="59">
                  <c:v>45378</c:v>
                </c:pt>
                <c:pt idx="60">
                  <c:v>45379</c:v>
                </c:pt>
                <c:pt idx="61">
                  <c:v>45383</c:v>
                </c:pt>
                <c:pt idx="62">
                  <c:v>45384</c:v>
                </c:pt>
                <c:pt idx="63">
                  <c:v>45385</c:v>
                </c:pt>
                <c:pt idx="64">
                  <c:v>45386</c:v>
                </c:pt>
                <c:pt idx="65">
                  <c:v>45387</c:v>
                </c:pt>
                <c:pt idx="66">
                  <c:v>45390</c:v>
                </c:pt>
                <c:pt idx="67">
                  <c:v>45391</c:v>
                </c:pt>
                <c:pt idx="68">
                  <c:v>45392</c:v>
                </c:pt>
                <c:pt idx="69">
                  <c:v>45393</c:v>
                </c:pt>
                <c:pt idx="70">
                  <c:v>45394</c:v>
                </c:pt>
                <c:pt idx="71">
                  <c:v>45397</c:v>
                </c:pt>
                <c:pt idx="72">
                  <c:v>45398</c:v>
                </c:pt>
                <c:pt idx="73">
                  <c:v>45399</c:v>
                </c:pt>
                <c:pt idx="74">
                  <c:v>45400</c:v>
                </c:pt>
                <c:pt idx="75">
                  <c:v>45401</c:v>
                </c:pt>
                <c:pt idx="76">
                  <c:v>45404</c:v>
                </c:pt>
                <c:pt idx="77">
                  <c:v>45405</c:v>
                </c:pt>
                <c:pt idx="78">
                  <c:v>45406</c:v>
                </c:pt>
                <c:pt idx="79">
                  <c:v>45407</c:v>
                </c:pt>
                <c:pt idx="80">
                  <c:v>45408</c:v>
                </c:pt>
                <c:pt idx="81">
                  <c:v>45411</c:v>
                </c:pt>
                <c:pt idx="82">
                  <c:v>45412</c:v>
                </c:pt>
                <c:pt idx="83">
                  <c:v>45413</c:v>
                </c:pt>
                <c:pt idx="84">
                  <c:v>45414</c:v>
                </c:pt>
                <c:pt idx="85">
                  <c:v>45415</c:v>
                </c:pt>
                <c:pt idx="86">
                  <c:v>45418</c:v>
                </c:pt>
                <c:pt idx="87">
                  <c:v>45419</c:v>
                </c:pt>
                <c:pt idx="88">
                  <c:v>45420</c:v>
                </c:pt>
                <c:pt idx="89">
                  <c:v>45421</c:v>
                </c:pt>
                <c:pt idx="90">
                  <c:v>45422</c:v>
                </c:pt>
                <c:pt idx="91">
                  <c:v>45425</c:v>
                </c:pt>
                <c:pt idx="92">
                  <c:v>45426</c:v>
                </c:pt>
                <c:pt idx="93">
                  <c:v>45427</c:v>
                </c:pt>
                <c:pt idx="94">
                  <c:v>45428</c:v>
                </c:pt>
                <c:pt idx="95">
                  <c:v>45429</c:v>
                </c:pt>
                <c:pt idx="96">
                  <c:v>45432</c:v>
                </c:pt>
                <c:pt idx="97">
                  <c:v>45433</c:v>
                </c:pt>
                <c:pt idx="98">
                  <c:v>45434</c:v>
                </c:pt>
                <c:pt idx="99">
                  <c:v>45435</c:v>
                </c:pt>
                <c:pt idx="100">
                  <c:v>45436</c:v>
                </c:pt>
                <c:pt idx="101">
                  <c:v>45440</c:v>
                </c:pt>
                <c:pt idx="102">
                  <c:v>45441</c:v>
                </c:pt>
                <c:pt idx="103">
                  <c:v>45442</c:v>
                </c:pt>
                <c:pt idx="104">
                  <c:v>45443</c:v>
                </c:pt>
                <c:pt idx="105">
                  <c:v>45446</c:v>
                </c:pt>
                <c:pt idx="106">
                  <c:v>45447</c:v>
                </c:pt>
                <c:pt idx="107">
                  <c:v>45448</c:v>
                </c:pt>
                <c:pt idx="108">
                  <c:v>45449</c:v>
                </c:pt>
                <c:pt idx="109">
                  <c:v>45450</c:v>
                </c:pt>
                <c:pt idx="110">
                  <c:v>45453</c:v>
                </c:pt>
                <c:pt idx="111">
                  <c:v>45454</c:v>
                </c:pt>
                <c:pt idx="112">
                  <c:v>45455</c:v>
                </c:pt>
                <c:pt idx="113">
                  <c:v>45456</c:v>
                </c:pt>
                <c:pt idx="114">
                  <c:v>45457</c:v>
                </c:pt>
                <c:pt idx="115">
                  <c:v>45460</c:v>
                </c:pt>
                <c:pt idx="116">
                  <c:v>45461</c:v>
                </c:pt>
                <c:pt idx="117">
                  <c:v>45463</c:v>
                </c:pt>
                <c:pt idx="118">
                  <c:v>45464</c:v>
                </c:pt>
                <c:pt idx="119">
                  <c:v>45467</c:v>
                </c:pt>
                <c:pt idx="120">
                  <c:v>45468</c:v>
                </c:pt>
                <c:pt idx="121">
                  <c:v>45469</c:v>
                </c:pt>
                <c:pt idx="122">
                  <c:v>45470</c:v>
                </c:pt>
                <c:pt idx="123">
                  <c:v>45471</c:v>
                </c:pt>
                <c:pt idx="124">
                  <c:v>45474</c:v>
                </c:pt>
                <c:pt idx="125">
                  <c:v>45475</c:v>
                </c:pt>
                <c:pt idx="126">
                  <c:v>45476</c:v>
                </c:pt>
                <c:pt idx="127">
                  <c:v>45478</c:v>
                </c:pt>
                <c:pt idx="128">
                  <c:v>45481</c:v>
                </c:pt>
                <c:pt idx="129">
                  <c:v>45482</c:v>
                </c:pt>
                <c:pt idx="130">
                  <c:v>45483</c:v>
                </c:pt>
                <c:pt idx="131">
                  <c:v>45484</c:v>
                </c:pt>
                <c:pt idx="132">
                  <c:v>45485</c:v>
                </c:pt>
                <c:pt idx="133">
                  <c:v>45488</c:v>
                </c:pt>
                <c:pt idx="134">
                  <c:v>45489</c:v>
                </c:pt>
                <c:pt idx="135">
                  <c:v>45490</c:v>
                </c:pt>
                <c:pt idx="136">
                  <c:v>45491</c:v>
                </c:pt>
                <c:pt idx="137">
                  <c:v>45492</c:v>
                </c:pt>
                <c:pt idx="138">
                  <c:v>45495</c:v>
                </c:pt>
                <c:pt idx="139">
                  <c:v>45496</c:v>
                </c:pt>
                <c:pt idx="140">
                  <c:v>45497</c:v>
                </c:pt>
                <c:pt idx="141">
                  <c:v>45498</c:v>
                </c:pt>
                <c:pt idx="142">
                  <c:v>45499</c:v>
                </c:pt>
                <c:pt idx="143">
                  <c:v>45502</c:v>
                </c:pt>
                <c:pt idx="144">
                  <c:v>45503</c:v>
                </c:pt>
                <c:pt idx="145">
                  <c:v>45504</c:v>
                </c:pt>
                <c:pt idx="146">
                  <c:v>45505</c:v>
                </c:pt>
                <c:pt idx="147">
                  <c:v>45506</c:v>
                </c:pt>
                <c:pt idx="148">
                  <c:v>45509</c:v>
                </c:pt>
                <c:pt idx="149">
                  <c:v>45510</c:v>
                </c:pt>
                <c:pt idx="150">
                  <c:v>45511</c:v>
                </c:pt>
                <c:pt idx="151">
                  <c:v>45512</c:v>
                </c:pt>
                <c:pt idx="152">
                  <c:v>45513</c:v>
                </c:pt>
                <c:pt idx="153">
                  <c:v>45516</c:v>
                </c:pt>
                <c:pt idx="154">
                  <c:v>45517</c:v>
                </c:pt>
                <c:pt idx="155">
                  <c:v>45518</c:v>
                </c:pt>
                <c:pt idx="156">
                  <c:v>45519</c:v>
                </c:pt>
                <c:pt idx="157">
                  <c:v>45520</c:v>
                </c:pt>
                <c:pt idx="158">
                  <c:v>45523</c:v>
                </c:pt>
                <c:pt idx="159">
                  <c:v>45524</c:v>
                </c:pt>
                <c:pt idx="160">
                  <c:v>45525</c:v>
                </c:pt>
                <c:pt idx="161">
                  <c:v>45526</c:v>
                </c:pt>
                <c:pt idx="162">
                  <c:v>45527</c:v>
                </c:pt>
                <c:pt idx="163">
                  <c:v>45530</c:v>
                </c:pt>
                <c:pt idx="164">
                  <c:v>45531</c:v>
                </c:pt>
                <c:pt idx="165">
                  <c:v>45532</c:v>
                </c:pt>
                <c:pt idx="166">
                  <c:v>45533</c:v>
                </c:pt>
                <c:pt idx="167">
                  <c:v>45534</c:v>
                </c:pt>
                <c:pt idx="168">
                  <c:v>45538</c:v>
                </c:pt>
                <c:pt idx="169">
                  <c:v>45539</c:v>
                </c:pt>
                <c:pt idx="170">
                  <c:v>45540</c:v>
                </c:pt>
                <c:pt idx="171">
                  <c:v>45541</c:v>
                </c:pt>
                <c:pt idx="172">
                  <c:v>45544</c:v>
                </c:pt>
                <c:pt idx="173">
                  <c:v>45545</c:v>
                </c:pt>
                <c:pt idx="174">
                  <c:v>45546</c:v>
                </c:pt>
                <c:pt idx="175">
                  <c:v>45547</c:v>
                </c:pt>
                <c:pt idx="176">
                  <c:v>45548</c:v>
                </c:pt>
                <c:pt idx="177">
                  <c:v>45551</c:v>
                </c:pt>
                <c:pt idx="178">
                  <c:v>45552</c:v>
                </c:pt>
                <c:pt idx="179">
                  <c:v>45553</c:v>
                </c:pt>
                <c:pt idx="180">
                  <c:v>45554</c:v>
                </c:pt>
                <c:pt idx="181">
                  <c:v>45555</c:v>
                </c:pt>
                <c:pt idx="182">
                  <c:v>45558</c:v>
                </c:pt>
                <c:pt idx="183">
                  <c:v>45559</c:v>
                </c:pt>
                <c:pt idx="184">
                  <c:v>45560</c:v>
                </c:pt>
                <c:pt idx="185">
                  <c:v>45561</c:v>
                </c:pt>
                <c:pt idx="186">
                  <c:v>45562</c:v>
                </c:pt>
                <c:pt idx="187">
                  <c:v>45565</c:v>
                </c:pt>
                <c:pt idx="188">
                  <c:v>45566</c:v>
                </c:pt>
                <c:pt idx="189">
                  <c:v>45567</c:v>
                </c:pt>
                <c:pt idx="190">
                  <c:v>45568</c:v>
                </c:pt>
                <c:pt idx="191">
                  <c:v>45569</c:v>
                </c:pt>
                <c:pt idx="192">
                  <c:v>45572</c:v>
                </c:pt>
                <c:pt idx="193">
                  <c:v>45573</c:v>
                </c:pt>
                <c:pt idx="194">
                  <c:v>45574</c:v>
                </c:pt>
                <c:pt idx="195">
                  <c:v>45575</c:v>
                </c:pt>
                <c:pt idx="196">
                  <c:v>45576</c:v>
                </c:pt>
                <c:pt idx="197">
                  <c:v>45579</c:v>
                </c:pt>
                <c:pt idx="198">
                  <c:v>45580</c:v>
                </c:pt>
                <c:pt idx="199">
                  <c:v>45581</c:v>
                </c:pt>
                <c:pt idx="200">
                  <c:v>45582</c:v>
                </c:pt>
                <c:pt idx="201">
                  <c:v>45583</c:v>
                </c:pt>
                <c:pt idx="202">
                  <c:v>45586</c:v>
                </c:pt>
                <c:pt idx="203">
                  <c:v>45587</c:v>
                </c:pt>
                <c:pt idx="204">
                  <c:v>45588</c:v>
                </c:pt>
                <c:pt idx="205">
                  <c:v>45589</c:v>
                </c:pt>
                <c:pt idx="206">
                  <c:v>45590</c:v>
                </c:pt>
                <c:pt idx="207">
                  <c:v>45593</c:v>
                </c:pt>
                <c:pt idx="208">
                  <c:v>45594</c:v>
                </c:pt>
                <c:pt idx="209">
                  <c:v>45595</c:v>
                </c:pt>
                <c:pt idx="210">
                  <c:v>45596</c:v>
                </c:pt>
                <c:pt idx="211">
                  <c:v>45597</c:v>
                </c:pt>
                <c:pt idx="212">
                  <c:v>45600</c:v>
                </c:pt>
                <c:pt idx="213">
                  <c:v>45601</c:v>
                </c:pt>
                <c:pt idx="214">
                  <c:v>45602</c:v>
                </c:pt>
                <c:pt idx="215">
                  <c:v>45603</c:v>
                </c:pt>
                <c:pt idx="216">
                  <c:v>45604</c:v>
                </c:pt>
                <c:pt idx="217">
                  <c:v>45607</c:v>
                </c:pt>
                <c:pt idx="218">
                  <c:v>45608</c:v>
                </c:pt>
                <c:pt idx="219">
                  <c:v>45609</c:v>
                </c:pt>
                <c:pt idx="220">
                  <c:v>45610</c:v>
                </c:pt>
                <c:pt idx="221">
                  <c:v>45611</c:v>
                </c:pt>
                <c:pt idx="222">
                  <c:v>45614</c:v>
                </c:pt>
                <c:pt idx="223">
                  <c:v>45615</c:v>
                </c:pt>
                <c:pt idx="224">
                  <c:v>45616</c:v>
                </c:pt>
                <c:pt idx="225">
                  <c:v>45617</c:v>
                </c:pt>
                <c:pt idx="226">
                  <c:v>45618</c:v>
                </c:pt>
                <c:pt idx="227">
                  <c:v>45621</c:v>
                </c:pt>
                <c:pt idx="228">
                  <c:v>45622</c:v>
                </c:pt>
                <c:pt idx="229">
                  <c:v>45623</c:v>
                </c:pt>
                <c:pt idx="230">
                  <c:v>45625</c:v>
                </c:pt>
                <c:pt idx="231">
                  <c:v>45628</c:v>
                </c:pt>
                <c:pt idx="232">
                  <c:v>45629</c:v>
                </c:pt>
                <c:pt idx="233">
                  <c:v>45630</c:v>
                </c:pt>
                <c:pt idx="234">
                  <c:v>45631</c:v>
                </c:pt>
                <c:pt idx="235">
                  <c:v>45632</c:v>
                </c:pt>
                <c:pt idx="236">
                  <c:v>45635</c:v>
                </c:pt>
                <c:pt idx="237">
                  <c:v>45636</c:v>
                </c:pt>
                <c:pt idx="238">
                  <c:v>45637</c:v>
                </c:pt>
                <c:pt idx="239">
                  <c:v>45638</c:v>
                </c:pt>
                <c:pt idx="240">
                  <c:v>45639</c:v>
                </c:pt>
                <c:pt idx="241">
                  <c:v>45642</c:v>
                </c:pt>
                <c:pt idx="242">
                  <c:v>45643</c:v>
                </c:pt>
                <c:pt idx="243">
                  <c:v>45644</c:v>
                </c:pt>
                <c:pt idx="244">
                  <c:v>45645</c:v>
                </c:pt>
                <c:pt idx="245">
                  <c:v>45646</c:v>
                </c:pt>
                <c:pt idx="246">
                  <c:v>45649</c:v>
                </c:pt>
                <c:pt idx="247">
                  <c:v>45650</c:v>
                </c:pt>
                <c:pt idx="248">
                  <c:v>45652</c:v>
                </c:pt>
                <c:pt idx="249">
                  <c:v>45653</c:v>
                </c:pt>
                <c:pt idx="250">
                  <c:v>45656</c:v>
                </c:pt>
                <c:pt idx="251">
                  <c:v>45657</c:v>
                </c:pt>
                <c:pt idx="252">
                  <c:v>45659</c:v>
                </c:pt>
                <c:pt idx="253">
                  <c:v>45660</c:v>
                </c:pt>
                <c:pt idx="254">
                  <c:v>45663</c:v>
                </c:pt>
                <c:pt idx="255">
                  <c:v>45664</c:v>
                </c:pt>
                <c:pt idx="256">
                  <c:v>45665</c:v>
                </c:pt>
                <c:pt idx="257">
                  <c:v>45667</c:v>
                </c:pt>
                <c:pt idx="258">
                  <c:v>45670</c:v>
                </c:pt>
                <c:pt idx="259">
                  <c:v>45671</c:v>
                </c:pt>
                <c:pt idx="260">
                  <c:v>45672</c:v>
                </c:pt>
                <c:pt idx="261">
                  <c:v>45673</c:v>
                </c:pt>
                <c:pt idx="262">
                  <c:v>45674</c:v>
                </c:pt>
                <c:pt idx="263">
                  <c:v>45678</c:v>
                </c:pt>
                <c:pt idx="264">
                  <c:v>45679</c:v>
                </c:pt>
                <c:pt idx="265">
                  <c:v>45680</c:v>
                </c:pt>
                <c:pt idx="266">
                  <c:v>45681</c:v>
                </c:pt>
                <c:pt idx="267">
                  <c:v>45684</c:v>
                </c:pt>
                <c:pt idx="268">
                  <c:v>45685</c:v>
                </c:pt>
                <c:pt idx="269">
                  <c:v>45686</c:v>
                </c:pt>
                <c:pt idx="270">
                  <c:v>45687</c:v>
                </c:pt>
                <c:pt idx="271">
                  <c:v>45688</c:v>
                </c:pt>
                <c:pt idx="272">
                  <c:v>45691</c:v>
                </c:pt>
                <c:pt idx="273">
                  <c:v>45692</c:v>
                </c:pt>
                <c:pt idx="274">
                  <c:v>45693</c:v>
                </c:pt>
                <c:pt idx="275">
                  <c:v>45694</c:v>
                </c:pt>
                <c:pt idx="276">
                  <c:v>45695</c:v>
                </c:pt>
                <c:pt idx="277">
                  <c:v>45698</c:v>
                </c:pt>
                <c:pt idx="278">
                  <c:v>45699</c:v>
                </c:pt>
                <c:pt idx="279">
                  <c:v>45700</c:v>
                </c:pt>
                <c:pt idx="280">
                  <c:v>45701</c:v>
                </c:pt>
                <c:pt idx="281">
                  <c:v>45702</c:v>
                </c:pt>
                <c:pt idx="282">
                  <c:v>45706</c:v>
                </c:pt>
                <c:pt idx="283">
                  <c:v>45707</c:v>
                </c:pt>
                <c:pt idx="284">
                  <c:v>45708</c:v>
                </c:pt>
                <c:pt idx="285">
                  <c:v>45709</c:v>
                </c:pt>
                <c:pt idx="286">
                  <c:v>45712</c:v>
                </c:pt>
                <c:pt idx="287">
                  <c:v>45713</c:v>
                </c:pt>
                <c:pt idx="288">
                  <c:v>45714</c:v>
                </c:pt>
                <c:pt idx="289">
                  <c:v>45715</c:v>
                </c:pt>
                <c:pt idx="290">
                  <c:v>45716</c:v>
                </c:pt>
                <c:pt idx="291">
                  <c:v>45719</c:v>
                </c:pt>
                <c:pt idx="292">
                  <c:v>45720</c:v>
                </c:pt>
                <c:pt idx="293">
                  <c:v>45721</c:v>
                </c:pt>
                <c:pt idx="294">
                  <c:v>45722</c:v>
                </c:pt>
                <c:pt idx="295">
                  <c:v>45723</c:v>
                </c:pt>
                <c:pt idx="296">
                  <c:v>45726</c:v>
                </c:pt>
                <c:pt idx="297">
                  <c:v>45727</c:v>
                </c:pt>
                <c:pt idx="298">
                  <c:v>45728</c:v>
                </c:pt>
                <c:pt idx="299">
                  <c:v>45729</c:v>
                </c:pt>
                <c:pt idx="300">
                  <c:v>45730</c:v>
                </c:pt>
                <c:pt idx="301">
                  <c:v>45733</c:v>
                </c:pt>
                <c:pt idx="302">
                  <c:v>45734</c:v>
                </c:pt>
                <c:pt idx="303">
                  <c:v>45735</c:v>
                </c:pt>
                <c:pt idx="304">
                  <c:v>45736</c:v>
                </c:pt>
                <c:pt idx="305">
                  <c:v>45737</c:v>
                </c:pt>
                <c:pt idx="306">
                  <c:v>45740</c:v>
                </c:pt>
                <c:pt idx="307">
                  <c:v>45741</c:v>
                </c:pt>
                <c:pt idx="308">
                  <c:v>45742</c:v>
                </c:pt>
                <c:pt idx="309">
                  <c:v>45743</c:v>
                </c:pt>
                <c:pt idx="310">
                  <c:v>45744</c:v>
                </c:pt>
                <c:pt idx="311">
                  <c:v>45747</c:v>
                </c:pt>
                <c:pt idx="312">
                  <c:v>45748</c:v>
                </c:pt>
                <c:pt idx="313">
                  <c:v>45749</c:v>
                </c:pt>
                <c:pt idx="314">
                  <c:v>45750</c:v>
                </c:pt>
                <c:pt idx="315">
                  <c:v>45751</c:v>
                </c:pt>
                <c:pt idx="316">
                  <c:v>45754</c:v>
                </c:pt>
                <c:pt idx="317">
                  <c:v>45755</c:v>
                </c:pt>
                <c:pt idx="318">
                  <c:v>45756</c:v>
                </c:pt>
                <c:pt idx="319">
                  <c:v>45757</c:v>
                </c:pt>
                <c:pt idx="320">
                  <c:v>45758</c:v>
                </c:pt>
                <c:pt idx="321">
                  <c:v>45761</c:v>
                </c:pt>
                <c:pt idx="322">
                  <c:v>45762</c:v>
                </c:pt>
                <c:pt idx="323">
                  <c:v>45763</c:v>
                </c:pt>
                <c:pt idx="324">
                  <c:v>45764</c:v>
                </c:pt>
                <c:pt idx="325">
                  <c:v>45768</c:v>
                </c:pt>
                <c:pt idx="326">
                  <c:v>45769</c:v>
                </c:pt>
                <c:pt idx="327">
                  <c:v>45770</c:v>
                </c:pt>
                <c:pt idx="328">
                  <c:v>45771</c:v>
                </c:pt>
                <c:pt idx="329">
                  <c:v>45772</c:v>
                </c:pt>
                <c:pt idx="330">
                  <c:v>45775</c:v>
                </c:pt>
                <c:pt idx="331">
                  <c:v>45776</c:v>
                </c:pt>
                <c:pt idx="332">
                  <c:v>45777</c:v>
                </c:pt>
                <c:pt idx="333">
                  <c:v>45778</c:v>
                </c:pt>
                <c:pt idx="334">
                  <c:v>45779</c:v>
                </c:pt>
                <c:pt idx="335">
                  <c:v>45782</c:v>
                </c:pt>
                <c:pt idx="336">
                  <c:v>45783</c:v>
                </c:pt>
                <c:pt idx="337">
                  <c:v>45784</c:v>
                </c:pt>
                <c:pt idx="338">
                  <c:v>45785</c:v>
                </c:pt>
                <c:pt idx="339">
                  <c:v>45786</c:v>
                </c:pt>
                <c:pt idx="340">
                  <c:v>45789</c:v>
                </c:pt>
                <c:pt idx="341">
                  <c:v>45790</c:v>
                </c:pt>
                <c:pt idx="342">
                  <c:v>45791</c:v>
                </c:pt>
                <c:pt idx="343">
                  <c:v>45792</c:v>
                </c:pt>
                <c:pt idx="344">
                  <c:v>45793</c:v>
                </c:pt>
                <c:pt idx="345">
                  <c:v>45796</c:v>
                </c:pt>
                <c:pt idx="346">
                  <c:v>45797</c:v>
                </c:pt>
                <c:pt idx="347">
                  <c:v>45798</c:v>
                </c:pt>
                <c:pt idx="348">
                  <c:v>45799</c:v>
                </c:pt>
                <c:pt idx="349">
                  <c:v>45800</c:v>
                </c:pt>
                <c:pt idx="350">
                  <c:v>45804</c:v>
                </c:pt>
                <c:pt idx="351">
                  <c:v>45805</c:v>
                </c:pt>
                <c:pt idx="352">
                  <c:v>45806</c:v>
                </c:pt>
                <c:pt idx="353">
                  <c:v>45807</c:v>
                </c:pt>
                <c:pt idx="354">
                  <c:v>45810</c:v>
                </c:pt>
                <c:pt idx="355">
                  <c:v>45811</c:v>
                </c:pt>
                <c:pt idx="356">
                  <c:v>45812</c:v>
                </c:pt>
                <c:pt idx="357">
                  <c:v>45813</c:v>
                </c:pt>
                <c:pt idx="358">
                  <c:v>45814</c:v>
                </c:pt>
                <c:pt idx="359">
                  <c:v>45817</c:v>
                </c:pt>
                <c:pt idx="360">
                  <c:v>45818</c:v>
                </c:pt>
                <c:pt idx="361">
                  <c:v>45819</c:v>
                </c:pt>
                <c:pt idx="362">
                  <c:v>45820</c:v>
                </c:pt>
                <c:pt idx="363">
                  <c:v>45821</c:v>
                </c:pt>
                <c:pt idx="364">
                  <c:v>45824</c:v>
                </c:pt>
                <c:pt idx="365">
                  <c:v>45825</c:v>
                </c:pt>
                <c:pt idx="366">
                  <c:v>45826</c:v>
                </c:pt>
                <c:pt idx="367">
                  <c:v>45828</c:v>
                </c:pt>
                <c:pt idx="368">
                  <c:v>45831</c:v>
                </c:pt>
                <c:pt idx="369">
                  <c:v>45832</c:v>
                </c:pt>
                <c:pt idx="370">
                  <c:v>45833</c:v>
                </c:pt>
                <c:pt idx="371">
                  <c:v>45834</c:v>
                </c:pt>
                <c:pt idx="372">
                  <c:v>45835</c:v>
                </c:pt>
                <c:pt idx="373">
                  <c:v>45838</c:v>
                </c:pt>
                <c:pt idx="374">
                  <c:v>45839</c:v>
                </c:pt>
                <c:pt idx="375">
                  <c:v>45840</c:v>
                </c:pt>
                <c:pt idx="376">
                  <c:v>45841</c:v>
                </c:pt>
                <c:pt idx="377">
                  <c:v>45845</c:v>
                </c:pt>
                <c:pt idx="378">
                  <c:v>45846</c:v>
                </c:pt>
                <c:pt idx="379">
                  <c:v>45847</c:v>
                </c:pt>
                <c:pt idx="380">
                  <c:v>45848</c:v>
                </c:pt>
                <c:pt idx="381">
                  <c:v>45849</c:v>
                </c:pt>
                <c:pt idx="382">
                  <c:v>45852</c:v>
                </c:pt>
                <c:pt idx="383">
                  <c:v>45853</c:v>
                </c:pt>
                <c:pt idx="384">
                  <c:v>45854</c:v>
                </c:pt>
                <c:pt idx="385">
                  <c:v>45855</c:v>
                </c:pt>
                <c:pt idx="386">
                  <c:v>45856</c:v>
                </c:pt>
                <c:pt idx="387">
                  <c:v>45859</c:v>
                </c:pt>
                <c:pt idx="388">
                  <c:v>45860</c:v>
                </c:pt>
                <c:pt idx="389">
                  <c:v>45861</c:v>
                </c:pt>
                <c:pt idx="390">
                  <c:v>45862</c:v>
                </c:pt>
                <c:pt idx="391">
                  <c:v>45863</c:v>
                </c:pt>
                <c:pt idx="392">
                  <c:v>45866</c:v>
                </c:pt>
                <c:pt idx="393">
                  <c:v>45867</c:v>
                </c:pt>
                <c:pt idx="394">
                  <c:v>45868</c:v>
                </c:pt>
                <c:pt idx="395">
                  <c:v>45869</c:v>
                </c:pt>
                <c:pt idx="396">
                  <c:v>45870</c:v>
                </c:pt>
                <c:pt idx="397">
                  <c:v>45873</c:v>
                </c:pt>
                <c:pt idx="398">
                  <c:v>45874</c:v>
                </c:pt>
                <c:pt idx="399">
                  <c:v>45875</c:v>
                </c:pt>
                <c:pt idx="400">
                  <c:v>45876</c:v>
                </c:pt>
                <c:pt idx="401">
                  <c:v>45877</c:v>
                </c:pt>
                <c:pt idx="402">
                  <c:v>45880</c:v>
                </c:pt>
                <c:pt idx="403">
                  <c:v>45881</c:v>
                </c:pt>
                <c:pt idx="404">
                  <c:v>45882</c:v>
                </c:pt>
                <c:pt idx="405">
                  <c:v>45883</c:v>
                </c:pt>
                <c:pt idx="406">
                  <c:v>45884</c:v>
                </c:pt>
                <c:pt idx="407">
                  <c:v>45887</c:v>
                </c:pt>
                <c:pt idx="408">
                  <c:v>45888</c:v>
                </c:pt>
                <c:pt idx="409">
                  <c:v>45889</c:v>
                </c:pt>
                <c:pt idx="410">
                  <c:v>45890</c:v>
                </c:pt>
                <c:pt idx="411">
                  <c:v>45891</c:v>
                </c:pt>
                <c:pt idx="412">
                  <c:v>45894</c:v>
                </c:pt>
                <c:pt idx="413">
                  <c:v>45895</c:v>
                </c:pt>
                <c:pt idx="414">
                  <c:v>45896</c:v>
                </c:pt>
                <c:pt idx="415">
                  <c:v>45897</c:v>
                </c:pt>
                <c:pt idx="416">
                  <c:v>45898</c:v>
                </c:pt>
                <c:pt idx="417">
                  <c:v>45902</c:v>
                </c:pt>
                <c:pt idx="418">
                  <c:v>45903</c:v>
                </c:pt>
                <c:pt idx="419">
                  <c:v>45904</c:v>
                </c:pt>
                <c:pt idx="420">
                  <c:v>45905</c:v>
                </c:pt>
                <c:pt idx="421">
                  <c:v>45908</c:v>
                </c:pt>
                <c:pt idx="422">
                  <c:v>45909</c:v>
                </c:pt>
                <c:pt idx="423">
                  <c:v>45910</c:v>
                </c:pt>
                <c:pt idx="424">
                  <c:v>45911</c:v>
                </c:pt>
                <c:pt idx="425">
                  <c:v>45912</c:v>
                </c:pt>
                <c:pt idx="426">
                  <c:v>45915</c:v>
                </c:pt>
                <c:pt idx="427">
                  <c:v>45916</c:v>
                </c:pt>
                <c:pt idx="428">
                  <c:v>45917</c:v>
                </c:pt>
                <c:pt idx="429">
                  <c:v>45918</c:v>
                </c:pt>
                <c:pt idx="430">
                  <c:v>45919</c:v>
                </c:pt>
                <c:pt idx="431">
                  <c:v>45922</c:v>
                </c:pt>
                <c:pt idx="432">
                  <c:v>45923</c:v>
                </c:pt>
                <c:pt idx="433">
                  <c:v>45924</c:v>
                </c:pt>
                <c:pt idx="434">
                  <c:v>45925</c:v>
                </c:pt>
                <c:pt idx="435">
                  <c:v>45926</c:v>
                </c:pt>
                <c:pt idx="436">
                  <c:v>45929</c:v>
                </c:pt>
                <c:pt idx="437">
                  <c:v>45930</c:v>
                </c:pt>
                <c:pt idx="438">
                  <c:v>45931</c:v>
                </c:pt>
                <c:pt idx="439">
                  <c:v>45932</c:v>
                </c:pt>
                <c:pt idx="440">
                  <c:v>45933</c:v>
                </c:pt>
                <c:pt idx="441">
                  <c:v>45936</c:v>
                </c:pt>
                <c:pt idx="442">
                  <c:v>45937</c:v>
                </c:pt>
                <c:pt idx="443">
                  <c:v>45938</c:v>
                </c:pt>
                <c:pt idx="444">
                  <c:v>45939</c:v>
                </c:pt>
                <c:pt idx="445">
                  <c:v>45940</c:v>
                </c:pt>
                <c:pt idx="446">
                  <c:v>45943</c:v>
                </c:pt>
                <c:pt idx="447">
                  <c:v>45944</c:v>
                </c:pt>
                <c:pt idx="448">
                  <c:v>45945</c:v>
                </c:pt>
                <c:pt idx="449">
                  <c:v>45946</c:v>
                </c:pt>
                <c:pt idx="450">
                  <c:v>45947</c:v>
                </c:pt>
                <c:pt idx="451">
                  <c:v>45950</c:v>
                </c:pt>
                <c:pt idx="452">
                  <c:v>45951</c:v>
                </c:pt>
                <c:pt idx="453">
                  <c:v>45952</c:v>
                </c:pt>
                <c:pt idx="454">
                  <c:v>45953</c:v>
                </c:pt>
                <c:pt idx="455">
                  <c:v>45954</c:v>
                </c:pt>
                <c:pt idx="456">
                  <c:v>45957</c:v>
                </c:pt>
                <c:pt idx="457">
                  <c:v>45958</c:v>
                </c:pt>
                <c:pt idx="458">
                  <c:v>45959</c:v>
                </c:pt>
                <c:pt idx="459">
                  <c:v>45960</c:v>
                </c:pt>
                <c:pt idx="460">
                  <c:v>45961</c:v>
                </c:pt>
                <c:pt idx="461">
                  <c:v>45964</c:v>
                </c:pt>
                <c:pt idx="462">
                  <c:v>45965</c:v>
                </c:pt>
                <c:pt idx="463">
                  <c:v>45966</c:v>
                </c:pt>
                <c:pt idx="464">
                  <c:v>45967</c:v>
                </c:pt>
                <c:pt idx="465">
                  <c:v>45968</c:v>
                </c:pt>
                <c:pt idx="466">
                  <c:v>45971</c:v>
                </c:pt>
                <c:pt idx="467">
                  <c:v>45972</c:v>
                </c:pt>
                <c:pt idx="468">
                  <c:v>45973</c:v>
                </c:pt>
                <c:pt idx="469">
                  <c:v>45974</c:v>
                </c:pt>
                <c:pt idx="470">
                  <c:v>45975</c:v>
                </c:pt>
                <c:pt idx="471">
                  <c:v>45978</c:v>
                </c:pt>
                <c:pt idx="472">
                  <c:v>45979</c:v>
                </c:pt>
                <c:pt idx="473">
                  <c:v>45980</c:v>
                </c:pt>
                <c:pt idx="474">
                  <c:v>45981</c:v>
                </c:pt>
                <c:pt idx="475">
                  <c:v>45982</c:v>
                </c:pt>
                <c:pt idx="476">
                  <c:v>45985</c:v>
                </c:pt>
                <c:pt idx="477">
                  <c:v>45986</c:v>
                </c:pt>
                <c:pt idx="478">
                  <c:v>45987</c:v>
                </c:pt>
                <c:pt idx="479">
                  <c:v>45989</c:v>
                </c:pt>
                <c:pt idx="480">
                  <c:v>45992</c:v>
                </c:pt>
                <c:pt idx="481">
                  <c:v>45993</c:v>
                </c:pt>
                <c:pt idx="482">
                  <c:v>45994</c:v>
                </c:pt>
                <c:pt idx="483">
                  <c:v>45995</c:v>
                </c:pt>
                <c:pt idx="484">
                  <c:v>45996</c:v>
                </c:pt>
                <c:pt idx="485">
                  <c:v>45999</c:v>
                </c:pt>
                <c:pt idx="486">
                  <c:v>46000</c:v>
                </c:pt>
                <c:pt idx="487">
                  <c:v>46001</c:v>
                </c:pt>
                <c:pt idx="488">
                  <c:v>46002</c:v>
                </c:pt>
                <c:pt idx="489">
                  <c:v>46003</c:v>
                </c:pt>
                <c:pt idx="490">
                  <c:v>46006</c:v>
                </c:pt>
                <c:pt idx="491">
                  <c:v>46007</c:v>
                </c:pt>
                <c:pt idx="492">
                  <c:v>46008</c:v>
                </c:pt>
                <c:pt idx="493">
                  <c:v>46009</c:v>
                </c:pt>
                <c:pt idx="494">
                  <c:v>46010</c:v>
                </c:pt>
                <c:pt idx="495">
                  <c:v>46013</c:v>
                </c:pt>
                <c:pt idx="496">
                  <c:v>46014</c:v>
                </c:pt>
                <c:pt idx="497">
                  <c:v>46015</c:v>
                </c:pt>
                <c:pt idx="498">
                  <c:v>46017</c:v>
                </c:pt>
                <c:pt idx="499">
                  <c:v>46020</c:v>
                </c:pt>
                <c:pt idx="500">
                  <c:v>46021</c:v>
                </c:pt>
                <c:pt idx="501">
                  <c:v>46022</c:v>
                </c:pt>
                <c:pt idx="502">
                  <c:v>46024</c:v>
                </c:pt>
                <c:pt idx="503">
                  <c:v>46027</c:v>
                </c:pt>
                <c:pt idx="504">
                  <c:v>46028</c:v>
                </c:pt>
                <c:pt idx="505">
                  <c:v>46029</c:v>
                </c:pt>
                <c:pt idx="506">
                  <c:v>46030</c:v>
                </c:pt>
                <c:pt idx="507">
                  <c:v>46031</c:v>
                </c:pt>
                <c:pt idx="508">
                  <c:v>46034</c:v>
                </c:pt>
                <c:pt idx="509">
                  <c:v>46035</c:v>
                </c:pt>
                <c:pt idx="510">
                  <c:v>46036</c:v>
                </c:pt>
                <c:pt idx="511">
                  <c:v>46037</c:v>
                </c:pt>
                <c:pt idx="512">
                  <c:v>46038</c:v>
                </c:pt>
                <c:pt idx="513">
                  <c:v>46042</c:v>
                </c:pt>
                <c:pt idx="514">
                  <c:v>46043</c:v>
                </c:pt>
                <c:pt idx="515">
                  <c:v>46044</c:v>
                </c:pt>
                <c:pt idx="516">
                  <c:v>46045</c:v>
                </c:pt>
                <c:pt idx="517">
                  <c:v>46048</c:v>
                </c:pt>
                <c:pt idx="518">
                  <c:v>46049</c:v>
                </c:pt>
                <c:pt idx="519">
                  <c:v>46050</c:v>
                </c:pt>
                <c:pt idx="520">
                  <c:v>46051</c:v>
                </c:pt>
                <c:pt idx="521">
                  <c:v>46052</c:v>
                </c:pt>
              </c:numCache>
            </c:numRef>
          </c:cat>
          <c:val>
            <c:numRef>
              <c:f>Data!$J$2:$J$523</c:f>
              <c:numCache>
                <c:formatCode>General</c:formatCode>
                <c:ptCount val="522"/>
                <c:pt idx="19">
                  <c:v>59.809000000000005</c:v>
                </c:pt>
                <c:pt idx="20">
                  <c:v>59.792500000000004</c:v>
                </c:pt>
                <c:pt idx="21">
                  <c:v>59.843500000000006</c:v>
                </c:pt>
                <c:pt idx="22">
                  <c:v>59.882500000000007</c:v>
                </c:pt>
                <c:pt idx="23">
                  <c:v>59.900999999999996</c:v>
                </c:pt>
                <c:pt idx="24">
                  <c:v>59.892499999999998</c:v>
                </c:pt>
                <c:pt idx="25">
                  <c:v>59.891999999999996</c:v>
                </c:pt>
                <c:pt idx="26">
                  <c:v>59.873499999999993</c:v>
                </c:pt>
                <c:pt idx="27">
                  <c:v>59.86099999999999</c:v>
                </c:pt>
                <c:pt idx="28">
                  <c:v>59.826499999999989</c:v>
                </c:pt>
                <c:pt idx="29">
                  <c:v>59.794500000000006</c:v>
                </c:pt>
                <c:pt idx="30">
                  <c:v>59.759500000000003</c:v>
                </c:pt>
                <c:pt idx="31">
                  <c:v>59.721500000000006</c:v>
                </c:pt>
                <c:pt idx="32">
                  <c:v>59.699500000000015</c:v>
                </c:pt>
                <c:pt idx="33">
                  <c:v>59.756000000000007</c:v>
                </c:pt>
                <c:pt idx="34">
                  <c:v>59.825500000000012</c:v>
                </c:pt>
                <c:pt idx="35">
                  <c:v>59.937500000000014</c:v>
                </c:pt>
                <c:pt idx="36">
                  <c:v>60.039500000000011</c:v>
                </c:pt>
                <c:pt idx="37">
                  <c:v>60.106500000000004</c:v>
                </c:pt>
                <c:pt idx="38">
                  <c:v>60.137</c:v>
                </c:pt>
                <c:pt idx="39">
                  <c:v>60.161999999999999</c:v>
                </c:pt>
                <c:pt idx="40">
                  <c:v>60.188499999999998</c:v>
                </c:pt>
                <c:pt idx="41">
                  <c:v>60.116000000000007</c:v>
                </c:pt>
                <c:pt idx="42">
                  <c:v>60.07950000000001</c:v>
                </c:pt>
                <c:pt idx="43">
                  <c:v>60.053500000000007</c:v>
                </c:pt>
                <c:pt idx="44">
                  <c:v>60.034000000000006</c:v>
                </c:pt>
                <c:pt idx="45">
                  <c:v>60.006499999999996</c:v>
                </c:pt>
                <c:pt idx="46">
                  <c:v>59.991</c:v>
                </c:pt>
                <c:pt idx="47">
                  <c:v>60.024999999999999</c:v>
                </c:pt>
                <c:pt idx="48">
                  <c:v>60.064999999999998</c:v>
                </c:pt>
                <c:pt idx="49">
                  <c:v>60.153499999999987</c:v>
                </c:pt>
                <c:pt idx="50">
                  <c:v>60.213999999999984</c:v>
                </c:pt>
                <c:pt idx="51">
                  <c:v>60.238</c:v>
                </c:pt>
                <c:pt idx="52">
                  <c:v>60.274999999999999</c:v>
                </c:pt>
                <c:pt idx="53">
                  <c:v>60.251500000000007</c:v>
                </c:pt>
                <c:pt idx="54">
                  <c:v>60.227000000000011</c:v>
                </c:pt>
                <c:pt idx="55">
                  <c:v>60.192999999999998</c:v>
                </c:pt>
                <c:pt idx="56">
                  <c:v>60.157500000000006</c:v>
                </c:pt>
                <c:pt idx="57">
                  <c:v>60.14200000000001</c:v>
                </c:pt>
                <c:pt idx="58">
                  <c:v>60.152000000000001</c:v>
                </c:pt>
                <c:pt idx="59">
                  <c:v>60.183500000000002</c:v>
                </c:pt>
                <c:pt idx="60">
                  <c:v>60.241500000000009</c:v>
                </c:pt>
                <c:pt idx="61">
                  <c:v>60.299000000000014</c:v>
                </c:pt>
                <c:pt idx="62">
                  <c:v>60.31600000000001</c:v>
                </c:pt>
                <c:pt idx="63">
                  <c:v>60.331500000000005</c:v>
                </c:pt>
                <c:pt idx="64">
                  <c:v>60.318999999999996</c:v>
                </c:pt>
                <c:pt idx="65">
                  <c:v>60.322499999999991</c:v>
                </c:pt>
                <c:pt idx="66">
                  <c:v>60.309999999999988</c:v>
                </c:pt>
                <c:pt idx="67">
                  <c:v>60.283999999999992</c:v>
                </c:pt>
                <c:pt idx="68">
                  <c:v>60.204999999999998</c:v>
                </c:pt>
                <c:pt idx="69">
                  <c:v>60.101500000000001</c:v>
                </c:pt>
                <c:pt idx="70">
                  <c:v>59.990499999999997</c:v>
                </c:pt>
                <c:pt idx="71">
                  <c:v>59.903499999999994</c:v>
                </c:pt>
                <c:pt idx="72">
                  <c:v>59.8</c:v>
                </c:pt>
                <c:pt idx="73">
                  <c:v>59.713999999999999</c:v>
                </c:pt>
                <c:pt idx="74">
                  <c:v>59.621999999999993</c:v>
                </c:pt>
                <c:pt idx="75">
                  <c:v>59.606999999999992</c:v>
                </c:pt>
                <c:pt idx="76">
                  <c:v>59.61</c:v>
                </c:pt>
                <c:pt idx="77">
                  <c:v>59.621999999999993</c:v>
                </c:pt>
                <c:pt idx="78">
                  <c:v>59.672499999999992</c:v>
                </c:pt>
                <c:pt idx="79">
                  <c:v>59.707999999999991</c:v>
                </c:pt>
                <c:pt idx="80">
                  <c:v>59.73599999999999</c:v>
                </c:pt>
                <c:pt idx="81">
                  <c:v>59.803999999999988</c:v>
                </c:pt>
                <c:pt idx="82">
                  <c:v>59.884999999999977</c:v>
                </c:pt>
                <c:pt idx="83">
                  <c:v>59.989999999999995</c:v>
                </c:pt>
                <c:pt idx="84">
                  <c:v>60.124499999999998</c:v>
                </c:pt>
                <c:pt idx="85">
                  <c:v>60.257499999999993</c:v>
                </c:pt>
                <c:pt idx="86">
                  <c:v>60.41149999999999</c:v>
                </c:pt>
                <c:pt idx="87">
                  <c:v>60.556499999999986</c:v>
                </c:pt>
                <c:pt idx="88">
                  <c:v>60.752999999999986</c:v>
                </c:pt>
                <c:pt idx="89">
                  <c:v>60.944499999999984</c:v>
                </c:pt>
                <c:pt idx="90">
                  <c:v>61.193499999999993</c:v>
                </c:pt>
                <c:pt idx="91">
                  <c:v>61.465499999999999</c:v>
                </c:pt>
                <c:pt idx="92">
                  <c:v>61.717499999999994</c:v>
                </c:pt>
                <c:pt idx="93">
                  <c:v>61.948500000000003</c:v>
                </c:pt>
                <c:pt idx="94">
                  <c:v>62.168999999999997</c:v>
                </c:pt>
                <c:pt idx="95">
                  <c:v>62.311999999999998</c:v>
                </c:pt>
                <c:pt idx="96">
                  <c:v>62.412999999999997</c:v>
                </c:pt>
                <c:pt idx="97">
                  <c:v>62.526499999999999</c:v>
                </c:pt>
                <c:pt idx="98">
                  <c:v>62.599000000000011</c:v>
                </c:pt>
                <c:pt idx="99">
                  <c:v>62.616500000000009</c:v>
                </c:pt>
                <c:pt idx="100">
                  <c:v>62.629500000000007</c:v>
                </c:pt>
                <c:pt idx="101">
                  <c:v>62.618499999999997</c:v>
                </c:pt>
                <c:pt idx="102">
                  <c:v>62.614999999999995</c:v>
                </c:pt>
                <c:pt idx="103">
                  <c:v>62.616999999999997</c:v>
                </c:pt>
                <c:pt idx="104">
                  <c:v>62.664000000000009</c:v>
                </c:pt>
                <c:pt idx="105">
                  <c:v>62.702000000000012</c:v>
                </c:pt>
                <c:pt idx="106">
                  <c:v>62.781500000000015</c:v>
                </c:pt>
                <c:pt idx="107">
                  <c:v>62.846500000000013</c:v>
                </c:pt>
                <c:pt idx="108">
                  <c:v>62.911500000000011</c:v>
                </c:pt>
                <c:pt idx="109">
                  <c:v>62.963000000000008</c:v>
                </c:pt>
                <c:pt idx="110">
                  <c:v>62.979500000000009</c:v>
                </c:pt>
                <c:pt idx="111">
                  <c:v>62.977999999999994</c:v>
                </c:pt>
                <c:pt idx="112">
                  <c:v>62.967000000000006</c:v>
                </c:pt>
                <c:pt idx="113">
                  <c:v>62.959999999999994</c:v>
                </c:pt>
                <c:pt idx="114">
                  <c:v>62.921499999999995</c:v>
                </c:pt>
                <c:pt idx="115">
                  <c:v>62.900999999999989</c:v>
                </c:pt>
                <c:pt idx="116">
                  <c:v>62.903999999999982</c:v>
                </c:pt>
                <c:pt idx="117">
                  <c:v>62.867500000000007</c:v>
                </c:pt>
                <c:pt idx="118">
                  <c:v>62.856000000000009</c:v>
                </c:pt>
                <c:pt idx="119">
                  <c:v>62.95</c:v>
                </c:pt>
                <c:pt idx="120">
                  <c:v>63.041999999999994</c:v>
                </c:pt>
                <c:pt idx="121">
                  <c:v>63.153499999999994</c:v>
                </c:pt>
                <c:pt idx="122">
                  <c:v>63.263999999999989</c:v>
                </c:pt>
                <c:pt idx="123">
                  <c:v>63.347999999999999</c:v>
                </c:pt>
                <c:pt idx="124">
                  <c:v>63.365500000000011</c:v>
                </c:pt>
                <c:pt idx="125">
                  <c:v>63.376500000000007</c:v>
                </c:pt>
                <c:pt idx="126">
                  <c:v>63.345999999999989</c:v>
                </c:pt>
                <c:pt idx="127">
                  <c:v>63.338000000000001</c:v>
                </c:pt>
                <c:pt idx="128">
                  <c:v>63.278499999999994</c:v>
                </c:pt>
                <c:pt idx="129">
                  <c:v>63.217499999999994</c:v>
                </c:pt>
                <c:pt idx="130">
                  <c:v>63.179499999999997</c:v>
                </c:pt>
                <c:pt idx="131">
                  <c:v>63.156999999999996</c:v>
                </c:pt>
                <c:pt idx="132">
                  <c:v>63.197999999999993</c:v>
                </c:pt>
                <c:pt idx="133">
                  <c:v>63.219000000000008</c:v>
                </c:pt>
                <c:pt idx="134">
                  <c:v>63.305000000000007</c:v>
                </c:pt>
                <c:pt idx="135">
                  <c:v>63.434500000000014</c:v>
                </c:pt>
                <c:pt idx="136">
                  <c:v>63.562500000000014</c:v>
                </c:pt>
                <c:pt idx="137">
                  <c:v>63.718000000000004</c:v>
                </c:pt>
                <c:pt idx="138">
                  <c:v>63.818000000000005</c:v>
                </c:pt>
                <c:pt idx="139">
                  <c:v>63.867499999999993</c:v>
                </c:pt>
                <c:pt idx="140">
                  <c:v>63.965999999999994</c:v>
                </c:pt>
                <c:pt idx="141">
                  <c:v>64.066999999999993</c:v>
                </c:pt>
                <c:pt idx="142">
                  <c:v>64.22399999999999</c:v>
                </c:pt>
                <c:pt idx="143">
                  <c:v>64.382999999999981</c:v>
                </c:pt>
                <c:pt idx="144">
                  <c:v>64.60299999999998</c:v>
                </c:pt>
                <c:pt idx="145">
                  <c:v>64.782499999999999</c:v>
                </c:pt>
                <c:pt idx="146">
                  <c:v>65.013999999999996</c:v>
                </c:pt>
                <c:pt idx="147">
                  <c:v>65.29249999999999</c:v>
                </c:pt>
                <c:pt idx="148">
                  <c:v>65.549499999999995</c:v>
                </c:pt>
                <c:pt idx="149">
                  <c:v>65.817499999999981</c:v>
                </c:pt>
                <c:pt idx="150">
                  <c:v>66.09899999999999</c:v>
                </c:pt>
                <c:pt idx="151">
                  <c:v>66.380499999999984</c:v>
                </c:pt>
                <c:pt idx="152">
                  <c:v>66.629500000000007</c:v>
                </c:pt>
                <c:pt idx="153">
                  <c:v>66.867500000000007</c:v>
                </c:pt>
                <c:pt idx="154">
                  <c:v>67.077000000000012</c:v>
                </c:pt>
                <c:pt idx="155">
                  <c:v>67.245500000000021</c:v>
                </c:pt>
                <c:pt idx="156">
                  <c:v>67.418500000000023</c:v>
                </c:pt>
                <c:pt idx="157">
                  <c:v>67.613000000000014</c:v>
                </c:pt>
                <c:pt idx="158">
                  <c:v>67.823499999999996</c:v>
                </c:pt>
                <c:pt idx="159">
                  <c:v>68.044500000000014</c:v>
                </c:pt>
                <c:pt idx="160">
                  <c:v>68.232500000000016</c:v>
                </c:pt>
                <c:pt idx="161">
                  <c:v>68.395499999999984</c:v>
                </c:pt>
                <c:pt idx="162">
                  <c:v>68.532499999999999</c:v>
                </c:pt>
                <c:pt idx="163">
                  <c:v>68.73299999999999</c:v>
                </c:pt>
                <c:pt idx="164">
                  <c:v>68.923999999999978</c:v>
                </c:pt>
                <c:pt idx="165">
                  <c:v>69.174499999999995</c:v>
                </c:pt>
                <c:pt idx="166">
                  <c:v>69.378999999999991</c:v>
                </c:pt>
                <c:pt idx="167">
                  <c:v>69.536000000000001</c:v>
                </c:pt>
                <c:pt idx="168">
                  <c:v>69.781500000000008</c:v>
                </c:pt>
                <c:pt idx="169">
                  <c:v>70.007000000000005</c:v>
                </c:pt>
                <c:pt idx="170">
                  <c:v>70.142499999999998</c:v>
                </c:pt>
                <c:pt idx="171">
                  <c:v>70.263000000000005</c:v>
                </c:pt>
                <c:pt idx="172">
                  <c:v>70.421500000000009</c:v>
                </c:pt>
                <c:pt idx="173">
                  <c:v>70.590499999999992</c:v>
                </c:pt>
                <c:pt idx="174">
                  <c:v>70.721500000000006</c:v>
                </c:pt>
                <c:pt idx="175">
                  <c:v>70.853999999999999</c:v>
                </c:pt>
                <c:pt idx="176">
                  <c:v>70.99199999999999</c:v>
                </c:pt>
                <c:pt idx="177">
                  <c:v>71.137999999999991</c:v>
                </c:pt>
                <c:pt idx="178">
                  <c:v>71.278999999999996</c:v>
                </c:pt>
                <c:pt idx="179">
                  <c:v>71.397499999999994</c:v>
                </c:pt>
                <c:pt idx="180">
                  <c:v>71.45</c:v>
                </c:pt>
                <c:pt idx="181">
                  <c:v>71.565500000000014</c:v>
                </c:pt>
                <c:pt idx="182">
                  <c:v>71.662500000000009</c:v>
                </c:pt>
                <c:pt idx="183">
                  <c:v>71.686999999999998</c:v>
                </c:pt>
                <c:pt idx="184">
                  <c:v>71.6845</c:v>
                </c:pt>
                <c:pt idx="185">
                  <c:v>71.667000000000002</c:v>
                </c:pt>
                <c:pt idx="186">
                  <c:v>71.654000000000011</c:v>
                </c:pt>
                <c:pt idx="187">
                  <c:v>71.623499999999993</c:v>
                </c:pt>
                <c:pt idx="188">
                  <c:v>71.558500000000009</c:v>
                </c:pt>
                <c:pt idx="189">
                  <c:v>71.480999999999995</c:v>
                </c:pt>
                <c:pt idx="190">
                  <c:v>71.448499999999996</c:v>
                </c:pt>
                <c:pt idx="191">
                  <c:v>71.400000000000006</c:v>
                </c:pt>
                <c:pt idx="192">
                  <c:v>71.25800000000001</c:v>
                </c:pt>
                <c:pt idx="193">
                  <c:v>71.139500000000012</c:v>
                </c:pt>
                <c:pt idx="194">
                  <c:v>71.064000000000007</c:v>
                </c:pt>
                <c:pt idx="195">
                  <c:v>70.965000000000003</c:v>
                </c:pt>
                <c:pt idx="196">
                  <c:v>70.87299999999999</c:v>
                </c:pt>
                <c:pt idx="197">
                  <c:v>70.784999999999997</c:v>
                </c:pt>
                <c:pt idx="198">
                  <c:v>70.711999999999975</c:v>
                </c:pt>
                <c:pt idx="199">
                  <c:v>70.652999999999977</c:v>
                </c:pt>
                <c:pt idx="200">
                  <c:v>70.61699999999999</c:v>
                </c:pt>
                <c:pt idx="201">
                  <c:v>70.556999999999988</c:v>
                </c:pt>
                <c:pt idx="202">
                  <c:v>70.442999999999998</c:v>
                </c:pt>
                <c:pt idx="203">
                  <c:v>70.349000000000004</c:v>
                </c:pt>
                <c:pt idx="204">
                  <c:v>70.177000000000007</c:v>
                </c:pt>
                <c:pt idx="205">
                  <c:v>69.972000000000008</c:v>
                </c:pt>
                <c:pt idx="206">
                  <c:v>69.728499999999997</c:v>
                </c:pt>
                <c:pt idx="207">
                  <c:v>69.469000000000008</c:v>
                </c:pt>
                <c:pt idx="208">
                  <c:v>69.161500000000004</c:v>
                </c:pt>
                <c:pt idx="209">
                  <c:v>68.907000000000011</c:v>
                </c:pt>
                <c:pt idx="210">
                  <c:v>68.646500000000003</c:v>
                </c:pt>
                <c:pt idx="211">
                  <c:v>68.388499999999993</c:v>
                </c:pt>
                <c:pt idx="212">
                  <c:v>68.1935</c:v>
                </c:pt>
                <c:pt idx="213">
                  <c:v>68.003</c:v>
                </c:pt>
                <c:pt idx="214">
                  <c:v>67.709499999999991</c:v>
                </c:pt>
                <c:pt idx="215">
                  <c:v>67.429999999999993</c:v>
                </c:pt>
                <c:pt idx="216">
                  <c:v>67.147499999999994</c:v>
                </c:pt>
                <c:pt idx="217">
                  <c:v>66.798500000000004</c:v>
                </c:pt>
                <c:pt idx="218">
                  <c:v>66.441500000000005</c:v>
                </c:pt>
                <c:pt idx="219">
                  <c:v>66.063000000000017</c:v>
                </c:pt>
                <c:pt idx="220">
                  <c:v>65.695499999999996</c:v>
                </c:pt>
                <c:pt idx="221">
                  <c:v>65.260500000000008</c:v>
                </c:pt>
                <c:pt idx="222">
                  <c:v>64.881</c:v>
                </c:pt>
                <c:pt idx="223">
                  <c:v>64.537999999999982</c:v>
                </c:pt>
                <c:pt idx="224">
                  <c:v>64.286999999999992</c:v>
                </c:pt>
                <c:pt idx="225">
                  <c:v>64.109999999999985</c:v>
                </c:pt>
                <c:pt idx="226">
                  <c:v>63.96</c:v>
                </c:pt>
                <c:pt idx="227">
                  <c:v>63.845499999999994</c:v>
                </c:pt>
                <c:pt idx="228">
                  <c:v>63.795000000000016</c:v>
                </c:pt>
                <c:pt idx="229">
                  <c:v>63.720499999999994</c:v>
                </c:pt>
                <c:pt idx="230">
                  <c:v>63.658999999999992</c:v>
                </c:pt>
                <c:pt idx="231">
                  <c:v>63.591000000000008</c:v>
                </c:pt>
                <c:pt idx="232">
                  <c:v>63.511499999999998</c:v>
                </c:pt>
                <c:pt idx="233">
                  <c:v>63.353499999999997</c:v>
                </c:pt>
                <c:pt idx="234">
                  <c:v>63.314499999999995</c:v>
                </c:pt>
                <c:pt idx="235">
                  <c:v>63.258000000000003</c:v>
                </c:pt>
                <c:pt idx="236">
                  <c:v>63.191999999999993</c:v>
                </c:pt>
                <c:pt idx="237">
                  <c:v>63.169500000000006</c:v>
                </c:pt>
                <c:pt idx="238">
                  <c:v>63.141500000000008</c:v>
                </c:pt>
                <c:pt idx="239">
                  <c:v>63.183500000000002</c:v>
                </c:pt>
                <c:pt idx="240">
                  <c:v>63.212000000000003</c:v>
                </c:pt>
                <c:pt idx="241">
                  <c:v>63.252499999999984</c:v>
                </c:pt>
                <c:pt idx="242">
                  <c:v>63.329499999999996</c:v>
                </c:pt>
                <c:pt idx="243">
                  <c:v>63.342499999999994</c:v>
                </c:pt>
                <c:pt idx="244">
                  <c:v>63.3155</c:v>
                </c:pt>
                <c:pt idx="245">
                  <c:v>63.254999999999995</c:v>
                </c:pt>
                <c:pt idx="246">
                  <c:v>63.177999999999997</c:v>
                </c:pt>
                <c:pt idx="247">
                  <c:v>63.100999999999999</c:v>
                </c:pt>
                <c:pt idx="248">
                  <c:v>63.001999999999995</c:v>
                </c:pt>
                <c:pt idx="249">
                  <c:v>62.902999999999999</c:v>
                </c:pt>
                <c:pt idx="250">
                  <c:v>62.8005</c:v>
                </c:pt>
                <c:pt idx="251">
                  <c:v>62.731000000000009</c:v>
                </c:pt>
                <c:pt idx="252">
                  <c:v>62.646999999999991</c:v>
                </c:pt>
                <c:pt idx="253">
                  <c:v>62.624000000000009</c:v>
                </c:pt>
                <c:pt idx="254">
                  <c:v>62.518499999999996</c:v>
                </c:pt>
                <c:pt idx="255">
                  <c:v>62.43399999999999</c:v>
                </c:pt>
                <c:pt idx="256">
                  <c:v>62.389499999999998</c:v>
                </c:pt>
                <c:pt idx="257">
                  <c:v>62.297499999999999</c:v>
                </c:pt>
                <c:pt idx="258">
                  <c:v>62.248000000000005</c:v>
                </c:pt>
                <c:pt idx="259">
                  <c:v>62.158000000000001</c:v>
                </c:pt>
                <c:pt idx="260">
                  <c:v>62.090500000000006</c:v>
                </c:pt>
                <c:pt idx="261">
                  <c:v>62.075500000000012</c:v>
                </c:pt>
                <c:pt idx="262">
                  <c:v>62.041000000000011</c:v>
                </c:pt>
                <c:pt idx="263">
                  <c:v>62.019500000000015</c:v>
                </c:pt>
                <c:pt idx="264">
                  <c:v>61.986000000000004</c:v>
                </c:pt>
                <c:pt idx="265">
                  <c:v>61.935000000000002</c:v>
                </c:pt>
                <c:pt idx="266">
                  <c:v>61.911999999999999</c:v>
                </c:pt>
                <c:pt idx="267">
                  <c:v>61.963499999999996</c:v>
                </c:pt>
                <c:pt idx="268">
                  <c:v>61.952999999999989</c:v>
                </c:pt>
                <c:pt idx="269">
                  <c:v>61.97199999999998</c:v>
                </c:pt>
                <c:pt idx="270">
                  <c:v>62.072999999999979</c:v>
                </c:pt>
                <c:pt idx="271">
                  <c:v>62.133999999999993</c:v>
                </c:pt>
                <c:pt idx="272">
                  <c:v>62.209499999999991</c:v>
                </c:pt>
                <c:pt idx="273">
                  <c:v>62.255499999999998</c:v>
                </c:pt>
                <c:pt idx="274">
                  <c:v>62.370999999999981</c:v>
                </c:pt>
                <c:pt idx="275">
                  <c:v>62.496999999999993</c:v>
                </c:pt>
                <c:pt idx="276">
                  <c:v>62.603499999999983</c:v>
                </c:pt>
                <c:pt idx="277">
                  <c:v>62.777499999999989</c:v>
                </c:pt>
                <c:pt idx="278">
                  <c:v>63.074999999999989</c:v>
                </c:pt>
                <c:pt idx="279">
                  <c:v>63.408499999999989</c:v>
                </c:pt>
                <c:pt idx="280">
                  <c:v>63.795000000000002</c:v>
                </c:pt>
                <c:pt idx="281">
                  <c:v>64.126000000000005</c:v>
                </c:pt>
                <c:pt idx="282">
                  <c:v>64.442999999999998</c:v>
                </c:pt>
                <c:pt idx="283">
                  <c:v>64.825499999999991</c:v>
                </c:pt>
                <c:pt idx="284">
                  <c:v>65.238500000000002</c:v>
                </c:pt>
                <c:pt idx="285">
                  <c:v>65.729499999999987</c:v>
                </c:pt>
                <c:pt idx="286">
                  <c:v>66.162999999999982</c:v>
                </c:pt>
                <c:pt idx="287">
                  <c:v>66.543999999999997</c:v>
                </c:pt>
                <c:pt idx="288">
                  <c:v>66.96599999999998</c:v>
                </c:pt>
                <c:pt idx="289">
                  <c:v>67.367999999999981</c:v>
                </c:pt>
                <c:pt idx="290">
                  <c:v>67.725999999999999</c:v>
                </c:pt>
                <c:pt idx="291">
                  <c:v>68.167999999999992</c:v>
                </c:pt>
                <c:pt idx="292">
                  <c:v>68.510000000000005</c:v>
                </c:pt>
                <c:pt idx="293">
                  <c:v>68.880499999999998</c:v>
                </c:pt>
                <c:pt idx="294">
                  <c:v>69.247500000000002</c:v>
                </c:pt>
                <c:pt idx="295">
                  <c:v>69.650999999999996</c:v>
                </c:pt>
                <c:pt idx="296">
                  <c:v>70.031500000000008</c:v>
                </c:pt>
                <c:pt idx="297">
                  <c:v>70.356000000000009</c:v>
                </c:pt>
                <c:pt idx="298">
                  <c:v>70.473000000000013</c:v>
                </c:pt>
                <c:pt idx="299">
                  <c:v>70.518500000000017</c:v>
                </c:pt>
                <c:pt idx="300">
                  <c:v>70.501500000000021</c:v>
                </c:pt>
                <c:pt idx="301">
                  <c:v>70.564000000000007</c:v>
                </c:pt>
                <c:pt idx="302">
                  <c:v>70.580500000000029</c:v>
                </c:pt>
                <c:pt idx="303">
                  <c:v>70.541000000000025</c:v>
                </c:pt>
                <c:pt idx="304">
                  <c:v>70.524500000000018</c:v>
                </c:pt>
                <c:pt idx="305">
                  <c:v>70.390500000000003</c:v>
                </c:pt>
                <c:pt idx="306">
                  <c:v>70.308500000000009</c:v>
                </c:pt>
                <c:pt idx="307">
                  <c:v>70.174499999999995</c:v>
                </c:pt>
                <c:pt idx="308">
                  <c:v>70.135500000000008</c:v>
                </c:pt>
                <c:pt idx="309">
                  <c:v>70.128999999999991</c:v>
                </c:pt>
                <c:pt idx="310">
                  <c:v>70.086999999999989</c:v>
                </c:pt>
                <c:pt idx="311">
                  <c:v>70.051999999999992</c:v>
                </c:pt>
                <c:pt idx="312">
                  <c:v>70.135999999999996</c:v>
                </c:pt>
                <c:pt idx="313">
                  <c:v>70.198499999999996</c:v>
                </c:pt>
                <c:pt idx="314">
                  <c:v>70.334499999999991</c:v>
                </c:pt>
                <c:pt idx="315">
                  <c:v>70.259500000000003</c:v>
                </c:pt>
                <c:pt idx="316">
                  <c:v>70.105500000000006</c:v>
                </c:pt>
                <c:pt idx="317">
                  <c:v>69.974500000000006</c:v>
                </c:pt>
                <c:pt idx="318">
                  <c:v>69.975000000000009</c:v>
                </c:pt>
                <c:pt idx="319">
                  <c:v>70.032000000000011</c:v>
                </c:pt>
                <c:pt idx="320">
                  <c:v>70.145500000000027</c:v>
                </c:pt>
                <c:pt idx="321">
                  <c:v>70.262000000000015</c:v>
                </c:pt>
                <c:pt idx="322">
                  <c:v>70.385999999999996</c:v>
                </c:pt>
                <c:pt idx="323">
                  <c:v>70.506</c:v>
                </c:pt>
                <c:pt idx="324">
                  <c:v>70.670500000000004</c:v>
                </c:pt>
                <c:pt idx="325">
                  <c:v>70.875500000000017</c:v>
                </c:pt>
                <c:pt idx="326">
                  <c:v>71.123000000000019</c:v>
                </c:pt>
                <c:pt idx="327">
                  <c:v>71.347499999999997</c:v>
                </c:pt>
                <c:pt idx="328">
                  <c:v>71.472499999999997</c:v>
                </c:pt>
                <c:pt idx="329">
                  <c:v>71.531000000000006</c:v>
                </c:pt>
                <c:pt idx="330">
                  <c:v>71.602000000000004</c:v>
                </c:pt>
                <c:pt idx="331">
                  <c:v>71.638499999999993</c:v>
                </c:pt>
                <c:pt idx="332">
                  <c:v>71.672499999999999</c:v>
                </c:pt>
                <c:pt idx="333">
                  <c:v>71.67049999999999</c:v>
                </c:pt>
                <c:pt idx="334">
                  <c:v>71.59399999999998</c:v>
                </c:pt>
                <c:pt idx="335">
                  <c:v>71.68249999999999</c:v>
                </c:pt>
                <c:pt idx="336">
                  <c:v>71.849999999999994</c:v>
                </c:pt>
                <c:pt idx="337">
                  <c:v>72.049000000000007</c:v>
                </c:pt>
                <c:pt idx="338">
                  <c:v>72.110000000000014</c:v>
                </c:pt>
                <c:pt idx="339">
                  <c:v>72.097999999999999</c:v>
                </c:pt>
                <c:pt idx="340">
                  <c:v>72.003</c:v>
                </c:pt>
                <c:pt idx="341">
                  <c:v>71.828500000000005</c:v>
                </c:pt>
                <c:pt idx="342">
                  <c:v>71.6935</c:v>
                </c:pt>
                <c:pt idx="343">
                  <c:v>71.69</c:v>
                </c:pt>
                <c:pt idx="344">
                  <c:v>71.64</c:v>
                </c:pt>
                <c:pt idx="345">
                  <c:v>71.597999999999999</c:v>
                </c:pt>
                <c:pt idx="346">
                  <c:v>71.487499999999997</c:v>
                </c:pt>
                <c:pt idx="347">
                  <c:v>71.414999999999992</c:v>
                </c:pt>
                <c:pt idx="348">
                  <c:v>71.345999999999989</c:v>
                </c:pt>
                <c:pt idx="349">
                  <c:v>71.338999999999999</c:v>
                </c:pt>
                <c:pt idx="350">
                  <c:v>71.338499999999996</c:v>
                </c:pt>
                <c:pt idx="351">
                  <c:v>71.278500000000008</c:v>
                </c:pt>
                <c:pt idx="352">
                  <c:v>71.225500000000011</c:v>
                </c:pt>
                <c:pt idx="353">
                  <c:v>71.266000000000005</c:v>
                </c:pt>
                <c:pt idx="354">
                  <c:v>71.283500000000004</c:v>
                </c:pt>
                <c:pt idx="355">
                  <c:v>71.256500000000003</c:v>
                </c:pt>
                <c:pt idx="356">
                  <c:v>71.239000000000004</c:v>
                </c:pt>
                <c:pt idx="357">
                  <c:v>71.164500000000004</c:v>
                </c:pt>
                <c:pt idx="358">
                  <c:v>71.173500000000004</c:v>
                </c:pt>
                <c:pt idx="359">
                  <c:v>71.236000000000004</c:v>
                </c:pt>
                <c:pt idx="360">
                  <c:v>71.376999999999981</c:v>
                </c:pt>
                <c:pt idx="361">
                  <c:v>71.532499999999985</c:v>
                </c:pt>
                <c:pt idx="362">
                  <c:v>71.686499999999995</c:v>
                </c:pt>
                <c:pt idx="363">
                  <c:v>71.656999999999982</c:v>
                </c:pt>
                <c:pt idx="364">
                  <c:v>71.582999999999998</c:v>
                </c:pt>
                <c:pt idx="365">
                  <c:v>71.467500000000001</c:v>
                </c:pt>
                <c:pt idx="366">
                  <c:v>71.343499999999992</c:v>
                </c:pt>
                <c:pt idx="367">
                  <c:v>71.192999999999998</c:v>
                </c:pt>
                <c:pt idx="368">
                  <c:v>71.123000000000005</c:v>
                </c:pt>
                <c:pt idx="369">
                  <c:v>71.045000000000002</c:v>
                </c:pt>
                <c:pt idx="370">
                  <c:v>70.9375</c:v>
                </c:pt>
                <c:pt idx="371">
                  <c:v>70.853499999999997</c:v>
                </c:pt>
                <c:pt idx="372">
                  <c:v>70.795500000000004</c:v>
                </c:pt>
                <c:pt idx="373">
                  <c:v>70.728000000000009</c:v>
                </c:pt>
                <c:pt idx="374">
                  <c:v>70.711499999999987</c:v>
                </c:pt>
                <c:pt idx="375">
                  <c:v>70.699000000000012</c:v>
                </c:pt>
                <c:pt idx="376">
                  <c:v>70.698000000000008</c:v>
                </c:pt>
                <c:pt idx="377">
                  <c:v>70.703000000000003</c:v>
                </c:pt>
                <c:pt idx="378">
                  <c:v>70.647500000000008</c:v>
                </c:pt>
                <c:pt idx="379">
                  <c:v>70.533000000000001</c:v>
                </c:pt>
                <c:pt idx="380">
                  <c:v>70.403999999999996</c:v>
                </c:pt>
                <c:pt idx="381">
                  <c:v>70.294000000000011</c:v>
                </c:pt>
                <c:pt idx="382">
                  <c:v>70.155499999999989</c:v>
                </c:pt>
                <c:pt idx="383">
                  <c:v>70.072499999999991</c:v>
                </c:pt>
                <c:pt idx="384">
                  <c:v>70.009999999999991</c:v>
                </c:pt>
                <c:pt idx="385">
                  <c:v>70.058499999999995</c:v>
                </c:pt>
                <c:pt idx="386">
                  <c:v>70.090499999999992</c:v>
                </c:pt>
                <c:pt idx="387">
                  <c:v>70.151999999999973</c:v>
                </c:pt>
                <c:pt idx="388">
                  <c:v>70.147999999999996</c:v>
                </c:pt>
                <c:pt idx="389">
                  <c:v>70.095500000000001</c:v>
                </c:pt>
                <c:pt idx="390">
                  <c:v>70.068999999999988</c:v>
                </c:pt>
                <c:pt idx="391">
                  <c:v>70.054000000000002</c:v>
                </c:pt>
                <c:pt idx="392">
                  <c:v>69.942000000000007</c:v>
                </c:pt>
                <c:pt idx="393">
                  <c:v>69.873500000000007</c:v>
                </c:pt>
                <c:pt idx="394">
                  <c:v>69.727499999999992</c:v>
                </c:pt>
                <c:pt idx="395">
                  <c:v>69.576499999999996</c:v>
                </c:pt>
                <c:pt idx="396">
                  <c:v>69.451999999999998</c:v>
                </c:pt>
                <c:pt idx="397">
                  <c:v>69.349499999999992</c:v>
                </c:pt>
                <c:pt idx="398">
                  <c:v>69.289999999999992</c:v>
                </c:pt>
                <c:pt idx="399">
                  <c:v>69.291499999999999</c:v>
                </c:pt>
                <c:pt idx="400">
                  <c:v>69.3245</c:v>
                </c:pt>
                <c:pt idx="401">
                  <c:v>69.347999999999985</c:v>
                </c:pt>
                <c:pt idx="402">
                  <c:v>69.411999999999992</c:v>
                </c:pt>
                <c:pt idx="403">
                  <c:v>69.479500000000002</c:v>
                </c:pt>
                <c:pt idx="404">
                  <c:v>69.539000000000001</c:v>
                </c:pt>
                <c:pt idx="405">
                  <c:v>69.486999999999995</c:v>
                </c:pt>
                <c:pt idx="406">
                  <c:v>69.490499999999997</c:v>
                </c:pt>
                <c:pt idx="407">
                  <c:v>69.4435</c:v>
                </c:pt>
                <c:pt idx="408">
                  <c:v>69.467000000000013</c:v>
                </c:pt>
                <c:pt idx="409">
                  <c:v>69.544000000000011</c:v>
                </c:pt>
                <c:pt idx="410">
                  <c:v>69.622000000000028</c:v>
                </c:pt>
                <c:pt idx="411">
                  <c:v>69.67000000000003</c:v>
                </c:pt>
                <c:pt idx="412">
                  <c:v>69.712000000000018</c:v>
                </c:pt>
                <c:pt idx="413">
                  <c:v>69.679500000000019</c:v>
                </c:pt>
                <c:pt idx="414">
                  <c:v>69.683499999999995</c:v>
                </c:pt>
                <c:pt idx="415">
                  <c:v>69.706999999999994</c:v>
                </c:pt>
                <c:pt idx="416">
                  <c:v>69.713499999999982</c:v>
                </c:pt>
                <c:pt idx="417">
                  <c:v>69.718499999999977</c:v>
                </c:pt>
                <c:pt idx="418">
                  <c:v>69.715499999999992</c:v>
                </c:pt>
                <c:pt idx="419">
                  <c:v>69.652499999999989</c:v>
                </c:pt>
                <c:pt idx="420">
                  <c:v>69.529000000000011</c:v>
                </c:pt>
                <c:pt idx="421">
                  <c:v>69.383499999999998</c:v>
                </c:pt>
                <c:pt idx="422">
                  <c:v>69.239000000000004</c:v>
                </c:pt>
                <c:pt idx="423">
                  <c:v>69.094499999999996</c:v>
                </c:pt>
                <c:pt idx="424">
                  <c:v>68.952500000000015</c:v>
                </c:pt>
                <c:pt idx="425">
                  <c:v>68.825500000000005</c:v>
                </c:pt>
                <c:pt idx="426">
                  <c:v>68.64</c:v>
                </c:pt>
                <c:pt idx="427">
                  <c:v>68.495499999999993</c:v>
                </c:pt>
                <c:pt idx="428">
                  <c:v>68.341000000000008</c:v>
                </c:pt>
                <c:pt idx="429">
                  <c:v>68.129000000000019</c:v>
                </c:pt>
                <c:pt idx="430">
                  <c:v>67.917500000000018</c:v>
                </c:pt>
                <c:pt idx="431">
                  <c:v>67.72150000000002</c:v>
                </c:pt>
                <c:pt idx="432">
                  <c:v>67.61050000000003</c:v>
                </c:pt>
                <c:pt idx="433">
                  <c:v>67.496499999999997</c:v>
                </c:pt>
                <c:pt idx="434">
                  <c:v>67.354000000000013</c:v>
                </c:pt>
                <c:pt idx="435">
                  <c:v>67.219500000000011</c:v>
                </c:pt>
                <c:pt idx="436">
                  <c:v>67.072000000000017</c:v>
                </c:pt>
                <c:pt idx="437">
                  <c:v>66.935000000000016</c:v>
                </c:pt>
                <c:pt idx="438">
                  <c:v>66.8245</c:v>
                </c:pt>
                <c:pt idx="439">
                  <c:v>66.716999999999999</c:v>
                </c:pt>
                <c:pt idx="440">
                  <c:v>66.651500000000013</c:v>
                </c:pt>
                <c:pt idx="441">
                  <c:v>66.585000000000008</c:v>
                </c:pt>
                <c:pt idx="442">
                  <c:v>66.531499999999994</c:v>
                </c:pt>
                <c:pt idx="443">
                  <c:v>66.446499999999986</c:v>
                </c:pt>
                <c:pt idx="444">
                  <c:v>66.383999999999986</c:v>
                </c:pt>
                <c:pt idx="445">
                  <c:v>66.385499999999979</c:v>
                </c:pt>
                <c:pt idx="446">
                  <c:v>66.414999999999992</c:v>
                </c:pt>
                <c:pt idx="447">
                  <c:v>66.478499999999983</c:v>
                </c:pt>
                <c:pt idx="448">
                  <c:v>66.480499999999978</c:v>
                </c:pt>
                <c:pt idx="449">
                  <c:v>66.536999999999992</c:v>
                </c:pt>
                <c:pt idx="450">
                  <c:v>66.637500000000003</c:v>
                </c:pt>
                <c:pt idx="451">
                  <c:v>66.748999999999995</c:v>
                </c:pt>
                <c:pt idx="452">
                  <c:v>66.974500000000006</c:v>
                </c:pt>
                <c:pt idx="453">
                  <c:v>67.192499999999995</c:v>
                </c:pt>
                <c:pt idx="454">
                  <c:v>67.390500000000003</c:v>
                </c:pt>
                <c:pt idx="455">
                  <c:v>67.592500000000001</c:v>
                </c:pt>
                <c:pt idx="456">
                  <c:v>67.793500000000009</c:v>
                </c:pt>
                <c:pt idx="457">
                  <c:v>67.985500000000016</c:v>
                </c:pt>
                <c:pt idx="458">
                  <c:v>68.064000000000007</c:v>
                </c:pt>
                <c:pt idx="459">
                  <c:v>68.208000000000013</c:v>
                </c:pt>
                <c:pt idx="460">
                  <c:v>68.32050000000001</c:v>
                </c:pt>
                <c:pt idx="461">
                  <c:v>68.414000000000016</c:v>
                </c:pt>
                <c:pt idx="462">
                  <c:v>68.507500000000022</c:v>
                </c:pt>
                <c:pt idx="463">
                  <c:v>68.62700000000001</c:v>
                </c:pt>
                <c:pt idx="464">
                  <c:v>68.761500000000012</c:v>
                </c:pt>
                <c:pt idx="465">
                  <c:v>68.937000000000012</c:v>
                </c:pt>
                <c:pt idx="466">
                  <c:v>69.12299999999999</c:v>
                </c:pt>
                <c:pt idx="467">
                  <c:v>69.327999999999989</c:v>
                </c:pt>
                <c:pt idx="468">
                  <c:v>69.549499999999995</c:v>
                </c:pt>
                <c:pt idx="469">
                  <c:v>69.723499999999987</c:v>
                </c:pt>
                <c:pt idx="470">
                  <c:v>69.859499999999997</c:v>
                </c:pt>
                <c:pt idx="471">
                  <c:v>69.971499999999992</c:v>
                </c:pt>
                <c:pt idx="472">
                  <c:v>69.971499999999992</c:v>
                </c:pt>
                <c:pt idx="473">
                  <c:v>69.986500000000007</c:v>
                </c:pt>
                <c:pt idx="474">
                  <c:v>70.05</c:v>
                </c:pt>
                <c:pt idx="475">
                  <c:v>70.212000000000018</c:v>
                </c:pt>
                <c:pt idx="476">
                  <c:v>70.338499999999982</c:v>
                </c:pt>
                <c:pt idx="477">
                  <c:v>70.460999999999984</c:v>
                </c:pt>
                <c:pt idx="478">
                  <c:v>70.687499999999972</c:v>
                </c:pt>
                <c:pt idx="479">
                  <c:v>70.894499999999965</c:v>
                </c:pt>
                <c:pt idx="480">
                  <c:v>71.046999999999997</c:v>
                </c:pt>
                <c:pt idx="481">
                  <c:v>71.182000000000002</c:v>
                </c:pt>
                <c:pt idx="482">
                  <c:v>71.289500000000004</c:v>
                </c:pt>
                <c:pt idx="483">
                  <c:v>71.386500000000026</c:v>
                </c:pt>
                <c:pt idx="484">
                  <c:v>71.433500000000009</c:v>
                </c:pt>
                <c:pt idx="485">
                  <c:v>71.418500000000009</c:v>
                </c:pt>
                <c:pt idx="486">
                  <c:v>71.397000000000006</c:v>
                </c:pt>
                <c:pt idx="487">
                  <c:v>71.326999999999998</c:v>
                </c:pt>
                <c:pt idx="488">
                  <c:v>71.206999999999994</c:v>
                </c:pt>
                <c:pt idx="489">
                  <c:v>71.17949999999999</c:v>
                </c:pt>
                <c:pt idx="490">
                  <c:v>71.169999999999987</c:v>
                </c:pt>
                <c:pt idx="491">
                  <c:v>71.154499999999985</c:v>
                </c:pt>
                <c:pt idx="492">
                  <c:v>71.126999999999995</c:v>
                </c:pt>
                <c:pt idx="493">
                  <c:v>71.089500000000015</c:v>
                </c:pt>
                <c:pt idx="494">
                  <c:v>71.032000000000011</c:v>
                </c:pt>
                <c:pt idx="495">
                  <c:v>70.894999999999996</c:v>
                </c:pt>
                <c:pt idx="496">
                  <c:v>70.759000000000015</c:v>
                </c:pt>
                <c:pt idx="497">
                  <c:v>70.634</c:v>
                </c:pt>
                <c:pt idx="498">
                  <c:v>70.483500000000006</c:v>
                </c:pt>
                <c:pt idx="499">
                  <c:v>70.33550000000001</c:v>
                </c:pt>
                <c:pt idx="500">
                  <c:v>70.241500000000002</c:v>
                </c:pt>
                <c:pt idx="501">
                  <c:v>70.20350000000002</c:v>
                </c:pt>
                <c:pt idx="502">
                  <c:v>70.119</c:v>
                </c:pt>
                <c:pt idx="503">
                  <c:v>69.993500000000012</c:v>
                </c:pt>
                <c:pt idx="504">
                  <c:v>69.885499999999993</c:v>
                </c:pt>
                <c:pt idx="505">
                  <c:v>69.749999999999986</c:v>
                </c:pt>
                <c:pt idx="506">
                  <c:v>69.714000000000013</c:v>
                </c:pt>
                <c:pt idx="507">
                  <c:v>69.729000000000013</c:v>
                </c:pt>
                <c:pt idx="508">
                  <c:v>69.798500000000004</c:v>
                </c:pt>
                <c:pt idx="509">
                  <c:v>69.834500000000006</c:v>
                </c:pt>
                <c:pt idx="510">
                  <c:v>69.858000000000018</c:v>
                </c:pt>
                <c:pt idx="511">
                  <c:v>69.863500000000016</c:v>
                </c:pt>
                <c:pt idx="512">
                  <c:v>69.852000000000004</c:v>
                </c:pt>
                <c:pt idx="513">
                  <c:v>69.921500000000009</c:v>
                </c:pt>
                <c:pt idx="514">
                  <c:v>70.019000000000005</c:v>
                </c:pt>
                <c:pt idx="515">
                  <c:v>70.102000000000004</c:v>
                </c:pt>
                <c:pt idx="516">
                  <c:v>70.252500000000012</c:v>
                </c:pt>
                <c:pt idx="517">
                  <c:v>70.375</c:v>
                </c:pt>
                <c:pt idx="518">
                  <c:v>70.558999999999997</c:v>
                </c:pt>
                <c:pt idx="519">
                  <c:v>70.704000000000008</c:v>
                </c:pt>
                <c:pt idx="520">
                  <c:v>70.872</c:v>
                </c:pt>
                <c:pt idx="521">
                  <c:v>71.11699999999999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C3FB-4536-BB01-2BC035A9E0F4}"/>
            </c:ext>
          </c:extLst>
        </c:ser>
        <c:ser>
          <c:idx val="2"/>
          <c:order val="2"/>
          <c:tx>
            <c:strRef>
              <c:f>Data!$AB$1</c:f>
              <c:strCache>
                <c:ptCount val="1"/>
                <c:pt idx="0">
                  <c:v>100d SMA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Data!$B$2:$B$523</c:f>
              <c:numCache>
                <c:formatCode>m/d/yyyy</c:formatCode>
                <c:ptCount val="522"/>
                <c:pt idx="0">
                  <c:v>45293</c:v>
                </c:pt>
                <c:pt idx="1">
                  <c:v>45294</c:v>
                </c:pt>
                <c:pt idx="2">
                  <c:v>45295</c:v>
                </c:pt>
                <c:pt idx="3">
                  <c:v>45296</c:v>
                </c:pt>
                <c:pt idx="4">
                  <c:v>45299</c:v>
                </c:pt>
                <c:pt idx="5">
                  <c:v>45300</c:v>
                </c:pt>
                <c:pt idx="6">
                  <c:v>45301</c:v>
                </c:pt>
                <c:pt idx="7">
                  <c:v>45302</c:v>
                </c:pt>
                <c:pt idx="8">
                  <c:v>45303</c:v>
                </c:pt>
                <c:pt idx="9">
                  <c:v>45307</c:v>
                </c:pt>
                <c:pt idx="10">
                  <c:v>45308</c:v>
                </c:pt>
                <c:pt idx="11">
                  <c:v>45309</c:v>
                </c:pt>
                <c:pt idx="12">
                  <c:v>45310</c:v>
                </c:pt>
                <c:pt idx="13">
                  <c:v>45313</c:v>
                </c:pt>
                <c:pt idx="14">
                  <c:v>45314</c:v>
                </c:pt>
                <c:pt idx="15">
                  <c:v>45315</c:v>
                </c:pt>
                <c:pt idx="16">
                  <c:v>45316</c:v>
                </c:pt>
                <c:pt idx="17">
                  <c:v>45317</c:v>
                </c:pt>
                <c:pt idx="18">
                  <c:v>45320</c:v>
                </c:pt>
                <c:pt idx="19">
                  <c:v>45321</c:v>
                </c:pt>
                <c:pt idx="20">
                  <c:v>45322</c:v>
                </c:pt>
                <c:pt idx="21">
                  <c:v>45323</c:v>
                </c:pt>
                <c:pt idx="22">
                  <c:v>45324</c:v>
                </c:pt>
                <c:pt idx="23">
                  <c:v>45327</c:v>
                </c:pt>
                <c:pt idx="24">
                  <c:v>45328</c:v>
                </c:pt>
                <c:pt idx="25">
                  <c:v>45329</c:v>
                </c:pt>
                <c:pt idx="26">
                  <c:v>45330</c:v>
                </c:pt>
                <c:pt idx="27">
                  <c:v>45331</c:v>
                </c:pt>
                <c:pt idx="28">
                  <c:v>45334</c:v>
                </c:pt>
                <c:pt idx="29">
                  <c:v>45335</c:v>
                </c:pt>
                <c:pt idx="30">
                  <c:v>45336</c:v>
                </c:pt>
                <c:pt idx="31">
                  <c:v>45337</c:v>
                </c:pt>
                <c:pt idx="32">
                  <c:v>45338</c:v>
                </c:pt>
                <c:pt idx="33">
                  <c:v>45342</c:v>
                </c:pt>
                <c:pt idx="34">
                  <c:v>45343</c:v>
                </c:pt>
                <c:pt idx="35">
                  <c:v>45344</c:v>
                </c:pt>
                <c:pt idx="36">
                  <c:v>45345</c:v>
                </c:pt>
                <c:pt idx="37">
                  <c:v>45348</c:v>
                </c:pt>
                <c:pt idx="38">
                  <c:v>45349</c:v>
                </c:pt>
                <c:pt idx="39">
                  <c:v>45350</c:v>
                </c:pt>
                <c:pt idx="40">
                  <c:v>45351</c:v>
                </c:pt>
                <c:pt idx="41">
                  <c:v>45352</c:v>
                </c:pt>
                <c:pt idx="42">
                  <c:v>45355</c:v>
                </c:pt>
                <c:pt idx="43">
                  <c:v>45356</c:v>
                </c:pt>
                <c:pt idx="44">
                  <c:v>45357</c:v>
                </c:pt>
                <c:pt idx="45">
                  <c:v>45358</c:v>
                </c:pt>
                <c:pt idx="46">
                  <c:v>45359</c:v>
                </c:pt>
                <c:pt idx="47">
                  <c:v>45362</c:v>
                </c:pt>
                <c:pt idx="48">
                  <c:v>45363</c:v>
                </c:pt>
                <c:pt idx="49">
                  <c:v>45364</c:v>
                </c:pt>
                <c:pt idx="50">
                  <c:v>45365</c:v>
                </c:pt>
                <c:pt idx="51">
                  <c:v>45366</c:v>
                </c:pt>
                <c:pt idx="52">
                  <c:v>45369</c:v>
                </c:pt>
                <c:pt idx="53">
                  <c:v>45370</c:v>
                </c:pt>
                <c:pt idx="54">
                  <c:v>45371</c:v>
                </c:pt>
                <c:pt idx="55">
                  <c:v>45372</c:v>
                </c:pt>
                <c:pt idx="56">
                  <c:v>45373</c:v>
                </c:pt>
                <c:pt idx="57">
                  <c:v>45376</c:v>
                </c:pt>
                <c:pt idx="58">
                  <c:v>45377</c:v>
                </c:pt>
                <c:pt idx="59">
                  <c:v>45378</c:v>
                </c:pt>
                <c:pt idx="60">
                  <c:v>45379</c:v>
                </c:pt>
                <c:pt idx="61">
                  <c:v>45383</c:v>
                </c:pt>
                <c:pt idx="62">
                  <c:v>45384</c:v>
                </c:pt>
                <c:pt idx="63">
                  <c:v>45385</c:v>
                </c:pt>
                <c:pt idx="64">
                  <c:v>45386</c:v>
                </c:pt>
                <c:pt idx="65">
                  <c:v>45387</c:v>
                </c:pt>
                <c:pt idx="66">
                  <c:v>45390</c:v>
                </c:pt>
                <c:pt idx="67">
                  <c:v>45391</c:v>
                </c:pt>
                <c:pt idx="68">
                  <c:v>45392</c:v>
                </c:pt>
                <c:pt idx="69">
                  <c:v>45393</c:v>
                </c:pt>
                <c:pt idx="70">
                  <c:v>45394</c:v>
                </c:pt>
                <c:pt idx="71">
                  <c:v>45397</c:v>
                </c:pt>
                <c:pt idx="72">
                  <c:v>45398</c:v>
                </c:pt>
                <c:pt idx="73">
                  <c:v>45399</c:v>
                </c:pt>
                <c:pt idx="74">
                  <c:v>45400</c:v>
                </c:pt>
                <c:pt idx="75">
                  <c:v>45401</c:v>
                </c:pt>
                <c:pt idx="76">
                  <c:v>45404</c:v>
                </c:pt>
                <c:pt idx="77">
                  <c:v>45405</c:v>
                </c:pt>
                <c:pt idx="78">
                  <c:v>45406</c:v>
                </c:pt>
                <c:pt idx="79">
                  <c:v>45407</c:v>
                </c:pt>
                <c:pt idx="80">
                  <c:v>45408</c:v>
                </c:pt>
                <c:pt idx="81">
                  <c:v>45411</c:v>
                </c:pt>
                <c:pt idx="82">
                  <c:v>45412</c:v>
                </c:pt>
                <c:pt idx="83">
                  <c:v>45413</c:v>
                </c:pt>
                <c:pt idx="84">
                  <c:v>45414</c:v>
                </c:pt>
                <c:pt idx="85">
                  <c:v>45415</c:v>
                </c:pt>
                <c:pt idx="86">
                  <c:v>45418</c:v>
                </c:pt>
                <c:pt idx="87">
                  <c:v>45419</c:v>
                </c:pt>
                <c:pt idx="88">
                  <c:v>45420</c:v>
                </c:pt>
                <c:pt idx="89">
                  <c:v>45421</c:v>
                </c:pt>
                <c:pt idx="90">
                  <c:v>45422</c:v>
                </c:pt>
                <c:pt idx="91">
                  <c:v>45425</c:v>
                </c:pt>
                <c:pt idx="92">
                  <c:v>45426</c:v>
                </c:pt>
                <c:pt idx="93">
                  <c:v>45427</c:v>
                </c:pt>
                <c:pt idx="94">
                  <c:v>45428</c:v>
                </c:pt>
                <c:pt idx="95">
                  <c:v>45429</c:v>
                </c:pt>
                <c:pt idx="96">
                  <c:v>45432</c:v>
                </c:pt>
                <c:pt idx="97">
                  <c:v>45433</c:v>
                </c:pt>
                <c:pt idx="98">
                  <c:v>45434</c:v>
                </c:pt>
                <c:pt idx="99">
                  <c:v>45435</c:v>
                </c:pt>
                <c:pt idx="100">
                  <c:v>45436</c:v>
                </c:pt>
                <c:pt idx="101">
                  <c:v>45440</c:v>
                </c:pt>
                <c:pt idx="102">
                  <c:v>45441</c:v>
                </c:pt>
                <c:pt idx="103">
                  <c:v>45442</c:v>
                </c:pt>
                <c:pt idx="104">
                  <c:v>45443</c:v>
                </c:pt>
                <c:pt idx="105">
                  <c:v>45446</c:v>
                </c:pt>
                <c:pt idx="106">
                  <c:v>45447</c:v>
                </c:pt>
                <c:pt idx="107">
                  <c:v>45448</c:v>
                </c:pt>
                <c:pt idx="108">
                  <c:v>45449</c:v>
                </c:pt>
                <c:pt idx="109">
                  <c:v>45450</c:v>
                </c:pt>
                <c:pt idx="110">
                  <c:v>45453</c:v>
                </c:pt>
                <c:pt idx="111">
                  <c:v>45454</c:v>
                </c:pt>
                <c:pt idx="112">
                  <c:v>45455</c:v>
                </c:pt>
                <c:pt idx="113">
                  <c:v>45456</c:v>
                </c:pt>
                <c:pt idx="114">
                  <c:v>45457</c:v>
                </c:pt>
                <c:pt idx="115">
                  <c:v>45460</c:v>
                </c:pt>
                <c:pt idx="116">
                  <c:v>45461</c:v>
                </c:pt>
                <c:pt idx="117">
                  <c:v>45463</c:v>
                </c:pt>
                <c:pt idx="118">
                  <c:v>45464</c:v>
                </c:pt>
                <c:pt idx="119">
                  <c:v>45467</c:v>
                </c:pt>
                <c:pt idx="120">
                  <c:v>45468</c:v>
                </c:pt>
                <c:pt idx="121">
                  <c:v>45469</c:v>
                </c:pt>
                <c:pt idx="122">
                  <c:v>45470</c:v>
                </c:pt>
                <c:pt idx="123">
                  <c:v>45471</c:v>
                </c:pt>
                <c:pt idx="124">
                  <c:v>45474</c:v>
                </c:pt>
                <c:pt idx="125">
                  <c:v>45475</c:v>
                </c:pt>
                <c:pt idx="126">
                  <c:v>45476</c:v>
                </c:pt>
                <c:pt idx="127">
                  <c:v>45478</c:v>
                </c:pt>
                <c:pt idx="128">
                  <c:v>45481</c:v>
                </c:pt>
                <c:pt idx="129">
                  <c:v>45482</c:v>
                </c:pt>
                <c:pt idx="130">
                  <c:v>45483</c:v>
                </c:pt>
                <c:pt idx="131">
                  <c:v>45484</c:v>
                </c:pt>
                <c:pt idx="132">
                  <c:v>45485</c:v>
                </c:pt>
                <c:pt idx="133">
                  <c:v>45488</c:v>
                </c:pt>
                <c:pt idx="134">
                  <c:v>45489</c:v>
                </c:pt>
                <c:pt idx="135">
                  <c:v>45490</c:v>
                </c:pt>
                <c:pt idx="136">
                  <c:v>45491</c:v>
                </c:pt>
                <c:pt idx="137">
                  <c:v>45492</c:v>
                </c:pt>
                <c:pt idx="138">
                  <c:v>45495</c:v>
                </c:pt>
                <c:pt idx="139">
                  <c:v>45496</c:v>
                </c:pt>
                <c:pt idx="140">
                  <c:v>45497</c:v>
                </c:pt>
                <c:pt idx="141">
                  <c:v>45498</c:v>
                </c:pt>
                <c:pt idx="142">
                  <c:v>45499</c:v>
                </c:pt>
                <c:pt idx="143">
                  <c:v>45502</c:v>
                </c:pt>
                <c:pt idx="144">
                  <c:v>45503</c:v>
                </c:pt>
                <c:pt idx="145">
                  <c:v>45504</c:v>
                </c:pt>
                <c:pt idx="146">
                  <c:v>45505</c:v>
                </c:pt>
                <c:pt idx="147">
                  <c:v>45506</c:v>
                </c:pt>
                <c:pt idx="148">
                  <c:v>45509</c:v>
                </c:pt>
                <c:pt idx="149">
                  <c:v>45510</c:v>
                </c:pt>
                <c:pt idx="150">
                  <c:v>45511</c:v>
                </c:pt>
                <c:pt idx="151">
                  <c:v>45512</c:v>
                </c:pt>
                <c:pt idx="152">
                  <c:v>45513</c:v>
                </c:pt>
                <c:pt idx="153">
                  <c:v>45516</c:v>
                </c:pt>
                <c:pt idx="154">
                  <c:v>45517</c:v>
                </c:pt>
                <c:pt idx="155">
                  <c:v>45518</c:v>
                </c:pt>
                <c:pt idx="156">
                  <c:v>45519</c:v>
                </c:pt>
                <c:pt idx="157">
                  <c:v>45520</c:v>
                </c:pt>
                <c:pt idx="158">
                  <c:v>45523</c:v>
                </c:pt>
                <c:pt idx="159">
                  <c:v>45524</c:v>
                </c:pt>
                <c:pt idx="160">
                  <c:v>45525</c:v>
                </c:pt>
                <c:pt idx="161">
                  <c:v>45526</c:v>
                </c:pt>
                <c:pt idx="162">
                  <c:v>45527</c:v>
                </c:pt>
                <c:pt idx="163">
                  <c:v>45530</c:v>
                </c:pt>
                <c:pt idx="164">
                  <c:v>45531</c:v>
                </c:pt>
                <c:pt idx="165">
                  <c:v>45532</c:v>
                </c:pt>
                <c:pt idx="166">
                  <c:v>45533</c:v>
                </c:pt>
                <c:pt idx="167">
                  <c:v>45534</c:v>
                </c:pt>
                <c:pt idx="168">
                  <c:v>45538</c:v>
                </c:pt>
                <c:pt idx="169">
                  <c:v>45539</c:v>
                </c:pt>
                <c:pt idx="170">
                  <c:v>45540</c:v>
                </c:pt>
                <c:pt idx="171">
                  <c:v>45541</c:v>
                </c:pt>
                <c:pt idx="172">
                  <c:v>45544</c:v>
                </c:pt>
                <c:pt idx="173">
                  <c:v>45545</c:v>
                </c:pt>
                <c:pt idx="174">
                  <c:v>45546</c:v>
                </c:pt>
                <c:pt idx="175">
                  <c:v>45547</c:v>
                </c:pt>
                <c:pt idx="176">
                  <c:v>45548</c:v>
                </c:pt>
                <c:pt idx="177">
                  <c:v>45551</c:v>
                </c:pt>
                <c:pt idx="178">
                  <c:v>45552</c:v>
                </c:pt>
                <c:pt idx="179">
                  <c:v>45553</c:v>
                </c:pt>
                <c:pt idx="180">
                  <c:v>45554</c:v>
                </c:pt>
                <c:pt idx="181">
                  <c:v>45555</c:v>
                </c:pt>
                <c:pt idx="182">
                  <c:v>45558</c:v>
                </c:pt>
                <c:pt idx="183">
                  <c:v>45559</c:v>
                </c:pt>
                <c:pt idx="184">
                  <c:v>45560</c:v>
                </c:pt>
                <c:pt idx="185">
                  <c:v>45561</c:v>
                </c:pt>
                <c:pt idx="186">
                  <c:v>45562</c:v>
                </c:pt>
                <c:pt idx="187">
                  <c:v>45565</c:v>
                </c:pt>
                <c:pt idx="188">
                  <c:v>45566</c:v>
                </c:pt>
                <c:pt idx="189">
                  <c:v>45567</c:v>
                </c:pt>
                <c:pt idx="190">
                  <c:v>45568</c:v>
                </c:pt>
                <c:pt idx="191">
                  <c:v>45569</c:v>
                </c:pt>
                <c:pt idx="192">
                  <c:v>45572</c:v>
                </c:pt>
                <c:pt idx="193">
                  <c:v>45573</c:v>
                </c:pt>
                <c:pt idx="194">
                  <c:v>45574</c:v>
                </c:pt>
                <c:pt idx="195">
                  <c:v>45575</c:v>
                </c:pt>
                <c:pt idx="196">
                  <c:v>45576</c:v>
                </c:pt>
                <c:pt idx="197">
                  <c:v>45579</c:v>
                </c:pt>
                <c:pt idx="198">
                  <c:v>45580</c:v>
                </c:pt>
                <c:pt idx="199">
                  <c:v>45581</c:v>
                </c:pt>
                <c:pt idx="200">
                  <c:v>45582</c:v>
                </c:pt>
                <c:pt idx="201">
                  <c:v>45583</c:v>
                </c:pt>
                <c:pt idx="202">
                  <c:v>45586</c:v>
                </c:pt>
                <c:pt idx="203">
                  <c:v>45587</c:v>
                </c:pt>
                <c:pt idx="204">
                  <c:v>45588</c:v>
                </c:pt>
                <c:pt idx="205">
                  <c:v>45589</c:v>
                </c:pt>
                <c:pt idx="206">
                  <c:v>45590</c:v>
                </c:pt>
                <c:pt idx="207">
                  <c:v>45593</c:v>
                </c:pt>
                <c:pt idx="208">
                  <c:v>45594</c:v>
                </c:pt>
                <c:pt idx="209">
                  <c:v>45595</c:v>
                </c:pt>
                <c:pt idx="210">
                  <c:v>45596</c:v>
                </c:pt>
                <c:pt idx="211">
                  <c:v>45597</c:v>
                </c:pt>
                <c:pt idx="212">
                  <c:v>45600</c:v>
                </c:pt>
                <c:pt idx="213">
                  <c:v>45601</c:v>
                </c:pt>
                <c:pt idx="214">
                  <c:v>45602</c:v>
                </c:pt>
                <c:pt idx="215">
                  <c:v>45603</c:v>
                </c:pt>
                <c:pt idx="216">
                  <c:v>45604</c:v>
                </c:pt>
                <c:pt idx="217">
                  <c:v>45607</c:v>
                </c:pt>
                <c:pt idx="218">
                  <c:v>45608</c:v>
                </c:pt>
                <c:pt idx="219">
                  <c:v>45609</c:v>
                </c:pt>
                <c:pt idx="220">
                  <c:v>45610</c:v>
                </c:pt>
                <c:pt idx="221">
                  <c:v>45611</c:v>
                </c:pt>
                <c:pt idx="222">
                  <c:v>45614</c:v>
                </c:pt>
                <c:pt idx="223">
                  <c:v>45615</c:v>
                </c:pt>
                <c:pt idx="224">
                  <c:v>45616</c:v>
                </c:pt>
                <c:pt idx="225">
                  <c:v>45617</c:v>
                </c:pt>
                <c:pt idx="226">
                  <c:v>45618</c:v>
                </c:pt>
                <c:pt idx="227">
                  <c:v>45621</c:v>
                </c:pt>
                <c:pt idx="228">
                  <c:v>45622</c:v>
                </c:pt>
                <c:pt idx="229">
                  <c:v>45623</c:v>
                </c:pt>
                <c:pt idx="230">
                  <c:v>45625</c:v>
                </c:pt>
                <c:pt idx="231">
                  <c:v>45628</c:v>
                </c:pt>
                <c:pt idx="232">
                  <c:v>45629</c:v>
                </c:pt>
                <c:pt idx="233">
                  <c:v>45630</c:v>
                </c:pt>
                <c:pt idx="234">
                  <c:v>45631</c:v>
                </c:pt>
                <c:pt idx="235">
                  <c:v>45632</c:v>
                </c:pt>
                <c:pt idx="236">
                  <c:v>45635</c:v>
                </c:pt>
                <c:pt idx="237">
                  <c:v>45636</c:v>
                </c:pt>
                <c:pt idx="238">
                  <c:v>45637</c:v>
                </c:pt>
                <c:pt idx="239">
                  <c:v>45638</c:v>
                </c:pt>
                <c:pt idx="240">
                  <c:v>45639</c:v>
                </c:pt>
                <c:pt idx="241">
                  <c:v>45642</c:v>
                </c:pt>
                <c:pt idx="242">
                  <c:v>45643</c:v>
                </c:pt>
                <c:pt idx="243">
                  <c:v>45644</c:v>
                </c:pt>
                <c:pt idx="244">
                  <c:v>45645</c:v>
                </c:pt>
                <c:pt idx="245">
                  <c:v>45646</c:v>
                </c:pt>
                <c:pt idx="246">
                  <c:v>45649</c:v>
                </c:pt>
                <c:pt idx="247">
                  <c:v>45650</c:v>
                </c:pt>
                <c:pt idx="248">
                  <c:v>45652</c:v>
                </c:pt>
                <c:pt idx="249">
                  <c:v>45653</c:v>
                </c:pt>
                <c:pt idx="250">
                  <c:v>45656</c:v>
                </c:pt>
                <c:pt idx="251">
                  <c:v>45657</c:v>
                </c:pt>
                <c:pt idx="252">
                  <c:v>45659</c:v>
                </c:pt>
                <c:pt idx="253">
                  <c:v>45660</c:v>
                </c:pt>
                <c:pt idx="254">
                  <c:v>45663</c:v>
                </c:pt>
                <c:pt idx="255">
                  <c:v>45664</c:v>
                </c:pt>
                <c:pt idx="256">
                  <c:v>45665</c:v>
                </c:pt>
                <c:pt idx="257">
                  <c:v>45667</c:v>
                </c:pt>
                <c:pt idx="258">
                  <c:v>45670</c:v>
                </c:pt>
                <c:pt idx="259">
                  <c:v>45671</c:v>
                </c:pt>
                <c:pt idx="260">
                  <c:v>45672</c:v>
                </c:pt>
                <c:pt idx="261">
                  <c:v>45673</c:v>
                </c:pt>
                <c:pt idx="262">
                  <c:v>45674</c:v>
                </c:pt>
                <c:pt idx="263">
                  <c:v>45678</c:v>
                </c:pt>
                <c:pt idx="264">
                  <c:v>45679</c:v>
                </c:pt>
                <c:pt idx="265">
                  <c:v>45680</c:v>
                </c:pt>
                <c:pt idx="266">
                  <c:v>45681</c:v>
                </c:pt>
                <c:pt idx="267">
                  <c:v>45684</c:v>
                </c:pt>
                <c:pt idx="268">
                  <c:v>45685</c:v>
                </c:pt>
                <c:pt idx="269">
                  <c:v>45686</c:v>
                </c:pt>
                <c:pt idx="270">
                  <c:v>45687</c:v>
                </c:pt>
                <c:pt idx="271">
                  <c:v>45688</c:v>
                </c:pt>
                <c:pt idx="272">
                  <c:v>45691</c:v>
                </c:pt>
                <c:pt idx="273">
                  <c:v>45692</c:v>
                </c:pt>
                <c:pt idx="274">
                  <c:v>45693</c:v>
                </c:pt>
                <c:pt idx="275">
                  <c:v>45694</c:v>
                </c:pt>
                <c:pt idx="276">
                  <c:v>45695</c:v>
                </c:pt>
                <c:pt idx="277">
                  <c:v>45698</c:v>
                </c:pt>
                <c:pt idx="278">
                  <c:v>45699</c:v>
                </c:pt>
                <c:pt idx="279">
                  <c:v>45700</c:v>
                </c:pt>
                <c:pt idx="280">
                  <c:v>45701</c:v>
                </c:pt>
                <c:pt idx="281">
                  <c:v>45702</c:v>
                </c:pt>
                <c:pt idx="282">
                  <c:v>45706</c:v>
                </c:pt>
                <c:pt idx="283">
                  <c:v>45707</c:v>
                </c:pt>
                <c:pt idx="284">
                  <c:v>45708</c:v>
                </c:pt>
                <c:pt idx="285">
                  <c:v>45709</c:v>
                </c:pt>
                <c:pt idx="286">
                  <c:v>45712</c:v>
                </c:pt>
                <c:pt idx="287">
                  <c:v>45713</c:v>
                </c:pt>
                <c:pt idx="288">
                  <c:v>45714</c:v>
                </c:pt>
                <c:pt idx="289">
                  <c:v>45715</c:v>
                </c:pt>
                <c:pt idx="290">
                  <c:v>45716</c:v>
                </c:pt>
                <c:pt idx="291">
                  <c:v>45719</c:v>
                </c:pt>
                <c:pt idx="292">
                  <c:v>45720</c:v>
                </c:pt>
                <c:pt idx="293">
                  <c:v>45721</c:v>
                </c:pt>
                <c:pt idx="294">
                  <c:v>45722</c:v>
                </c:pt>
                <c:pt idx="295">
                  <c:v>45723</c:v>
                </c:pt>
                <c:pt idx="296">
                  <c:v>45726</c:v>
                </c:pt>
                <c:pt idx="297">
                  <c:v>45727</c:v>
                </c:pt>
                <c:pt idx="298">
                  <c:v>45728</c:v>
                </c:pt>
                <c:pt idx="299">
                  <c:v>45729</c:v>
                </c:pt>
                <c:pt idx="300">
                  <c:v>45730</c:v>
                </c:pt>
                <c:pt idx="301">
                  <c:v>45733</c:v>
                </c:pt>
                <c:pt idx="302">
                  <c:v>45734</c:v>
                </c:pt>
                <c:pt idx="303">
                  <c:v>45735</c:v>
                </c:pt>
                <c:pt idx="304">
                  <c:v>45736</c:v>
                </c:pt>
                <c:pt idx="305">
                  <c:v>45737</c:v>
                </c:pt>
                <c:pt idx="306">
                  <c:v>45740</c:v>
                </c:pt>
                <c:pt idx="307">
                  <c:v>45741</c:v>
                </c:pt>
                <c:pt idx="308">
                  <c:v>45742</c:v>
                </c:pt>
                <c:pt idx="309">
                  <c:v>45743</c:v>
                </c:pt>
                <c:pt idx="310">
                  <c:v>45744</c:v>
                </c:pt>
                <c:pt idx="311">
                  <c:v>45747</c:v>
                </c:pt>
                <c:pt idx="312">
                  <c:v>45748</c:v>
                </c:pt>
                <c:pt idx="313">
                  <c:v>45749</c:v>
                </c:pt>
                <c:pt idx="314">
                  <c:v>45750</c:v>
                </c:pt>
                <c:pt idx="315">
                  <c:v>45751</c:v>
                </c:pt>
                <c:pt idx="316">
                  <c:v>45754</c:v>
                </c:pt>
                <c:pt idx="317">
                  <c:v>45755</c:v>
                </c:pt>
                <c:pt idx="318">
                  <c:v>45756</c:v>
                </c:pt>
                <c:pt idx="319">
                  <c:v>45757</c:v>
                </c:pt>
                <c:pt idx="320">
                  <c:v>45758</c:v>
                </c:pt>
                <c:pt idx="321">
                  <c:v>45761</c:v>
                </c:pt>
                <c:pt idx="322">
                  <c:v>45762</c:v>
                </c:pt>
                <c:pt idx="323">
                  <c:v>45763</c:v>
                </c:pt>
                <c:pt idx="324">
                  <c:v>45764</c:v>
                </c:pt>
                <c:pt idx="325">
                  <c:v>45768</c:v>
                </c:pt>
                <c:pt idx="326">
                  <c:v>45769</c:v>
                </c:pt>
                <c:pt idx="327">
                  <c:v>45770</c:v>
                </c:pt>
                <c:pt idx="328">
                  <c:v>45771</c:v>
                </c:pt>
                <c:pt idx="329">
                  <c:v>45772</c:v>
                </c:pt>
                <c:pt idx="330">
                  <c:v>45775</c:v>
                </c:pt>
                <c:pt idx="331">
                  <c:v>45776</c:v>
                </c:pt>
                <c:pt idx="332">
                  <c:v>45777</c:v>
                </c:pt>
                <c:pt idx="333">
                  <c:v>45778</c:v>
                </c:pt>
                <c:pt idx="334">
                  <c:v>45779</c:v>
                </c:pt>
                <c:pt idx="335">
                  <c:v>45782</c:v>
                </c:pt>
                <c:pt idx="336">
                  <c:v>45783</c:v>
                </c:pt>
                <c:pt idx="337">
                  <c:v>45784</c:v>
                </c:pt>
                <c:pt idx="338">
                  <c:v>45785</c:v>
                </c:pt>
                <c:pt idx="339">
                  <c:v>45786</c:v>
                </c:pt>
                <c:pt idx="340">
                  <c:v>45789</c:v>
                </c:pt>
                <c:pt idx="341">
                  <c:v>45790</c:v>
                </c:pt>
                <c:pt idx="342">
                  <c:v>45791</c:v>
                </c:pt>
                <c:pt idx="343">
                  <c:v>45792</c:v>
                </c:pt>
                <c:pt idx="344">
                  <c:v>45793</c:v>
                </c:pt>
                <c:pt idx="345">
                  <c:v>45796</c:v>
                </c:pt>
                <c:pt idx="346">
                  <c:v>45797</c:v>
                </c:pt>
                <c:pt idx="347">
                  <c:v>45798</c:v>
                </c:pt>
                <c:pt idx="348">
                  <c:v>45799</c:v>
                </c:pt>
                <c:pt idx="349">
                  <c:v>45800</c:v>
                </c:pt>
                <c:pt idx="350">
                  <c:v>45804</c:v>
                </c:pt>
                <c:pt idx="351">
                  <c:v>45805</c:v>
                </c:pt>
                <c:pt idx="352">
                  <c:v>45806</c:v>
                </c:pt>
                <c:pt idx="353">
                  <c:v>45807</c:v>
                </c:pt>
                <c:pt idx="354">
                  <c:v>45810</c:v>
                </c:pt>
                <c:pt idx="355">
                  <c:v>45811</c:v>
                </c:pt>
                <c:pt idx="356">
                  <c:v>45812</c:v>
                </c:pt>
                <c:pt idx="357">
                  <c:v>45813</c:v>
                </c:pt>
                <c:pt idx="358">
                  <c:v>45814</c:v>
                </c:pt>
                <c:pt idx="359">
                  <c:v>45817</c:v>
                </c:pt>
                <c:pt idx="360">
                  <c:v>45818</c:v>
                </c:pt>
                <c:pt idx="361">
                  <c:v>45819</c:v>
                </c:pt>
                <c:pt idx="362">
                  <c:v>45820</c:v>
                </c:pt>
                <c:pt idx="363">
                  <c:v>45821</c:v>
                </c:pt>
                <c:pt idx="364">
                  <c:v>45824</c:v>
                </c:pt>
                <c:pt idx="365">
                  <c:v>45825</c:v>
                </c:pt>
                <c:pt idx="366">
                  <c:v>45826</c:v>
                </c:pt>
                <c:pt idx="367">
                  <c:v>45828</c:v>
                </c:pt>
                <c:pt idx="368">
                  <c:v>45831</c:v>
                </c:pt>
                <c:pt idx="369">
                  <c:v>45832</c:v>
                </c:pt>
                <c:pt idx="370">
                  <c:v>45833</c:v>
                </c:pt>
                <c:pt idx="371">
                  <c:v>45834</c:v>
                </c:pt>
                <c:pt idx="372">
                  <c:v>45835</c:v>
                </c:pt>
                <c:pt idx="373">
                  <c:v>45838</c:v>
                </c:pt>
                <c:pt idx="374">
                  <c:v>45839</c:v>
                </c:pt>
                <c:pt idx="375">
                  <c:v>45840</c:v>
                </c:pt>
                <c:pt idx="376">
                  <c:v>45841</c:v>
                </c:pt>
                <c:pt idx="377">
                  <c:v>45845</c:v>
                </c:pt>
                <c:pt idx="378">
                  <c:v>45846</c:v>
                </c:pt>
                <c:pt idx="379">
                  <c:v>45847</c:v>
                </c:pt>
                <c:pt idx="380">
                  <c:v>45848</c:v>
                </c:pt>
                <c:pt idx="381">
                  <c:v>45849</c:v>
                </c:pt>
                <c:pt idx="382">
                  <c:v>45852</c:v>
                </c:pt>
                <c:pt idx="383">
                  <c:v>45853</c:v>
                </c:pt>
                <c:pt idx="384">
                  <c:v>45854</c:v>
                </c:pt>
                <c:pt idx="385">
                  <c:v>45855</c:v>
                </c:pt>
                <c:pt idx="386">
                  <c:v>45856</c:v>
                </c:pt>
                <c:pt idx="387">
                  <c:v>45859</c:v>
                </c:pt>
                <c:pt idx="388">
                  <c:v>45860</c:v>
                </c:pt>
                <c:pt idx="389">
                  <c:v>45861</c:v>
                </c:pt>
                <c:pt idx="390">
                  <c:v>45862</c:v>
                </c:pt>
                <c:pt idx="391">
                  <c:v>45863</c:v>
                </c:pt>
                <c:pt idx="392">
                  <c:v>45866</c:v>
                </c:pt>
                <c:pt idx="393">
                  <c:v>45867</c:v>
                </c:pt>
                <c:pt idx="394">
                  <c:v>45868</c:v>
                </c:pt>
                <c:pt idx="395">
                  <c:v>45869</c:v>
                </c:pt>
                <c:pt idx="396">
                  <c:v>45870</c:v>
                </c:pt>
                <c:pt idx="397">
                  <c:v>45873</c:v>
                </c:pt>
                <c:pt idx="398">
                  <c:v>45874</c:v>
                </c:pt>
                <c:pt idx="399">
                  <c:v>45875</c:v>
                </c:pt>
                <c:pt idx="400">
                  <c:v>45876</c:v>
                </c:pt>
                <c:pt idx="401">
                  <c:v>45877</c:v>
                </c:pt>
                <c:pt idx="402">
                  <c:v>45880</c:v>
                </c:pt>
                <c:pt idx="403">
                  <c:v>45881</c:v>
                </c:pt>
                <c:pt idx="404">
                  <c:v>45882</c:v>
                </c:pt>
                <c:pt idx="405">
                  <c:v>45883</c:v>
                </c:pt>
                <c:pt idx="406">
                  <c:v>45884</c:v>
                </c:pt>
                <c:pt idx="407">
                  <c:v>45887</c:v>
                </c:pt>
                <c:pt idx="408">
                  <c:v>45888</c:v>
                </c:pt>
                <c:pt idx="409">
                  <c:v>45889</c:v>
                </c:pt>
                <c:pt idx="410">
                  <c:v>45890</c:v>
                </c:pt>
                <c:pt idx="411">
                  <c:v>45891</c:v>
                </c:pt>
                <c:pt idx="412">
                  <c:v>45894</c:v>
                </c:pt>
                <c:pt idx="413">
                  <c:v>45895</c:v>
                </c:pt>
                <c:pt idx="414">
                  <c:v>45896</c:v>
                </c:pt>
                <c:pt idx="415">
                  <c:v>45897</c:v>
                </c:pt>
                <c:pt idx="416">
                  <c:v>45898</c:v>
                </c:pt>
                <c:pt idx="417">
                  <c:v>45902</c:v>
                </c:pt>
                <c:pt idx="418">
                  <c:v>45903</c:v>
                </c:pt>
                <c:pt idx="419">
                  <c:v>45904</c:v>
                </c:pt>
                <c:pt idx="420">
                  <c:v>45905</c:v>
                </c:pt>
                <c:pt idx="421">
                  <c:v>45908</c:v>
                </c:pt>
                <c:pt idx="422">
                  <c:v>45909</c:v>
                </c:pt>
                <c:pt idx="423">
                  <c:v>45910</c:v>
                </c:pt>
                <c:pt idx="424">
                  <c:v>45911</c:v>
                </c:pt>
                <c:pt idx="425">
                  <c:v>45912</c:v>
                </c:pt>
                <c:pt idx="426">
                  <c:v>45915</c:v>
                </c:pt>
                <c:pt idx="427">
                  <c:v>45916</c:v>
                </c:pt>
                <c:pt idx="428">
                  <c:v>45917</c:v>
                </c:pt>
                <c:pt idx="429">
                  <c:v>45918</c:v>
                </c:pt>
                <c:pt idx="430">
                  <c:v>45919</c:v>
                </c:pt>
                <c:pt idx="431">
                  <c:v>45922</c:v>
                </c:pt>
                <c:pt idx="432">
                  <c:v>45923</c:v>
                </c:pt>
                <c:pt idx="433">
                  <c:v>45924</c:v>
                </c:pt>
                <c:pt idx="434">
                  <c:v>45925</c:v>
                </c:pt>
                <c:pt idx="435">
                  <c:v>45926</c:v>
                </c:pt>
                <c:pt idx="436">
                  <c:v>45929</c:v>
                </c:pt>
                <c:pt idx="437">
                  <c:v>45930</c:v>
                </c:pt>
                <c:pt idx="438">
                  <c:v>45931</c:v>
                </c:pt>
                <c:pt idx="439">
                  <c:v>45932</c:v>
                </c:pt>
                <c:pt idx="440">
                  <c:v>45933</c:v>
                </c:pt>
                <c:pt idx="441">
                  <c:v>45936</c:v>
                </c:pt>
                <c:pt idx="442">
                  <c:v>45937</c:v>
                </c:pt>
                <c:pt idx="443">
                  <c:v>45938</c:v>
                </c:pt>
                <c:pt idx="444">
                  <c:v>45939</c:v>
                </c:pt>
                <c:pt idx="445">
                  <c:v>45940</c:v>
                </c:pt>
                <c:pt idx="446">
                  <c:v>45943</c:v>
                </c:pt>
                <c:pt idx="447">
                  <c:v>45944</c:v>
                </c:pt>
                <c:pt idx="448">
                  <c:v>45945</c:v>
                </c:pt>
                <c:pt idx="449">
                  <c:v>45946</c:v>
                </c:pt>
                <c:pt idx="450">
                  <c:v>45947</c:v>
                </c:pt>
                <c:pt idx="451">
                  <c:v>45950</c:v>
                </c:pt>
                <c:pt idx="452">
                  <c:v>45951</c:v>
                </c:pt>
                <c:pt idx="453">
                  <c:v>45952</c:v>
                </c:pt>
                <c:pt idx="454">
                  <c:v>45953</c:v>
                </c:pt>
                <c:pt idx="455">
                  <c:v>45954</c:v>
                </c:pt>
                <c:pt idx="456">
                  <c:v>45957</c:v>
                </c:pt>
                <c:pt idx="457">
                  <c:v>45958</c:v>
                </c:pt>
                <c:pt idx="458">
                  <c:v>45959</c:v>
                </c:pt>
                <c:pt idx="459">
                  <c:v>45960</c:v>
                </c:pt>
                <c:pt idx="460">
                  <c:v>45961</c:v>
                </c:pt>
                <c:pt idx="461">
                  <c:v>45964</c:v>
                </c:pt>
                <c:pt idx="462">
                  <c:v>45965</c:v>
                </c:pt>
                <c:pt idx="463">
                  <c:v>45966</c:v>
                </c:pt>
                <c:pt idx="464">
                  <c:v>45967</c:v>
                </c:pt>
                <c:pt idx="465">
                  <c:v>45968</c:v>
                </c:pt>
                <c:pt idx="466">
                  <c:v>45971</c:v>
                </c:pt>
                <c:pt idx="467">
                  <c:v>45972</c:v>
                </c:pt>
                <c:pt idx="468">
                  <c:v>45973</c:v>
                </c:pt>
                <c:pt idx="469">
                  <c:v>45974</c:v>
                </c:pt>
                <c:pt idx="470">
                  <c:v>45975</c:v>
                </c:pt>
                <c:pt idx="471">
                  <c:v>45978</c:v>
                </c:pt>
                <c:pt idx="472">
                  <c:v>45979</c:v>
                </c:pt>
                <c:pt idx="473">
                  <c:v>45980</c:v>
                </c:pt>
                <c:pt idx="474">
                  <c:v>45981</c:v>
                </c:pt>
                <c:pt idx="475">
                  <c:v>45982</c:v>
                </c:pt>
                <c:pt idx="476">
                  <c:v>45985</c:v>
                </c:pt>
                <c:pt idx="477">
                  <c:v>45986</c:v>
                </c:pt>
                <c:pt idx="478">
                  <c:v>45987</c:v>
                </c:pt>
                <c:pt idx="479">
                  <c:v>45989</c:v>
                </c:pt>
                <c:pt idx="480">
                  <c:v>45992</c:v>
                </c:pt>
                <c:pt idx="481">
                  <c:v>45993</c:v>
                </c:pt>
                <c:pt idx="482">
                  <c:v>45994</c:v>
                </c:pt>
                <c:pt idx="483">
                  <c:v>45995</c:v>
                </c:pt>
                <c:pt idx="484">
                  <c:v>45996</c:v>
                </c:pt>
                <c:pt idx="485">
                  <c:v>45999</c:v>
                </c:pt>
                <c:pt idx="486">
                  <c:v>46000</c:v>
                </c:pt>
                <c:pt idx="487">
                  <c:v>46001</c:v>
                </c:pt>
                <c:pt idx="488">
                  <c:v>46002</c:v>
                </c:pt>
                <c:pt idx="489">
                  <c:v>46003</c:v>
                </c:pt>
                <c:pt idx="490">
                  <c:v>46006</c:v>
                </c:pt>
                <c:pt idx="491">
                  <c:v>46007</c:v>
                </c:pt>
                <c:pt idx="492">
                  <c:v>46008</c:v>
                </c:pt>
                <c:pt idx="493">
                  <c:v>46009</c:v>
                </c:pt>
                <c:pt idx="494">
                  <c:v>46010</c:v>
                </c:pt>
                <c:pt idx="495">
                  <c:v>46013</c:v>
                </c:pt>
                <c:pt idx="496">
                  <c:v>46014</c:v>
                </c:pt>
                <c:pt idx="497">
                  <c:v>46015</c:v>
                </c:pt>
                <c:pt idx="498">
                  <c:v>46017</c:v>
                </c:pt>
                <c:pt idx="499">
                  <c:v>46020</c:v>
                </c:pt>
                <c:pt idx="500">
                  <c:v>46021</c:v>
                </c:pt>
                <c:pt idx="501">
                  <c:v>46022</c:v>
                </c:pt>
                <c:pt idx="502">
                  <c:v>46024</c:v>
                </c:pt>
                <c:pt idx="503">
                  <c:v>46027</c:v>
                </c:pt>
                <c:pt idx="504">
                  <c:v>46028</c:v>
                </c:pt>
                <c:pt idx="505">
                  <c:v>46029</c:v>
                </c:pt>
                <c:pt idx="506">
                  <c:v>46030</c:v>
                </c:pt>
                <c:pt idx="507">
                  <c:v>46031</c:v>
                </c:pt>
                <c:pt idx="508">
                  <c:v>46034</c:v>
                </c:pt>
                <c:pt idx="509">
                  <c:v>46035</c:v>
                </c:pt>
                <c:pt idx="510">
                  <c:v>46036</c:v>
                </c:pt>
                <c:pt idx="511">
                  <c:v>46037</c:v>
                </c:pt>
                <c:pt idx="512">
                  <c:v>46038</c:v>
                </c:pt>
                <c:pt idx="513">
                  <c:v>46042</c:v>
                </c:pt>
                <c:pt idx="514">
                  <c:v>46043</c:v>
                </c:pt>
                <c:pt idx="515">
                  <c:v>46044</c:v>
                </c:pt>
                <c:pt idx="516">
                  <c:v>46045</c:v>
                </c:pt>
                <c:pt idx="517">
                  <c:v>46048</c:v>
                </c:pt>
                <c:pt idx="518">
                  <c:v>46049</c:v>
                </c:pt>
                <c:pt idx="519">
                  <c:v>46050</c:v>
                </c:pt>
                <c:pt idx="520">
                  <c:v>46051</c:v>
                </c:pt>
                <c:pt idx="521">
                  <c:v>46052</c:v>
                </c:pt>
              </c:numCache>
            </c:numRef>
          </c:cat>
          <c:val>
            <c:numRef>
              <c:f>Data!$AB$2:$AB$523</c:f>
              <c:numCache>
                <c:formatCode>General</c:formatCode>
                <c:ptCount val="522"/>
                <c:pt idx="99">
                  <c:v>60.495800000000017</c:v>
                </c:pt>
                <c:pt idx="100">
                  <c:v>60.517600000000023</c:v>
                </c:pt>
                <c:pt idx="101">
                  <c:v>60.536200000000029</c:v>
                </c:pt>
                <c:pt idx="102">
                  <c:v>60.55560000000002</c:v>
                </c:pt>
                <c:pt idx="103">
                  <c:v>60.578600000000023</c:v>
                </c:pt>
                <c:pt idx="104">
                  <c:v>60.606800000000014</c:v>
                </c:pt>
                <c:pt idx="105">
                  <c:v>60.636100000000027</c:v>
                </c:pt>
                <c:pt idx="106">
                  <c:v>60.673500000000011</c:v>
                </c:pt>
                <c:pt idx="107">
                  <c:v>60.714600000000019</c:v>
                </c:pt>
                <c:pt idx="108">
                  <c:v>60.752200000000009</c:v>
                </c:pt>
                <c:pt idx="109">
                  <c:v>60.791400000000003</c:v>
                </c:pt>
                <c:pt idx="110">
                  <c:v>60.827400000000004</c:v>
                </c:pt>
                <c:pt idx="111">
                  <c:v>60.861300000000007</c:v>
                </c:pt>
                <c:pt idx="112">
                  <c:v>60.891800000000011</c:v>
                </c:pt>
                <c:pt idx="113">
                  <c:v>60.926000000000002</c:v>
                </c:pt>
                <c:pt idx="114">
                  <c:v>60.95300000000001</c:v>
                </c:pt>
                <c:pt idx="115">
                  <c:v>60.990100000000005</c:v>
                </c:pt>
                <c:pt idx="116">
                  <c:v>61.024799999999999</c:v>
                </c:pt>
                <c:pt idx="117">
                  <c:v>61.052900000000001</c:v>
                </c:pt>
                <c:pt idx="118">
                  <c:v>61.083300000000008</c:v>
                </c:pt>
                <c:pt idx="119">
                  <c:v>61.124000000000002</c:v>
                </c:pt>
                <c:pt idx="120">
                  <c:v>61.167500000000011</c:v>
                </c:pt>
                <c:pt idx="121">
                  <c:v>61.198200000000007</c:v>
                </c:pt>
                <c:pt idx="122">
                  <c:v>61.231900000000003</c:v>
                </c:pt>
                <c:pt idx="123">
                  <c:v>61.268000000000008</c:v>
                </c:pt>
                <c:pt idx="124">
                  <c:v>61.301400000000001</c:v>
                </c:pt>
                <c:pt idx="125">
                  <c:v>61.332999999999991</c:v>
                </c:pt>
                <c:pt idx="126">
                  <c:v>61.367999999999995</c:v>
                </c:pt>
                <c:pt idx="127">
                  <c:v>61.41</c:v>
                </c:pt>
                <c:pt idx="128">
                  <c:v>61.442600000000013</c:v>
                </c:pt>
                <c:pt idx="129">
                  <c:v>61.476000000000013</c:v>
                </c:pt>
                <c:pt idx="130">
                  <c:v>61.511400000000002</c:v>
                </c:pt>
                <c:pt idx="131">
                  <c:v>61.548400000000001</c:v>
                </c:pt>
                <c:pt idx="132">
                  <c:v>61.591500000000003</c:v>
                </c:pt>
                <c:pt idx="133">
                  <c:v>61.618600000000008</c:v>
                </c:pt>
                <c:pt idx="134">
                  <c:v>61.648900000000012</c:v>
                </c:pt>
                <c:pt idx="135">
                  <c:v>61.68950000000001</c:v>
                </c:pt>
                <c:pt idx="136">
                  <c:v>61.729399999999998</c:v>
                </c:pt>
                <c:pt idx="137">
                  <c:v>61.775199999999998</c:v>
                </c:pt>
                <c:pt idx="138">
                  <c:v>61.819499999999998</c:v>
                </c:pt>
                <c:pt idx="139">
                  <c:v>61.865100000000005</c:v>
                </c:pt>
                <c:pt idx="140">
                  <c:v>61.923000000000009</c:v>
                </c:pt>
                <c:pt idx="141">
                  <c:v>61.988400000000013</c:v>
                </c:pt>
                <c:pt idx="142">
                  <c:v>62.060800000000008</c:v>
                </c:pt>
                <c:pt idx="143">
                  <c:v>62.133900000000004</c:v>
                </c:pt>
                <c:pt idx="144">
                  <c:v>62.215200000000003</c:v>
                </c:pt>
                <c:pt idx="145">
                  <c:v>62.288200000000003</c:v>
                </c:pt>
                <c:pt idx="146">
                  <c:v>62.372600000000013</c:v>
                </c:pt>
                <c:pt idx="147">
                  <c:v>62.463500000000003</c:v>
                </c:pt>
                <c:pt idx="148">
                  <c:v>62.539500000000018</c:v>
                </c:pt>
                <c:pt idx="149">
                  <c:v>62.608800000000016</c:v>
                </c:pt>
                <c:pt idx="150">
                  <c:v>62.688400000000023</c:v>
                </c:pt>
                <c:pt idx="151">
                  <c:v>62.776900000000005</c:v>
                </c:pt>
                <c:pt idx="152">
                  <c:v>62.862400000000008</c:v>
                </c:pt>
                <c:pt idx="153">
                  <c:v>62.941800000000001</c:v>
                </c:pt>
                <c:pt idx="154">
                  <c:v>63.018900000000002</c:v>
                </c:pt>
                <c:pt idx="155">
                  <c:v>63.1</c:v>
                </c:pt>
                <c:pt idx="156">
                  <c:v>63.181599999999996</c:v>
                </c:pt>
                <c:pt idx="157">
                  <c:v>63.269400000000005</c:v>
                </c:pt>
                <c:pt idx="158">
                  <c:v>63.353800000000007</c:v>
                </c:pt>
                <c:pt idx="159">
                  <c:v>63.437300000000015</c:v>
                </c:pt>
                <c:pt idx="160">
                  <c:v>63.5212</c:v>
                </c:pt>
                <c:pt idx="161">
                  <c:v>63.607699999999994</c:v>
                </c:pt>
                <c:pt idx="162">
                  <c:v>63.704099999999997</c:v>
                </c:pt>
                <c:pt idx="163">
                  <c:v>63.8142</c:v>
                </c:pt>
                <c:pt idx="164">
                  <c:v>63.936200000000007</c:v>
                </c:pt>
                <c:pt idx="165">
                  <c:v>64.058600000000013</c:v>
                </c:pt>
                <c:pt idx="166">
                  <c:v>64.186400000000006</c:v>
                </c:pt>
                <c:pt idx="167">
                  <c:v>64.313900000000004</c:v>
                </c:pt>
                <c:pt idx="168">
                  <c:v>64.454800000000006</c:v>
                </c:pt>
                <c:pt idx="169">
                  <c:v>64.5899</c:v>
                </c:pt>
                <c:pt idx="170">
                  <c:v>64.718800000000016</c:v>
                </c:pt>
                <c:pt idx="171">
                  <c:v>64.848800000000026</c:v>
                </c:pt>
                <c:pt idx="172">
                  <c:v>64.986700000000027</c:v>
                </c:pt>
                <c:pt idx="173">
                  <c:v>65.117100000000022</c:v>
                </c:pt>
                <c:pt idx="174">
                  <c:v>65.238800000000026</c:v>
                </c:pt>
                <c:pt idx="175">
                  <c:v>65.349400000000017</c:v>
                </c:pt>
                <c:pt idx="176">
                  <c:v>65.458000000000027</c:v>
                </c:pt>
                <c:pt idx="177">
                  <c:v>65.572600000000023</c:v>
                </c:pt>
                <c:pt idx="178">
                  <c:v>65.675100000000029</c:v>
                </c:pt>
                <c:pt idx="179">
                  <c:v>65.775200000000027</c:v>
                </c:pt>
                <c:pt idx="180">
                  <c:v>65.864000000000019</c:v>
                </c:pt>
                <c:pt idx="181">
                  <c:v>65.960000000000022</c:v>
                </c:pt>
                <c:pt idx="182">
                  <c:v>66.059600000000017</c:v>
                </c:pt>
                <c:pt idx="183">
                  <c:v>66.153600000000012</c:v>
                </c:pt>
                <c:pt idx="184">
                  <c:v>66.248200000000011</c:v>
                </c:pt>
                <c:pt idx="185">
                  <c:v>66.340500000000006</c:v>
                </c:pt>
                <c:pt idx="186">
                  <c:v>66.434900000000013</c:v>
                </c:pt>
                <c:pt idx="187">
                  <c:v>66.527300000000011</c:v>
                </c:pt>
                <c:pt idx="188">
                  <c:v>66.615899999999996</c:v>
                </c:pt>
                <c:pt idx="189">
                  <c:v>66.697200000000009</c:v>
                </c:pt>
                <c:pt idx="190">
                  <c:v>66.769800000000004</c:v>
                </c:pt>
                <c:pt idx="191">
                  <c:v>66.835700000000003</c:v>
                </c:pt>
                <c:pt idx="192">
                  <c:v>66.894800000000018</c:v>
                </c:pt>
                <c:pt idx="193">
                  <c:v>66.955300000000022</c:v>
                </c:pt>
                <c:pt idx="194">
                  <c:v>67.017800000000008</c:v>
                </c:pt>
                <c:pt idx="195">
                  <c:v>67.080000000000013</c:v>
                </c:pt>
                <c:pt idx="196">
                  <c:v>67.150000000000006</c:v>
                </c:pt>
                <c:pt idx="197">
                  <c:v>67.224300000000028</c:v>
                </c:pt>
                <c:pt idx="198">
                  <c:v>67.29770000000002</c:v>
                </c:pt>
                <c:pt idx="199">
                  <c:v>67.382500000000022</c:v>
                </c:pt>
                <c:pt idx="200">
                  <c:v>67.461500000000001</c:v>
                </c:pt>
                <c:pt idx="201">
                  <c:v>67.54770000000002</c:v>
                </c:pt>
                <c:pt idx="202">
                  <c:v>67.625200000000007</c:v>
                </c:pt>
                <c:pt idx="203">
                  <c:v>67.7</c:v>
                </c:pt>
                <c:pt idx="204">
                  <c:v>67.750800000000012</c:v>
                </c:pt>
                <c:pt idx="205">
                  <c:v>67.794500000000014</c:v>
                </c:pt>
                <c:pt idx="206">
                  <c:v>67.824300000000008</c:v>
                </c:pt>
                <c:pt idx="207">
                  <c:v>67.851799999999997</c:v>
                </c:pt>
                <c:pt idx="208">
                  <c:v>67.865899999999996</c:v>
                </c:pt>
                <c:pt idx="209">
                  <c:v>67.885999999999996</c:v>
                </c:pt>
                <c:pt idx="210">
                  <c:v>67.903199999999998</c:v>
                </c:pt>
                <c:pt idx="211">
                  <c:v>67.9178</c:v>
                </c:pt>
                <c:pt idx="212">
                  <c:v>67.940099999999987</c:v>
                </c:pt>
                <c:pt idx="213">
                  <c:v>67.96390000000001</c:v>
                </c:pt>
                <c:pt idx="214">
                  <c:v>67.975399999999993</c:v>
                </c:pt>
                <c:pt idx="215">
                  <c:v>67.985800000000012</c:v>
                </c:pt>
                <c:pt idx="216">
                  <c:v>67.998699999999999</c:v>
                </c:pt>
                <c:pt idx="217">
                  <c:v>68.010499999999993</c:v>
                </c:pt>
                <c:pt idx="218">
                  <c:v>68.01479999999998</c:v>
                </c:pt>
                <c:pt idx="219">
                  <c:v>68.005099999999985</c:v>
                </c:pt>
                <c:pt idx="220">
                  <c:v>67.992199999999983</c:v>
                </c:pt>
                <c:pt idx="221">
                  <c:v>67.969099999999983</c:v>
                </c:pt>
                <c:pt idx="222">
                  <c:v>67.948599999999985</c:v>
                </c:pt>
                <c:pt idx="223">
                  <c:v>67.937999999999988</c:v>
                </c:pt>
                <c:pt idx="224">
                  <c:v>67.935099999999977</c:v>
                </c:pt>
                <c:pt idx="225">
                  <c:v>67.941199999999995</c:v>
                </c:pt>
                <c:pt idx="226">
                  <c:v>67.947100000000006</c:v>
                </c:pt>
                <c:pt idx="227">
                  <c:v>67.953299999999999</c:v>
                </c:pt>
                <c:pt idx="228">
                  <c:v>67.969200000000001</c:v>
                </c:pt>
                <c:pt idx="229">
                  <c:v>67.986599999999996</c:v>
                </c:pt>
                <c:pt idx="230">
                  <c:v>67.999099999999999</c:v>
                </c:pt>
                <c:pt idx="231">
                  <c:v>68.004599999999996</c:v>
                </c:pt>
                <c:pt idx="232">
                  <c:v>68.002799999999993</c:v>
                </c:pt>
                <c:pt idx="233">
                  <c:v>67.990799999999993</c:v>
                </c:pt>
                <c:pt idx="234">
                  <c:v>67.9773</c:v>
                </c:pt>
                <c:pt idx="235">
                  <c:v>67.950499999999991</c:v>
                </c:pt>
                <c:pt idx="236">
                  <c:v>67.924599999999998</c:v>
                </c:pt>
                <c:pt idx="237">
                  <c:v>67.900800000000004</c:v>
                </c:pt>
                <c:pt idx="238">
                  <c:v>67.879499999999993</c:v>
                </c:pt>
                <c:pt idx="239">
                  <c:v>67.868300000000005</c:v>
                </c:pt>
                <c:pt idx="240">
                  <c:v>67.841400000000007</c:v>
                </c:pt>
                <c:pt idx="241">
                  <c:v>67.806200000000004</c:v>
                </c:pt>
                <c:pt idx="242">
                  <c:v>67.769700000000014</c:v>
                </c:pt>
                <c:pt idx="243">
                  <c:v>67.729900000000029</c:v>
                </c:pt>
                <c:pt idx="244">
                  <c:v>67.677600000000027</c:v>
                </c:pt>
                <c:pt idx="245">
                  <c:v>67.635700000000014</c:v>
                </c:pt>
                <c:pt idx="246">
                  <c:v>67.579900000000009</c:v>
                </c:pt>
                <c:pt idx="247">
                  <c:v>67.515000000000029</c:v>
                </c:pt>
                <c:pt idx="248">
                  <c:v>67.459700000000026</c:v>
                </c:pt>
                <c:pt idx="249">
                  <c:v>67.403700000000015</c:v>
                </c:pt>
                <c:pt idx="250">
                  <c:v>67.339400000000012</c:v>
                </c:pt>
                <c:pt idx="251">
                  <c:v>67.27470000000001</c:v>
                </c:pt>
                <c:pt idx="252">
                  <c:v>67.206300000000013</c:v>
                </c:pt>
                <c:pt idx="253">
                  <c:v>67.142100000000013</c:v>
                </c:pt>
                <c:pt idx="254">
                  <c:v>67.065600000000032</c:v>
                </c:pt>
                <c:pt idx="255">
                  <c:v>66.98820000000002</c:v>
                </c:pt>
                <c:pt idx="256">
                  <c:v>66.918800000000033</c:v>
                </c:pt>
                <c:pt idx="257">
                  <c:v>66.837700000000027</c:v>
                </c:pt>
                <c:pt idx="258">
                  <c:v>66.764400000000023</c:v>
                </c:pt>
                <c:pt idx="259">
                  <c:v>66.691000000000017</c:v>
                </c:pt>
                <c:pt idx="260">
                  <c:v>66.613000000000014</c:v>
                </c:pt>
                <c:pt idx="261">
                  <c:v>66.542200000000037</c:v>
                </c:pt>
                <c:pt idx="262">
                  <c:v>66.471400000000031</c:v>
                </c:pt>
                <c:pt idx="263">
                  <c:v>66.387200000000036</c:v>
                </c:pt>
                <c:pt idx="264">
                  <c:v>66.29000000000002</c:v>
                </c:pt>
                <c:pt idx="265">
                  <c:v>66.187800000000024</c:v>
                </c:pt>
                <c:pt idx="266">
                  <c:v>66.086500000000029</c:v>
                </c:pt>
                <c:pt idx="267">
                  <c:v>66.000500000000017</c:v>
                </c:pt>
                <c:pt idx="268">
                  <c:v>65.89400000000002</c:v>
                </c:pt>
                <c:pt idx="269">
                  <c:v>65.796700000000016</c:v>
                </c:pt>
                <c:pt idx="270">
                  <c:v>65.725500000000011</c:v>
                </c:pt>
                <c:pt idx="271">
                  <c:v>65.648899999999998</c:v>
                </c:pt>
                <c:pt idx="272">
                  <c:v>65.563900000000004</c:v>
                </c:pt>
                <c:pt idx="273">
                  <c:v>65.475099999999998</c:v>
                </c:pt>
                <c:pt idx="274">
                  <c:v>65.395500000000013</c:v>
                </c:pt>
                <c:pt idx="275">
                  <c:v>65.316800000000001</c:v>
                </c:pt>
                <c:pt idx="276">
                  <c:v>65.241100000000003</c:v>
                </c:pt>
                <c:pt idx="277">
                  <c:v>65.165599999999998</c:v>
                </c:pt>
                <c:pt idx="278">
                  <c:v>65.12360000000001</c:v>
                </c:pt>
                <c:pt idx="279">
                  <c:v>65.093199999999996</c:v>
                </c:pt>
                <c:pt idx="280">
                  <c:v>65.082000000000008</c:v>
                </c:pt>
                <c:pt idx="281">
                  <c:v>65.054299999999998</c:v>
                </c:pt>
                <c:pt idx="282">
                  <c:v>65.027500000000003</c:v>
                </c:pt>
                <c:pt idx="283">
                  <c:v>65.014899999999997</c:v>
                </c:pt>
                <c:pt idx="284">
                  <c:v>65.000799999999998</c:v>
                </c:pt>
                <c:pt idx="285">
                  <c:v>65.00030000000001</c:v>
                </c:pt>
                <c:pt idx="286">
                  <c:v>64.988300000000024</c:v>
                </c:pt>
                <c:pt idx="287">
                  <c:v>64.984600000000015</c:v>
                </c:pt>
                <c:pt idx="288">
                  <c:v>64.975500000000011</c:v>
                </c:pt>
                <c:pt idx="289">
                  <c:v>64.974100000000021</c:v>
                </c:pt>
                <c:pt idx="290">
                  <c:v>64.981000000000009</c:v>
                </c:pt>
                <c:pt idx="291">
                  <c:v>65.002500000000012</c:v>
                </c:pt>
                <c:pt idx="292">
                  <c:v>65.014299999999992</c:v>
                </c:pt>
                <c:pt idx="293">
                  <c:v>65.023300000000006</c:v>
                </c:pt>
                <c:pt idx="294">
                  <c:v>65.032200000000003</c:v>
                </c:pt>
                <c:pt idx="295">
                  <c:v>65.054000000000016</c:v>
                </c:pt>
                <c:pt idx="296">
                  <c:v>65.072800000000001</c:v>
                </c:pt>
                <c:pt idx="297">
                  <c:v>65.079800000000006</c:v>
                </c:pt>
                <c:pt idx="298">
                  <c:v>65.075800000000001</c:v>
                </c:pt>
                <c:pt idx="299">
                  <c:v>65.066299999999998</c:v>
                </c:pt>
                <c:pt idx="300">
                  <c:v>65.058900000000008</c:v>
                </c:pt>
                <c:pt idx="301">
                  <c:v>65.055700000000002</c:v>
                </c:pt>
                <c:pt idx="302">
                  <c:v>65.055000000000007</c:v>
                </c:pt>
                <c:pt idx="303">
                  <c:v>65.053300000000007</c:v>
                </c:pt>
                <c:pt idx="304">
                  <c:v>65.070300000000003</c:v>
                </c:pt>
                <c:pt idx="305">
                  <c:v>65.084000000000003</c:v>
                </c:pt>
                <c:pt idx="306">
                  <c:v>65.104300000000009</c:v>
                </c:pt>
                <c:pt idx="307">
                  <c:v>65.125700000000009</c:v>
                </c:pt>
                <c:pt idx="308">
                  <c:v>65.170300000000026</c:v>
                </c:pt>
                <c:pt idx="309">
                  <c:v>65.218500000000006</c:v>
                </c:pt>
                <c:pt idx="310">
                  <c:v>65.269100000000023</c:v>
                </c:pt>
                <c:pt idx="311">
                  <c:v>65.335200000000015</c:v>
                </c:pt>
                <c:pt idx="312">
                  <c:v>65.402800000000013</c:v>
                </c:pt>
                <c:pt idx="313">
                  <c:v>65.462400000000002</c:v>
                </c:pt>
                <c:pt idx="314">
                  <c:v>65.557200000000009</c:v>
                </c:pt>
                <c:pt idx="315">
                  <c:v>65.619900000000001</c:v>
                </c:pt>
                <c:pt idx="316">
                  <c:v>65.664400000000015</c:v>
                </c:pt>
                <c:pt idx="317">
                  <c:v>65.715000000000003</c:v>
                </c:pt>
                <c:pt idx="318">
                  <c:v>65.782500000000013</c:v>
                </c:pt>
                <c:pt idx="319">
                  <c:v>65.860100000000017</c:v>
                </c:pt>
                <c:pt idx="320">
                  <c:v>65.948900000000009</c:v>
                </c:pt>
                <c:pt idx="321">
                  <c:v>66.055999999999997</c:v>
                </c:pt>
                <c:pt idx="322">
                  <c:v>66.156000000000006</c:v>
                </c:pt>
                <c:pt idx="323">
                  <c:v>66.246899999999997</c:v>
                </c:pt>
                <c:pt idx="324">
                  <c:v>66.347000000000008</c:v>
                </c:pt>
                <c:pt idx="325">
                  <c:v>66.437100000000015</c:v>
                </c:pt>
                <c:pt idx="326">
                  <c:v>66.536900000000003</c:v>
                </c:pt>
                <c:pt idx="327">
                  <c:v>66.626100000000008</c:v>
                </c:pt>
                <c:pt idx="328">
                  <c:v>66.705800000000011</c:v>
                </c:pt>
                <c:pt idx="329">
                  <c:v>66.780600000000007</c:v>
                </c:pt>
                <c:pt idx="330">
                  <c:v>66.857700000000008</c:v>
                </c:pt>
                <c:pt idx="331">
                  <c:v>66.944700000000026</c:v>
                </c:pt>
                <c:pt idx="332">
                  <c:v>67.035000000000025</c:v>
                </c:pt>
                <c:pt idx="333">
                  <c:v>67.125800000000012</c:v>
                </c:pt>
                <c:pt idx="334">
                  <c:v>67.213100000000011</c:v>
                </c:pt>
                <c:pt idx="335">
                  <c:v>67.3048</c:v>
                </c:pt>
                <c:pt idx="336">
                  <c:v>67.396000000000015</c:v>
                </c:pt>
                <c:pt idx="337">
                  <c:v>67.490900000000011</c:v>
                </c:pt>
                <c:pt idx="338">
                  <c:v>67.576200000000014</c:v>
                </c:pt>
                <c:pt idx="339">
                  <c:v>67.643000000000015</c:v>
                </c:pt>
                <c:pt idx="340">
                  <c:v>67.707100000000011</c:v>
                </c:pt>
                <c:pt idx="341">
                  <c:v>67.771200000000022</c:v>
                </c:pt>
                <c:pt idx="342">
                  <c:v>67.828800000000015</c:v>
                </c:pt>
                <c:pt idx="343">
                  <c:v>67.91640000000001</c:v>
                </c:pt>
                <c:pt idx="344">
                  <c:v>68.011900000000011</c:v>
                </c:pt>
                <c:pt idx="345">
                  <c:v>68.105700000000013</c:v>
                </c:pt>
                <c:pt idx="346">
                  <c:v>68.198799999999991</c:v>
                </c:pt>
                <c:pt idx="347">
                  <c:v>68.288899999999998</c:v>
                </c:pt>
                <c:pt idx="348">
                  <c:v>68.374600000000001</c:v>
                </c:pt>
                <c:pt idx="349">
                  <c:v>68.467800000000011</c:v>
                </c:pt>
                <c:pt idx="350">
                  <c:v>68.565299999999993</c:v>
                </c:pt>
                <c:pt idx="351">
                  <c:v>68.654200000000003</c:v>
                </c:pt>
                <c:pt idx="352">
                  <c:v>68.750699999999995</c:v>
                </c:pt>
                <c:pt idx="353">
                  <c:v>68.854199999999992</c:v>
                </c:pt>
                <c:pt idx="354">
                  <c:v>68.966099999999983</c:v>
                </c:pt>
                <c:pt idx="355">
                  <c:v>69.069299999999998</c:v>
                </c:pt>
                <c:pt idx="356">
                  <c:v>69.165899999999979</c:v>
                </c:pt>
                <c:pt idx="357">
                  <c:v>69.264299999999992</c:v>
                </c:pt>
                <c:pt idx="358">
                  <c:v>69.361299999999986</c:v>
                </c:pt>
                <c:pt idx="359">
                  <c:v>69.45859999999999</c:v>
                </c:pt>
                <c:pt idx="360">
                  <c:v>69.564399999999992</c:v>
                </c:pt>
                <c:pt idx="361">
                  <c:v>69.662599999999998</c:v>
                </c:pt>
                <c:pt idx="362">
                  <c:v>69.757899999999992</c:v>
                </c:pt>
                <c:pt idx="363">
                  <c:v>69.843899999999991</c:v>
                </c:pt>
                <c:pt idx="364">
                  <c:v>69.931300000000007</c:v>
                </c:pt>
                <c:pt idx="365">
                  <c:v>70.012199999999993</c:v>
                </c:pt>
                <c:pt idx="366">
                  <c:v>70.085099999999997</c:v>
                </c:pt>
                <c:pt idx="367">
                  <c:v>70.134799999999998</c:v>
                </c:pt>
                <c:pt idx="368">
                  <c:v>70.20859999999999</c:v>
                </c:pt>
                <c:pt idx="369">
                  <c:v>70.282399999999996</c:v>
                </c:pt>
                <c:pt idx="370">
                  <c:v>70.338200000000001</c:v>
                </c:pt>
                <c:pt idx="371">
                  <c:v>70.398100000000014</c:v>
                </c:pt>
                <c:pt idx="372">
                  <c:v>70.467900000000014</c:v>
                </c:pt>
                <c:pt idx="373">
                  <c:v>70.548699999999997</c:v>
                </c:pt>
                <c:pt idx="374">
                  <c:v>70.634200000000007</c:v>
                </c:pt>
                <c:pt idx="375">
                  <c:v>70.709699999999998</c:v>
                </c:pt>
                <c:pt idx="376">
                  <c:v>70.784800000000004</c:v>
                </c:pt>
                <c:pt idx="377">
                  <c:v>70.849400000000017</c:v>
                </c:pt>
                <c:pt idx="378">
                  <c:v>70.875800000000012</c:v>
                </c:pt>
                <c:pt idx="379">
                  <c:v>70.883499999999998</c:v>
                </c:pt>
                <c:pt idx="380">
                  <c:v>70.886200000000017</c:v>
                </c:pt>
                <c:pt idx="381">
                  <c:v>70.896200000000007</c:v>
                </c:pt>
                <c:pt idx="382">
                  <c:v>70.900400000000019</c:v>
                </c:pt>
                <c:pt idx="383">
                  <c:v>70.893300000000011</c:v>
                </c:pt>
                <c:pt idx="384">
                  <c:v>70.885600000000025</c:v>
                </c:pt>
                <c:pt idx="385">
                  <c:v>70.878000000000014</c:v>
                </c:pt>
                <c:pt idx="386">
                  <c:v>70.870600000000024</c:v>
                </c:pt>
                <c:pt idx="387">
                  <c:v>70.856400000000022</c:v>
                </c:pt>
                <c:pt idx="388">
                  <c:v>70.845000000000013</c:v>
                </c:pt>
                <c:pt idx="389">
                  <c:v>70.827900000000014</c:v>
                </c:pt>
                <c:pt idx="390">
                  <c:v>70.80680000000001</c:v>
                </c:pt>
                <c:pt idx="391">
                  <c:v>70.775300000000016</c:v>
                </c:pt>
                <c:pt idx="392">
                  <c:v>70.754300000000015</c:v>
                </c:pt>
                <c:pt idx="393">
                  <c:v>70.747300000000024</c:v>
                </c:pt>
                <c:pt idx="394">
                  <c:v>70.730200000000025</c:v>
                </c:pt>
                <c:pt idx="395">
                  <c:v>70.694800000000029</c:v>
                </c:pt>
                <c:pt idx="396">
                  <c:v>70.668900000000036</c:v>
                </c:pt>
                <c:pt idx="397">
                  <c:v>70.648100000000028</c:v>
                </c:pt>
                <c:pt idx="398">
                  <c:v>70.639200000000031</c:v>
                </c:pt>
                <c:pt idx="399">
                  <c:v>70.638100000000037</c:v>
                </c:pt>
                <c:pt idx="400">
                  <c:v>70.650800000000032</c:v>
                </c:pt>
                <c:pt idx="401">
                  <c:v>70.653000000000034</c:v>
                </c:pt>
                <c:pt idx="402">
                  <c:v>70.66670000000002</c:v>
                </c:pt>
                <c:pt idx="403">
                  <c:v>70.681000000000026</c:v>
                </c:pt>
                <c:pt idx="404">
                  <c:v>70.688500000000019</c:v>
                </c:pt>
                <c:pt idx="405">
                  <c:v>70.697300000000027</c:v>
                </c:pt>
                <c:pt idx="406">
                  <c:v>70.707000000000022</c:v>
                </c:pt>
                <c:pt idx="407">
                  <c:v>70.710200000000029</c:v>
                </c:pt>
                <c:pt idx="408">
                  <c:v>70.711300000000023</c:v>
                </c:pt>
                <c:pt idx="409">
                  <c:v>70.710900000000024</c:v>
                </c:pt>
                <c:pt idx="410">
                  <c:v>70.71380000000002</c:v>
                </c:pt>
                <c:pt idx="411">
                  <c:v>70.698900000000009</c:v>
                </c:pt>
                <c:pt idx="412">
                  <c:v>70.669500000000014</c:v>
                </c:pt>
                <c:pt idx="413">
                  <c:v>70.643500000000017</c:v>
                </c:pt>
                <c:pt idx="414">
                  <c:v>70.600000000000009</c:v>
                </c:pt>
                <c:pt idx="415">
                  <c:v>70.584299999999999</c:v>
                </c:pt>
                <c:pt idx="416">
                  <c:v>70.590500000000006</c:v>
                </c:pt>
                <c:pt idx="417">
                  <c:v>70.596900000000019</c:v>
                </c:pt>
                <c:pt idx="418">
                  <c:v>70.587299999999999</c:v>
                </c:pt>
                <c:pt idx="419">
                  <c:v>70.562200000000004</c:v>
                </c:pt>
                <c:pt idx="420">
                  <c:v>70.527500000000003</c:v>
                </c:pt>
                <c:pt idx="421">
                  <c:v>70.477300000000014</c:v>
                </c:pt>
                <c:pt idx="422">
                  <c:v>70.437300000000008</c:v>
                </c:pt>
                <c:pt idx="423">
                  <c:v>70.398700000000005</c:v>
                </c:pt>
                <c:pt idx="424">
                  <c:v>70.344899999999996</c:v>
                </c:pt>
                <c:pt idx="425">
                  <c:v>70.287300000000002</c:v>
                </c:pt>
                <c:pt idx="426">
                  <c:v>70.210399999999993</c:v>
                </c:pt>
                <c:pt idx="427">
                  <c:v>70.139799999999994</c:v>
                </c:pt>
                <c:pt idx="428">
                  <c:v>70.084999999999994</c:v>
                </c:pt>
                <c:pt idx="429">
                  <c:v>70.030500000000004</c:v>
                </c:pt>
                <c:pt idx="430">
                  <c:v>69.976900000000001</c:v>
                </c:pt>
                <c:pt idx="431">
                  <c:v>69.915500000000009</c:v>
                </c:pt>
                <c:pt idx="432">
                  <c:v>69.857100000000003</c:v>
                </c:pt>
                <c:pt idx="433">
                  <c:v>69.808700000000002</c:v>
                </c:pt>
                <c:pt idx="434">
                  <c:v>69.751999999999995</c:v>
                </c:pt>
                <c:pt idx="435">
                  <c:v>69.691699999999997</c:v>
                </c:pt>
                <c:pt idx="436">
                  <c:v>69.634900000000002</c:v>
                </c:pt>
                <c:pt idx="437">
                  <c:v>69.574099999999987</c:v>
                </c:pt>
                <c:pt idx="438">
                  <c:v>69.530199999999979</c:v>
                </c:pt>
                <c:pt idx="439">
                  <c:v>69.48599999999999</c:v>
                </c:pt>
                <c:pt idx="440">
                  <c:v>69.457199999999986</c:v>
                </c:pt>
                <c:pt idx="441">
                  <c:v>69.428599999999989</c:v>
                </c:pt>
                <c:pt idx="442">
                  <c:v>69.404899999999984</c:v>
                </c:pt>
                <c:pt idx="443">
                  <c:v>69.349999999999994</c:v>
                </c:pt>
                <c:pt idx="444">
                  <c:v>69.293699999999987</c:v>
                </c:pt>
                <c:pt idx="445">
                  <c:v>69.244799999999984</c:v>
                </c:pt>
                <c:pt idx="446">
                  <c:v>69.195899999999995</c:v>
                </c:pt>
                <c:pt idx="447">
                  <c:v>69.152499999999989</c:v>
                </c:pt>
                <c:pt idx="448">
                  <c:v>69.111899999999991</c:v>
                </c:pt>
                <c:pt idx="449">
                  <c:v>69.070099999999996</c:v>
                </c:pt>
                <c:pt idx="450">
                  <c:v>69.036699999999996</c:v>
                </c:pt>
                <c:pt idx="451">
                  <c:v>69.009599999999992</c:v>
                </c:pt>
                <c:pt idx="452">
                  <c:v>69.006899999999987</c:v>
                </c:pt>
                <c:pt idx="453">
                  <c:v>68.994</c:v>
                </c:pt>
                <c:pt idx="454">
                  <c:v>68.973399999999984</c:v>
                </c:pt>
                <c:pt idx="455">
                  <c:v>68.9589</c:v>
                </c:pt>
                <c:pt idx="456">
                  <c:v>68.945800000000006</c:v>
                </c:pt>
                <c:pt idx="457">
                  <c:v>68.938299999999998</c:v>
                </c:pt>
                <c:pt idx="458">
                  <c:v>68.908299999999997</c:v>
                </c:pt>
                <c:pt idx="459">
                  <c:v>68.880399999999995</c:v>
                </c:pt>
                <c:pt idx="460">
                  <c:v>68.845899999999986</c:v>
                </c:pt>
                <c:pt idx="461">
                  <c:v>68.804899999999989</c:v>
                </c:pt>
                <c:pt idx="462">
                  <c:v>68.769099999999995</c:v>
                </c:pt>
                <c:pt idx="463">
                  <c:v>68.743999999999986</c:v>
                </c:pt>
                <c:pt idx="464">
                  <c:v>68.729399999999998</c:v>
                </c:pt>
                <c:pt idx="465">
                  <c:v>68.738699999999994</c:v>
                </c:pt>
                <c:pt idx="466">
                  <c:v>68.751800000000003</c:v>
                </c:pt>
                <c:pt idx="467">
                  <c:v>68.779499999999999</c:v>
                </c:pt>
                <c:pt idx="468">
                  <c:v>68.797200000000004</c:v>
                </c:pt>
                <c:pt idx="469">
                  <c:v>68.805800000000005</c:v>
                </c:pt>
                <c:pt idx="470">
                  <c:v>68.821100000000001</c:v>
                </c:pt>
                <c:pt idx="471">
                  <c:v>68.833199999999991</c:v>
                </c:pt>
                <c:pt idx="472">
                  <c:v>68.842100000000002</c:v>
                </c:pt>
                <c:pt idx="473">
                  <c:v>68.845699999999994</c:v>
                </c:pt>
                <c:pt idx="474">
                  <c:v>68.841099999999997</c:v>
                </c:pt>
                <c:pt idx="475">
                  <c:v>68.861499999999992</c:v>
                </c:pt>
                <c:pt idx="476">
                  <c:v>68.873899999999992</c:v>
                </c:pt>
                <c:pt idx="477">
                  <c:v>68.889899999999983</c:v>
                </c:pt>
                <c:pt idx="478">
                  <c:v>68.916300000000007</c:v>
                </c:pt>
                <c:pt idx="479">
                  <c:v>68.952699999999993</c:v>
                </c:pt>
                <c:pt idx="480">
                  <c:v>68.974499999999992</c:v>
                </c:pt>
                <c:pt idx="481">
                  <c:v>68.982500000000002</c:v>
                </c:pt>
                <c:pt idx="482">
                  <c:v>68.995900000000006</c:v>
                </c:pt>
                <c:pt idx="483">
                  <c:v>69.006799999999998</c:v>
                </c:pt>
                <c:pt idx="484">
                  <c:v>69.014100000000013</c:v>
                </c:pt>
                <c:pt idx="485">
                  <c:v>69.0107</c:v>
                </c:pt>
                <c:pt idx="486">
                  <c:v>69.013100000000009</c:v>
                </c:pt>
                <c:pt idx="487">
                  <c:v>69.014500000000012</c:v>
                </c:pt>
                <c:pt idx="488">
                  <c:v>69.009</c:v>
                </c:pt>
                <c:pt idx="489">
                  <c:v>69.022600000000011</c:v>
                </c:pt>
                <c:pt idx="490">
                  <c:v>69.041300000000021</c:v>
                </c:pt>
                <c:pt idx="491">
                  <c:v>69.053300000000021</c:v>
                </c:pt>
                <c:pt idx="492">
                  <c:v>69.079100000000011</c:v>
                </c:pt>
                <c:pt idx="493">
                  <c:v>69.08890000000001</c:v>
                </c:pt>
                <c:pt idx="494">
                  <c:v>69.102000000000004</c:v>
                </c:pt>
                <c:pt idx="495">
                  <c:v>69.125200000000007</c:v>
                </c:pt>
                <c:pt idx="496">
                  <c:v>69.135300000000001</c:v>
                </c:pt>
                <c:pt idx="497">
                  <c:v>69.146799999999999</c:v>
                </c:pt>
                <c:pt idx="498">
                  <c:v>69.155000000000001</c:v>
                </c:pt>
                <c:pt idx="499">
                  <c:v>69.161500000000004</c:v>
                </c:pt>
                <c:pt idx="500">
                  <c:v>69.157899999999998</c:v>
                </c:pt>
                <c:pt idx="501">
                  <c:v>69.153599999999997</c:v>
                </c:pt>
                <c:pt idx="502">
                  <c:v>69.137299999999996</c:v>
                </c:pt>
                <c:pt idx="503">
                  <c:v>69.109599999999986</c:v>
                </c:pt>
                <c:pt idx="504">
                  <c:v>69.083399999999997</c:v>
                </c:pt>
                <c:pt idx="505">
                  <c:v>69.063299999999984</c:v>
                </c:pt>
                <c:pt idx="506">
                  <c:v>69.057799999999986</c:v>
                </c:pt>
                <c:pt idx="507">
                  <c:v>69.071599999999989</c:v>
                </c:pt>
                <c:pt idx="508">
                  <c:v>69.075299999999999</c:v>
                </c:pt>
                <c:pt idx="509">
                  <c:v>69.080699999999993</c:v>
                </c:pt>
                <c:pt idx="510">
                  <c:v>69.088499999999996</c:v>
                </c:pt>
                <c:pt idx="511">
                  <c:v>69.091999999999985</c:v>
                </c:pt>
                <c:pt idx="512">
                  <c:v>69.107099999999988</c:v>
                </c:pt>
                <c:pt idx="513">
                  <c:v>69.137299999999982</c:v>
                </c:pt>
                <c:pt idx="514">
                  <c:v>69.169099999999986</c:v>
                </c:pt>
                <c:pt idx="515">
                  <c:v>69.204199999999986</c:v>
                </c:pt>
                <c:pt idx="516">
                  <c:v>69.24309999999997</c:v>
                </c:pt>
                <c:pt idx="517">
                  <c:v>69.278099999999981</c:v>
                </c:pt>
                <c:pt idx="518">
                  <c:v>69.323699999999974</c:v>
                </c:pt>
                <c:pt idx="519">
                  <c:v>69.371799999999979</c:v>
                </c:pt>
                <c:pt idx="520">
                  <c:v>69.42649999999999</c:v>
                </c:pt>
                <c:pt idx="521">
                  <c:v>69.500299999999996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C3FB-4536-BB01-2BC035A9E0F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52482000"/>
        <c:axId val="152481520"/>
      </c:lineChart>
      <c:dateAx>
        <c:axId val="152482000"/>
        <c:scaling>
          <c:orientation val="minMax"/>
          <c:min val="45659"/>
        </c:scaling>
        <c:delete val="0"/>
        <c:axPos val="b"/>
        <c:numFmt formatCode="m/d/yyyy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2481520"/>
        <c:crosses val="autoZero"/>
        <c:auto val="1"/>
        <c:lblOffset val="100"/>
        <c:baseTimeUnit val="days"/>
      </c:dateAx>
      <c:valAx>
        <c:axId val="152481520"/>
        <c:scaling>
          <c:orientation val="minMax"/>
          <c:min val="6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[$$-409]* #,##0.00_);_([$$-409]* \(#,##0.00\);_([$$-409]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248200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Weekly!$B$1</c:f>
              <c:strCache>
                <c:ptCount val="1"/>
                <c:pt idx="0">
                  <c:v>Average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Weekly!$A$2:$A$120</c:f>
              <c:numCache>
                <c:formatCode>yyyy\-mm\-dd;@</c:formatCode>
                <c:ptCount val="119"/>
                <c:pt idx="0">
                  <c:v>45292</c:v>
                </c:pt>
                <c:pt idx="1">
                  <c:v>45299</c:v>
                </c:pt>
                <c:pt idx="2">
                  <c:v>45306</c:v>
                </c:pt>
                <c:pt idx="3">
                  <c:v>45313</c:v>
                </c:pt>
                <c:pt idx="4">
                  <c:v>45320</c:v>
                </c:pt>
                <c:pt idx="5">
                  <c:v>45327</c:v>
                </c:pt>
                <c:pt idx="6">
                  <c:v>45334</c:v>
                </c:pt>
                <c:pt idx="7">
                  <c:v>45341</c:v>
                </c:pt>
                <c:pt idx="8">
                  <c:v>45348</c:v>
                </c:pt>
                <c:pt idx="9">
                  <c:v>45355</c:v>
                </c:pt>
                <c:pt idx="10">
                  <c:v>45362</c:v>
                </c:pt>
                <c:pt idx="11">
                  <c:v>45369</c:v>
                </c:pt>
                <c:pt idx="12">
                  <c:v>45376</c:v>
                </c:pt>
                <c:pt idx="13">
                  <c:v>45383</c:v>
                </c:pt>
                <c:pt idx="14">
                  <c:v>45390</c:v>
                </c:pt>
                <c:pt idx="15">
                  <c:v>45397</c:v>
                </c:pt>
                <c:pt idx="16">
                  <c:v>45404</c:v>
                </c:pt>
                <c:pt idx="17">
                  <c:v>45411</c:v>
                </c:pt>
                <c:pt idx="18">
                  <c:v>45418</c:v>
                </c:pt>
                <c:pt idx="19">
                  <c:v>45425</c:v>
                </c:pt>
                <c:pt idx="20">
                  <c:v>45432</c:v>
                </c:pt>
                <c:pt idx="21">
                  <c:v>45439</c:v>
                </c:pt>
                <c:pt idx="22">
                  <c:v>45446</c:v>
                </c:pt>
                <c:pt idx="23">
                  <c:v>45453</c:v>
                </c:pt>
                <c:pt idx="24">
                  <c:v>45460</c:v>
                </c:pt>
                <c:pt idx="25">
                  <c:v>45467</c:v>
                </c:pt>
                <c:pt idx="26">
                  <c:v>45474</c:v>
                </c:pt>
                <c:pt idx="27">
                  <c:v>45481</c:v>
                </c:pt>
                <c:pt idx="28">
                  <c:v>45488</c:v>
                </c:pt>
                <c:pt idx="29">
                  <c:v>45495</c:v>
                </c:pt>
                <c:pt idx="30">
                  <c:v>45502</c:v>
                </c:pt>
                <c:pt idx="31">
                  <c:v>45509</c:v>
                </c:pt>
                <c:pt idx="32">
                  <c:v>45516</c:v>
                </c:pt>
                <c:pt idx="33">
                  <c:v>45523</c:v>
                </c:pt>
                <c:pt idx="34">
                  <c:v>45530</c:v>
                </c:pt>
                <c:pt idx="35">
                  <c:v>45537</c:v>
                </c:pt>
                <c:pt idx="36">
                  <c:v>45544</c:v>
                </c:pt>
                <c:pt idx="37">
                  <c:v>45551</c:v>
                </c:pt>
                <c:pt idx="38">
                  <c:v>45558</c:v>
                </c:pt>
                <c:pt idx="39">
                  <c:v>45565</c:v>
                </c:pt>
                <c:pt idx="40">
                  <c:v>45572</c:v>
                </c:pt>
                <c:pt idx="41">
                  <c:v>45579</c:v>
                </c:pt>
                <c:pt idx="42">
                  <c:v>45586</c:v>
                </c:pt>
                <c:pt idx="43">
                  <c:v>45593</c:v>
                </c:pt>
                <c:pt idx="44">
                  <c:v>45600</c:v>
                </c:pt>
                <c:pt idx="45">
                  <c:v>45607</c:v>
                </c:pt>
                <c:pt idx="46">
                  <c:v>45614</c:v>
                </c:pt>
                <c:pt idx="47">
                  <c:v>45621</c:v>
                </c:pt>
                <c:pt idx="48">
                  <c:v>45628</c:v>
                </c:pt>
                <c:pt idx="49">
                  <c:v>45635</c:v>
                </c:pt>
                <c:pt idx="50">
                  <c:v>45642</c:v>
                </c:pt>
                <c:pt idx="51">
                  <c:v>45649</c:v>
                </c:pt>
                <c:pt idx="52">
                  <c:v>45656</c:v>
                </c:pt>
                <c:pt idx="53">
                  <c:v>45663</c:v>
                </c:pt>
                <c:pt idx="54">
                  <c:v>45670</c:v>
                </c:pt>
                <c:pt idx="55">
                  <c:v>45677</c:v>
                </c:pt>
                <c:pt idx="56">
                  <c:v>45684</c:v>
                </c:pt>
                <c:pt idx="57">
                  <c:v>45691</c:v>
                </c:pt>
                <c:pt idx="58">
                  <c:v>45698</c:v>
                </c:pt>
                <c:pt idx="59">
                  <c:v>45705</c:v>
                </c:pt>
                <c:pt idx="60">
                  <c:v>45712</c:v>
                </c:pt>
                <c:pt idx="61">
                  <c:v>45719</c:v>
                </c:pt>
                <c:pt idx="62">
                  <c:v>45726</c:v>
                </c:pt>
                <c:pt idx="63">
                  <c:v>45733</c:v>
                </c:pt>
                <c:pt idx="64">
                  <c:v>45740</c:v>
                </c:pt>
                <c:pt idx="65">
                  <c:v>45747</c:v>
                </c:pt>
                <c:pt idx="66">
                  <c:v>45754</c:v>
                </c:pt>
                <c:pt idx="67">
                  <c:v>45761</c:v>
                </c:pt>
                <c:pt idx="68">
                  <c:v>45768</c:v>
                </c:pt>
                <c:pt idx="69">
                  <c:v>45775</c:v>
                </c:pt>
                <c:pt idx="70">
                  <c:v>45782</c:v>
                </c:pt>
                <c:pt idx="71">
                  <c:v>45789</c:v>
                </c:pt>
                <c:pt idx="72">
                  <c:v>45796</c:v>
                </c:pt>
                <c:pt idx="73">
                  <c:v>45803</c:v>
                </c:pt>
                <c:pt idx="74">
                  <c:v>45810</c:v>
                </c:pt>
                <c:pt idx="75">
                  <c:v>45817</c:v>
                </c:pt>
                <c:pt idx="76">
                  <c:v>45824</c:v>
                </c:pt>
                <c:pt idx="77">
                  <c:v>45831</c:v>
                </c:pt>
                <c:pt idx="78">
                  <c:v>45838</c:v>
                </c:pt>
                <c:pt idx="79">
                  <c:v>45845</c:v>
                </c:pt>
                <c:pt idx="80">
                  <c:v>45852</c:v>
                </c:pt>
                <c:pt idx="81">
                  <c:v>45859</c:v>
                </c:pt>
                <c:pt idx="82">
                  <c:v>45866</c:v>
                </c:pt>
                <c:pt idx="83">
                  <c:v>45873</c:v>
                </c:pt>
                <c:pt idx="84">
                  <c:v>45880</c:v>
                </c:pt>
                <c:pt idx="85">
                  <c:v>45887</c:v>
                </c:pt>
                <c:pt idx="86">
                  <c:v>45894</c:v>
                </c:pt>
                <c:pt idx="87">
                  <c:v>45901</c:v>
                </c:pt>
                <c:pt idx="88">
                  <c:v>45908</c:v>
                </c:pt>
                <c:pt idx="89">
                  <c:v>45915</c:v>
                </c:pt>
                <c:pt idx="90">
                  <c:v>45922</c:v>
                </c:pt>
                <c:pt idx="91">
                  <c:v>45929</c:v>
                </c:pt>
                <c:pt idx="92">
                  <c:v>45936</c:v>
                </c:pt>
                <c:pt idx="93">
                  <c:v>45943</c:v>
                </c:pt>
                <c:pt idx="94">
                  <c:v>45950</c:v>
                </c:pt>
                <c:pt idx="95">
                  <c:v>45957</c:v>
                </c:pt>
                <c:pt idx="96">
                  <c:v>45964</c:v>
                </c:pt>
                <c:pt idx="97">
                  <c:v>45971</c:v>
                </c:pt>
                <c:pt idx="98">
                  <c:v>45978</c:v>
                </c:pt>
                <c:pt idx="99">
                  <c:v>45985</c:v>
                </c:pt>
                <c:pt idx="100">
                  <c:v>45992</c:v>
                </c:pt>
                <c:pt idx="101">
                  <c:v>45999</c:v>
                </c:pt>
                <c:pt idx="102">
                  <c:v>46006</c:v>
                </c:pt>
                <c:pt idx="103">
                  <c:v>46013</c:v>
                </c:pt>
                <c:pt idx="104">
                  <c:v>46020</c:v>
                </c:pt>
                <c:pt idx="105">
                  <c:v>46027</c:v>
                </c:pt>
                <c:pt idx="106">
                  <c:v>46034</c:v>
                </c:pt>
                <c:pt idx="107">
                  <c:v>46041</c:v>
                </c:pt>
                <c:pt idx="108">
                  <c:v>46048</c:v>
                </c:pt>
                <c:pt idx="109">
                  <c:v>46055</c:v>
                </c:pt>
                <c:pt idx="110">
                  <c:v>46062</c:v>
                </c:pt>
                <c:pt idx="111">
                  <c:v>46069</c:v>
                </c:pt>
                <c:pt idx="112">
                  <c:v>46076</c:v>
                </c:pt>
                <c:pt idx="113">
                  <c:v>46083</c:v>
                </c:pt>
                <c:pt idx="114">
                  <c:v>46090</c:v>
                </c:pt>
                <c:pt idx="115">
                  <c:v>46097</c:v>
                </c:pt>
                <c:pt idx="116">
                  <c:v>46104</c:v>
                </c:pt>
                <c:pt idx="117">
                  <c:v>46111</c:v>
                </c:pt>
                <c:pt idx="118">
                  <c:v>46118</c:v>
                </c:pt>
              </c:numCache>
            </c:numRef>
          </c:cat>
          <c:val>
            <c:numRef>
              <c:f>Weekly!$B$2:$B$120</c:f>
              <c:numCache>
                <c:formatCode>General</c:formatCode>
                <c:ptCount val="119"/>
                <c:pt idx="0">
                  <c:v>59.802500000000002</c:v>
                </c:pt>
                <c:pt idx="1">
                  <c:v>60.102000000000004</c:v>
                </c:pt>
                <c:pt idx="2">
                  <c:v>59.9925</c:v>
                </c:pt>
                <c:pt idx="3">
                  <c:v>59.372</c:v>
                </c:pt>
                <c:pt idx="4">
                  <c:v>60.128</c:v>
                </c:pt>
                <c:pt idx="5">
                  <c:v>59.872</c:v>
                </c:pt>
                <c:pt idx="6">
                  <c:v>59.426000000000002</c:v>
                </c:pt>
                <c:pt idx="7">
                  <c:v>61.072500000000005</c:v>
                </c:pt>
                <c:pt idx="8">
                  <c:v>60.2</c:v>
                </c:pt>
                <c:pt idx="9">
                  <c:v>59.567999999999998</c:v>
                </c:pt>
                <c:pt idx="10">
                  <c:v>60.448</c:v>
                </c:pt>
                <c:pt idx="11">
                  <c:v>60.414000000000001</c:v>
                </c:pt>
                <c:pt idx="12">
                  <c:v>60.787500000000001</c:v>
                </c:pt>
                <c:pt idx="13">
                  <c:v>59.893999999999998</c:v>
                </c:pt>
                <c:pt idx="14">
                  <c:v>59.048000000000002</c:v>
                </c:pt>
                <c:pt idx="15">
                  <c:v>58.758000000000003</c:v>
                </c:pt>
                <c:pt idx="16">
                  <c:v>61.244</c:v>
                </c:pt>
                <c:pt idx="17">
                  <c:v>61.980000000000004</c:v>
                </c:pt>
                <c:pt idx="18">
                  <c:v>62.792000000000002</c:v>
                </c:pt>
                <c:pt idx="19">
                  <c:v>63.231999999999999</c:v>
                </c:pt>
                <c:pt idx="20">
                  <c:v>62.514000000000003</c:v>
                </c:pt>
                <c:pt idx="21">
                  <c:v>62.105000000000004</c:v>
                </c:pt>
                <c:pt idx="22">
                  <c:v>63.77</c:v>
                </c:pt>
                <c:pt idx="23">
                  <c:v>63.112000000000002</c:v>
                </c:pt>
                <c:pt idx="24">
                  <c:v>62.55</c:v>
                </c:pt>
                <c:pt idx="25">
                  <c:v>63.884</c:v>
                </c:pt>
                <c:pt idx="26">
                  <c:v>63.379999999999995</c:v>
                </c:pt>
                <c:pt idx="27">
                  <c:v>63.055999999999997</c:v>
                </c:pt>
                <c:pt idx="28">
                  <c:v>64.673999999999992</c:v>
                </c:pt>
                <c:pt idx="29">
                  <c:v>65.731999999999999</c:v>
                </c:pt>
                <c:pt idx="30">
                  <c:v>67.707999999999998</c:v>
                </c:pt>
                <c:pt idx="31">
                  <c:v>68.403999999999996</c:v>
                </c:pt>
                <c:pt idx="32">
                  <c:v>68.608000000000004</c:v>
                </c:pt>
                <c:pt idx="33">
                  <c:v>69.41</c:v>
                </c:pt>
                <c:pt idx="34">
                  <c:v>71.721999999999994</c:v>
                </c:pt>
                <c:pt idx="35">
                  <c:v>71.97</c:v>
                </c:pt>
                <c:pt idx="36">
                  <c:v>71.423999999999992</c:v>
                </c:pt>
                <c:pt idx="37">
                  <c:v>71.581999999999994</c:v>
                </c:pt>
                <c:pt idx="38">
                  <c:v>71.540000000000006</c:v>
                </c:pt>
                <c:pt idx="39">
                  <c:v>71.054000000000002</c:v>
                </c:pt>
                <c:pt idx="40">
                  <c:v>69.316000000000003</c:v>
                </c:pt>
                <c:pt idx="41">
                  <c:v>70.317999999999998</c:v>
                </c:pt>
                <c:pt idx="42">
                  <c:v>68.225999999999999</c:v>
                </c:pt>
                <c:pt idx="43">
                  <c:v>65.694000000000003</c:v>
                </c:pt>
                <c:pt idx="44">
                  <c:v>64.352000000000004</c:v>
                </c:pt>
                <c:pt idx="45">
                  <c:v>62.77</c:v>
                </c:pt>
                <c:pt idx="46">
                  <c:v>63.024000000000001</c:v>
                </c:pt>
                <c:pt idx="47">
                  <c:v>64.36</c:v>
                </c:pt>
                <c:pt idx="48">
                  <c:v>62.966000000000001</c:v>
                </c:pt>
                <c:pt idx="49">
                  <c:v>63.021999999999998</c:v>
                </c:pt>
                <c:pt idx="50">
                  <c:v>62.76</c:v>
                </c:pt>
                <c:pt idx="51">
                  <c:v>62.56</c:v>
                </c:pt>
                <c:pt idx="52">
                  <c:v>61.97</c:v>
                </c:pt>
                <c:pt idx="53">
                  <c:v>61.107500000000002</c:v>
                </c:pt>
                <c:pt idx="54">
                  <c:v>62.084000000000003</c:v>
                </c:pt>
                <c:pt idx="55">
                  <c:v>61.912500000000001</c:v>
                </c:pt>
                <c:pt idx="56">
                  <c:v>63.317999999999998</c:v>
                </c:pt>
                <c:pt idx="57">
                  <c:v>63.268000000000001</c:v>
                </c:pt>
                <c:pt idx="58">
                  <c:v>67.846000000000004</c:v>
                </c:pt>
                <c:pt idx="59">
                  <c:v>70.127499999999998</c:v>
                </c:pt>
                <c:pt idx="60">
                  <c:v>70.992000000000004</c:v>
                </c:pt>
                <c:pt idx="61">
                  <c:v>70.896000000000001</c:v>
                </c:pt>
                <c:pt idx="62">
                  <c:v>70.242000000000004</c:v>
                </c:pt>
                <c:pt idx="63">
                  <c:v>69.432000000000002</c:v>
                </c:pt>
                <c:pt idx="64">
                  <c:v>69.778000000000006</c:v>
                </c:pt>
                <c:pt idx="65">
                  <c:v>71.585999999999999</c:v>
                </c:pt>
                <c:pt idx="66">
                  <c:v>69.786000000000001</c:v>
                </c:pt>
                <c:pt idx="67">
                  <c:v>72.247500000000002</c:v>
                </c:pt>
                <c:pt idx="68">
                  <c:v>72.88</c:v>
                </c:pt>
                <c:pt idx="69">
                  <c:v>71.926000000000002</c:v>
                </c:pt>
                <c:pt idx="70">
                  <c:v>71.501999999999995</c:v>
                </c:pt>
                <c:pt idx="71">
                  <c:v>70.251999999999995</c:v>
                </c:pt>
                <c:pt idx="72">
                  <c:v>71.676000000000002</c:v>
                </c:pt>
                <c:pt idx="73">
                  <c:v>71.63</c:v>
                </c:pt>
                <c:pt idx="74">
                  <c:v>71.358000000000004</c:v>
                </c:pt>
                <c:pt idx="75">
                  <c:v>71.89</c:v>
                </c:pt>
                <c:pt idx="76">
                  <c:v>69.547499999999999</c:v>
                </c:pt>
                <c:pt idx="77">
                  <c:v>69.875999999999991</c:v>
                </c:pt>
                <c:pt idx="78">
                  <c:v>71.17</c:v>
                </c:pt>
                <c:pt idx="79">
                  <c:v>70.073999999999998</c:v>
                </c:pt>
                <c:pt idx="80">
                  <c:v>69.707999999999998</c:v>
                </c:pt>
                <c:pt idx="81">
                  <c:v>69.432000000000002</c:v>
                </c:pt>
                <c:pt idx="82">
                  <c:v>68.593999999999994</c:v>
                </c:pt>
                <c:pt idx="83">
                  <c:v>69.658000000000001</c:v>
                </c:pt>
                <c:pt idx="84">
                  <c:v>70.277999999999992</c:v>
                </c:pt>
                <c:pt idx="85">
                  <c:v>70.149999999999991</c:v>
                </c:pt>
                <c:pt idx="86">
                  <c:v>68.768000000000001</c:v>
                </c:pt>
                <c:pt idx="87">
                  <c:v>68.564999999999998</c:v>
                </c:pt>
                <c:pt idx="88">
                  <c:v>67.548000000000002</c:v>
                </c:pt>
                <c:pt idx="89">
                  <c:v>66.475999999999999</c:v>
                </c:pt>
                <c:pt idx="90">
                  <c:v>66.203999999999994</c:v>
                </c:pt>
                <c:pt idx="91">
                  <c:v>66.378</c:v>
                </c:pt>
                <c:pt idx="92">
                  <c:v>66.484000000000009</c:v>
                </c:pt>
                <c:pt idx="93">
                  <c:v>67.483999999999995</c:v>
                </c:pt>
                <c:pt idx="94">
                  <c:v>70.024000000000001</c:v>
                </c:pt>
                <c:pt idx="95">
                  <c:v>69.290000000000006</c:v>
                </c:pt>
                <c:pt idx="96">
                  <c:v>68.95</c:v>
                </c:pt>
                <c:pt idx="97">
                  <c:v>71.173999999999992</c:v>
                </c:pt>
                <c:pt idx="98">
                  <c:v>71.433999999999997</c:v>
                </c:pt>
                <c:pt idx="99">
                  <c:v>72.8</c:v>
                </c:pt>
                <c:pt idx="100">
                  <c:v>70.775999999999996</c:v>
                </c:pt>
                <c:pt idx="101">
                  <c:v>70.036000000000001</c:v>
                </c:pt>
                <c:pt idx="102">
                  <c:v>70.486000000000004</c:v>
                </c:pt>
                <c:pt idx="103">
                  <c:v>70.015000000000001</c:v>
                </c:pt>
                <c:pt idx="104">
                  <c:v>69.814999999999998</c:v>
                </c:pt>
                <c:pt idx="105">
                  <c:v>68.64</c:v>
                </c:pt>
                <c:pt idx="106">
                  <c:v>70.819999999999993</c:v>
                </c:pt>
                <c:pt idx="107">
                  <c:v>72.127499999999998</c:v>
                </c:pt>
                <c:pt idx="108">
                  <c:v>73.481999999999999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C4D6-41ED-9DA4-E7547F5ECE7A}"/>
            </c:ext>
          </c:extLst>
        </c:ser>
        <c:ser>
          <c:idx val="1"/>
          <c:order val="1"/>
          <c:tx>
            <c:strRef>
              <c:f>Weekly!$C$1</c:f>
              <c:strCache>
                <c:ptCount val="1"/>
                <c:pt idx="0">
                  <c:v>XL Forecast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Weekly!$A$2:$A$120</c:f>
              <c:numCache>
                <c:formatCode>yyyy\-mm\-dd;@</c:formatCode>
                <c:ptCount val="119"/>
                <c:pt idx="0">
                  <c:v>45292</c:v>
                </c:pt>
                <c:pt idx="1">
                  <c:v>45299</c:v>
                </c:pt>
                <c:pt idx="2">
                  <c:v>45306</c:v>
                </c:pt>
                <c:pt idx="3">
                  <c:v>45313</c:v>
                </c:pt>
                <c:pt idx="4">
                  <c:v>45320</c:v>
                </c:pt>
                <c:pt idx="5">
                  <c:v>45327</c:v>
                </c:pt>
                <c:pt idx="6">
                  <c:v>45334</c:v>
                </c:pt>
                <c:pt idx="7">
                  <c:v>45341</c:v>
                </c:pt>
                <c:pt idx="8">
                  <c:v>45348</c:v>
                </c:pt>
                <c:pt idx="9">
                  <c:v>45355</c:v>
                </c:pt>
                <c:pt idx="10">
                  <c:v>45362</c:v>
                </c:pt>
                <c:pt idx="11">
                  <c:v>45369</c:v>
                </c:pt>
                <c:pt idx="12">
                  <c:v>45376</c:v>
                </c:pt>
                <c:pt idx="13">
                  <c:v>45383</c:v>
                </c:pt>
                <c:pt idx="14">
                  <c:v>45390</c:v>
                </c:pt>
                <c:pt idx="15">
                  <c:v>45397</c:v>
                </c:pt>
                <c:pt idx="16">
                  <c:v>45404</c:v>
                </c:pt>
                <c:pt idx="17">
                  <c:v>45411</c:v>
                </c:pt>
                <c:pt idx="18">
                  <c:v>45418</c:v>
                </c:pt>
                <c:pt idx="19">
                  <c:v>45425</c:v>
                </c:pt>
                <c:pt idx="20">
                  <c:v>45432</c:v>
                </c:pt>
                <c:pt idx="21">
                  <c:v>45439</c:v>
                </c:pt>
                <c:pt idx="22">
                  <c:v>45446</c:v>
                </c:pt>
                <c:pt idx="23">
                  <c:v>45453</c:v>
                </c:pt>
                <c:pt idx="24">
                  <c:v>45460</c:v>
                </c:pt>
                <c:pt idx="25">
                  <c:v>45467</c:v>
                </c:pt>
                <c:pt idx="26">
                  <c:v>45474</c:v>
                </c:pt>
                <c:pt idx="27">
                  <c:v>45481</c:v>
                </c:pt>
                <c:pt idx="28">
                  <c:v>45488</c:v>
                </c:pt>
                <c:pt idx="29">
                  <c:v>45495</c:v>
                </c:pt>
                <c:pt idx="30">
                  <c:v>45502</c:v>
                </c:pt>
                <c:pt idx="31">
                  <c:v>45509</c:v>
                </c:pt>
                <c:pt idx="32">
                  <c:v>45516</c:v>
                </c:pt>
                <c:pt idx="33">
                  <c:v>45523</c:v>
                </c:pt>
                <c:pt idx="34">
                  <c:v>45530</c:v>
                </c:pt>
                <c:pt idx="35">
                  <c:v>45537</c:v>
                </c:pt>
                <c:pt idx="36">
                  <c:v>45544</c:v>
                </c:pt>
                <c:pt idx="37">
                  <c:v>45551</c:v>
                </c:pt>
                <c:pt idx="38">
                  <c:v>45558</c:v>
                </c:pt>
                <c:pt idx="39">
                  <c:v>45565</c:v>
                </c:pt>
                <c:pt idx="40">
                  <c:v>45572</c:v>
                </c:pt>
                <c:pt idx="41">
                  <c:v>45579</c:v>
                </c:pt>
                <c:pt idx="42">
                  <c:v>45586</c:v>
                </c:pt>
                <c:pt idx="43">
                  <c:v>45593</c:v>
                </c:pt>
                <c:pt idx="44">
                  <c:v>45600</c:v>
                </c:pt>
                <c:pt idx="45">
                  <c:v>45607</c:v>
                </c:pt>
                <c:pt idx="46">
                  <c:v>45614</c:v>
                </c:pt>
                <c:pt idx="47">
                  <c:v>45621</c:v>
                </c:pt>
                <c:pt idx="48">
                  <c:v>45628</c:v>
                </c:pt>
                <c:pt idx="49">
                  <c:v>45635</c:v>
                </c:pt>
                <c:pt idx="50">
                  <c:v>45642</c:v>
                </c:pt>
                <c:pt idx="51">
                  <c:v>45649</c:v>
                </c:pt>
                <c:pt idx="52">
                  <c:v>45656</c:v>
                </c:pt>
                <c:pt idx="53">
                  <c:v>45663</c:v>
                </c:pt>
                <c:pt idx="54">
                  <c:v>45670</c:v>
                </c:pt>
                <c:pt idx="55">
                  <c:v>45677</c:v>
                </c:pt>
                <c:pt idx="56">
                  <c:v>45684</c:v>
                </c:pt>
                <c:pt idx="57">
                  <c:v>45691</c:v>
                </c:pt>
                <c:pt idx="58">
                  <c:v>45698</c:v>
                </c:pt>
                <c:pt idx="59">
                  <c:v>45705</c:v>
                </c:pt>
                <c:pt idx="60">
                  <c:v>45712</c:v>
                </c:pt>
                <c:pt idx="61">
                  <c:v>45719</c:v>
                </c:pt>
                <c:pt idx="62">
                  <c:v>45726</c:v>
                </c:pt>
                <c:pt idx="63">
                  <c:v>45733</c:v>
                </c:pt>
                <c:pt idx="64">
                  <c:v>45740</c:v>
                </c:pt>
                <c:pt idx="65">
                  <c:v>45747</c:v>
                </c:pt>
                <c:pt idx="66">
                  <c:v>45754</c:v>
                </c:pt>
                <c:pt idx="67">
                  <c:v>45761</c:v>
                </c:pt>
                <c:pt idx="68">
                  <c:v>45768</c:v>
                </c:pt>
                <c:pt idx="69">
                  <c:v>45775</c:v>
                </c:pt>
                <c:pt idx="70">
                  <c:v>45782</c:v>
                </c:pt>
                <c:pt idx="71">
                  <c:v>45789</c:v>
                </c:pt>
                <c:pt idx="72">
                  <c:v>45796</c:v>
                </c:pt>
                <c:pt idx="73">
                  <c:v>45803</c:v>
                </c:pt>
                <c:pt idx="74">
                  <c:v>45810</c:v>
                </c:pt>
                <c:pt idx="75">
                  <c:v>45817</c:v>
                </c:pt>
                <c:pt idx="76">
                  <c:v>45824</c:v>
                </c:pt>
                <c:pt idx="77">
                  <c:v>45831</c:v>
                </c:pt>
                <c:pt idx="78">
                  <c:v>45838</c:v>
                </c:pt>
                <c:pt idx="79">
                  <c:v>45845</c:v>
                </c:pt>
                <c:pt idx="80">
                  <c:v>45852</c:v>
                </c:pt>
                <c:pt idx="81">
                  <c:v>45859</c:v>
                </c:pt>
                <c:pt idx="82">
                  <c:v>45866</c:v>
                </c:pt>
                <c:pt idx="83">
                  <c:v>45873</c:v>
                </c:pt>
                <c:pt idx="84">
                  <c:v>45880</c:v>
                </c:pt>
                <c:pt idx="85">
                  <c:v>45887</c:v>
                </c:pt>
                <c:pt idx="86">
                  <c:v>45894</c:v>
                </c:pt>
                <c:pt idx="87">
                  <c:v>45901</c:v>
                </c:pt>
                <c:pt idx="88">
                  <c:v>45908</c:v>
                </c:pt>
                <c:pt idx="89">
                  <c:v>45915</c:v>
                </c:pt>
                <c:pt idx="90">
                  <c:v>45922</c:v>
                </c:pt>
                <c:pt idx="91">
                  <c:v>45929</c:v>
                </c:pt>
                <c:pt idx="92">
                  <c:v>45936</c:v>
                </c:pt>
                <c:pt idx="93">
                  <c:v>45943</c:v>
                </c:pt>
                <c:pt idx="94">
                  <c:v>45950</c:v>
                </c:pt>
                <c:pt idx="95">
                  <c:v>45957</c:v>
                </c:pt>
                <c:pt idx="96">
                  <c:v>45964</c:v>
                </c:pt>
                <c:pt idx="97">
                  <c:v>45971</c:v>
                </c:pt>
                <c:pt idx="98">
                  <c:v>45978</c:v>
                </c:pt>
                <c:pt idx="99">
                  <c:v>45985</c:v>
                </c:pt>
                <c:pt idx="100">
                  <c:v>45992</c:v>
                </c:pt>
                <c:pt idx="101">
                  <c:v>45999</c:v>
                </c:pt>
                <c:pt idx="102">
                  <c:v>46006</c:v>
                </c:pt>
                <c:pt idx="103">
                  <c:v>46013</c:v>
                </c:pt>
                <c:pt idx="104">
                  <c:v>46020</c:v>
                </c:pt>
                <c:pt idx="105">
                  <c:v>46027</c:v>
                </c:pt>
                <c:pt idx="106">
                  <c:v>46034</c:v>
                </c:pt>
                <c:pt idx="107">
                  <c:v>46041</c:v>
                </c:pt>
                <c:pt idx="108">
                  <c:v>46048</c:v>
                </c:pt>
                <c:pt idx="109">
                  <c:v>46055</c:v>
                </c:pt>
                <c:pt idx="110">
                  <c:v>46062</c:v>
                </c:pt>
                <c:pt idx="111">
                  <c:v>46069</c:v>
                </c:pt>
                <c:pt idx="112">
                  <c:v>46076</c:v>
                </c:pt>
                <c:pt idx="113">
                  <c:v>46083</c:v>
                </c:pt>
                <c:pt idx="114">
                  <c:v>46090</c:v>
                </c:pt>
                <c:pt idx="115">
                  <c:v>46097</c:v>
                </c:pt>
                <c:pt idx="116">
                  <c:v>46104</c:v>
                </c:pt>
                <c:pt idx="117">
                  <c:v>46111</c:v>
                </c:pt>
                <c:pt idx="118">
                  <c:v>46118</c:v>
                </c:pt>
              </c:numCache>
            </c:numRef>
          </c:cat>
          <c:val>
            <c:numRef>
              <c:f>Weekly!$C$2:$C$120</c:f>
              <c:numCache>
                <c:formatCode>General</c:formatCode>
                <c:ptCount val="119"/>
                <c:pt idx="104">
                  <c:v>70.737918403452525</c:v>
                </c:pt>
                <c:pt idx="105">
                  <c:v>69.299355964734005</c:v>
                </c:pt>
                <c:pt idx="106">
                  <c:v>72.076313519028986</c:v>
                </c:pt>
                <c:pt idx="107">
                  <c:v>71.65889819274922</c:v>
                </c:pt>
                <c:pt idx="108">
                  <c:v>72.635076111396046</c:v>
                </c:pt>
                <c:pt idx="109">
                  <c:v>73.613568120931461</c:v>
                </c:pt>
                <c:pt idx="110">
                  <c:v>75.098180315539182</c:v>
                </c:pt>
                <c:pt idx="111">
                  <c:v>75.187586451774465</c:v>
                </c:pt>
                <c:pt idx="112">
                  <c:v>74.755804460548831</c:v>
                </c:pt>
                <c:pt idx="113">
                  <c:v>75.06750631438328</c:v>
                </c:pt>
                <c:pt idx="114">
                  <c:v>73.524886399141721</c:v>
                </c:pt>
                <c:pt idx="115">
                  <c:v>73.191957992407978</c:v>
                </c:pt>
                <c:pt idx="116">
                  <c:v>71.480367122011685</c:v>
                </c:pt>
                <c:pt idx="117">
                  <c:v>70.051402173618115</c:v>
                </c:pt>
                <c:pt idx="118">
                  <c:v>69.206166402454855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C4D6-41ED-9DA4-E7547F5ECE7A}"/>
            </c:ext>
          </c:extLst>
        </c:ser>
        <c:ser>
          <c:idx val="2"/>
          <c:order val="2"/>
          <c:tx>
            <c:strRef>
              <c:f>Weekly!$D$1</c:f>
              <c:strCache>
                <c:ptCount val="1"/>
                <c:pt idx="0">
                  <c:v>Calc Forecast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Weekly!$A$2:$A$120</c:f>
              <c:numCache>
                <c:formatCode>yyyy\-mm\-dd;@</c:formatCode>
                <c:ptCount val="119"/>
                <c:pt idx="0">
                  <c:v>45292</c:v>
                </c:pt>
                <c:pt idx="1">
                  <c:v>45299</c:v>
                </c:pt>
                <c:pt idx="2">
                  <c:v>45306</c:v>
                </c:pt>
                <c:pt idx="3">
                  <c:v>45313</c:v>
                </c:pt>
                <c:pt idx="4">
                  <c:v>45320</c:v>
                </c:pt>
                <c:pt idx="5">
                  <c:v>45327</c:v>
                </c:pt>
                <c:pt idx="6">
                  <c:v>45334</c:v>
                </c:pt>
                <c:pt idx="7">
                  <c:v>45341</c:v>
                </c:pt>
                <c:pt idx="8">
                  <c:v>45348</c:v>
                </c:pt>
                <c:pt idx="9">
                  <c:v>45355</c:v>
                </c:pt>
                <c:pt idx="10">
                  <c:v>45362</c:v>
                </c:pt>
                <c:pt idx="11">
                  <c:v>45369</c:v>
                </c:pt>
                <c:pt idx="12">
                  <c:v>45376</c:v>
                </c:pt>
                <c:pt idx="13">
                  <c:v>45383</c:v>
                </c:pt>
                <c:pt idx="14">
                  <c:v>45390</c:v>
                </c:pt>
                <c:pt idx="15">
                  <c:v>45397</c:v>
                </c:pt>
                <c:pt idx="16">
                  <c:v>45404</c:v>
                </c:pt>
                <c:pt idx="17">
                  <c:v>45411</c:v>
                </c:pt>
                <c:pt idx="18">
                  <c:v>45418</c:v>
                </c:pt>
                <c:pt idx="19">
                  <c:v>45425</c:v>
                </c:pt>
                <c:pt idx="20">
                  <c:v>45432</c:v>
                </c:pt>
                <c:pt idx="21">
                  <c:v>45439</c:v>
                </c:pt>
                <c:pt idx="22">
                  <c:v>45446</c:v>
                </c:pt>
                <c:pt idx="23">
                  <c:v>45453</c:v>
                </c:pt>
                <c:pt idx="24">
                  <c:v>45460</c:v>
                </c:pt>
                <c:pt idx="25">
                  <c:v>45467</c:v>
                </c:pt>
                <c:pt idx="26">
                  <c:v>45474</c:v>
                </c:pt>
                <c:pt idx="27">
                  <c:v>45481</c:v>
                </c:pt>
                <c:pt idx="28">
                  <c:v>45488</c:v>
                </c:pt>
                <c:pt idx="29">
                  <c:v>45495</c:v>
                </c:pt>
                <c:pt idx="30">
                  <c:v>45502</c:v>
                </c:pt>
                <c:pt idx="31">
                  <c:v>45509</c:v>
                </c:pt>
                <c:pt idx="32">
                  <c:v>45516</c:v>
                </c:pt>
                <c:pt idx="33">
                  <c:v>45523</c:v>
                </c:pt>
                <c:pt idx="34">
                  <c:v>45530</c:v>
                </c:pt>
                <c:pt idx="35">
                  <c:v>45537</c:v>
                </c:pt>
                <c:pt idx="36">
                  <c:v>45544</c:v>
                </c:pt>
                <c:pt idx="37">
                  <c:v>45551</c:v>
                </c:pt>
                <c:pt idx="38">
                  <c:v>45558</c:v>
                </c:pt>
                <c:pt idx="39">
                  <c:v>45565</c:v>
                </c:pt>
                <c:pt idx="40">
                  <c:v>45572</c:v>
                </c:pt>
                <c:pt idx="41">
                  <c:v>45579</c:v>
                </c:pt>
                <c:pt idx="42">
                  <c:v>45586</c:v>
                </c:pt>
                <c:pt idx="43">
                  <c:v>45593</c:v>
                </c:pt>
                <c:pt idx="44">
                  <c:v>45600</c:v>
                </c:pt>
                <c:pt idx="45">
                  <c:v>45607</c:v>
                </c:pt>
                <c:pt idx="46">
                  <c:v>45614</c:v>
                </c:pt>
                <c:pt idx="47">
                  <c:v>45621</c:v>
                </c:pt>
                <c:pt idx="48">
                  <c:v>45628</c:v>
                </c:pt>
                <c:pt idx="49">
                  <c:v>45635</c:v>
                </c:pt>
                <c:pt idx="50">
                  <c:v>45642</c:v>
                </c:pt>
                <c:pt idx="51">
                  <c:v>45649</c:v>
                </c:pt>
                <c:pt idx="52">
                  <c:v>45656</c:v>
                </c:pt>
                <c:pt idx="53">
                  <c:v>45663</c:v>
                </c:pt>
                <c:pt idx="54">
                  <c:v>45670</c:v>
                </c:pt>
                <c:pt idx="55">
                  <c:v>45677</c:v>
                </c:pt>
                <c:pt idx="56">
                  <c:v>45684</c:v>
                </c:pt>
                <c:pt idx="57">
                  <c:v>45691</c:v>
                </c:pt>
                <c:pt idx="58">
                  <c:v>45698</c:v>
                </c:pt>
                <c:pt idx="59">
                  <c:v>45705</c:v>
                </c:pt>
                <c:pt idx="60">
                  <c:v>45712</c:v>
                </c:pt>
                <c:pt idx="61">
                  <c:v>45719</c:v>
                </c:pt>
                <c:pt idx="62">
                  <c:v>45726</c:v>
                </c:pt>
                <c:pt idx="63">
                  <c:v>45733</c:v>
                </c:pt>
                <c:pt idx="64">
                  <c:v>45740</c:v>
                </c:pt>
                <c:pt idx="65">
                  <c:v>45747</c:v>
                </c:pt>
                <c:pt idx="66">
                  <c:v>45754</c:v>
                </c:pt>
                <c:pt idx="67">
                  <c:v>45761</c:v>
                </c:pt>
                <c:pt idx="68">
                  <c:v>45768</c:v>
                </c:pt>
                <c:pt idx="69">
                  <c:v>45775</c:v>
                </c:pt>
                <c:pt idx="70">
                  <c:v>45782</c:v>
                </c:pt>
                <c:pt idx="71">
                  <c:v>45789</c:v>
                </c:pt>
                <c:pt idx="72">
                  <c:v>45796</c:v>
                </c:pt>
                <c:pt idx="73">
                  <c:v>45803</c:v>
                </c:pt>
                <c:pt idx="74">
                  <c:v>45810</c:v>
                </c:pt>
                <c:pt idx="75">
                  <c:v>45817</c:v>
                </c:pt>
                <c:pt idx="76">
                  <c:v>45824</c:v>
                </c:pt>
                <c:pt idx="77">
                  <c:v>45831</c:v>
                </c:pt>
                <c:pt idx="78">
                  <c:v>45838</c:v>
                </c:pt>
                <c:pt idx="79">
                  <c:v>45845</c:v>
                </c:pt>
                <c:pt idx="80">
                  <c:v>45852</c:v>
                </c:pt>
                <c:pt idx="81">
                  <c:v>45859</c:v>
                </c:pt>
                <c:pt idx="82">
                  <c:v>45866</c:v>
                </c:pt>
                <c:pt idx="83">
                  <c:v>45873</c:v>
                </c:pt>
                <c:pt idx="84">
                  <c:v>45880</c:v>
                </c:pt>
                <c:pt idx="85">
                  <c:v>45887</c:v>
                </c:pt>
                <c:pt idx="86">
                  <c:v>45894</c:v>
                </c:pt>
                <c:pt idx="87">
                  <c:v>45901</c:v>
                </c:pt>
                <c:pt idx="88">
                  <c:v>45908</c:v>
                </c:pt>
                <c:pt idx="89">
                  <c:v>45915</c:v>
                </c:pt>
                <c:pt idx="90">
                  <c:v>45922</c:v>
                </c:pt>
                <c:pt idx="91">
                  <c:v>45929</c:v>
                </c:pt>
                <c:pt idx="92">
                  <c:v>45936</c:v>
                </c:pt>
                <c:pt idx="93">
                  <c:v>45943</c:v>
                </c:pt>
                <c:pt idx="94">
                  <c:v>45950</c:v>
                </c:pt>
                <c:pt idx="95">
                  <c:v>45957</c:v>
                </c:pt>
                <c:pt idx="96">
                  <c:v>45964</c:v>
                </c:pt>
                <c:pt idx="97">
                  <c:v>45971</c:v>
                </c:pt>
                <c:pt idx="98">
                  <c:v>45978</c:v>
                </c:pt>
                <c:pt idx="99">
                  <c:v>45985</c:v>
                </c:pt>
                <c:pt idx="100">
                  <c:v>45992</c:v>
                </c:pt>
                <c:pt idx="101">
                  <c:v>45999</c:v>
                </c:pt>
                <c:pt idx="102">
                  <c:v>46006</c:v>
                </c:pt>
                <c:pt idx="103">
                  <c:v>46013</c:v>
                </c:pt>
                <c:pt idx="104">
                  <c:v>46020</c:v>
                </c:pt>
                <c:pt idx="105">
                  <c:v>46027</c:v>
                </c:pt>
                <c:pt idx="106">
                  <c:v>46034</c:v>
                </c:pt>
                <c:pt idx="107">
                  <c:v>46041</c:v>
                </c:pt>
                <c:pt idx="108">
                  <c:v>46048</c:v>
                </c:pt>
                <c:pt idx="109">
                  <c:v>46055</c:v>
                </c:pt>
                <c:pt idx="110">
                  <c:v>46062</c:v>
                </c:pt>
                <c:pt idx="111">
                  <c:v>46069</c:v>
                </c:pt>
                <c:pt idx="112">
                  <c:v>46076</c:v>
                </c:pt>
                <c:pt idx="113">
                  <c:v>46083</c:v>
                </c:pt>
                <c:pt idx="114">
                  <c:v>46090</c:v>
                </c:pt>
                <c:pt idx="115">
                  <c:v>46097</c:v>
                </c:pt>
                <c:pt idx="116">
                  <c:v>46104</c:v>
                </c:pt>
                <c:pt idx="117">
                  <c:v>46111</c:v>
                </c:pt>
                <c:pt idx="118">
                  <c:v>46118</c:v>
                </c:pt>
              </c:numCache>
            </c:numRef>
          </c:cat>
          <c:val>
            <c:numRef>
              <c:f>Weekly!$D$2:$D$120</c:f>
              <c:numCache>
                <c:formatCode>General</c:formatCode>
                <c:ptCount val="119"/>
                <c:pt idx="104">
                  <c:v>70.695881840304907</c:v>
                </c:pt>
                <c:pt idx="105">
                  <c:v>72.508321074466096</c:v>
                </c:pt>
                <c:pt idx="106">
                  <c:v>74.087365609396599</c:v>
                </c:pt>
                <c:pt idx="107">
                  <c:v>74.643224090964793</c:v>
                </c:pt>
                <c:pt idx="108">
                  <c:v>75.022906835339697</c:v>
                </c:pt>
                <c:pt idx="109">
                  <c:v>75.576218632070706</c:v>
                </c:pt>
                <c:pt idx="110">
                  <c:v>78.070565904075707</c:v>
                </c:pt>
                <c:pt idx="111">
                  <c:v>78.473228837170396</c:v>
                </c:pt>
                <c:pt idx="112">
                  <c:v>78.071196843372903</c:v>
                </c:pt>
                <c:pt idx="113">
                  <c:v>78.277799844608495</c:v>
                </c:pt>
                <c:pt idx="114">
                  <c:v>77.712671926886003</c:v>
                </c:pt>
                <c:pt idx="115">
                  <c:v>73.553883080994893</c:v>
                </c:pt>
                <c:pt idx="116">
                  <c:v>71.735683967074195</c:v>
                </c:pt>
                <c:pt idx="117">
                  <c:v>70.701065994135107</c:v>
                </c:pt>
                <c:pt idx="118">
                  <c:v>70.592478216210296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C4D6-41ED-9DA4-E7547F5ECE7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208071088"/>
        <c:axId val="1208084048"/>
      </c:lineChart>
      <c:dateAx>
        <c:axId val="1208071088"/>
        <c:scaling>
          <c:orientation val="minMax"/>
          <c:min val="45658"/>
        </c:scaling>
        <c:delete val="0"/>
        <c:axPos val="b"/>
        <c:numFmt formatCode="yyyy\-mm\-dd;@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08084048"/>
        <c:crosses val="autoZero"/>
        <c:auto val="1"/>
        <c:lblOffset val="100"/>
        <c:baseTimeUnit val="days"/>
      </c:dateAx>
      <c:valAx>
        <c:axId val="1208084048"/>
        <c:scaling>
          <c:orientation val="minMax"/>
          <c:min val="6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0807108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 Dividends  2000 -</a:t>
            </a:r>
            <a:r>
              <a:rPr lang="en-US" baseline="0"/>
              <a:t> 2025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Dividends!$B$1</c:f>
              <c:strCache>
                <c:ptCount val="1"/>
                <c:pt idx="0">
                  <c:v> Dividends 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Dividends!$A$2:$A$106</c:f>
              <c:numCache>
                <c:formatCode>yyyy\-mm\-dd</c:formatCode>
                <c:ptCount val="105"/>
                <c:pt idx="0">
                  <c:v>36598</c:v>
                </c:pt>
                <c:pt idx="1">
                  <c:v>36690</c:v>
                </c:pt>
                <c:pt idx="2">
                  <c:v>36782</c:v>
                </c:pt>
                <c:pt idx="3">
                  <c:v>36859</c:v>
                </c:pt>
                <c:pt idx="4">
                  <c:v>36963</c:v>
                </c:pt>
                <c:pt idx="5">
                  <c:v>37055</c:v>
                </c:pt>
                <c:pt idx="6">
                  <c:v>37146</c:v>
                </c:pt>
                <c:pt idx="7">
                  <c:v>37151</c:v>
                </c:pt>
                <c:pt idx="8">
                  <c:v>37223</c:v>
                </c:pt>
                <c:pt idx="9">
                  <c:v>37328</c:v>
                </c:pt>
                <c:pt idx="10">
                  <c:v>37419</c:v>
                </c:pt>
                <c:pt idx="11">
                  <c:v>37510</c:v>
                </c:pt>
                <c:pt idx="12">
                  <c:v>37586</c:v>
                </c:pt>
                <c:pt idx="13">
                  <c:v>37692</c:v>
                </c:pt>
                <c:pt idx="14">
                  <c:v>37783</c:v>
                </c:pt>
                <c:pt idx="15">
                  <c:v>37875</c:v>
                </c:pt>
                <c:pt idx="16">
                  <c:v>37951</c:v>
                </c:pt>
                <c:pt idx="17">
                  <c:v>38057</c:v>
                </c:pt>
                <c:pt idx="18">
                  <c:v>38152</c:v>
                </c:pt>
                <c:pt idx="19">
                  <c:v>38243</c:v>
                </c:pt>
                <c:pt idx="20">
                  <c:v>38320</c:v>
                </c:pt>
                <c:pt idx="21">
                  <c:v>38422</c:v>
                </c:pt>
                <c:pt idx="22">
                  <c:v>38516</c:v>
                </c:pt>
                <c:pt idx="23">
                  <c:v>38608</c:v>
                </c:pt>
                <c:pt idx="24">
                  <c:v>38685</c:v>
                </c:pt>
                <c:pt idx="25">
                  <c:v>38789</c:v>
                </c:pt>
                <c:pt idx="26">
                  <c:v>38881</c:v>
                </c:pt>
                <c:pt idx="27">
                  <c:v>38973</c:v>
                </c:pt>
                <c:pt idx="28">
                  <c:v>39050</c:v>
                </c:pt>
                <c:pt idx="29">
                  <c:v>39154</c:v>
                </c:pt>
                <c:pt idx="30">
                  <c:v>39246</c:v>
                </c:pt>
                <c:pt idx="31">
                  <c:v>39337</c:v>
                </c:pt>
                <c:pt idx="32">
                  <c:v>39414</c:v>
                </c:pt>
                <c:pt idx="33">
                  <c:v>39519</c:v>
                </c:pt>
                <c:pt idx="34">
                  <c:v>39610</c:v>
                </c:pt>
                <c:pt idx="35">
                  <c:v>39702</c:v>
                </c:pt>
                <c:pt idx="36">
                  <c:v>39778</c:v>
                </c:pt>
                <c:pt idx="37">
                  <c:v>39883</c:v>
                </c:pt>
                <c:pt idx="38">
                  <c:v>39975</c:v>
                </c:pt>
                <c:pt idx="39">
                  <c:v>40067</c:v>
                </c:pt>
                <c:pt idx="40">
                  <c:v>40144</c:v>
                </c:pt>
                <c:pt idx="41">
                  <c:v>40248</c:v>
                </c:pt>
                <c:pt idx="42">
                  <c:v>40340</c:v>
                </c:pt>
                <c:pt idx="43">
                  <c:v>40434</c:v>
                </c:pt>
                <c:pt idx="44">
                  <c:v>40511</c:v>
                </c:pt>
                <c:pt idx="45">
                  <c:v>40613</c:v>
                </c:pt>
                <c:pt idx="46">
                  <c:v>40707</c:v>
                </c:pt>
                <c:pt idx="47">
                  <c:v>40799</c:v>
                </c:pt>
                <c:pt idx="48">
                  <c:v>40876</c:v>
                </c:pt>
                <c:pt idx="49">
                  <c:v>40981</c:v>
                </c:pt>
                <c:pt idx="50">
                  <c:v>41073</c:v>
                </c:pt>
                <c:pt idx="51">
                  <c:v>41164</c:v>
                </c:pt>
                <c:pt idx="52">
                  <c:v>41241</c:v>
                </c:pt>
                <c:pt idx="53">
                  <c:v>41346</c:v>
                </c:pt>
                <c:pt idx="54">
                  <c:v>41437</c:v>
                </c:pt>
                <c:pt idx="55">
                  <c:v>41529</c:v>
                </c:pt>
                <c:pt idx="56">
                  <c:v>41605</c:v>
                </c:pt>
                <c:pt idx="57">
                  <c:v>41710</c:v>
                </c:pt>
                <c:pt idx="58">
                  <c:v>41802</c:v>
                </c:pt>
                <c:pt idx="59">
                  <c:v>41893</c:v>
                </c:pt>
                <c:pt idx="60">
                  <c:v>41969</c:v>
                </c:pt>
                <c:pt idx="61">
                  <c:v>42075</c:v>
                </c:pt>
                <c:pt idx="62">
                  <c:v>42166</c:v>
                </c:pt>
                <c:pt idx="63">
                  <c:v>42258</c:v>
                </c:pt>
                <c:pt idx="64">
                  <c:v>42335</c:v>
                </c:pt>
                <c:pt idx="65">
                  <c:v>42440</c:v>
                </c:pt>
                <c:pt idx="66">
                  <c:v>42534</c:v>
                </c:pt>
                <c:pt idx="67">
                  <c:v>42626</c:v>
                </c:pt>
                <c:pt idx="68">
                  <c:v>42703</c:v>
                </c:pt>
                <c:pt idx="69">
                  <c:v>42807</c:v>
                </c:pt>
                <c:pt idx="70">
                  <c:v>42899</c:v>
                </c:pt>
                <c:pt idx="71">
                  <c:v>42992</c:v>
                </c:pt>
                <c:pt idx="72">
                  <c:v>43069</c:v>
                </c:pt>
                <c:pt idx="73">
                  <c:v>43173</c:v>
                </c:pt>
                <c:pt idx="74">
                  <c:v>43265</c:v>
                </c:pt>
                <c:pt idx="75">
                  <c:v>43356</c:v>
                </c:pt>
                <c:pt idx="76">
                  <c:v>43433</c:v>
                </c:pt>
                <c:pt idx="77">
                  <c:v>43538</c:v>
                </c:pt>
                <c:pt idx="78">
                  <c:v>43629</c:v>
                </c:pt>
                <c:pt idx="79">
                  <c:v>43721</c:v>
                </c:pt>
                <c:pt idx="80">
                  <c:v>43798</c:v>
                </c:pt>
                <c:pt idx="81">
                  <c:v>43903</c:v>
                </c:pt>
                <c:pt idx="82">
                  <c:v>43994</c:v>
                </c:pt>
                <c:pt idx="83">
                  <c:v>44088</c:v>
                </c:pt>
                <c:pt idx="84">
                  <c:v>44165</c:v>
                </c:pt>
                <c:pt idx="85">
                  <c:v>44267</c:v>
                </c:pt>
                <c:pt idx="86">
                  <c:v>44361</c:v>
                </c:pt>
                <c:pt idx="87">
                  <c:v>44453</c:v>
                </c:pt>
                <c:pt idx="88">
                  <c:v>44530</c:v>
                </c:pt>
                <c:pt idx="89">
                  <c:v>44634</c:v>
                </c:pt>
                <c:pt idx="90">
                  <c:v>44726</c:v>
                </c:pt>
                <c:pt idx="91">
                  <c:v>44819</c:v>
                </c:pt>
                <c:pt idx="92">
                  <c:v>44895</c:v>
                </c:pt>
                <c:pt idx="93">
                  <c:v>45001</c:v>
                </c:pt>
                <c:pt idx="94">
                  <c:v>45092</c:v>
                </c:pt>
                <c:pt idx="95">
                  <c:v>45183</c:v>
                </c:pt>
                <c:pt idx="96">
                  <c:v>45260</c:v>
                </c:pt>
                <c:pt idx="97">
                  <c:v>45365</c:v>
                </c:pt>
                <c:pt idx="98">
                  <c:v>45457</c:v>
                </c:pt>
                <c:pt idx="99">
                  <c:v>45548</c:v>
                </c:pt>
                <c:pt idx="100">
                  <c:v>45625</c:v>
                </c:pt>
                <c:pt idx="101">
                  <c:v>45730</c:v>
                </c:pt>
                <c:pt idx="102">
                  <c:v>45821</c:v>
                </c:pt>
                <c:pt idx="103">
                  <c:v>45915</c:v>
                </c:pt>
                <c:pt idx="104">
                  <c:v>45992</c:v>
                </c:pt>
              </c:numCache>
            </c:numRef>
          </c:cat>
          <c:val>
            <c:numRef>
              <c:f>Dividends!$B$2:$B$106</c:f>
              <c:numCache>
                <c:formatCode>_("$"* #,##0.00_);_("$"* \(#,##0.00\);_("$"* "-"??_);_(@_)</c:formatCode>
                <c:ptCount val="105"/>
                <c:pt idx="0">
                  <c:v>8.5000000000000006E-2</c:v>
                </c:pt>
                <c:pt idx="1">
                  <c:v>8.5000000000000006E-2</c:v>
                </c:pt>
                <c:pt idx="2">
                  <c:v>8.5000000000000006E-2</c:v>
                </c:pt>
                <c:pt idx="3">
                  <c:v>8.5000000000000006E-2</c:v>
                </c:pt>
                <c:pt idx="4">
                  <c:v>0.09</c:v>
                </c:pt>
                <c:pt idx="5">
                  <c:v>0.09</c:v>
                </c:pt>
                <c:pt idx="6">
                  <c:v>0.18</c:v>
                </c:pt>
                <c:pt idx="7">
                  <c:v>0.09</c:v>
                </c:pt>
                <c:pt idx="8">
                  <c:v>0.09</c:v>
                </c:pt>
                <c:pt idx="9">
                  <c:v>0.1</c:v>
                </c:pt>
                <c:pt idx="10">
                  <c:v>0.1</c:v>
                </c:pt>
                <c:pt idx="11">
                  <c:v>0.1</c:v>
                </c:pt>
                <c:pt idx="12">
                  <c:v>0.1</c:v>
                </c:pt>
                <c:pt idx="13">
                  <c:v>0.11</c:v>
                </c:pt>
                <c:pt idx="14">
                  <c:v>0.11</c:v>
                </c:pt>
                <c:pt idx="15">
                  <c:v>0.11</c:v>
                </c:pt>
                <c:pt idx="16">
                  <c:v>0.11</c:v>
                </c:pt>
                <c:pt idx="17">
                  <c:v>0.125</c:v>
                </c:pt>
                <c:pt idx="18">
                  <c:v>0.125</c:v>
                </c:pt>
                <c:pt idx="19">
                  <c:v>0.125</c:v>
                </c:pt>
                <c:pt idx="20">
                  <c:v>0.125</c:v>
                </c:pt>
                <c:pt idx="21">
                  <c:v>0.14000000000000001</c:v>
                </c:pt>
                <c:pt idx="22">
                  <c:v>0.14000000000000001</c:v>
                </c:pt>
                <c:pt idx="23">
                  <c:v>0.14000000000000001</c:v>
                </c:pt>
                <c:pt idx="24">
                  <c:v>0.14000000000000001</c:v>
                </c:pt>
                <c:pt idx="25">
                  <c:v>0.155</c:v>
                </c:pt>
                <c:pt idx="26">
                  <c:v>0.155</c:v>
                </c:pt>
                <c:pt idx="27">
                  <c:v>0.155</c:v>
                </c:pt>
                <c:pt idx="28">
                  <c:v>0.155</c:v>
                </c:pt>
                <c:pt idx="29">
                  <c:v>0.17</c:v>
                </c:pt>
                <c:pt idx="30">
                  <c:v>0.17</c:v>
                </c:pt>
                <c:pt idx="31">
                  <c:v>0.17</c:v>
                </c:pt>
                <c:pt idx="32">
                  <c:v>0.17</c:v>
                </c:pt>
                <c:pt idx="33">
                  <c:v>0.19</c:v>
                </c:pt>
                <c:pt idx="34">
                  <c:v>0.19</c:v>
                </c:pt>
                <c:pt idx="35">
                  <c:v>0.19</c:v>
                </c:pt>
                <c:pt idx="36">
                  <c:v>0.19</c:v>
                </c:pt>
                <c:pt idx="37">
                  <c:v>0.20499999999999999</c:v>
                </c:pt>
                <c:pt idx="38">
                  <c:v>0.20499999999999999</c:v>
                </c:pt>
                <c:pt idx="39">
                  <c:v>0.20499999999999999</c:v>
                </c:pt>
                <c:pt idx="40">
                  <c:v>0.20499999999999999</c:v>
                </c:pt>
                <c:pt idx="41">
                  <c:v>0.22</c:v>
                </c:pt>
                <c:pt idx="42">
                  <c:v>0.22</c:v>
                </c:pt>
                <c:pt idx="43">
                  <c:v>0.22</c:v>
                </c:pt>
                <c:pt idx="44">
                  <c:v>0.22</c:v>
                </c:pt>
                <c:pt idx="45">
                  <c:v>0.23499999999999999</c:v>
                </c:pt>
                <c:pt idx="46">
                  <c:v>0.23499999999999999</c:v>
                </c:pt>
                <c:pt idx="47">
                  <c:v>0.23499999999999999</c:v>
                </c:pt>
                <c:pt idx="48">
                  <c:v>0.23499999999999999</c:v>
                </c:pt>
                <c:pt idx="49">
                  <c:v>0.255</c:v>
                </c:pt>
                <c:pt idx="50">
                  <c:v>0.255</c:v>
                </c:pt>
                <c:pt idx="51">
                  <c:v>0.255</c:v>
                </c:pt>
                <c:pt idx="52">
                  <c:v>0.255</c:v>
                </c:pt>
                <c:pt idx="53">
                  <c:v>0.28000000000000003</c:v>
                </c:pt>
                <c:pt idx="54">
                  <c:v>0.28000000000000003</c:v>
                </c:pt>
                <c:pt idx="55">
                  <c:v>0.28000000000000003</c:v>
                </c:pt>
                <c:pt idx="56">
                  <c:v>0.28000000000000003</c:v>
                </c:pt>
                <c:pt idx="57">
                  <c:v>0.30499999999999999</c:v>
                </c:pt>
                <c:pt idx="58">
                  <c:v>0.30499999999999999</c:v>
                </c:pt>
                <c:pt idx="59">
                  <c:v>0.30499999999999999</c:v>
                </c:pt>
                <c:pt idx="60">
                  <c:v>0.30499999999999999</c:v>
                </c:pt>
                <c:pt idx="61">
                  <c:v>0.33</c:v>
                </c:pt>
                <c:pt idx="62">
                  <c:v>0.33</c:v>
                </c:pt>
                <c:pt idx="63">
                  <c:v>0.33</c:v>
                </c:pt>
                <c:pt idx="64">
                  <c:v>0.33</c:v>
                </c:pt>
                <c:pt idx="65">
                  <c:v>0.35</c:v>
                </c:pt>
                <c:pt idx="66">
                  <c:v>0.35</c:v>
                </c:pt>
                <c:pt idx="67">
                  <c:v>0.35</c:v>
                </c:pt>
                <c:pt idx="68">
                  <c:v>0.35</c:v>
                </c:pt>
                <c:pt idx="69">
                  <c:v>0.37</c:v>
                </c:pt>
                <c:pt idx="70">
                  <c:v>0.37</c:v>
                </c:pt>
                <c:pt idx="71">
                  <c:v>0.37</c:v>
                </c:pt>
                <c:pt idx="72">
                  <c:v>0.37</c:v>
                </c:pt>
                <c:pt idx="73">
                  <c:v>0.39</c:v>
                </c:pt>
                <c:pt idx="74">
                  <c:v>0.39</c:v>
                </c:pt>
                <c:pt idx="75">
                  <c:v>0.39</c:v>
                </c:pt>
                <c:pt idx="76">
                  <c:v>0.39</c:v>
                </c:pt>
                <c:pt idx="77">
                  <c:v>0.4</c:v>
                </c:pt>
                <c:pt idx="78">
                  <c:v>0.4</c:v>
                </c:pt>
                <c:pt idx="79">
                  <c:v>0.4</c:v>
                </c:pt>
                <c:pt idx="80">
                  <c:v>0.4</c:v>
                </c:pt>
                <c:pt idx="81">
                  <c:v>0.41</c:v>
                </c:pt>
                <c:pt idx="82">
                  <c:v>0.41</c:v>
                </c:pt>
                <c:pt idx="83">
                  <c:v>0.41</c:v>
                </c:pt>
                <c:pt idx="84">
                  <c:v>0.41</c:v>
                </c:pt>
                <c:pt idx="85">
                  <c:v>0.42</c:v>
                </c:pt>
                <c:pt idx="86">
                  <c:v>0.42</c:v>
                </c:pt>
                <c:pt idx="87">
                  <c:v>0.42</c:v>
                </c:pt>
                <c:pt idx="88">
                  <c:v>0.42</c:v>
                </c:pt>
                <c:pt idx="89">
                  <c:v>0.44</c:v>
                </c:pt>
                <c:pt idx="90">
                  <c:v>0.44</c:v>
                </c:pt>
                <c:pt idx="91">
                  <c:v>0.44</c:v>
                </c:pt>
                <c:pt idx="92">
                  <c:v>0.44</c:v>
                </c:pt>
                <c:pt idx="93">
                  <c:v>0.46</c:v>
                </c:pt>
                <c:pt idx="94">
                  <c:v>0.46</c:v>
                </c:pt>
                <c:pt idx="95">
                  <c:v>0.46</c:v>
                </c:pt>
                <c:pt idx="96">
                  <c:v>0.46</c:v>
                </c:pt>
                <c:pt idx="97">
                  <c:v>0.48499999999999999</c:v>
                </c:pt>
                <c:pt idx="98">
                  <c:v>0.48499999999999999</c:v>
                </c:pt>
                <c:pt idx="99">
                  <c:v>0.48499999999999999</c:v>
                </c:pt>
                <c:pt idx="100">
                  <c:v>0.48499999999999999</c:v>
                </c:pt>
                <c:pt idx="101">
                  <c:v>0.51</c:v>
                </c:pt>
                <c:pt idx="102">
                  <c:v>0.51</c:v>
                </c:pt>
                <c:pt idx="103">
                  <c:v>0.51</c:v>
                </c:pt>
                <c:pt idx="104">
                  <c:v>0.51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B35-47E0-9D10-50DACA1526C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587651200"/>
        <c:axId val="1587651680"/>
      </c:barChart>
      <c:dateAx>
        <c:axId val="1587651200"/>
        <c:scaling>
          <c:orientation val="minMax"/>
        </c:scaling>
        <c:delete val="0"/>
        <c:axPos val="b"/>
        <c:numFmt formatCode="yyyy\-mm\-dd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87651680"/>
        <c:crosses val="autoZero"/>
        <c:auto val="1"/>
        <c:lblOffset val="100"/>
        <c:baseTimeUnit val="days"/>
      </c:dateAx>
      <c:valAx>
        <c:axId val="15876516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&quot;$&quot;* #,##0.00_);_(&quot;$&quot;* \(#,##0.00\);_(&quot;$&quot;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8765120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333375</xdr:colOff>
      <xdr:row>18</xdr:row>
      <xdr:rowOff>161925</xdr:rowOff>
    </xdr:from>
    <xdr:to>
      <xdr:col>7</xdr:col>
      <xdr:colOff>104775</xdr:colOff>
      <xdr:row>31</xdr:row>
      <xdr:rowOff>114300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C22EE4F6-19E4-434E-9024-31B828EED9E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333375</xdr:colOff>
      <xdr:row>33</xdr:row>
      <xdr:rowOff>0</xdr:rowOff>
    </xdr:from>
    <xdr:to>
      <xdr:col>7</xdr:col>
      <xdr:colOff>123825</xdr:colOff>
      <xdr:row>47</xdr:row>
      <xdr:rowOff>123825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03D67309-7988-41D0-9D3C-AB3613E15C7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314325</xdr:colOff>
      <xdr:row>49</xdr:row>
      <xdr:rowOff>9524</xdr:rowOff>
    </xdr:from>
    <xdr:to>
      <xdr:col>7</xdr:col>
      <xdr:colOff>161925</xdr:colOff>
      <xdr:row>61</xdr:row>
      <xdr:rowOff>114299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43C53CF6-7F8D-4429-85C1-CCE74AE5173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0</xdr:col>
      <xdr:colOff>352425</xdr:colOff>
      <xdr:row>2</xdr:row>
      <xdr:rowOff>104776</xdr:rowOff>
    </xdr:from>
    <xdr:to>
      <xdr:col>7</xdr:col>
      <xdr:colOff>66675</xdr:colOff>
      <xdr:row>16</xdr:row>
      <xdr:rowOff>161925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903AD0D2-B3AE-4D17-A5FF-3FF5910D25F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0</xdr:col>
      <xdr:colOff>371475</xdr:colOff>
      <xdr:row>63</xdr:row>
      <xdr:rowOff>95250</xdr:rowOff>
    </xdr:from>
    <xdr:to>
      <xdr:col>7</xdr:col>
      <xdr:colOff>200025</xdr:colOff>
      <xdr:row>77</xdr:row>
      <xdr:rowOff>171450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1FBA31EB-13DB-44A4-980D-E643FFCB372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0</xdr:col>
      <xdr:colOff>381000</xdr:colOff>
      <xdr:row>78</xdr:row>
      <xdr:rowOff>152400</xdr:rowOff>
    </xdr:from>
    <xdr:to>
      <xdr:col>7</xdr:col>
      <xdr:colOff>200026</xdr:colOff>
      <xdr:row>93</xdr:row>
      <xdr:rowOff>38100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628DE69D-CA14-4F4F-8026-43910C9C635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</xdr:wsDr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D9999876-D8B1-4055-BF27-4F6F9962B72D}" autoFormatId="16" applyNumberFormats="0" applyBorderFormats="0" applyFontFormats="0" applyPatternFormats="0" applyAlignmentFormats="0" applyWidthHeightFormats="0">
  <queryTableRefresh nextId="9" unboundColumnsRight="2">
    <queryTableFields count="4">
      <queryTableField id="1" name="Week" tableColumnId="1"/>
      <queryTableField id="2" name="Average" tableColumnId="2"/>
      <queryTableField id="4" dataBound="0" tableColumnId="4"/>
      <queryTableField id="8" dataBound="0" tableColumnId="8"/>
    </queryTableFields>
  </queryTableRefresh>
</queryTable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array.xml><?xml version="1.0" encoding="utf-8"?>
<arrayData xmlns="http://schemas.microsoft.com/office/spreadsheetml/2017/richdata2" count="3">
  <a r="1" c="522">
    <v t="i">1</v>
    <v t="i">2</v>
    <v t="i">3</v>
    <v t="i">4</v>
    <v t="i">7</v>
    <v t="i">8</v>
    <v t="i">9</v>
    <v t="i">10</v>
    <v t="i">11</v>
    <v t="i">15</v>
    <v t="i">16</v>
    <v t="i">17</v>
    <v t="i">18</v>
    <v t="i">21</v>
    <v t="i">22</v>
    <v t="i">23</v>
    <v t="i">24</v>
    <v t="i">25</v>
    <v t="i">28</v>
    <v t="i">29</v>
    <v t="i">30</v>
    <v t="i">31</v>
    <v t="i">32</v>
    <v t="i">35</v>
    <v t="i">36</v>
    <v t="i">37</v>
    <v t="i">38</v>
    <v t="i">39</v>
    <v t="i">42</v>
    <v t="i">43</v>
    <v t="i">44</v>
    <v t="i">45</v>
    <v t="i">46</v>
    <v t="i">50</v>
    <v t="i">51</v>
    <v t="i">52</v>
    <v t="i">53</v>
    <v t="i">56</v>
    <v t="i">57</v>
    <v t="i">58</v>
    <v t="i">59</v>
    <v t="i">60</v>
    <v t="i">63</v>
    <v t="i">64</v>
    <v t="i">65</v>
    <v t="i">66</v>
    <v t="i">67</v>
    <v t="i">70</v>
    <v t="i">71</v>
    <v t="i">72</v>
    <v t="i">73</v>
    <v t="i">74</v>
    <v t="i">77</v>
    <v t="i">78</v>
    <v t="i">79</v>
    <v t="i">80</v>
    <v t="i">81</v>
    <v t="i">84</v>
    <v t="i">85</v>
    <v t="i">86</v>
    <v t="i">87</v>
    <v t="i">91</v>
    <v t="i">92</v>
    <v t="i">93</v>
    <v t="i">94</v>
    <v t="i">95</v>
    <v t="i">98</v>
    <v t="i">99</v>
    <v t="i">100</v>
    <v t="i">101</v>
    <v t="i">102</v>
    <v t="i">105</v>
    <v t="i">106</v>
    <v t="i">107</v>
    <v t="i">108</v>
    <v t="i">109</v>
    <v t="i">112</v>
    <v t="i">113</v>
    <v t="i">114</v>
    <v t="i">115</v>
    <v t="i">116</v>
    <v t="i">119</v>
    <v t="i">120</v>
    <v t="i">121</v>
    <v t="i">122</v>
    <v t="i">123</v>
    <v t="i">126</v>
    <v t="i">127</v>
    <v t="i">128</v>
    <v t="i">129</v>
    <v t="i">130</v>
    <v t="i">133</v>
    <v t="i">134</v>
    <v t="i">135</v>
    <v t="i">136</v>
    <v t="i">137</v>
    <v t="i">140</v>
    <v t="i">141</v>
    <v t="i">142</v>
    <v t="i">143</v>
    <v t="i">144</v>
    <v t="i">148</v>
    <v t="i">149</v>
    <v t="i">150</v>
    <v t="i">151</v>
    <v t="i">154</v>
    <v t="i">155</v>
    <v t="i">156</v>
    <v t="i">157</v>
    <v t="i">158</v>
    <v t="i">161</v>
    <v t="i">162</v>
    <v t="i">163</v>
    <v t="i">164</v>
    <v t="i">165</v>
    <v t="i">168</v>
    <v t="i">169</v>
    <v t="i">171</v>
    <v t="i">172</v>
    <v t="i">175</v>
    <v t="i">176</v>
    <v t="i">177</v>
    <v t="i">178</v>
    <v t="i">179</v>
    <v t="i">182</v>
    <v t="i">183</v>
    <v t="i">184</v>
    <v t="i">186</v>
    <v t="i">189</v>
    <v t="i">190</v>
    <v t="i">191</v>
    <v t="i">192</v>
    <v t="i">193</v>
    <v t="i">196</v>
    <v t="i">197</v>
    <v t="i">198</v>
    <v t="i">199</v>
    <v t="i">200</v>
    <v t="i">203</v>
    <v t="i">204</v>
    <v t="i">205</v>
    <v t="i">206</v>
    <v t="i">207</v>
    <v t="i">210</v>
    <v t="i">211</v>
    <v t="i">212</v>
    <v t="i">213</v>
    <v t="i">214</v>
    <v t="i">217</v>
    <v t="i">218</v>
    <v t="i">219</v>
    <v t="i">220</v>
    <v t="i">221</v>
    <v t="i">224</v>
    <v t="i">225</v>
    <v t="i">226</v>
    <v t="i">227</v>
    <v t="i">228</v>
    <v t="i">231</v>
    <v t="i">232</v>
    <v t="i">233</v>
    <v t="i">234</v>
    <v t="i">235</v>
    <v t="i">238</v>
    <v t="i">239</v>
    <v t="i">240</v>
    <v t="i">241</v>
    <v t="i">242</v>
    <v t="i">246</v>
    <v t="i">247</v>
    <v t="i">248</v>
    <v t="i">249</v>
    <v t="i">252</v>
    <v t="i">253</v>
    <v t="i">254</v>
    <v t="i">255</v>
    <v t="i">256</v>
    <v t="i">259</v>
    <v t="i">260</v>
    <v t="i">261</v>
    <v t="i">262</v>
    <v t="i">263</v>
    <v t="i">266</v>
    <v t="i">267</v>
    <v t="i">268</v>
    <v t="i">269</v>
    <v t="i">270</v>
    <v t="i">273</v>
    <v t="i">274</v>
    <v t="i">275</v>
    <v t="i">276</v>
    <v t="i">277</v>
    <v t="i">280</v>
    <v t="i">281</v>
    <v t="i">282</v>
    <v t="i">283</v>
    <v t="i">284</v>
    <v t="i">287</v>
    <v t="i">288</v>
    <v t="i">289</v>
    <v t="i">290</v>
    <v t="i">291</v>
    <v t="i">294</v>
    <v t="i">295</v>
    <v t="i">296</v>
    <v t="i">297</v>
    <v t="i">298</v>
    <v t="i">301</v>
    <v t="i">302</v>
    <v t="i">303</v>
    <v t="i">304</v>
    <v t="i">305</v>
    <v t="i">308</v>
    <v t="i">309</v>
    <v t="i">310</v>
    <v t="i">311</v>
    <v t="i">312</v>
    <v t="i">315</v>
    <v t="i">316</v>
    <v t="i">317</v>
    <v t="i">318</v>
    <v t="i">319</v>
    <v t="i">322</v>
    <v t="i">323</v>
    <v t="i">324</v>
    <v t="i">325</v>
    <v t="i">326</v>
    <v t="i">329</v>
    <v t="i">330</v>
    <v t="i">331</v>
    <v t="i">333</v>
    <v t="i">336</v>
    <v t="i">337</v>
    <v t="i">338</v>
    <v t="i">339</v>
    <v t="i">340</v>
    <v t="i">343</v>
    <v t="i">344</v>
    <v t="i">345</v>
    <v t="i">346</v>
    <v t="i">347</v>
    <v t="i">350</v>
    <v t="i">351</v>
    <v t="i">352</v>
    <v t="i">353</v>
    <v t="i">354</v>
    <v t="i">357</v>
    <v t="i">358</v>
    <v t="i">360</v>
    <v t="i">361</v>
    <v t="i">364</v>
    <v t="i">365</v>
    <v t="i">367</v>
    <v t="i">368</v>
    <v t="i">371</v>
    <v t="i">372</v>
    <v t="i">373</v>
    <v t="i">375</v>
    <v t="i">378</v>
    <v t="i">379</v>
    <v t="i">380</v>
    <v t="i">381</v>
    <v t="i">382</v>
    <v t="i">386</v>
    <v t="i">387</v>
    <v t="i">388</v>
    <v t="i">389</v>
    <v t="i">392</v>
    <v t="i">393</v>
    <v t="i">394</v>
    <v t="i">395</v>
    <v t="i">396</v>
    <v t="i">399</v>
    <v t="i">400</v>
    <v t="i">401</v>
    <v t="i">402</v>
    <v t="i">403</v>
    <v t="i">406</v>
    <v t="i">407</v>
    <v t="i">408</v>
    <v t="i">409</v>
    <v t="i">410</v>
    <v t="i">414</v>
    <v t="i">415</v>
    <v t="i">416</v>
    <v t="i">417</v>
    <v t="i">420</v>
    <v t="i">421</v>
    <v t="i">422</v>
    <v t="i">423</v>
    <v t="i">424</v>
    <v t="i">427</v>
    <v t="i">428</v>
    <v t="i">429</v>
    <v t="i">430</v>
    <v t="i">431</v>
    <v t="i">434</v>
    <v t="i">435</v>
    <v t="i">436</v>
    <v t="i">437</v>
    <v t="i">438</v>
    <v t="i">441</v>
    <v t="i">442</v>
    <v t="i">443</v>
    <v t="i">444</v>
    <v t="i">445</v>
    <v t="i">448</v>
    <v t="i">449</v>
    <v t="i">450</v>
    <v t="i">451</v>
    <v t="i">452</v>
    <v t="i">455</v>
    <v t="i">456</v>
    <v t="i">457</v>
    <v t="i">458</v>
    <v t="i">459</v>
    <v t="i">462</v>
    <v t="i">463</v>
    <v t="i">464</v>
    <v t="i">465</v>
    <v t="i">466</v>
    <v t="i">469</v>
    <v t="i">470</v>
    <v t="i">471</v>
    <v t="i">472</v>
    <v t="i">476</v>
    <v t="i">477</v>
    <v t="i">478</v>
    <v t="i">479</v>
    <v t="i">480</v>
    <v t="i">483</v>
    <v t="i">484</v>
    <v t="i">485</v>
    <v t="i">486</v>
    <v t="i">487</v>
    <v t="i">490</v>
    <v t="i">491</v>
    <v t="i">492</v>
    <v t="i">493</v>
    <v t="i">494</v>
    <v t="i">497</v>
    <v t="i">498</v>
    <v t="i">499</v>
    <v t="i">500</v>
    <v t="i">501</v>
    <v t="i">504</v>
    <v t="i">505</v>
    <v t="i">506</v>
    <v t="i">507</v>
    <v t="i">508</v>
    <v t="i">512</v>
    <v t="i">513</v>
    <v t="i">514</v>
    <v t="i">515</v>
    <v t="i">518</v>
    <v t="i">519</v>
    <v t="i">520</v>
    <v t="i">521</v>
    <v t="i">522</v>
    <v t="i">525</v>
    <v t="i">526</v>
    <v t="i">527</v>
    <v t="i">528</v>
    <v t="i">529</v>
    <v t="i">532</v>
    <v t="i">533</v>
    <v t="i">534</v>
    <v t="i">536</v>
    <v t="i">539</v>
    <v t="i">540</v>
    <v t="i">541</v>
    <v t="i">542</v>
    <v t="i">543</v>
    <v t="i">546</v>
    <v t="i">547</v>
    <v t="i">548</v>
    <v t="i">549</v>
    <v t="i">553</v>
    <v t="i">554</v>
    <v t="i">555</v>
    <v t="i">556</v>
    <v t="i">557</v>
    <v t="i">560</v>
    <v t="i">561</v>
    <v t="i">562</v>
    <v t="i">563</v>
    <v t="i">564</v>
    <v t="i">567</v>
    <v t="i">568</v>
    <v t="i">569</v>
    <v t="i">570</v>
    <v t="i">571</v>
    <v t="i">574</v>
    <v t="i">575</v>
    <v t="i">576</v>
    <v t="i">577</v>
    <v t="i">578</v>
    <v t="i">581</v>
    <v t="i">582</v>
    <v t="i">583</v>
    <v t="i">584</v>
    <v t="i">585</v>
    <v t="i">588</v>
    <v t="i">589</v>
    <v t="i">590</v>
    <v t="i">591</v>
    <v t="i">592</v>
    <v t="i">595</v>
    <v t="i">596</v>
    <v t="i">597</v>
    <v t="i">598</v>
    <v t="i">599</v>
    <v t="i">602</v>
    <v t="i">603</v>
    <v t="i">604</v>
    <v t="i">605</v>
    <v t="i">606</v>
    <v t="i">610</v>
    <v t="i">611</v>
    <v t="i">612</v>
    <v t="i">613</v>
    <v t="i">616</v>
    <v t="i">617</v>
    <v t="i">618</v>
    <v t="i">619</v>
    <v t="i">620</v>
    <v t="i">623</v>
    <v t="i">624</v>
    <v t="i">625</v>
    <v t="i">626</v>
    <v t="i">627</v>
    <v t="i">630</v>
    <v t="i">631</v>
    <v t="i">632</v>
    <v t="i">633</v>
    <v t="i">634</v>
    <v t="i">637</v>
    <v t="i">638</v>
    <v t="i">639</v>
    <v t="i">640</v>
    <v t="i">641</v>
    <v t="i">644</v>
    <v t="i">645</v>
    <v t="i">646</v>
    <v t="i">647</v>
    <v t="i">648</v>
    <v t="i">651</v>
    <v t="i">652</v>
    <v t="i">653</v>
    <v t="i">654</v>
    <v t="i">655</v>
    <v t="i">658</v>
    <v t="i">659</v>
    <v t="i">660</v>
    <v t="i">661</v>
    <v t="i">662</v>
    <v t="i">665</v>
    <v t="i">666</v>
    <v t="i">667</v>
    <v t="i">668</v>
    <v t="i">669</v>
    <v t="i">672</v>
    <v t="i">673</v>
    <v t="i">674</v>
    <v t="i">675</v>
    <v t="i">676</v>
    <v t="i">679</v>
    <v t="i">680</v>
    <v t="i">681</v>
    <v t="i">682</v>
    <v t="i">683</v>
    <v t="i">686</v>
    <v t="i">687</v>
    <v t="i">688</v>
    <v t="i">689</v>
    <v t="i">690</v>
    <v t="i">693</v>
    <v t="i">694</v>
    <v t="i">695</v>
    <v t="i">697</v>
    <v t="i">700</v>
    <v t="i">701</v>
    <v t="i">702</v>
    <v t="i">703</v>
    <v t="i">704</v>
    <v t="i">707</v>
    <v t="i">708</v>
    <v t="i">709</v>
    <v t="i">710</v>
    <v t="i">711</v>
    <v t="i">714</v>
    <v t="i">715</v>
    <v t="i">716</v>
    <v t="i">717</v>
    <v t="i">718</v>
    <v t="i">721</v>
    <v t="i">722</v>
    <v t="i">723</v>
    <v t="i">725</v>
    <v t="i">728</v>
    <v t="i">729</v>
    <v t="i">730</v>
    <v t="i">732</v>
    <v t="i">735</v>
    <v t="i">736</v>
    <v t="i">737</v>
    <v t="i">738</v>
    <v t="i">739</v>
    <v t="i">742</v>
    <v t="i">743</v>
    <v t="i">744</v>
    <v t="i">745</v>
    <v t="i">746</v>
    <v t="i">750</v>
    <v t="i">751</v>
    <v t="i">752</v>
    <v t="i">753</v>
    <v t="i">756</v>
    <v t="i">757</v>
    <v t="i">758</v>
    <v t="i">759</v>
    <v t="i">760</v>
  </a>
  <a r="1" c="522">
    <v>59.82</v>
    <v>59.96</v>
    <v>59.76</v>
    <v>59.67</v>
    <v>60.11</v>
    <v>60</v>
    <v>60.2</v>
    <v>59.81</v>
    <v>60.39</v>
    <v>59.99</v>
    <v>59.99</v>
    <v>60.16</v>
    <v>59.83</v>
    <v>59.57</v>
    <v>59.85</v>
    <v>58.91</v>
    <v>59.16</v>
    <v>59.37</v>
    <v>59.73</v>
    <v>59.9</v>
    <v>59.49</v>
    <v>60.98</v>
    <v>60.54</v>
    <v>60.04</v>
    <v>59.94</v>
    <v>59.99</v>
    <v>59.83</v>
    <v>59.56</v>
    <v>59.7</v>
    <v>59.35</v>
    <v>59.29</v>
    <v>59.4</v>
    <v>59.39</v>
    <v>60.7</v>
    <v>61.24</v>
    <v>61.15</v>
    <v>61.2</v>
    <v>60.71</v>
    <v>60.34</v>
    <v>60.4</v>
    <v>60.02</v>
    <v>59.53</v>
    <v>59.81</v>
    <v>59.52</v>
    <v>59.55</v>
    <v>59.44</v>
    <v>59.52</v>
    <v>60.24</v>
    <v>60.5</v>
    <v>61.12</v>
    <v>60.5</v>
    <v>59.88</v>
    <v>60.13</v>
    <v>60.23</v>
    <v>60.75</v>
    <v>60.47</v>
    <v>60.49</v>
    <v>60.4</v>
    <v>60.54</v>
    <v>61.03</v>
    <v>61.18</v>
    <v>60.68</v>
    <v>60.15</v>
    <v>59.83</v>
    <v>59.3</v>
    <v>59.51</v>
    <v>59.27</v>
    <v>59.72</v>
    <v>58.92</v>
    <v>59.05</v>
    <v>58.28</v>
    <v>58.14</v>
    <v>58.06</v>
    <v>58.51</v>
    <v>58.91</v>
    <v>60.17</v>
    <v>60.55</v>
    <v>60.64</v>
    <v>61.55</v>
    <v>61.74</v>
    <v>61.74</v>
    <v>62.04</v>
    <v>61.77</v>
    <v>61.93</v>
    <v>61.99</v>
    <v>62.17</v>
    <v>62.35</v>
    <v>62.62</v>
    <v>62.85</v>
    <v>62.88</v>
    <v>63.26</v>
    <v>63.58</v>
    <v>63.1</v>
    <v>63.13</v>
    <v>63.32</v>
    <v>63.03</v>
    <v>62.57</v>
    <v>62.91</v>
    <v>63</v>
    <v>62.09</v>
    <v>62</v>
    <v>61.82</v>
    <v>61.7</v>
    <v>61.97</v>
    <v>62.93</v>
    <v>62.93</v>
    <v>63.94</v>
    <v>63.92</v>
    <v>64.150000000000006</v>
    <v>63.91</v>
    <v>63.59</v>
    <v>63.55</v>
    <v>62.88</v>
    <v>62.99</v>
    <v>62.55</v>
    <v>62.62</v>
    <v>62.63</v>
    <v>62.18</v>
    <v>62.77</v>
    <v>63.97</v>
    <v>63.84</v>
    <v>64.05</v>
    <v>63.91</v>
    <v>63.65</v>
    <v>63.28</v>
    <v>63.15</v>
    <v>63.33</v>
    <v>63.76</v>
    <v>62.96</v>
    <v>62.69</v>
    <v>62.83</v>
    <v>63.1</v>
    <v>63.7</v>
    <v>63.41</v>
    <v>64.27</v>
    <v>65.209999999999994</v>
    <v>65.19</v>
    <v>65.290000000000006</v>
    <v>64.77</v>
    <v>64.959999999999994</v>
    <v>65.81</v>
    <v>66.069999999999993</v>
    <v>67.05</v>
    <v>66.83</v>
    <v>67.680000000000007</v>
    <v>66.739999999999995</v>
    <v>67.959999999999994</v>
    <v>69.33</v>
    <v>68.099999999999994</v>
    <v>68.05</v>
    <v>68.459999999999994</v>
    <v>68.73</v>
    <v>68.680000000000007</v>
    <v>68.17</v>
    <v>68.459999999999994</v>
    <v>68.58</v>
    <v>68.650000000000006</v>
    <v>69.180000000000007</v>
    <v>68.98</v>
    <v>69.38</v>
    <v>69.569999999999993</v>
    <v>69.33</v>
    <v>69.790000000000006</v>
    <v>70.84</v>
    <v>71.5</v>
    <v>71.75</v>
    <v>72.05</v>
    <v>72.47</v>
    <v>73.010000000000005</v>
    <v>72.56</v>
    <v>71.17</v>
    <v>71.14</v>
    <v>71.849999999999994</v>
    <v>71.55</v>
    <v>71.08</v>
    <v>71.23</v>
    <v>71.41</v>
    <v>72.099999999999994</v>
    <v>71.8</v>
    <v>71.75</v>
    <v>70.62</v>
    <v>71.64</v>
    <v>71.73</v>
    <v>71.33</v>
    <v>71.45</v>
    <v>71.400000000000006</v>
    <v>71.790000000000006</v>
    <v>71.86</v>
    <v>71.709999999999994</v>
    <v>71.010000000000005</v>
    <v>70.52</v>
    <v>70.17</v>
    <v>69.010000000000005</v>
    <v>69.180000000000007</v>
    <v>69.569999999999993</v>
    <v>69.25</v>
    <v>69.569999999999993</v>
    <v>70.34</v>
    <v>70.34</v>
    <v>70.569999999999993</v>
    <v>69.900000000000006</v>
    <v>70.44</v>
    <v>69.45</v>
    <v>69.45</v>
    <v>68.010000000000005</v>
    <v>67.3</v>
    <v>66.92</v>
    <v>66.67</v>
    <v>65.56</v>
    <v>65.92</v>
    <v>65.31</v>
    <v>65.010000000000005</v>
    <v>65.11</v>
    <v>65.37</v>
    <v>63.7</v>
    <v>63.66</v>
    <v>63.92</v>
    <v>63.36</v>
    <v>63.2</v>
    <v>63</v>
    <v>62.55</v>
    <v>61.74</v>
    <v>61.86</v>
    <v>62.59</v>
    <v>62.99</v>
    <v>63.76</v>
    <v>63.92</v>
    <v>64.38</v>
    <v>64.55</v>
    <v>64.430000000000007</v>
    <v>64.08</v>
    <v>63.65</v>
    <v>63.52</v>
    <v>62.21</v>
    <v>62.92</v>
    <v>62.53</v>
    <v>62.6</v>
    <v>62.91</v>
    <v>62.64</v>
    <v>63.84</v>
    <v>63.12</v>
    <v>62.55</v>
    <v>63.4</v>
    <v>62.85</v>
    <v>62.45</v>
    <v>62.55</v>
    <v>62.38</v>
    <v>62.84</v>
    <v>62.57</v>
    <v>62.45</v>
    <v>62.03</v>
    <v>62.26</v>
    <v>61.84</v>
    <v>61.75</v>
    <v>60.81</v>
    <v>60.84</v>
    <v>61.71</v>
    <v>61.07</v>
    <v>61.65</v>
    <v>62.04</v>
    <v>61.77</v>
    <v>62.25</v>
    <v>62.71</v>
    <v>62.42</v>
    <v>61.78</v>
    <v>61.53</v>
    <v>61.92</v>
    <v>63.87</v>
    <v>62.36</v>
    <v>62.83</v>
    <v>64.05</v>
    <v>63.48</v>
    <v>63.35</v>
    <v>62.67</v>
    <v>63.12</v>
    <v>63.36</v>
    <v>63.84</v>
    <v>64.55</v>
    <v>67.599999999999994</v>
    <v>68.709999999999994</v>
    <v>69.5</v>
    <v>68.87</v>
    <v>69.05</v>
    <v>70.069999999999993</v>
    <v>70.040000000000006</v>
    <v>71.349999999999994</v>
    <v>70.59</v>
    <v>71.489999999999995</v>
    <v>70.8</v>
    <v>70.87</v>
    <v>71.209999999999994</v>
    <v>72.319999999999993</v>
    <v>70.19</v>
    <v>70.08</v>
    <v>70.459999999999994</v>
    <v>71.430000000000007</v>
    <v>71.45</v>
    <v>71.040000000000006</v>
    <v>69.94</v>
    <v>69.62</v>
    <v>69.16</v>
    <v>70.12</v>
    <v>69.38</v>
    <v>69.28</v>
    <v>69.709999999999994</v>
    <v>68.67</v>
    <v>68.95</v>
    <v>68.81</v>
    <v>70.02</v>
    <v>70.739999999999995</v>
    <v>70.37</v>
    <v>71.62</v>
    <v>71.87</v>
    <v>71.33</v>
    <v>73.180000000000007</v>
    <v>69.930000000000007</v>
    <v>68.37</v>
    <v>68.42</v>
    <v>69.95</v>
    <v>70.760000000000005</v>
    <v>71.430000000000007</v>
    <v>72.45</v>
    <v>71.86</v>
    <v>71.680000000000007</v>
    <v>73</v>
    <v>72.77</v>
    <v>73.900000000000006</v>
    <v>73.3</v>
    <v>72.52</v>
    <v>71.91</v>
    <v>71.790000000000006</v>
    <v>72.349999999999994</v>
    <v>72.55</v>
    <v>71.290000000000006</v>
    <v>71.650000000000006</v>
    <v>71.7</v>
    <v>71.72</v>
    <v>72.400000000000006</v>
    <v>71.17</v>
    <v>70.52</v>
    <v>69.53</v>
    <v>68.959999999999994</v>
    <v>69.16</v>
    <v>71.61</v>
    <v>72</v>
    <v>71.930000000000007</v>
    <v>71.69</v>
    <v>71.849999999999994</v>
    <v>71.14</v>
    <v>71.77</v>
    <v>71.78</v>
    <v>71.150000000000006</v>
    <v>71.489999999999995</v>
    <v>72.099999999999994</v>
    <v>72</v>
    <v>71.16</v>
    <v>71.37</v>
    <v>70.91</v>
    <v>71.349999999999994</v>
    <v>71.77</v>
    <v>72.349999999999994</v>
    <v>72.069999999999993</v>
    <v>72.239999999999995</v>
    <v>71.02</v>
    <v>70.52</v>
    <v>69.62</v>
    <v>69.209999999999994</v>
    <v>68.84</v>
    <v>69.739999999999995</v>
    <v>70.209999999999994</v>
    <v>69.63</v>
    <v>69.47</v>
    <v>70.33</v>
    <v>70.75</v>
    <v>71.67</v>
    <v>70.91</v>
    <v>71.349999999999994</v>
    <v>71.010000000000005</v>
    <v>70.239999999999995</v>
    <v>69.48</v>
    <v>69.77</v>
    <v>69.87</v>
    <v>69.47</v>
    <v>69.36</v>
    <v>69.27</v>
    <v>70.59</v>
    <v>69.849999999999994</v>
    <v>70.069999999999993</v>
    <v>69.66</v>
    <v>69.16</v>
    <v>69.099999999999994</v>
    <v>69.17</v>
    <v>68.09</v>
    <v>69.38</v>
    <v>68.75</v>
    <v>67.89</v>
    <v>68.86</v>
    <v>68.959999999999994</v>
    <v>69.05</v>
    <v>69.510000000000005</v>
    <v>70.430000000000007</v>
    <v>70.34</v>
    <v>70.75</v>
    <v>70.709999999999994</v>
    <v>70.459999999999994</v>
    <v>69.55</v>
    <v>69.92</v>
    <v>69.13</v>
    <v>70.13</v>
    <v>70.7</v>
    <v>70.66</v>
    <v>70.13</v>
    <v>68.930000000000007</v>
    <v>68.73</v>
    <v>68.83</v>
    <v>68.36</v>
    <v>68.989999999999995</v>
    <v>69.06</v>
    <v>68.989999999999995</v>
    <v>68.25</v>
    <v>67.959999999999994</v>
    <v>67.430000000000007</v>
    <v>67.86</v>
    <v>67.819999999999993</v>
    <v>67.62</v>
    <v>67.010000000000005</v>
    <v>66.209999999999994</v>
    <v>66.239999999999995</v>
    <v>67.040000000000006</v>
    <v>66.459999999999994</v>
    <v>66.430000000000007</v>
    <v>66.209999999999994</v>
    <v>66.709999999999994</v>
    <v>66.45</v>
    <v>65.98</v>
    <v>65.67</v>
    <v>66.040000000000006</v>
    <v>66.319999999999993</v>
    <v>66.78</v>
    <v>66.099999999999994</v>
    <v>66.650000000000006</v>
    <v>66.099999999999994</v>
    <v>66.790000000000006</v>
    <v>66.12</v>
    <v>66.37</v>
    <v>67.040000000000006</v>
    <v>66.8</v>
    <v>67.510000000000005</v>
    <v>67.08</v>
    <v>67.59</v>
    <v>68.44</v>
    <v>68.44</v>
    <v>71.22</v>
    <v>70.81</v>
    <v>69.94</v>
    <v>69.709999999999994</v>
    <v>70.06</v>
    <v>70.16</v>
    <v>68.349999999999994</v>
    <v>68.98</v>
    <v>68.900000000000006</v>
    <v>67.97</v>
    <v>68.66</v>
    <v>68.510000000000005</v>
    <v>69.06</v>
    <v>70.55</v>
    <v>70.52</v>
    <v>71.61</v>
    <v>71.510000000000005</v>
    <v>71.069999999999993</v>
    <v>71.16</v>
    <v>70.680000000000007</v>
    <v>71.22</v>
    <v>71.11</v>
    <v>71.209999999999994</v>
    <v>72.95</v>
    <v>72.59</v>
    <v>72.61</v>
    <v>72.88</v>
    <v>73.12</v>
    <v>71.95</v>
    <v>70.67</v>
    <v>70.81</v>
    <v>70.45</v>
    <v>70</v>
    <v>70.25</v>
    <v>70.09</v>
    <v>70.209999999999994</v>
    <v>69.11</v>
    <v>70.52</v>
    <v>70.97</v>
    <v>70.37</v>
    <v>70.67</v>
    <v>70.36</v>
    <v>70.06</v>
    <v>70.209999999999994</v>
    <v>69.87</v>
    <v>70.11</v>
    <v>69.87</v>
    <v>70.16</v>
    <v>70.069999999999993</v>
    <v>69.91</v>
    <v>69.12</v>
    <v>67.94</v>
    <v>67.84</v>
    <v>67.540000000000006</v>
    <v>69.37</v>
    <v>70.510000000000005</v>
    <v>70.5</v>
    <v>71.239999999999995</v>
    <v>71.44</v>
    <v>70.48</v>
    <v>70.44</v>
    <v>71.75</v>
    <v>72.010000000000005</v>
    <v>71.87</v>
    <v>72.88</v>
    <v>72.56</v>
    <v>73.55</v>
    <v>73.06</v>
    <v>73.430000000000007</v>
    <v>74.81</v>
  </a>
  <a r="1" c="522">
    <v>16322593</v>
    <v>14830634</v>
    <v>12912926</v>
    <v>10412798</v>
    <v>11554634</v>
    <v>10493653</v>
    <v>12257983</v>
    <v>13754232</v>
    <v>13218008</v>
    <v>11826910</v>
    <v>8982132</v>
    <v>10397682</v>
    <v>14392600</v>
    <v>14314265</v>
    <v>14481643</v>
    <v>16370484</v>
    <v>14899712</v>
    <v>13025072</v>
    <v>14547070</v>
    <v>22061536</v>
    <v>22836998</v>
    <v>15870884</v>
    <v>17544906</v>
    <v>12759569</v>
    <v>12777150</v>
    <v>10259892</v>
    <v>12874761</v>
    <v>15235251</v>
    <v>13516782</v>
    <v>24195706</v>
    <v>15872453</v>
    <v>13695848</v>
    <v>13947057</v>
    <v>18339324</v>
    <v>14378264</v>
    <v>12982799</v>
    <v>13612914</v>
    <v>10336096</v>
    <v>9931088</v>
    <v>8076536</v>
    <v>18152651</v>
    <v>10927564</v>
    <v>10150243</v>
    <v>12309959</v>
    <v>12378815</v>
    <v>13686859</v>
    <v>13239013</v>
    <v>14114260</v>
    <v>12684645</v>
    <v>13909460</v>
    <v>13996609</v>
    <v>36849930</v>
    <v>15856686</v>
    <v>15030627</v>
    <v>15258764</v>
    <v>13067077</v>
    <v>11502843</v>
    <v>13144651</v>
    <v>13277388</v>
    <v>12551216</v>
    <v>13683528</v>
    <v>11668686</v>
    <v>13017260</v>
    <v>13672922</v>
    <v>14320686</v>
    <v>10157760</v>
    <v>10284535</v>
    <v>10792141</v>
    <v>11861881</v>
    <v>11109007</v>
    <v>12250949</v>
    <v>12425049</v>
    <v>11236839</v>
    <v>13805068</v>
    <v>11125869</v>
    <v>21207852</v>
    <v>15624546</v>
    <v>13689127</v>
    <v>19548315</v>
    <v>19048535</v>
    <v>10994262</v>
    <v>13420749</v>
    <v>19349153</v>
    <v>16730830</v>
    <v>10991304</v>
    <v>11628675</v>
    <v>9310699</v>
    <v>9807029</v>
    <v>10484408</v>
    <v>9113662</v>
    <v>8371691</v>
    <v>10137619</v>
    <v>10852231</v>
    <v>9838897</v>
    <v>10228002</v>
    <v>11539022</v>
    <v>11000888</v>
    <v>9796202</v>
    <v>7419406</v>
    <v>9834292</v>
    <v>8203136</v>
    <v>12346998</v>
    <v>11861815</v>
    <v>9436821</v>
    <v>19816630</v>
    <v>9369046</v>
    <v>11895622</v>
    <v>9632525</v>
    <v>8658456</v>
    <v>9523089</v>
    <v>15687128</v>
    <v>8395960</v>
    <v>9569550</v>
    <v>9668888</v>
    <v>8179239</v>
    <v>10532715</v>
    <v>10651661</v>
    <v>13306273</v>
    <v>28282194</v>
    <v>13212454</v>
    <v>10546793</v>
    <v>9402502</v>
    <v>8494123</v>
    <v>17358827</v>
    <v>10033361</v>
    <v>8878156</v>
    <v>9154198</v>
    <v>11735460</v>
    <v>11235135</v>
    <v>11660197</v>
    <v>11930407</v>
    <v>11434422</v>
    <v>9201516</v>
    <v>8207521</v>
    <v>9025066</v>
    <v>12508215</v>
    <v>11128203</v>
    <v>13775672</v>
    <v>11794212</v>
    <v>11810262</v>
    <v>13244568</v>
    <v>16328583</v>
    <v>13530071</v>
    <v>12140153</v>
    <v>13257960</v>
    <v>15576846</v>
    <v>16495907</v>
    <v>22514775</v>
    <v>25484273</v>
    <v>12969099</v>
    <v>13365270</v>
    <v>15240914</v>
    <v>12080420</v>
    <v>11012318</v>
    <v>9877569</v>
    <v>14328033</v>
    <v>11285120</v>
    <v>12651230</v>
    <v>9843861</v>
    <v>11957372</v>
    <v>8792397</v>
    <v>12509202</v>
    <v>11834745</v>
    <v>12912248</v>
    <v>16988408</v>
    <v>13272584</v>
    <v>17201677</v>
    <v>18624227</v>
    <v>14755752</v>
    <v>18140831</v>
    <v>23866125</v>
    <v>17485707</v>
    <v>12939256</v>
    <v>10277585</v>
    <v>11418234</v>
    <v>12340779</v>
    <v>11073849</v>
    <v>10786531</v>
    <v>12974382</v>
    <v>10719713</v>
    <v>13635646</v>
    <v>48578480</v>
    <v>11613022</v>
    <v>13330638</v>
    <v>12329127</v>
    <v>10815219</v>
    <v>11175706</v>
    <v>18016013</v>
    <v>13294498</v>
    <v>11155480</v>
    <v>9374794</v>
    <v>12687289</v>
    <v>14511962</v>
    <v>13549702</v>
    <v>9037735</v>
    <v>8635150</v>
    <v>8786318</v>
    <v>7659318</v>
    <v>10358734</v>
    <v>7937347</v>
    <v>14674631</v>
    <v>15087519</v>
    <v>11981163</v>
    <v>18603251</v>
    <v>24655203</v>
    <v>17568831</v>
    <v>11138127</v>
    <v>10761416</v>
    <v>16525917</v>
    <v>14177766</v>
    <v>13383717</v>
    <v>12163094</v>
    <v>10984502</v>
    <v>8780220</v>
    <v>22899263</v>
    <v>14856051</v>
    <v>14719308</v>
    <v>13980873</v>
    <v>15020975</v>
    <v>13177637</v>
    <v>15910820</v>
    <v>26284331</v>
    <v>16079364</v>
    <v>16254832</v>
    <v>18904909</v>
    <v>17292300</v>
    <v>19562231</v>
    <v>36805252</v>
    <v>14473271</v>
    <v>13263403</v>
    <v>10648354</v>
    <v>16500095</v>
    <v>24874490</v>
    <v>28137660</v>
    <v>21040359</v>
    <v>15581148</v>
    <v>22348331</v>
    <v>14949415</v>
    <v>32819011</v>
    <v>17542091</v>
    <v>13429033</v>
    <v>24559738</v>
    <v>21902382</v>
    <v>20946087</v>
    <v>21300647</v>
    <v>42458096</v>
    <v>13010758</v>
    <v>5019131</v>
    <v>7945641</v>
    <v>8542773</v>
    <v>8972212</v>
    <v>9256664</v>
    <v>12990975</v>
    <v>10403204</v>
    <v>17924237</v>
    <v>17799629</v>
    <v>14412397</v>
    <v>22424951</v>
    <v>18016173</v>
    <v>16658287</v>
    <v>16187203</v>
    <v>12585528</v>
    <v>17948868</v>
    <v>19817068</v>
    <v>18191886</v>
    <v>16528423</v>
    <v>19244604</v>
    <v>20742915</v>
    <v>14956031</v>
    <v>11325635</v>
    <v>13200977</v>
    <v>12102060</v>
    <v>12067883</v>
    <v>15677998</v>
    <v>10686754</v>
    <v>13423408</v>
    <v>13184674</v>
    <v>16154300</v>
    <v>30589148</v>
    <v>26033764</v>
    <v>24393148</v>
    <v>20779090</v>
    <v>15569122</v>
    <v>16032270</v>
    <v>13398010</v>
    <v>21662252</v>
    <v>21418442</v>
    <v>21555588</v>
    <v>14531175</v>
    <v>16789476</v>
    <v>22167379</v>
    <v>21717603</v>
    <v>25411858</v>
    <v>23933629</v>
    <v>21694031</v>
    <v>28393261</v>
    <v>25251189</v>
    <v>28076440</v>
    <v>18923301</v>
    <v>15746568</v>
    <v>14205091</v>
    <v>15634808</v>
    <v>12657615</v>
    <v>14780007</v>
    <v>16295263</v>
    <v>47479473</v>
    <v>12575412</v>
    <v>12513897</v>
    <v>14482764</v>
    <v>11663365</v>
    <v>17412915</v>
    <v>24016866</v>
    <v>15309146</v>
    <v>14606519</v>
    <v>24959593</v>
    <v>26517289</v>
    <v>34258363</v>
    <v>22774425</v>
    <v>27918675</v>
    <v>22450163</v>
    <v>19988203</v>
    <v>13930207</v>
    <v>14965492</v>
    <v>15276216</v>
    <v>20754495</v>
    <v>16037190</v>
    <v>15613518</v>
    <v>16353927</v>
    <v>16893861</v>
    <v>16315984</v>
    <v>15997495</v>
    <v>16244057</v>
    <v>21074652</v>
    <v>18034163</v>
    <v>12629593</v>
    <v>11932687</v>
    <v>12705475</v>
    <v>15025786</v>
    <v>14371061</v>
    <v>11228947</v>
    <v>21539013</v>
    <v>14389053</v>
    <v>16286799</v>
    <v>19817096</v>
    <v>18441200</v>
    <v>13282775</v>
    <v>12137798</v>
    <v>12094424</v>
    <v>11101798</v>
    <v>12822145</v>
    <v>10666102</v>
    <v>8710896</v>
    <v>10294095</v>
    <v>28019547</v>
    <v>10202737</v>
    <v>20139767</v>
    <v>13565891</v>
    <v>13535619</v>
    <v>9524036</v>
    <v>12281339</v>
    <v>12264972</v>
    <v>12718510</v>
    <v>12806911</v>
    <v>17467162</v>
    <v>15045880</v>
    <v>15437032</v>
    <v>16227582</v>
    <v>40859425</v>
    <v>21822773</v>
    <v>15216084</v>
    <v>12540374</v>
    <v>14454090</v>
    <v>23470691</v>
    <v>15428966</v>
    <v>21729276</v>
    <v>13050239</v>
    <v>9440457</v>
    <v>16984675</v>
    <v>17115521</v>
    <v>33704119</v>
    <v>14615046</v>
    <v>12916670</v>
    <v>13983246</v>
    <v>12639808</v>
    <v>13178292</v>
    <v>20464657</v>
    <v>14927950</v>
    <v>17811719</v>
    <v>22339884</v>
    <v>21029993</v>
    <v>12511367</v>
    <v>12574823</v>
    <v>13668798</v>
    <v>16223379</v>
    <v>10448179</v>
    <v>17193418</v>
    <v>16107506</v>
    <v>10701525</v>
    <v>11993391</v>
    <v>10782977</v>
    <v>15790802</v>
    <v>9232651</v>
    <v>10909371</v>
    <v>11065044</v>
    <v>10356518</v>
    <v>10722373</v>
    <v>12381112</v>
    <v>14094881</v>
    <v>13862214</v>
    <v>17530847</v>
    <v>8840427</v>
    <v>12999606</v>
    <v>13634562</v>
    <v>17964231</v>
    <v>11562741</v>
    <v>16209870</v>
    <v>14601094</v>
    <v>24770073</v>
    <v>33581491</v>
    <v>16736009</v>
    <v>23977995</v>
    <v>21671747</v>
    <v>14120570</v>
    <v>16041934</v>
    <v>15128731</v>
    <v>18712351</v>
    <v>15986132</v>
    <v>18555912</v>
    <v>17372334</v>
    <v>17722919</v>
    <v>31192851</v>
    <v>13298742</v>
    <v>15072791</v>
    <v>14759294</v>
    <v>14395010</v>
    <v>17821566</v>
    <v>14818531</v>
    <v>13814992</v>
    <v>14877538</v>
    <v>14350722</v>
    <v>12249240</v>
    <v>14333320</v>
    <v>13328270</v>
    <v>12606677</v>
    <v>12705190</v>
    <v>17991744</v>
    <v>13690029</v>
    <v>14245564</v>
    <v>11193715</v>
    <v>15707226</v>
    <v>15541769</v>
    <v>17786778</v>
    <v>33651302</v>
    <v>18292950</v>
    <v>13989414</v>
    <v>15688202</v>
    <v>13800049</v>
    <v>12730493</v>
    <v>19789610</v>
    <v>14751735</v>
    <v>16742681</v>
    <v>15660354</v>
    <v>12743781</v>
    <v>12850125</v>
    <v>15906651</v>
    <v>25108308</v>
    <v>15317986</v>
    <v>16160212</v>
    <v>13612613</v>
    <v>14002824</v>
    <v>13172016</v>
    <v>14772285</v>
    <v>12838923</v>
    <v>12401529</v>
    <v>15396543</v>
    <v>26492529</v>
    <v>39818553</v>
    <v>17451155</v>
    <v>11795061</v>
    <v>7423049</v>
    <v>14388075</v>
    <v>19871302</v>
    <v>17001667</v>
    <v>17710032</v>
    <v>13978242</v>
    <v>17775097</v>
    <v>13010623</v>
    <v>29789356</v>
    <v>23124157</v>
    <v>18444506</v>
    <v>18660053</v>
    <v>17370016</v>
    <v>13672698</v>
    <v>15524801</v>
    <v>36911057</v>
    <v>12828517</v>
    <v>9471036</v>
    <v>4515327</v>
    <v>5711350</v>
    <v>9686936</v>
    <v>8610896</v>
    <v>8127801</v>
    <v>12151309</v>
    <v>21186642</v>
    <v>21019861</v>
    <v>20223362</v>
    <v>19236983</v>
    <v>19638646</v>
    <v>20582473</v>
    <v>18324762</v>
    <v>16739070</v>
    <v>15464124</v>
    <v>20027535</v>
    <v>22152209</v>
    <v>21660567</v>
    <v>13962778</v>
    <v>18307084</v>
    <v>14017420</v>
    <v>13239184</v>
    <v>14633680</v>
    <v>20862070</v>
    <v>26420468</v>
  </a>
</arrayData>
</file>

<file path=xl/richData/rdrichvalue.xml><?xml version="1.0" encoding="utf-8"?>
<rvData xmlns="http://schemas.microsoft.com/office/spreadsheetml/2017/richdata" count="1454">
  <rv s="0">
    <fb>45293</fb>
    <v>0</v>
  </rv>
  <rv s="0">
    <fb>59.82</fb>
    <v>1</v>
  </rv>
  <rv s="0">
    <fb>16322593</fb>
    <v>2</v>
  </rv>
  <rv s="0">
    <fb>45294</fb>
    <v>0</v>
  </rv>
  <rv s="0">
    <fb>59.96</fb>
    <v>1</v>
  </rv>
  <rv s="0">
    <fb>14830634</fb>
    <v>2</v>
  </rv>
  <rv s="0">
    <fb>45295</fb>
    <v>0</v>
  </rv>
  <rv s="0">
    <fb>59.76</fb>
    <v>1</v>
  </rv>
  <rv s="0">
    <fb>12912926</fb>
    <v>2</v>
  </rv>
  <rv s="0">
    <fb>45296</fb>
    <v>0</v>
  </rv>
  <rv s="0">
    <fb>59.67</fb>
    <v>1</v>
  </rv>
  <rv s="0">
    <fb>10412798</fb>
    <v>2</v>
  </rv>
  <rv s="0">
    <fb>45299</fb>
    <v>0</v>
  </rv>
  <rv s="0">
    <fb>60.11</fb>
    <v>1</v>
  </rv>
  <rv s="0">
    <fb>11554634</fb>
    <v>2</v>
  </rv>
  <rv s="0">
    <fb>45300</fb>
    <v>0</v>
  </rv>
  <rv s="0">
    <fb>60</fb>
    <v>1</v>
  </rv>
  <rv s="0">
    <fb>10493653</fb>
    <v>2</v>
  </rv>
  <rv s="0">
    <fb>45301</fb>
    <v>0</v>
  </rv>
  <rv s="0">
    <fb>60.2</fb>
    <v>1</v>
  </rv>
  <rv s="0">
    <fb>12257983</fb>
    <v>2</v>
  </rv>
  <rv s="0">
    <fb>45302</fb>
    <v>0</v>
  </rv>
  <rv s="0">
    <fb>59.81</fb>
    <v>1</v>
  </rv>
  <rv s="0">
    <fb>13754232</fb>
    <v>2</v>
  </rv>
  <rv s="0">
    <fb>45303</fb>
    <v>0</v>
  </rv>
  <rv s="0">
    <fb>60.39</fb>
    <v>1</v>
  </rv>
  <rv s="0">
    <fb>13218008</fb>
    <v>2</v>
  </rv>
  <rv s="0">
    <fb>45307</fb>
    <v>0</v>
  </rv>
  <rv s="0">
    <fb>59.99</fb>
    <v>1</v>
  </rv>
  <rv s="0">
    <fb>11826910</fb>
    <v>2</v>
  </rv>
  <rv s="0">
    <fb>45308</fb>
    <v>0</v>
  </rv>
  <rv s="0">
    <fb>8982132</fb>
    <v>2</v>
  </rv>
  <rv s="0">
    <fb>45309</fb>
    <v>0</v>
  </rv>
  <rv s="0">
    <fb>60.16</fb>
    <v>1</v>
  </rv>
  <rv s="0">
    <fb>10397682</fb>
    <v>2</v>
  </rv>
  <rv s="0">
    <fb>45310</fb>
    <v>0</v>
  </rv>
  <rv s="0">
    <fb>59.83</fb>
    <v>1</v>
  </rv>
  <rv s="0">
    <fb>14392600</fb>
    <v>2</v>
  </rv>
  <rv s="0">
    <fb>45313</fb>
    <v>0</v>
  </rv>
  <rv s="0">
    <fb>59.57</fb>
    <v>1</v>
  </rv>
  <rv s="0">
    <fb>14314265</fb>
    <v>2</v>
  </rv>
  <rv s="0">
    <fb>45314</fb>
    <v>0</v>
  </rv>
  <rv s="0">
    <fb>59.85</fb>
    <v>1</v>
  </rv>
  <rv s="0">
    <fb>14481643</fb>
    <v>2</v>
  </rv>
  <rv s="0">
    <fb>45315</fb>
    <v>0</v>
  </rv>
  <rv s="0">
    <fb>58.91</fb>
    <v>1</v>
  </rv>
  <rv s="0">
    <fb>16370484</fb>
    <v>2</v>
  </rv>
  <rv s="0">
    <fb>45316</fb>
    <v>0</v>
  </rv>
  <rv s="0">
    <fb>59.16</fb>
    <v>1</v>
  </rv>
  <rv s="0">
    <fb>14899712</fb>
    <v>2</v>
  </rv>
  <rv s="0">
    <fb>45317</fb>
    <v>0</v>
  </rv>
  <rv s="0">
    <fb>59.37</fb>
    <v>1</v>
  </rv>
  <rv s="0">
    <fb>13025072</fb>
    <v>2</v>
  </rv>
  <rv s="0">
    <fb>45320</fb>
    <v>0</v>
  </rv>
  <rv s="0">
    <fb>59.73</fb>
    <v>1</v>
  </rv>
  <rv s="0">
    <fb>14547070</fb>
    <v>2</v>
  </rv>
  <rv s="0">
    <fb>45321</fb>
    <v>0</v>
  </rv>
  <rv s="0">
    <fb>59.9</fb>
    <v>1</v>
  </rv>
  <rv s="0">
    <fb>22061536</fb>
    <v>2</v>
  </rv>
  <rv s="0">
    <fb>45322</fb>
    <v>0</v>
  </rv>
  <rv s="0">
    <fb>59.49</fb>
    <v>1</v>
  </rv>
  <rv s="0">
    <fb>22836998</fb>
    <v>2</v>
  </rv>
  <rv s="0">
    <fb>45323</fb>
    <v>0</v>
  </rv>
  <rv s="0">
    <fb>60.98</fb>
    <v>1</v>
  </rv>
  <rv s="0">
    <fb>15870884</fb>
    <v>2</v>
  </rv>
  <rv s="0">
    <fb>45324</fb>
    <v>0</v>
  </rv>
  <rv s="0">
    <fb>60.54</fb>
    <v>1</v>
  </rv>
  <rv s="0">
    <fb>17544906</fb>
    <v>2</v>
  </rv>
  <rv s="0">
    <fb>45327</fb>
    <v>0</v>
  </rv>
  <rv s="0">
    <fb>60.04</fb>
    <v>1</v>
  </rv>
  <rv s="0">
    <fb>12759569</fb>
    <v>2</v>
  </rv>
  <rv s="0">
    <fb>45328</fb>
    <v>0</v>
  </rv>
  <rv s="0">
    <fb>59.94</fb>
    <v>1</v>
  </rv>
  <rv s="0">
    <fb>12777150</fb>
    <v>2</v>
  </rv>
  <rv s="0">
    <fb>45329</fb>
    <v>0</v>
  </rv>
  <rv s="0">
    <fb>10259892</fb>
    <v>2</v>
  </rv>
  <rv s="0">
    <fb>45330</fb>
    <v>0</v>
  </rv>
  <rv s="0">
    <fb>12874761</fb>
    <v>2</v>
  </rv>
  <rv s="0">
    <fb>45331</fb>
    <v>0</v>
  </rv>
  <rv s="0">
    <fb>59.56</fb>
    <v>1</v>
  </rv>
  <rv s="0">
    <fb>15235251</fb>
    <v>2</v>
  </rv>
  <rv s="0">
    <fb>45334</fb>
    <v>0</v>
  </rv>
  <rv s="0">
    <fb>59.7</fb>
    <v>1</v>
  </rv>
  <rv s="0">
    <fb>13516782</fb>
    <v>2</v>
  </rv>
  <rv s="0">
    <fb>45335</fb>
    <v>0</v>
  </rv>
  <rv s="0">
    <fb>59.35</fb>
    <v>1</v>
  </rv>
  <rv s="0">
    <fb>24195706</fb>
    <v>2</v>
  </rv>
  <rv s="0">
    <fb>45336</fb>
    <v>0</v>
  </rv>
  <rv s="0">
    <fb>59.29</fb>
    <v>1</v>
  </rv>
  <rv s="0">
    <fb>15872453</fb>
    <v>2</v>
  </rv>
  <rv s="0">
    <fb>45337</fb>
    <v>0</v>
  </rv>
  <rv s="0">
    <fb>59.4</fb>
    <v>1</v>
  </rv>
  <rv s="0">
    <fb>13695848</fb>
    <v>2</v>
  </rv>
  <rv s="0">
    <fb>45338</fb>
    <v>0</v>
  </rv>
  <rv s="0">
    <fb>59.39</fb>
    <v>1</v>
  </rv>
  <rv s="0">
    <fb>13947057</fb>
    <v>2</v>
  </rv>
  <rv s="0">
    <fb>45342</fb>
    <v>0</v>
  </rv>
  <rv s="0">
    <fb>60.7</fb>
    <v>1</v>
  </rv>
  <rv s="0">
    <fb>18339324</fb>
    <v>2</v>
  </rv>
  <rv s="0">
    <fb>45343</fb>
    <v>0</v>
  </rv>
  <rv s="0">
    <fb>61.24</fb>
    <v>1</v>
  </rv>
  <rv s="0">
    <fb>14378264</fb>
    <v>2</v>
  </rv>
  <rv s="0">
    <fb>45344</fb>
    <v>0</v>
  </rv>
  <rv s="0">
    <fb>61.15</fb>
    <v>1</v>
  </rv>
  <rv s="0">
    <fb>12982799</fb>
    <v>2</v>
  </rv>
  <rv s="0">
    <fb>45345</fb>
    <v>0</v>
  </rv>
  <rv s="0">
    <fb>61.2</fb>
    <v>1</v>
  </rv>
  <rv s="0">
    <fb>13612914</fb>
    <v>2</v>
  </rv>
  <rv s="0">
    <fb>45348</fb>
    <v>0</v>
  </rv>
  <rv s="0">
    <fb>60.71</fb>
    <v>1</v>
  </rv>
  <rv s="0">
    <fb>10336096</fb>
    <v>2</v>
  </rv>
  <rv s="0">
    <fb>45349</fb>
    <v>0</v>
  </rv>
  <rv s="0">
    <fb>60.34</fb>
    <v>1</v>
  </rv>
  <rv s="0">
    <fb>9931088</fb>
    <v>2</v>
  </rv>
  <rv s="0">
    <fb>45350</fb>
    <v>0</v>
  </rv>
  <rv s="0">
    <fb>60.4</fb>
    <v>1</v>
  </rv>
  <rv s="0">
    <fb>8076536</fb>
    <v>2</v>
  </rv>
  <rv s="0">
    <fb>45351</fb>
    <v>0</v>
  </rv>
  <rv s="0">
    <fb>60.02</fb>
    <v>1</v>
  </rv>
  <rv s="0">
    <fb>18152651</fb>
    <v>2</v>
  </rv>
  <rv s="0">
    <fb>45352</fb>
    <v>0</v>
  </rv>
  <rv s="0">
    <fb>59.53</fb>
    <v>1</v>
  </rv>
  <rv s="0">
    <fb>10927564</fb>
    <v>2</v>
  </rv>
  <rv s="0">
    <fb>45355</fb>
    <v>0</v>
  </rv>
  <rv s="0">
    <fb>10150243</fb>
    <v>2</v>
  </rv>
  <rv s="0">
    <fb>45356</fb>
    <v>0</v>
  </rv>
  <rv s="0">
    <fb>59.52</fb>
    <v>1</v>
  </rv>
  <rv s="0">
    <fb>12309959</fb>
    <v>2</v>
  </rv>
  <rv s="0">
    <fb>45357</fb>
    <v>0</v>
  </rv>
  <rv s="0">
    <fb>59.55</fb>
    <v>1</v>
  </rv>
  <rv s="0">
    <fb>12378815</fb>
    <v>2</v>
  </rv>
  <rv s="0">
    <fb>45358</fb>
    <v>0</v>
  </rv>
  <rv s="0">
    <fb>59.44</fb>
    <v>1</v>
  </rv>
  <rv s="0">
    <fb>13686859</fb>
    <v>2</v>
  </rv>
  <rv s="0">
    <fb>45359</fb>
    <v>0</v>
  </rv>
  <rv s="0">
    <fb>13239013</fb>
    <v>2</v>
  </rv>
  <rv s="0">
    <fb>45362</fb>
    <v>0</v>
  </rv>
  <rv s="0">
    <fb>60.24</fb>
    <v>1</v>
  </rv>
  <rv s="0">
    <fb>14114260</fb>
    <v>2</v>
  </rv>
  <rv s="0">
    <fb>45363</fb>
    <v>0</v>
  </rv>
  <rv s="0">
    <fb>60.5</fb>
    <v>1</v>
  </rv>
  <rv s="0">
    <fb>12684645</fb>
    <v>2</v>
  </rv>
  <rv s="0">
    <fb>45364</fb>
    <v>0</v>
  </rv>
  <rv s="0">
    <fb>61.12</fb>
    <v>1</v>
  </rv>
  <rv s="0">
    <fb>13909460</fb>
    <v>2</v>
  </rv>
  <rv s="0">
    <fb>45365</fb>
    <v>0</v>
  </rv>
  <rv s="0">
    <fb>13996609</fb>
    <v>2</v>
  </rv>
  <rv s="0">
    <fb>45366</fb>
    <v>0</v>
  </rv>
  <rv s="0">
    <fb>59.88</fb>
    <v>1</v>
  </rv>
  <rv s="0">
    <fb>36849930</fb>
    <v>2</v>
  </rv>
  <rv s="0">
    <fb>45369</fb>
    <v>0</v>
  </rv>
  <rv s="0">
    <fb>60.13</fb>
    <v>1</v>
  </rv>
  <rv s="0">
    <fb>15856686</fb>
    <v>2</v>
  </rv>
  <rv s="0">
    <fb>45370</fb>
    <v>0</v>
  </rv>
  <rv s="0">
    <fb>60.23</fb>
    <v>1</v>
  </rv>
  <rv s="0">
    <fb>15030627</fb>
    <v>2</v>
  </rv>
  <rv s="0">
    <fb>45371</fb>
    <v>0</v>
  </rv>
  <rv s="0">
    <fb>60.75</fb>
    <v>1</v>
  </rv>
  <rv s="0">
    <fb>15258764</fb>
    <v>2</v>
  </rv>
  <rv s="0">
    <fb>45372</fb>
    <v>0</v>
  </rv>
  <rv s="0">
    <fb>60.47</fb>
    <v>1</v>
  </rv>
  <rv s="0">
    <fb>13067077</fb>
    <v>2</v>
  </rv>
  <rv s="0">
    <fb>45373</fb>
    <v>0</v>
  </rv>
  <rv s="0">
    <fb>60.49</fb>
    <v>1</v>
  </rv>
  <rv s="0">
    <fb>11502843</fb>
    <v>2</v>
  </rv>
  <rv s="0">
    <fb>45376</fb>
    <v>0</v>
  </rv>
  <rv s="0">
    <fb>13144651</fb>
    <v>2</v>
  </rv>
  <rv s="0">
    <fb>45377</fb>
    <v>0</v>
  </rv>
  <rv s="0">
    <fb>13277388</fb>
    <v>2</v>
  </rv>
  <rv s="0">
    <fb>45378</fb>
    <v>0</v>
  </rv>
  <rv s="0">
    <fb>61.03</fb>
    <v>1</v>
  </rv>
  <rv s="0">
    <fb>12551216</fb>
    <v>2</v>
  </rv>
  <rv s="0">
    <fb>45379</fb>
    <v>0</v>
  </rv>
  <rv s="0">
    <fb>61.18</fb>
    <v>1</v>
  </rv>
  <rv s="0">
    <fb>13683528</fb>
    <v>2</v>
  </rv>
  <rv s="0">
    <fb>45383</fb>
    <v>0</v>
  </rv>
  <rv s="0">
    <fb>60.68</fb>
    <v>1</v>
  </rv>
  <rv s="0">
    <fb>11668686</fb>
    <v>2</v>
  </rv>
  <rv s="0">
    <fb>45384</fb>
    <v>0</v>
  </rv>
  <rv s="0">
    <fb>60.15</fb>
    <v>1</v>
  </rv>
  <rv s="0">
    <fb>13017260</fb>
    <v>2</v>
  </rv>
  <rv s="0">
    <fb>45385</fb>
    <v>0</v>
  </rv>
  <rv s="0">
    <fb>13672922</fb>
    <v>2</v>
  </rv>
  <rv s="0">
    <fb>45386</fb>
    <v>0</v>
  </rv>
  <rv s="0">
    <fb>59.3</fb>
    <v>1</v>
  </rv>
  <rv s="0">
    <fb>14320686</fb>
    <v>2</v>
  </rv>
  <rv s="0">
    <fb>45387</fb>
    <v>0</v>
  </rv>
  <rv s="0">
    <fb>59.51</fb>
    <v>1</v>
  </rv>
  <rv s="0">
    <fb>10157760</fb>
    <v>2</v>
  </rv>
  <rv s="0">
    <fb>45390</fb>
    <v>0</v>
  </rv>
  <rv s="0">
    <fb>59.27</fb>
    <v>1</v>
  </rv>
  <rv s="0">
    <fb>10284535</fb>
    <v>2</v>
  </rv>
  <rv s="0">
    <fb>45391</fb>
    <v>0</v>
  </rv>
  <rv s="0">
    <fb>59.72</fb>
    <v>1</v>
  </rv>
  <rv s="0">
    <fb>10792141</fb>
    <v>2</v>
  </rv>
  <rv s="0">
    <fb>45392</fb>
    <v>0</v>
  </rv>
  <rv s="0">
    <fb>58.92</fb>
    <v>1</v>
  </rv>
  <rv s="0">
    <fb>11861881</fb>
    <v>2</v>
  </rv>
  <rv s="0">
    <fb>45393</fb>
    <v>0</v>
  </rv>
  <rv s="0">
    <fb>59.05</fb>
    <v>1</v>
  </rv>
  <rv s="0">
    <fb>11109007</fb>
    <v>2</v>
  </rv>
  <rv s="0">
    <fb>45394</fb>
    <v>0</v>
  </rv>
  <rv s="0">
    <fb>58.28</fb>
    <v>1</v>
  </rv>
  <rv s="0">
    <fb>12250949</fb>
    <v>2</v>
  </rv>
  <rv s="0">
    <fb>45397</fb>
    <v>0</v>
  </rv>
  <rv s="0">
    <fb>58.14</fb>
    <v>1</v>
  </rv>
  <rv s="0">
    <fb>12425049</fb>
    <v>2</v>
  </rv>
  <rv s="0">
    <fb>45398</fb>
    <v>0</v>
  </rv>
  <rv s="0">
    <fb>58.06</fb>
    <v>1</v>
  </rv>
  <rv s="0">
    <fb>11236839</fb>
    <v>2</v>
  </rv>
  <rv s="0">
    <fb>45399</fb>
    <v>0</v>
  </rv>
  <rv s="0">
    <fb>58.51</fb>
    <v>1</v>
  </rv>
  <rv s="0">
    <fb>13805068</fb>
    <v>2</v>
  </rv>
  <rv s="0">
    <fb>45400</fb>
    <v>0</v>
  </rv>
  <rv s="0">
    <fb>11125869</fb>
    <v>2</v>
  </rv>
  <rv s="0">
    <fb>45401</fb>
    <v>0</v>
  </rv>
  <rv s="0">
    <fb>60.17</fb>
    <v>1</v>
  </rv>
  <rv s="0">
    <fb>21207852</fb>
    <v>2</v>
  </rv>
  <rv s="0">
    <fb>45404</fb>
    <v>0</v>
  </rv>
  <rv s="0">
    <fb>60.55</fb>
    <v>1</v>
  </rv>
  <rv s="0">
    <fb>15624546</fb>
    <v>2</v>
  </rv>
  <rv s="0">
    <fb>45405</fb>
    <v>0</v>
  </rv>
  <rv s="0">
    <fb>60.64</fb>
    <v>1</v>
  </rv>
  <rv s="0">
    <fb>13689127</fb>
    <v>2</v>
  </rv>
  <rv s="0">
    <fb>45406</fb>
    <v>0</v>
  </rv>
  <rv s="0">
    <fb>61.55</fb>
    <v>1</v>
  </rv>
  <rv s="0">
    <fb>19548315</fb>
    <v>2</v>
  </rv>
  <rv s="0">
    <fb>45407</fb>
    <v>0</v>
  </rv>
  <rv s="0">
    <fb>61.74</fb>
    <v>1</v>
  </rv>
  <rv s="0">
    <fb>19048535</fb>
    <v>2</v>
  </rv>
  <rv s="0">
    <fb>45408</fb>
    <v>0</v>
  </rv>
  <rv s="0">
    <fb>10994262</fb>
    <v>2</v>
  </rv>
  <rv s="0">
    <fb>45411</fb>
    <v>0</v>
  </rv>
  <rv s="0">
    <fb>62.04</fb>
    <v>1</v>
  </rv>
  <rv s="0">
    <fb>13420749</fb>
    <v>2</v>
  </rv>
  <rv s="0">
    <fb>45412</fb>
    <v>0</v>
  </rv>
  <rv s="0">
    <fb>61.77</fb>
    <v>1</v>
  </rv>
  <rv s="0">
    <fb>19349153</fb>
    <v>2</v>
  </rv>
  <rv s="0">
    <fb>45413</fb>
    <v>0</v>
  </rv>
  <rv s="0">
    <fb>61.93</fb>
    <v>1</v>
  </rv>
  <rv s="0">
    <fb>16730830</fb>
    <v>2</v>
  </rv>
  <rv s="0">
    <fb>45414</fb>
    <v>0</v>
  </rv>
  <rv s="0">
    <fb>61.99</fb>
    <v>1</v>
  </rv>
  <rv s="0">
    <fb>10991304</fb>
    <v>2</v>
  </rv>
  <rv s="0">
    <fb>45415</fb>
    <v>0</v>
  </rv>
  <rv s="0">
    <fb>62.17</fb>
    <v>1</v>
  </rv>
  <rv s="0">
    <fb>11628675</fb>
    <v>2</v>
  </rv>
  <rv s="0">
    <fb>45418</fb>
    <v>0</v>
  </rv>
  <rv s="0">
    <fb>62.35</fb>
    <v>1</v>
  </rv>
  <rv s="0">
    <fb>9310699</fb>
    <v>2</v>
  </rv>
  <rv s="0">
    <fb>45419</fb>
    <v>0</v>
  </rv>
  <rv s="0">
    <fb>62.62</fb>
    <v>1</v>
  </rv>
  <rv s="0">
    <fb>9807029</fb>
    <v>2</v>
  </rv>
  <rv s="0">
    <fb>45420</fb>
    <v>0</v>
  </rv>
  <rv s="0">
    <fb>62.85</fb>
    <v>1</v>
  </rv>
  <rv s="0">
    <fb>10484408</fb>
    <v>2</v>
  </rv>
  <rv s="0">
    <fb>45421</fb>
    <v>0</v>
  </rv>
  <rv s="0">
    <fb>62.88</fb>
    <v>1</v>
  </rv>
  <rv s="0">
    <fb>9113662</fb>
    <v>2</v>
  </rv>
  <rv s="0">
    <fb>45422</fb>
    <v>0</v>
  </rv>
  <rv s="0">
    <fb>63.26</fb>
    <v>1</v>
  </rv>
  <rv s="0">
    <fb>8371691</fb>
    <v>2</v>
  </rv>
  <rv s="0">
    <fb>45425</fb>
    <v>0</v>
  </rv>
  <rv s="0">
    <fb>63.58</fb>
    <v>1</v>
  </rv>
  <rv s="0">
    <fb>10137619</fb>
    <v>2</v>
  </rv>
  <rv s="0">
    <fb>45426</fb>
    <v>0</v>
  </rv>
  <rv s="0">
    <fb>63.1</fb>
    <v>1</v>
  </rv>
  <rv s="0">
    <fb>10852231</fb>
    <v>2</v>
  </rv>
  <rv s="0">
    <fb>45427</fb>
    <v>0</v>
  </rv>
  <rv s="0">
    <fb>63.13</fb>
    <v>1</v>
  </rv>
  <rv s="0">
    <fb>9838897</fb>
    <v>2</v>
  </rv>
  <rv s="0">
    <fb>45428</fb>
    <v>0</v>
  </rv>
  <rv s="0">
    <fb>63.32</fb>
    <v>1</v>
  </rv>
  <rv s="0">
    <fb>10228002</fb>
    <v>2</v>
  </rv>
  <rv s="0">
    <fb>45429</fb>
    <v>0</v>
  </rv>
  <rv s="0">
    <fb>63.03</fb>
    <v>1</v>
  </rv>
  <rv s="0">
    <fb>11539022</fb>
    <v>2</v>
  </rv>
  <rv s="0">
    <fb>45432</fb>
    <v>0</v>
  </rv>
  <rv s="0">
    <fb>62.57</fb>
    <v>1</v>
  </rv>
  <rv s="0">
    <fb>11000888</fb>
    <v>2</v>
  </rv>
  <rv s="0">
    <fb>45433</fb>
    <v>0</v>
  </rv>
  <rv s="0">
    <fb>62.91</fb>
    <v>1</v>
  </rv>
  <rv s="0">
    <fb>9796202</fb>
    <v>2</v>
  </rv>
  <rv s="0">
    <fb>45434</fb>
    <v>0</v>
  </rv>
  <rv s="0">
    <fb>63</fb>
    <v>1</v>
  </rv>
  <rv s="0">
    <fb>7419406</fb>
    <v>2</v>
  </rv>
  <rv s="0">
    <fb>45435</fb>
    <v>0</v>
  </rv>
  <rv s="0">
    <fb>62.09</fb>
    <v>1</v>
  </rv>
  <rv s="0">
    <fb>9834292</fb>
    <v>2</v>
  </rv>
  <rv s="0">
    <fb>45436</fb>
    <v>0</v>
  </rv>
  <rv s="0">
    <fb>62</fb>
    <v>1</v>
  </rv>
  <rv s="0">
    <fb>8203136</fb>
    <v>2</v>
  </rv>
  <rv s="0">
    <fb>45440</fb>
    <v>0</v>
  </rv>
  <rv s="0">
    <fb>61.82</fb>
    <v>1</v>
  </rv>
  <rv s="0">
    <fb>12346998</fb>
    <v>2</v>
  </rv>
  <rv s="0">
    <fb>45441</fb>
    <v>0</v>
  </rv>
  <rv s="0">
    <fb>61.7</fb>
    <v>1</v>
  </rv>
  <rv s="0">
    <fb>11861815</fb>
    <v>2</v>
  </rv>
  <rv s="0">
    <fb>45442</fb>
    <v>0</v>
  </rv>
  <rv s="0">
    <fb>61.97</fb>
    <v>1</v>
  </rv>
  <rv s="0">
    <fb>9436821</fb>
    <v>2</v>
  </rv>
  <rv s="0">
    <fb>45443</fb>
    <v>0</v>
  </rv>
  <rv s="0">
    <fb>62.93</fb>
    <v>1</v>
  </rv>
  <rv s="0">
    <fb>19816630</fb>
    <v>2</v>
  </rv>
  <rv s="0">
    <fb>45446</fb>
    <v>0</v>
  </rv>
  <rv s="0">
    <fb>9369046</fb>
    <v>2</v>
  </rv>
  <rv s="0">
    <fb>45447</fb>
    <v>0</v>
  </rv>
  <rv s="0">
    <fb>63.94</fb>
    <v>1</v>
  </rv>
  <rv s="0">
    <fb>11895622</fb>
    <v>2</v>
  </rv>
  <rv s="0">
    <fb>45448</fb>
    <v>0</v>
  </rv>
  <rv s="0">
    <fb>63.92</fb>
    <v>1</v>
  </rv>
  <rv s="0">
    <fb>9632525</fb>
    <v>2</v>
  </rv>
  <rv s="0">
    <fb>45449</fb>
    <v>0</v>
  </rv>
  <rv s="0">
    <fb>64.150000000000006</fb>
    <v>1</v>
  </rv>
  <rv s="0">
    <fb>8658456</fb>
    <v>2</v>
  </rv>
  <rv s="0">
    <fb>45450</fb>
    <v>0</v>
  </rv>
  <rv s="0">
    <fb>63.91</fb>
    <v>1</v>
  </rv>
  <rv s="0">
    <fb>9523089</fb>
    <v>2</v>
  </rv>
  <rv s="0">
    <fb>45453</fb>
    <v>0</v>
  </rv>
  <rv s="0">
    <fb>63.59</fb>
    <v>1</v>
  </rv>
  <rv s="0">
    <fb>15687128</fb>
    <v>2</v>
  </rv>
  <rv s="0">
    <fb>45454</fb>
    <v>0</v>
  </rv>
  <rv s="0">
    <fb>63.55</fb>
    <v>1</v>
  </rv>
  <rv s="0">
    <fb>8395960</fb>
    <v>2</v>
  </rv>
  <rv s="0">
    <fb>45455</fb>
    <v>0</v>
  </rv>
  <rv s="0">
    <fb>9569550</fb>
    <v>2</v>
  </rv>
  <rv s="0">
    <fb>45456</fb>
    <v>0</v>
  </rv>
  <rv s="0">
    <fb>62.99</fb>
    <v>1</v>
  </rv>
  <rv s="0">
    <fb>9668888</fb>
    <v>2</v>
  </rv>
  <rv s="0">
    <fb>45457</fb>
    <v>0</v>
  </rv>
  <rv s="0">
    <fb>62.55</fb>
    <v>1</v>
  </rv>
  <rv s="0">
    <fb>8179239</fb>
    <v>2</v>
  </rv>
  <rv s="0">
    <fb>45460</fb>
    <v>0</v>
  </rv>
  <rv s="0">
    <fb>10532715</fb>
    <v>2</v>
  </rv>
  <rv s="0">
    <fb>45461</fb>
    <v>0</v>
  </rv>
  <rv s="0">
    <fb>62.63</fb>
    <v>1</v>
  </rv>
  <rv s="0">
    <fb>10651661</fb>
    <v>2</v>
  </rv>
  <rv s="0">
    <fb>45463</fb>
    <v>0</v>
  </rv>
  <rv s="0">
    <fb>62.18</fb>
    <v>1</v>
  </rv>
  <rv s="0">
    <fb>13306273</fb>
    <v>2</v>
  </rv>
  <rv s="0">
    <fb>45464</fb>
    <v>0</v>
  </rv>
  <rv s="0">
    <fb>62.77</fb>
    <v>1</v>
  </rv>
  <rv s="0">
    <fb>28282194</fb>
    <v>2</v>
  </rv>
  <rv s="0">
    <fb>45467</fb>
    <v>0</v>
  </rv>
  <rv s="0">
    <fb>63.97</fb>
    <v>1</v>
  </rv>
  <rv s="0">
    <fb>13212454</fb>
    <v>2</v>
  </rv>
  <rv s="0">
    <fb>45468</fb>
    <v>0</v>
  </rv>
  <rv s="0">
    <fb>63.84</fb>
    <v>1</v>
  </rv>
  <rv s="0">
    <fb>10546793</fb>
    <v>2</v>
  </rv>
  <rv s="0">
    <fb>45469</fb>
    <v>0</v>
  </rv>
  <rv s="0">
    <fb>64.05</fb>
    <v>1</v>
  </rv>
  <rv s="0">
    <fb>9402502</fb>
    <v>2</v>
  </rv>
  <rv s="0">
    <fb>45470</fb>
    <v>0</v>
  </rv>
  <rv s="0">
    <fb>8494123</fb>
    <v>2</v>
  </rv>
  <rv s="0">
    <fb>45471</fb>
    <v>0</v>
  </rv>
  <rv s="0">
    <fb>63.65</fb>
    <v>1</v>
  </rv>
  <rv s="0">
    <fb>17358827</fb>
    <v>2</v>
  </rv>
  <rv s="0">
    <fb>45474</fb>
    <v>0</v>
  </rv>
  <rv s="0">
    <fb>63.28</fb>
    <v>1</v>
  </rv>
  <rv s="0">
    <fb>10033361</fb>
    <v>2</v>
  </rv>
  <rv s="0">
    <fb>45475</fb>
    <v>0</v>
  </rv>
  <rv s="0">
    <fb>63.15</fb>
    <v>1</v>
  </rv>
  <rv s="0">
    <fb>8878156</fb>
    <v>2</v>
  </rv>
  <rv s="0">
    <fb>45476</fb>
    <v>0</v>
  </rv>
  <rv s="0">
    <fb>63.33</fb>
    <v>1</v>
  </rv>
  <rv s="0">
    <fb>9154198</fb>
    <v>2</v>
  </rv>
  <rv s="0">
    <fb>45478</fb>
    <v>0</v>
  </rv>
  <rv s="0">
    <fb>63.76</fb>
    <v>1</v>
  </rv>
  <rv s="0">
    <fb>11735460</fb>
    <v>2</v>
  </rv>
  <rv s="0">
    <fb>45481</fb>
    <v>0</v>
  </rv>
  <rv s="0">
    <fb>62.96</fb>
    <v>1</v>
  </rv>
  <rv s="0">
    <fb>11235135</fb>
    <v>2</v>
  </rv>
  <rv s="0">
    <fb>45482</fb>
    <v>0</v>
  </rv>
  <rv s="0">
    <fb>62.69</fb>
    <v>1</v>
  </rv>
  <rv s="0">
    <fb>11660197</fb>
    <v>2</v>
  </rv>
  <rv s="0">
    <fb>45483</fb>
    <v>0</v>
  </rv>
  <rv s="0">
    <fb>62.83</fb>
    <v>1</v>
  </rv>
  <rv s="0">
    <fb>11930407</fb>
    <v>2</v>
  </rv>
  <rv s="0">
    <fb>45484</fb>
    <v>0</v>
  </rv>
  <rv s="0">
    <fb>11434422</fb>
    <v>2</v>
  </rv>
  <rv s="0">
    <fb>45485</fb>
    <v>0</v>
  </rv>
  <rv s="0">
    <fb>63.7</fb>
    <v>1</v>
  </rv>
  <rv s="0">
    <fb>9201516</fb>
    <v>2</v>
  </rv>
  <rv s="0">
    <fb>45488</fb>
    <v>0</v>
  </rv>
  <rv s="0">
    <fb>63.41</fb>
    <v>1</v>
  </rv>
  <rv s="0">
    <fb>8207521</fb>
    <v>2</v>
  </rv>
  <rv s="0">
    <fb>45489</fb>
    <v>0</v>
  </rv>
  <rv s="0">
    <fb>64.27</fb>
    <v>1</v>
  </rv>
  <rv s="0">
    <fb>9025066</fb>
    <v>2</v>
  </rv>
  <rv s="0">
    <fb>45490</fb>
    <v>0</v>
  </rv>
  <rv s="0">
    <fb>65.209999999999994</fb>
    <v>1</v>
  </rv>
  <rv s="0">
    <fb>12508215</fb>
    <v>2</v>
  </rv>
  <rv s="0">
    <fb>45491</fb>
    <v>0</v>
  </rv>
  <rv s="0">
    <fb>65.19</fb>
    <v>1</v>
  </rv>
  <rv s="0">
    <fb>11128203</fb>
    <v>2</v>
  </rv>
  <rv s="0">
    <fb>45492</fb>
    <v>0</v>
  </rv>
  <rv s="0">
    <fb>65.290000000000006</fb>
    <v>1</v>
  </rv>
  <rv s="0">
    <fb>13775672</fb>
    <v>2</v>
  </rv>
  <rv s="0">
    <fb>45495</fb>
    <v>0</v>
  </rv>
  <rv s="0">
    <fb>64.77</fb>
    <v>1</v>
  </rv>
  <rv s="0">
    <fb>11794212</fb>
    <v>2</v>
  </rv>
  <rv s="0">
    <fb>45496</fb>
    <v>0</v>
  </rv>
  <rv s="0">
    <fb>64.959999999999994</fb>
    <v>1</v>
  </rv>
  <rv s="0">
    <fb>11810262</fb>
    <v>2</v>
  </rv>
  <rv s="0">
    <fb>45497</fb>
    <v>0</v>
  </rv>
  <rv s="0">
    <fb>65.81</fb>
    <v>1</v>
  </rv>
  <rv s="0">
    <fb>13244568</fb>
    <v>2</v>
  </rv>
  <rv s="0">
    <fb>45498</fb>
    <v>0</v>
  </rv>
  <rv s="0">
    <fb>66.069999999999993</fb>
    <v>1</v>
  </rv>
  <rv s="0">
    <fb>16328583</fb>
    <v>2</v>
  </rv>
  <rv s="0">
    <fb>45499</fb>
    <v>0</v>
  </rv>
  <rv s="0">
    <fb>67.05</fb>
    <v>1</v>
  </rv>
  <rv s="0">
    <fb>13530071</fb>
    <v>2</v>
  </rv>
  <rv s="0">
    <fb>45502</fb>
    <v>0</v>
  </rv>
  <rv s="0">
    <fb>66.83</fb>
    <v>1</v>
  </rv>
  <rv s="0">
    <fb>12140153</fb>
    <v>2</v>
  </rv>
  <rv s="0">
    <fb>45503</fb>
    <v>0</v>
  </rv>
  <rv s="0">
    <fb>67.680000000000007</fb>
    <v>1</v>
  </rv>
  <rv s="0">
    <fb>13257960</fb>
    <v>2</v>
  </rv>
  <rv s="0">
    <fb>45504</fb>
    <v>0</v>
  </rv>
  <rv s="0">
    <fb>66.739999999999995</fb>
    <v>1</v>
  </rv>
  <rv s="0">
    <fb>15576846</fb>
    <v>2</v>
  </rv>
  <rv s="0">
    <fb>45505</fb>
    <v>0</v>
  </rv>
  <rv s="0">
    <fb>67.959999999999994</fb>
    <v>1</v>
  </rv>
  <rv s="0">
    <fb>16495907</fb>
    <v>2</v>
  </rv>
  <rv s="0">
    <fb>45506</fb>
    <v>0</v>
  </rv>
  <rv s="0">
    <fb>69.33</fb>
    <v>1</v>
  </rv>
  <rv s="0">
    <fb>22514775</fb>
    <v>2</v>
  </rv>
  <rv s="0">
    <fb>45509</fb>
    <v>0</v>
  </rv>
  <rv s="0">
    <fb>68.099999999999994</fb>
    <v>1</v>
  </rv>
  <rv s="0">
    <fb>25484273</fb>
    <v>2</v>
  </rv>
  <rv s="0">
    <fb>45510</fb>
    <v>0</v>
  </rv>
  <rv s="0">
    <fb>68.05</fb>
    <v>1</v>
  </rv>
  <rv s="0">
    <fb>12969099</fb>
    <v>2</v>
  </rv>
  <rv s="0">
    <fb>45511</fb>
    <v>0</v>
  </rv>
  <rv s="0">
    <fb>68.459999999999994</fb>
    <v>1</v>
  </rv>
  <rv s="0">
    <fb>13365270</fb>
    <v>2</v>
  </rv>
  <rv s="0">
    <fb>45512</fb>
    <v>0</v>
  </rv>
  <rv s="0">
    <fb>68.73</fb>
    <v>1</v>
  </rv>
  <rv s="0">
    <fb>15240914</fb>
    <v>2</v>
  </rv>
  <rv s="0">
    <fb>45513</fb>
    <v>0</v>
  </rv>
  <rv s="0">
    <fb>68.680000000000007</fb>
    <v>1</v>
  </rv>
  <rv s="0">
    <fb>12080420</fb>
    <v>2</v>
  </rv>
  <rv s="0">
    <fb>45516</fb>
    <v>0</v>
  </rv>
  <rv s="0">
    <fb>68.17</fb>
    <v>1</v>
  </rv>
  <rv s="0">
    <fb>11012318</fb>
    <v>2</v>
  </rv>
  <rv s="0">
    <fb>45517</fb>
    <v>0</v>
  </rv>
  <rv s="0">
    <fb>9877569</fb>
    <v>2</v>
  </rv>
  <rv s="0">
    <fb>45518</fb>
    <v>0</v>
  </rv>
  <rv s="0">
    <fb>68.58</fb>
    <v>1</v>
  </rv>
  <rv s="0">
    <fb>14328033</fb>
    <v>2</v>
  </rv>
  <rv s="0">
    <fb>45519</fb>
    <v>0</v>
  </rv>
  <rv s="0">
    <fb>68.650000000000006</fb>
    <v>1</v>
  </rv>
  <rv s="0">
    <fb>11285120</fb>
    <v>2</v>
  </rv>
  <rv s="0">
    <fb>45520</fb>
    <v>0</v>
  </rv>
  <rv s="0">
    <fb>69.180000000000007</fb>
    <v>1</v>
  </rv>
  <rv s="0">
    <fb>12651230</fb>
    <v>2</v>
  </rv>
  <rv s="0">
    <fb>45523</fb>
    <v>0</v>
  </rv>
  <rv s="0">
    <fb>68.98</fb>
    <v>1</v>
  </rv>
  <rv s="0">
    <fb>9843861</fb>
    <v>2</v>
  </rv>
  <rv s="0">
    <fb>45524</fb>
    <v>0</v>
  </rv>
  <rv s="0">
    <fb>69.38</fb>
    <v>1</v>
  </rv>
  <rv s="0">
    <fb>11957372</fb>
    <v>2</v>
  </rv>
  <rv s="0">
    <fb>45525</fb>
    <v>0</v>
  </rv>
  <rv s="0">
    <fb>69.569999999999993</fb>
    <v>1</v>
  </rv>
  <rv s="0">
    <fb>8792397</fb>
    <v>2</v>
  </rv>
  <rv s="0">
    <fb>45526</fb>
    <v>0</v>
  </rv>
  <rv s="0">
    <fb>12509202</fb>
    <v>2</v>
  </rv>
  <rv s="0">
    <fb>45527</fb>
    <v>0</v>
  </rv>
  <rv s="0">
    <fb>69.790000000000006</fb>
    <v>1</v>
  </rv>
  <rv s="0">
    <fb>11834745</fb>
    <v>2</v>
  </rv>
  <rv s="0">
    <fb>45530</fb>
    <v>0</v>
  </rv>
  <rv s="0">
    <fb>70.84</fb>
    <v>1</v>
  </rv>
  <rv s="0">
    <fb>12912248</fb>
    <v>2</v>
  </rv>
  <rv s="0">
    <fb>45531</fb>
    <v>0</v>
  </rv>
  <rv s="0">
    <fb>71.5</fb>
    <v>1</v>
  </rv>
  <rv s="0">
    <fb>16988408</fb>
    <v>2</v>
  </rv>
  <rv s="0">
    <fb>45532</fb>
    <v>0</v>
  </rv>
  <rv s="0">
    <fb>71.75</fb>
    <v>1</v>
  </rv>
  <rv s="0">
    <fb>13272584</fb>
    <v>2</v>
  </rv>
  <rv s="0">
    <fb>45533</fb>
    <v>0</v>
  </rv>
  <rv s="0">
    <fb>72.05</fb>
    <v>1</v>
  </rv>
  <rv s="0">
    <fb>17201677</fb>
    <v>2</v>
  </rv>
  <rv s="0">
    <fb>45534</fb>
    <v>0</v>
  </rv>
  <rv s="0">
    <fb>72.47</fb>
    <v>1</v>
  </rv>
  <rv s="0">
    <fb>18624227</fb>
    <v>2</v>
  </rv>
  <rv s="0">
    <fb>45538</fb>
    <v>0</v>
  </rv>
  <rv s="0">
    <fb>73.010000000000005</fb>
    <v>1</v>
  </rv>
  <rv s="0">
    <fb>14755752</fb>
    <v>2</v>
  </rv>
  <rv s="0">
    <fb>45539</fb>
    <v>0</v>
  </rv>
  <rv s="0">
    <fb>72.56</fb>
    <v>1</v>
  </rv>
  <rv s="0">
    <fb>18140831</fb>
    <v>2</v>
  </rv>
  <rv s="0">
    <fb>45540</fb>
    <v>0</v>
  </rv>
  <rv s="0">
    <fb>71.17</fb>
    <v>1</v>
  </rv>
  <rv s="0">
    <fb>23866125</fb>
    <v>2</v>
  </rv>
  <rv s="0">
    <fb>45541</fb>
    <v>0</v>
  </rv>
  <rv s="0">
    <fb>71.14</fb>
    <v>1</v>
  </rv>
  <rv s="0">
    <fb>17485707</fb>
    <v>2</v>
  </rv>
  <rv s="0">
    <fb>45544</fb>
    <v>0</v>
  </rv>
  <rv s="0">
    <fb>71.849999999999994</fb>
    <v>1</v>
  </rv>
  <rv s="0">
    <fb>12939256</fb>
    <v>2</v>
  </rv>
  <rv s="0">
    <fb>45545</fb>
    <v>0</v>
  </rv>
  <rv s="0">
    <fb>71.55</fb>
    <v>1</v>
  </rv>
  <rv s="0">
    <fb>10277585</fb>
    <v>2</v>
  </rv>
  <rv s="0">
    <fb>45546</fb>
    <v>0</v>
  </rv>
  <rv s="0">
    <fb>71.08</fb>
    <v>1</v>
  </rv>
  <rv s="0">
    <fb>11418234</fb>
    <v>2</v>
  </rv>
  <rv s="0">
    <fb>45547</fb>
    <v>0</v>
  </rv>
  <rv s="0">
    <fb>71.23</fb>
    <v>1</v>
  </rv>
  <rv s="0">
    <fb>12340779</fb>
    <v>2</v>
  </rv>
  <rv s="0">
    <fb>45548</fb>
    <v>0</v>
  </rv>
  <rv s="0">
    <fb>71.41</fb>
    <v>1</v>
  </rv>
  <rv s="0">
    <fb>11073849</fb>
    <v>2</v>
  </rv>
  <rv s="0">
    <fb>45551</fb>
    <v>0</v>
  </rv>
  <rv s="0">
    <fb>72.099999999999994</fb>
    <v>1</v>
  </rv>
  <rv s="0">
    <fb>10786531</fb>
    <v>2</v>
  </rv>
  <rv s="0">
    <fb>45552</fb>
    <v>0</v>
  </rv>
  <rv s="0">
    <fb>71.8</fb>
    <v>1</v>
  </rv>
  <rv s="0">
    <fb>12974382</fb>
    <v>2</v>
  </rv>
  <rv s="0">
    <fb>45553</fb>
    <v>0</v>
  </rv>
  <rv s="0">
    <fb>10719713</fb>
    <v>2</v>
  </rv>
  <rv s="0">
    <fb>45554</fb>
    <v>0</v>
  </rv>
  <rv s="0">
    <fb>70.62</fb>
    <v>1</v>
  </rv>
  <rv s="0">
    <fb>13635646</fb>
    <v>2</v>
  </rv>
  <rv s="0">
    <fb>45555</fb>
    <v>0</v>
  </rv>
  <rv s="0">
    <fb>71.64</fb>
    <v>1</v>
  </rv>
  <rv s="0">
    <fb>48578480</fb>
    <v>2</v>
  </rv>
  <rv s="0">
    <fb>45558</fb>
    <v>0</v>
  </rv>
  <rv s="0">
    <fb>71.73</fb>
    <v>1</v>
  </rv>
  <rv s="0">
    <fb>11613022</fb>
    <v>2</v>
  </rv>
  <rv s="0">
    <fb>45559</fb>
    <v>0</v>
  </rv>
  <rv s="0">
    <fb>71.33</fb>
    <v>1</v>
  </rv>
  <rv s="0">
    <fb>13330638</fb>
    <v>2</v>
  </rv>
  <rv s="0">
    <fb>45560</fb>
    <v>0</v>
  </rv>
  <rv s="0">
    <fb>71.45</fb>
    <v>1</v>
  </rv>
  <rv s="0">
    <fb>12329127</fb>
    <v>2</v>
  </rv>
  <rv s="0">
    <fb>45561</fb>
    <v>0</v>
  </rv>
  <rv s="0">
    <fb>71.400000000000006</fb>
    <v>1</v>
  </rv>
  <rv s="0">
    <fb>10815219</fb>
    <v>2</v>
  </rv>
  <rv s="0">
    <fb>45562</fb>
    <v>0</v>
  </rv>
  <rv s="0">
    <fb>71.790000000000006</fb>
    <v>1</v>
  </rv>
  <rv s="0">
    <fb>11175706</fb>
    <v>2</v>
  </rv>
  <rv s="0">
    <fb>45565</fb>
    <v>0</v>
  </rv>
  <rv s="0">
    <fb>71.86</fb>
    <v>1</v>
  </rv>
  <rv s="0">
    <fb>18016013</fb>
    <v>2</v>
  </rv>
  <rv s="0">
    <fb>45566</fb>
    <v>0</v>
  </rv>
  <rv s="0">
    <fb>71.709999999999994</fb>
    <v>1</v>
  </rv>
  <rv s="0">
    <fb>13294498</fb>
    <v>2</v>
  </rv>
  <rv s="0">
    <fb>45567</fb>
    <v>0</v>
  </rv>
  <rv s="0">
    <fb>71.010000000000005</fb>
    <v>1</v>
  </rv>
  <rv s="0">
    <fb>11155480</fb>
    <v>2</v>
  </rv>
  <rv s="0">
    <fb>45568</fb>
    <v>0</v>
  </rv>
  <rv s="0">
    <fb>70.52</fb>
    <v>1</v>
  </rv>
  <rv s="0">
    <fb>9374794</fb>
    <v>2</v>
  </rv>
  <rv s="0">
    <fb>45569</fb>
    <v>0</v>
  </rv>
  <rv s="0">
    <fb>70.17</fb>
    <v>1</v>
  </rv>
  <rv s="0">
    <fb>12687289</fb>
    <v>2</v>
  </rv>
  <rv s="0">
    <fb>45572</fb>
    <v>0</v>
  </rv>
  <rv s="0">
    <fb>69.010000000000005</fb>
    <v>1</v>
  </rv>
  <rv s="0">
    <fb>14511962</fb>
    <v>2</v>
  </rv>
  <rv s="0">
    <fb>45573</fb>
    <v>0</v>
  </rv>
  <rv s="0">
    <fb>13549702</fb>
    <v>2</v>
  </rv>
  <rv s="0">
    <fb>45574</fb>
    <v>0</v>
  </rv>
  <rv s="0">
    <fb>9037735</fb>
    <v>2</v>
  </rv>
  <rv s="0">
    <fb>45575</fb>
    <v>0</v>
  </rv>
  <rv s="0">
    <fb>69.25</fb>
    <v>1</v>
  </rv>
  <rv s="0">
    <fb>8635150</fb>
    <v>2</v>
  </rv>
  <rv s="0">
    <fb>45576</fb>
    <v>0</v>
  </rv>
  <rv s="0">
    <fb>8786318</fb>
    <v>2</v>
  </rv>
  <rv s="0">
    <fb>45579</fb>
    <v>0</v>
  </rv>
  <rv s="0">
    <fb>70.34</fb>
    <v>1</v>
  </rv>
  <rv s="0">
    <fb>7659318</fb>
    <v>2</v>
  </rv>
  <rv s="0">
    <fb>45580</fb>
    <v>0</v>
  </rv>
  <rv s="0">
    <fb>10358734</fb>
    <v>2</v>
  </rv>
  <rv s="0">
    <fb>45581</fb>
    <v>0</v>
  </rv>
  <rv s="0">
    <fb>70.569999999999993</fb>
    <v>1</v>
  </rv>
  <rv s="0">
    <fb>7937347</fb>
    <v>2</v>
  </rv>
  <rv s="0">
    <fb>45582</fb>
    <v>0</v>
  </rv>
  <rv s="0">
    <fb>69.900000000000006</fb>
    <v>1</v>
  </rv>
  <rv s="0">
    <fb>14674631</fb>
    <v>2</v>
  </rv>
  <rv s="0">
    <fb>45583</fb>
    <v>0</v>
  </rv>
  <rv s="0">
    <fb>70.44</fb>
    <v>1</v>
  </rv>
  <rv s="0">
    <fb>15087519</fb>
    <v>2</v>
  </rv>
  <rv s="0">
    <fb>45586</fb>
    <v>0</v>
  </rv>
  <rv s="0">
    <fb>69.45</fb>
    <v>1</v>
  </rv>
  <rv s="0">
    <fb>11981163</fb>
    <v>2</v>
  </rv>
  <rv s="0">
    <fb>45587</fb>
    <v>0</v>
  </rv>
  <rv s="0">
    <fb>18603251</fb>
    <v>2</v>
  </rv>
  <rv s="0">
    <fb>45588</fb>
    <v>0</v>
  </rv>
  <rv s="0">
    <fb>68.010000000000005</fb>
    <v>1</v>
  </rv>
  <rv s="0">
    <fb>24655203</fb>
    <v>2</v>
  </rv>
  <rv s="0">
    <fb>45589</fb>
    <v>0</v>
  </rv>
  <rv s="0">
    <fb>67.3</fb>
    <v>1</v>
  </rv>
  <rv s="0">
    <fb>17568831</fb>
    <v>2</v>
  </rv>
  <rv s="0">
    <fb>45590</fb>
    <v>0</v>
  </rv>
  <rv s="0">
    <fb>66.92</fb>
    <v>1</v>
  </rv>
  <rv s="0">
    <fb>11138127</fb>
    <v>2</v>
  </rv>
  <rv s="0">
    <fb>45593</fb>
    <v>0</v>
  </rv>
  <rv s="0">
    <fb>66.67</fb>
    <v>1</v>
  </rv>
  <rv s="0">
    <fb>10761416</fb>
    <v>2</v>
  </rv>
  <rv s="0">
    <fb>45594</fb>
    <v>0</v>
  </rv>
  <rv s="0">
    <fb>65.56</fb>
    <v>1</v>
  </rv>
  <rv s="0">
    <fb>16525917</fb>
    <v>2</v>
  </rv>
  <rv s="0">
    <fb>45595</fb>
    <v>0</v>
  </rv>
  <rv s="0">
    <fb>65.92</fb>
    <v>1</v>
  </rv>
  <rv s="0">
    <fb>14177766</fb>
    <v>2</v>
  </rv>
  <rv s="0">
    <fb>45596</fb>
    <v>0</v>
  </rv>
  <rv s="0">
    <fb>65.31</fb>
    <v>1</v>
  </rv>
  <rv s="0">
    <fb>13383717</fb>
    <v>2</v>
  </rv>
  <rv s="0">
    <fb>45597</fb>
    <v>0</v>
  </rv>
  <rv s="0">
    <fb>65.010000000000005</fb>
    <v>1</v>
  </rv>
  <rv s="0">
    <fb>12163094</fb>
    <v>2</v>
  </rv>
  <rv s="0">
    <fb>45600</fb>
    <v>0</v>
  </rv>
  <rv s="0">
    <fb>65.11</fb>
    <v>1</v>
  </rv>
  <rv s="0">
    <fb>10984502</fb>
    <v>2</v>
  </rv>
  <rv s="0">
    <fb>45601</fb>
    <v>0</v>
  </rv>
  <rv s="0">
    <fb>65.37</fb>
    <v>1</v>
  </rv>
  <rv s="0">
    <fb>8780220</fb>
    <v>2</v>
  </rv>
  <rv s="0">
    <fb>45602</fb>
    <v>0</v>
  </rv>
  <rv s="0">
    <fb>22899263</fb>
    <v>2</v>
  </rv>
  <rv s="0">
    <fb>45603</fb>
    <v>0</v>
  </rv>
  <rv s="0">
    <fb>63.66</fb>
    <v>1</v>
  </rv>
  <rv s="0">
    <fb>14856051</fb>
    <v>2</v>
  </rv>
  <rv s="0">
    <fb>45604</fb>
    <v>0</v>
  </rv>
  <rv s="0">
    <fb>14719308</fb>
    <v>2</v>
  </rv>
  <rv s="0">
    <fb>45607</fb>
    <v>0</v>
  </rv>
  <rv s="0">
    <fb>63.36</fb>
    <v>1</v>
  </rv>
  <rv s="0">
    <fb>13980873</fb>
    <v>2</v>
  </rv>
  <rv s="0">
    <fb>45608</fb>
    <v>0</v>
  </rv>
  <rv s="0">
    <fb>63.2</fb>
    <v>1</v>
  </rv>
  <rv s="0">
    <fb>15020975</fb>
    <v>2</v>
  </rv>
  <rv s="0">
    <fb>45609</fb>
    <v>0</v>
  </rv>
  <rv s="0">
    <fb>13177637</fb>
    <v>2</v>
  </rv>
  <rv s="0">
    <fb>45610</fb>
    <v>0</v>
  </rv>
  <rv s="0">
    <fb>15910820</fb>
    <v>2</v>
  </rv>
  <rv s="0">
    <fb>45611</fb>
    <v>0</v>
  </rv>
  <rv s="0">
    <fb>26284331</fb>
    <v>2</v>
  </rv>
  <rv s="0">
    <fb>45614</fb>
    <v>0</v>
  </rv>
  <rv s="0">
    <fb>61.86</fb>
    <v>1</v>
  </rv>
  <rv s="0">
    <fb>16079364</fb>
    <v>2</v>
  </rv>
  <rv s="0">
    <fb>45615</fb>
    <v>0</v>
  </rv>
  <rv s="0">
    <fb>62.59</fb>
    <v>1</v>
  </rv>
  <rv s="0">
    <fb>16254832</fb>
    <v>2</v>
  </rv>
  <rv s="0">
    <fb>45616</fb>
    <v>0</v>
  </rv>
  <rv s="0">
    <fb>18904909</fb>
    <v>2</v>
  </rv>
  <rv s="0">
    <fb>45617</fb>
    <v>0</v>
  </rv>
  <rv s="0">
    <fb>17292300</fb>
    <v>2</v>
  </rv>
  <rv s="0">
    <fb>45618</fb>
    <v>0</v>
  </rv>
  <rv s="0">
    <fb>19562231</fb>
    <v>2</v>
  </rv>
  <rv s="0">
    <fb>45621</fb>
    <v>0</v>
  </rv>
  <rv s="0">
    <fb>64.38</fb>
    <v>1</v>
  </rv>
  <rv s="0">
    <fb>36805252</fb>
    <v>2</v>
  </rv>
  <rv s="0">
    <fb>45622</fb>
    <v>0</v>
  </rv>
  <rv s="0">
    <fb>64.55</fb>
    <v>1</v>
  </rv>
  <rv s="0">
    <fb>14473271</fb>
    <v>2</v>
  </rv>
  <rv s="0">
    <fb>45623</fb>
    <v>0</v>
  </rv>
  <rv s="0">
    <fb>64.430000000000007</fb>
    <v>1</v>
  </rv>
  <rv s="0">
    <fb>13263403</fb>
    <v>2</v>
  </rv>
  <rv s="0">
    <fb>45625</fb>
    <v>0</v>
  </rv>
  <rv s="0">
    <fb>64.08</fb>
    <v>1</v>
  </rv>
  <rv s="0">
    <fb>10648354</fb>
    <v>2</v>
  </rv>
  <rv s="0">
    <fb>45628</fb>
    <v>0</v>
  </rv>
  <rv s="0">
    <fb>16500095</fb>
    <v>2</v>
  </rv>
  <rv s="0">
    <fb>45629</fb>
    <v>0</v>
  </rv>
  <rv s="0">
    <fb>63.52</fb>
    <v>1</v>
  </rv>
  <rv s="0">
    <fb>24874490</fb>
    <v>2</v>
  </rv>
  <rv s="0">
    <fb>45630</fb>
    <v>0</v>
  </rv>
  <rv s="0">
    <fb>62.21</fb>
    <v>1</v>
  </rv>
  <rv s="0">
    <fb>28137660</fb>
    <v>2</v>
  </rv>
  <rv s="0">
    <fb>45631</fb>
    <v>0</v>
  </rv>
  <rv s="0">
    <fb>62.92</fb>
    <v>1</v>
  </rv>
  <rv s="0">
    <fb>21040359</fb>
    <v>2</v>
  </rv>
  <rv s="0">
    <fb>45632</fb>
    <v>0</v>
  </rv>
  <rv s="0">
    <fb>62.53</fb>
    <v>1</v>
  </rv>
  <rv s="0">
    <fb>15581148</fb>
    <v>2</v>
  </rv>
  <rv s="0">
    <fb>45635</fb>
    <v>0</v>
  </rv>
  <rv s="0">
    <fb>62.6</fb>
    <v>1</v>
  </rv>
  <rv s="0">
    <fb>22348331</fb>
    <v>2</v>
  </rv>
  <rv s="0">
    <fb>45636</fb>
    <v>0</v>
  </rv>
  <rv s="0">
    <fb>14949415</fb>
    <v>2</v>
  </rv>
  <rv s="0">
    <fb>45637</fb>
    <v>0</v>
  </rv>
  <rv s="0">
    <fb>62.64</fb>
    <v>1</v>
  </rv>
  <rv s="0">
    <fb>32819011</fb>
    <v>2</v>
  </rv>
  <rv s="0">
    <fb>45638</fb>
    <v>0</v>
  </rv>
  <rv s="0">
    <fb>17542091</fb>
    <v>2</v>
  </rv>
  <rv s="0">
    <fb>45639</fb>
    <v>0</v>
  </rv>
  <rv s="0">
    <fb>63.12</fb>
    <v>1</v>
  </rv>
  <rv s="0">
    <fb>13429033</fb>
    <v>2</v>
  </rv>
  <rv s="0">
    <fb>45642</fb>
    <v>0</v>
  </rv>
  <rv s="0">
    <fb>24559738</fb>
    <v>2</v>
  </rv>
  <rv s="0">
    <fb>45643</fb>
    <v>0</v>
  </rv>
  <rv s="0">
    <fb>63.4</fb>
    <v>1</v>
  </rv>
  <rv s="0">
    <fb>21902382</fb>
    <v>2</v>
  </rv>
  <rv s="0">
    <fb>45644</fb>
    <v>0</v>
  </rv>
  <rv s="0">
    <fb>20946087</fb>
    <v>2</v>
  </rv>
  <rv s="0">
    <fb>45645</fb>
    <v>0</v>
  </rv>
  <rv s="0">
    <fb>62.45</fb>
    <v>1</v>
  </rv>
  <rv s="0">
    <fb>21300647</fb>
    <v>2</v>
  </rv>
  <rv s="0">
    <fb>45646</fb>
    <v>0</v>
  </rv>
  <rv s="0">
    <fb>42458096</fb>
    <v>2</v>
  </rv>
  <rv s="0">
    <fb>45649</fb>
    <v>0</v>
  </rv>
  <rv s="0">
    <fb>62.38</fb>
    <v>1</v>
  </rv>
  <rv s="0">
    <fb>13010758</fb>
    <v>2</v>
  </rv>
  <rv s="0">
    <fb>45650</fb>
    <v>0</v>
  </rv>
  <rv s="0">
    <fb>62.84</fb>
    <v>1</v>
  </rv>
  <rv s="0">
    <fb>5019131</fb>
    <v>2</v>
  </rv>
  <rv s="0">
    <fb>45652</fb>
    <v>0</v>
  </rv>
  <rv s="0">
    <fb>7945641</fb>
    <v>2</v>
  </rv>
  <rv s="0">
    <fb>45653</fb>
    <v>0</v>
  </rv>
  <rv s="0">
    <fb>8542773</fb>
    <v>2</v>
  </rv>
  <rv s="0">
    <fb>45656</fb>
    <v>0</v>
  </rv>
  <rv s="0">
    <fb>62.03</fb>
    <v>1</v>
  </rv>
  <rv s="0">
    <fb>8972212</fb>
    <v>2</v>
  </rv>
  <rv s="0">
    <fb>45657</fb>
    <v>0</v>
  </rv>
  <rv s="0">
    <fb>62.26</fb>
    <v>1</v>
  </rv>
  <rv s="0">
    <fb>9256664</fb>
    <v>2</v>
  </rv>
  <rv s="0">
    <fb>45659</fb>
    <v>0</v>
  </rv>
  <rv s="0">
    <fb>61.84</fb>
    <v>1</v>
  </rv>
  <rv s="0">
    <fb>12990975</fb>
    <v>2</v>
  </rv>
  <rv s="0">
    <fb>45660</fb>
    <v>0</v>
  </rv>
  <rv s="0">
    <fb>61.75</fb>
    <v>1</v>
  </rv>
  <rv s="0">
    <fb>10403204</fb>
    <v>2</v>
  </rv>
  <rv s="0">
    <fb>45663</fb>
    <v>0</v>
  </rv>
  <rv s="0">
    <fb>60.81</fb>
    <v>1</v>
  </rv>
  <rv s="0">
    <fb>17924237</fb>
    <v>2</v>
  </rv>
  <rv s="0">
    <fb>45664</fb>
    <v>0</v>
  </rv>
  <rv s="0">
    <fb>60.84</fb>
    <v>1</v>
  </rv>
  <rv s="0">
    <fb>17799629</fb>
    <v>2</v>
  </rv>
  <rv s="0">
    <fb>45665</fb>
    <v>0</v>
  </rv>
  <rv s="0">
    <fb>61.71</fb>
    <v>1</v>
  </rv>
  <rv s="0">
    <fb>14412397</fb>
    <v>2</v>
  </rv>
  <rv s="0">
    <fb>45667</fb>
    <v>0</v>
  </rv>
  <rv s="0">
    <fb>61.07</fb>
    <v>1</v>
  </rv>
  <rv s="0">
    <fb>22424951</fb>
    <v>2</v>
  </rv>
  <rv s="0">
    <fb>45670</fb>
    <v>0</v>
  </rv>
  <rv s="0">
    <fb>61.65</fb>
    <v>1</v>
  </rv>
  <rv s="0">
    <fb>18016173</fb>
    <v>2</v>
  </rv>
  <rv s="0">
    <fb>45671</fb>
    <v>0</v>
  </rv>
  <rv s="0">
    <fb>16658287</fb>
    <v>2</v>
  </rv>
  <rv s="0">
    <fb>45672</fb>
    <v>0</v>
  </rv>
  <rv s="0">
    <fb>16187203</fb>
    <v>2</v>
  </rv>
  <rv s="0">
    <fb>45673</fb>
    <v>0</v>
  </rv>
  <rv s="0">
    <fb>62.25</fb>
    <v>1</v>
  </rv>
  <rv s="0">
    <fb>12585528</fb>
    <v>2</v>
  </rv>
  <rv s="0">
    <fb>45674</fb>
    <v>0</v>
  </rv>
  <rv s="0">
    <fb>62.71</fb>
    <v>1</v>
  </rv>
  <rv s="0">
    <fb>17948868</fb>
    <v>2</v>
  </rv>
  <rv s="0">
    <fb>45678</fb>
    <v>0</v>
  </rv>
  <rv s="0">
    <fb>62.42</fb>
    <v>1</v>
  </rv>
  <rv s="0">
    <fb>19817068</fb>
    <v>2</v>
  </rv>
  <rv s="0">
    <fb>45679</fb>
    <v>0</v>
  </rv>
  <rv s="0">
    <fb>61.78</fb>
    <v>1</v>
  </rv>
  <rv s="0">
    <fb>18191886</fb>
    <v>2</v>
  </rv>
  <rv s="0">
    <fb>45680</fb>
    <v>0</v>
  </rv>
  <rv s="0">
    <fb>61.53</fb>
    <v>1</v>
  </rv>
  <rv s="0">
    <fb>16528423</fb>
    <v>2</v>
  </rv>
  <rv s="0">
    <fb>45681</fb>
    <v>0</v>
  </rv>
  <rv s="0">
    <fb>61.92</fb>
    <v>1</v>
  </rv>
  <rv s="0">
    <fb>19244604</fb>
    <v>2</v>
  </rv>
  <rv s="0">
    <fb>45684</fb>
    <v>0</v>
  </rv>
  <rv s="0">
    <fb>63.87</fb>
    <v>1</v>
  </rv>
  <rv s="0">
    <fb>20742915</fb>
    <v>2</v>
  </rv>
  <rv s="0">
    <fb>45685</fb>
    <v>0</v>
  </rv>
  <rv s="0">
    <fb>62.36</fb>
    <v>1</v>
  </rv>
  <rv s="0">
    <fb>14956031</fb>
    <v>2</v>
  </rv>
  <rv s="0">
    <fb>45686</fb>
    <v>0</v>
  </rv>
  <rv s="0">
    <fb>11325635</fb>
    <v>2</v>
  </rv>
  <rv s="0">
    <fb>45687</fb>
    <v>0</v>
  </rv>
  <rv s="0">
    <fb>13200977</fb>
    <v>2</v>
  </rv>
  <rv s="0">
    <fb>45688</fb>
    <v>0</v>
  </rv>
  <rv s="0">
    <fb>63.48</fb>
    <v>1</v>
  </rv>
  <rv s="0">
    <fb>12102060</fb>
    <v>2</v>
  </rv>
  <rv s="0">
    <fb>45691</fb>
    <v>0</v>
  </rv>
  <rv s="0">
    <fb>63.35</fb>
    <v>1</v>
  </rv>
  <rv s="0">
    <fb>12067883</fb>
    <v>2</v>
  </rv>
  <rv s="0">
    <fb>45692</fb>
    <v>0</v>
  </rv>
  <rv s="0">
    <fb>62.67</fb>
    <v>1</v>
  </rv>
  <rv s="0">
    <fb>15677998</fb>
    <v>2</v>
  </rv>
  <rv s="0">
    <fb>45693</fb>
    <v>0</v>
  </rv>
  <rv s="0">
    <fb>10686754</fb>
    <v>2</v>
  </rv>
  <rv s="0">
    <fb>45694</fb>
    <v>0</v>
  </rv>
  <rv s="0">
    <fb>13423408</fb>
    <v>2</v>
  </rv>
  <rv s="0">
    <fb>45695</fb>
    <v>0</v>
  </rv>
  <rv s="0">
    <fb>13184674</fb>
    <v>2</v>
  </rv>
  <rv s="0">
    <fb>45698</fb>
    <v>0</v>
  </rv>
  <rv s="0">
    <fb>16154300</fb>
    <v>2</v>
  </rv>
  <rv s="0">
    <fb>45699</fb>
    <v>0</v>
  </rv>
  <rv s="0">
    <fb>67.599999999999994</fb>
    <v>1</v>
  </rv>
  <rv s="0">
    <fb>30589148</fb>
    <v>2</v>
  </rv>
  <rv s="0">
    <fb>45700</fb>
    <v>0</v>
  </rv>
  <rv s="0">
    <fb>68.709999999999994</fb>
    <v>1</v>
  </rv>
  <rv s="0">
    <fb>26033764</fb>
    <v>2</v>
  </rv>
  <rv s="0">
    <fb>45701</fb>
    <v>0</v>
  </rv>
  <rv s="0">
    <fb>69.5</fb>
    <v>1</v>
  </rv>
  <rv s="0">
    <fb>24393148</fb>
    <v>2</v>
  </rv>
  <rv s="0">
    <fb>45702</fb>
    <v>0</v>
  </rv>
  <rv s="0">
    <fb>68.87</fb>
    <v>1</v>
  </rv>
  <rv s="0">
    <fb>20779090</fb>
    <v>2</v>
  </rv>
  <rv s="0">
    <fb>45706</fb>
    <v>0</v>
  </rv>
  <rv s="0">
    <fb>69.05</fb>
    <v>1</v>
  </rv>
  <rv s="0">
    <fb>15569122</fb>
    <v>2</v>
  </rv>
  <rv s="0">
    <fb>45707</fb>
    <v>0</v>
  </rv>
  <rv s="0">
    <fb>70.069999999999993</fb>
    <v>1</v>
  </rv>
  <rv s="0">
    <fb>16032270</fb>
    <v>2</v>
  </rv>
  <rv s="0">
    <fb>45708</fb>
    <v>0</v>
  </rv>
  <rv s="0">
    <fb>70.040000000000006</fb>
    <v>1</v>
  </rv>
  <rv s="0">
    <fb>13398010</fb>
    <v>2</v>
  </rv>
  <rv s="0">
    <fb>45709</fb>
    <v>0</v>
  </rv>
  <rv s="0">
    <fb>71.349999999999994</fb>
    <v>1</v>
  </rv>
  <rv s="0">
    <fb>21662252</fb>
    <v>2</v>
  </rv>
  <rv s="0">
    <fb>45712</fb>
    <v>0</v>
  </rv>
  <rv s="0">
    <fb>70.59</fb>
    <v>1</v>
  </rv>
  <rv s="0">
    <fb>21418442</fb>
    <v>2</v>
  </rv>
  <rv s="0">
    <fb>45713</fb>
    <v>0</v>
  </rv>
  <rv s="0">
    <fb>71.489999999999995</fb>
    <v>1</v>
  </rv>
  <rv s="0">
    <fb>21555588</fb>
    <v>2</v>
  </rv>
  <rv s="0">
    <fb>45714</fb>
    <v>0</v>
  </rv>
  <rv s="0">
    <fb>70.8</fb>
    <v>1</v>
  </rv>
  <rv s="0">
    <fb>14531175</fb>
    <v>2</v>
  </rv>
  <rv s="0">
    <fb>45715</fb>
    <v>0</v>
  </rv>
  <rv s="0">
    <fb>70.87</fb>
    <v>1</v>
  </rv>
  <rv s="0">
    <fb>16789476</fb>
    <v>2</v>
  </rv>
  <rv s="0">
    <fb>45716</fb>
    <v>0</v>
  </rv>
  <rv s="0">
    <fb>71.209999999999994</fb>
    <v>1</v>
  </rv>
  <rv s="0">
    <fb>22167379</fb>
    <v>2</v>
  </rv>
  <rv s="0">
    <fb>45719</fb>
    <v>0</v>
  </rv>
  <rv s="0">
    <fb>72.319999999999993</fb>
    <v>1</v>
  </rv>
  <rv s="0">
    <fb>21717603</fb>
    <v>2</v>
  </rv>
  <rv s="0">
    <fb>45720</fb>
    <v>0</v>
  </rv>
  <rv s="0">
    <fb>70.19</fb>
    <v>1</v>
  </rv>
  <rv s="0">
    <fb>25411858</fb>
    <v>2</v>
  </rv>
  <rv s="0">
    <fb>45721</fb>
    <v>0</v>
  </rv>
  <rv s="0">
    <fb>70.08</fb>
    <v>1</v>
  </rv>
  <rv s="0">
    <fb>23933629</fb>
    <v>2</v>
  </rv>
  <rv s="0">
    <fb>45722</fb>
    <v>0</v>
  </rv>
  <rv s="0">
    <fb>70.459999999999994</fb>
    <v>1</v>
  </rv>
  <rv s="0">
    <fb>21694031</fb>
    <v>2</v>
  </rv>
  <rv s="0">
    <fb>45723</fb>
    <v>0</v>
  </rv>
  <rv s="0">
    <fb>71.430000000000007</fb>
    <v>1</v>
  </rv>
  <rv s="0">
    <fb>28393261</fb>
    <v>2</v>
  </rv>
  <rv s="0">
    <fb>45726</fb>
    <v>0</v>
  </rv>
  <rv s="0">
    <fb>25251189</fb>
    <v>2</v>
  </rv>
  <rv s="0">
    <fb>45727</fb>
    <v>0</v>
  </rv>
  <rv s="0">
    <fb>71.040000000000006</fb>
    <v>1</v>
  </rv>
  <rv s="0">
    <fb>28076440</fb>
    <v>2</v>
  </rv>
  <rv s="0">
    <fb>45728</fb>
    <v>0</v>
  </rv>
  <rv s="0">
    <fb>69.94</fb>
    <v>1</v>
  </rv>
  <rv s="0">
    <fb>18923301</fb>
    <v>2</v>
  </rv>
  <rv s="0">
    <fb>45729</fb>
    <v>0</v>
  </rv>
  <rv s="0">
    <fb>69.62</fb>
    <v>1</v>
  </rv>
  <rv s="0">
    <fb>15746568</fb>
    <v>2</v>
  </rv>
  <rv s="0">
    <fb>45730</fb>
    <v>0</v>
  </rv>
  <rv s="0">
    <fb>69.16</fb>
    <v>1</v>
  </rv>
  <rv s="0">
    <fb>14205091</fb>
    <v>2</v>
  </rv>
  <rv s="0">
    <fb>45733</fb>
    <v>0</v>
  </rv>
  <rv s="0">
    <fb>70.12</fb>
    <v>1</v>
  </rv>
  <rv s="0">
    <fb>15634808</fb>
    <v>2</v>
  </rv>
  <rv s="0">
    <fb>45734</fb>
    <v>0</v>
  </rv>
  <rv s="0">
    <fb>12657615</fb>
    <v>2</v>
  </rv>
  <rv s="0">
    <fb>45735</fb>
    <v>0</v>
  </rv>
  <rv s="0">
    <fb>69.28</fb>
    <v>1</v>
  </rv>
  <rv s="0">
    <fb>14780007</fb>
    <v>2</v>
  </rv>
  <rv s="0">
    <fb>45736</fb>
    <v>0</v>
  </rv>
  <rv s="0">
    <fb>69.709999999999994</fb>
    <v>1</v>
  </rv>
  <rv s="0">
    <fb>16295263</fb>
    <v>2</v>
  </rv>
  <rv s="0">
    <fb>45737</fb>
    <v>0</v>
  </rv>
  <rv s="0">
    <fb>68.67</fb>
    <v>1</v>
  </rv>
  <rv s="0">
    <fb>47479473</fb>
    <v>2</v>
  </rv>
  <rv s="0">
    <fb>45740</fb>
    <v>0</v>
  </rv>
  <rv s="0">
    <fb>68.95</fb>
    <v>1</v>
  </rv>
  <rv s="0">
    <fb>12575412</fb>
    <v>2</v>
  </rv>
  <rv s="0">
    <fb>45741</fb>
    <v>0</v>
  </rv>
  <rv s="0">
    <fb>68.81</fb>
    <v>1</v>
  </rv>
  <rv s="0">
    <fb>12513897</fb>
    <v>2</v>
  </rv>
  <rv s="0">
    <fb>45742</fb>
    <v>0</v>
  </rv>
  <rv s="0">
    <fb>70.02</fb>
    <v>1</v>
  </rv>
  <rv s="0">
    <fb>14482764</fb>
    <v>2</v>
  </rv>
  <rv s="0">
    <fb>45743</fb>
    <v>0</v>
  </rv>
  <rv s="0">
    <fb>70.739999999999995</fb>
    <v>1</v>
  </rv>
  <rv s="0">
    <fb>11663365</fb>
    <v>2</v>
  </rv>
  <rv s="0">
    <fb>45744</fb>
    <v>0</v>
  </rv>
  <rv s="0">
    <fb>70.37</fb>
    <v>1</v>
  </rv>
  <rv s="0">
    <fb>17412915</fb>
    <v>2</v>
  </rv>
  <rv s="0">
    <fb>45747</fb>
    <v>0</v>
  </rv>
  <rv s="0">
    <fb>71.62</fb>
    <v>1</v>
  </rv>
  <rv s="0">
    <fb>24016866</fb>
    <v>2</v>
  </rv>
  <rv s="0">
    <fb>45748</fb>
    <v>0</v>
  </rv>
  <rv s="0">
    <fb>71.87</fb>
    <v>1</v>
  </rv>
  <rv s="0">
    <fb>15309146</fb>
    <v>2</v>
  </rv>
  <rv s="0">
    <fb>45749</fb>
    <v>0</v>
  </rv>
  <rv s="0">
    <fb>14606519</fb>
    <v>2</v>
  </rv>
  <rv s="0">
    <fb>45750</fb>
    <v>0</v>
  </rv>
  <rv s="0">
    <fb>73.180000000000007</fb>
    <v>1</v>
  </rv>
  <rv s="0">
    <fb>24959593</fb>
    <v>2</v>
  </rv>
  <rv s="0">
    <fb>45751</fb>
    <v>0</v>
  </rv>
  <rv s="0">
    <fb>69.930000000000007</fb>
    <v>1</v>
  </rv>
  <rv s="0">
    <fb>26517289</fb>
    <v>2</v>
  </rv>
  <rv s="0">
    <fb>45754</fb>
    <v>0</v>
  </rv>
  <rv s="0">
    <fb>68.37</fb>
    <v>1</v>
  </rv>
  <rv s="0">
    <fb>34258363</fb>
    <v>2</v>
  </rv>
  <rv s="0">
    <fb>45755</fb>
    <v>0</v>
  </rv>
  <rv s="0">
    <fb>68.42</fb>
    <v>1</v>
  </rv>
  <rv s="0">
    <fb>22774425</fb>
    <v>2</v>
  </rv>
  <rv s="0">
    <fb>45756</fb>
    <v>0</v>
  </rv>
  <rv s="0">
    <fb>69.95</fb>
    <v>1</v>
  </rv>
  <rv s="0">
    <fb>27918675</fb>
    <v>2</v>
  </rv>
  <rv s="0">
    <fb>45757</fb>
    <v>0</v>
  </rv>
  <rv s="0">
    <fb>70.760000000000005</fb>
    <v>1</v>
  </rv>
  <rv s="0">
    <fb>22450163</fb>
    <v>2</v>
  </rv>
  <rv s="0">
    <fb>45758</fb>
    <v>0</v>
  </rv>
  <rv s="0">
    <fb>19988203</fb>
    <v>2</v>
  </rv>
  <rv s="0">
    <fb>45761</fb>
    <v>0</v>
  </rv>
  <rv s="0">
    <fb>72.45</fb>
    <v>1</v>
  </rv>
  <rv s="0">
    <fb>13930207</fb>
    <v>2</v>
  </rv>
  <rv s="0">
    <fb>45762</fb>
    <v>0</v>
  </rv>
  <rv s="0">
    <fb>14965492</fb>
    <v>2</v>
  </rv>
  <rv s="0">
    <fb>45763</fb>
    <v>0</v>
  </rv>
  <rv s="0">
    <fb>71.680000000000007</fb>
    <v>1</v>
  </rv>
  <rv s="0">
    <fb>15276216</fb>
    <v>2</v>
  </rv>
  <rv s="0">
    <fb>45764</fb>
    <v>0</v>
  </rv>
  <rv s="0">
    <fb>73</fb>
    <v>1</v>
  </rv>
  <rv s="0">
    <fb>20754495</fb>
    <v>2</v>
  </rv>
  <rv s="0">
    <fb>45768</fb>
    <v>0</v>
  </rv>
  <rv s="0">
    <fb>72.77</fb>
    <v>1</v>
  </rv>
  <rv s="0">
    <fb>16037190</fb>
    <v>2</v>
  </rv>
  <rv s="0">
    <fb>45769</fb>
    <v>0</v>
  </rv>
  <rv s="0">
    <fb>73.900000000000006</fb>
    <v>1</v>
  </rv>
  <rv s="0">
    <fb>15613518</fb>
    <v>2</v>
  </rv>
  <rv s="0">
    <fb>45770</fb>
    <v>0</v>
  </rv>
  <rv s="0">
    <fb>73.3</fb>
    <v>1</v>
  </rv>
  <rv s="0">
    <fb>16353927</fb>
    <v>2</v>
  </rv>
  <rv s="0">
    <fb>45771</fb>
    <v>0</v>
  </rv>
  <rv s="0">
    <fb>72.52</fb>
    <v>1</v>
  </rv>
  <rv s="0">
    <fb>16893861</fb>
    <v>2</v>
  </rv>
  <rv s="0">
    <fb>45772</fb>
    <v>0</v>
  </rv>
  <rv s="0">
    <fb>71.91</fb>
    <v>1</v>
  </rv>
  <rv s="0">
    <fb>16315984</fb>
    <v>2</v>
  </rv>
  <rv s="0">
    <fb>45775</fb>
    <v>0</v>
  </rv>
  <rv s="0">
    <fb>15997495</fb>
    <v>2</v>
  </rv>
  <rv s="0">
    <fb>45776</fb>
    <v>0</v>
  </rv>
  <rv s="0">
    <fb>72.349999999999994</fb>
    <v>1</v>
  </rv>
  <rv s="0">
    <fb>16244057</fb>
    <v>2</v>
  </rv>
  <rv s="0">
    <fb>45777</fb>
    <v>0</v>
  </rv>
  <rv s="0">
    <fb>72.55</fb>
    <v>1</v>
  </rv>
  <rv s="0">
    <fb>21074652</fb>
    <v>2</v>
  </rv>
  <rv s="0">
    <fb>45778</fb>
    <v>0</v>
  </rv>
  <rv s="0">
    <fb>71.290000000000006</fb>
    <v>1</v>
  </rv>
  <rv s="0">
    <fb>18034163</fb>
    <v>2</v>
  </rv>
  <rv s="0">
    <fb>45779</fb>
    <v>0</v>
  </rv>
  <rv s="0">
    <fb>71.650000000000006</fb>
    <v>1</v>
  </rv>
  <rv s="0">
    <fb>12629593</fb>
    <v>2</v>
  </rv>
  <rv s="0">
    <fb>45782</fb>
    <v>0</v>
  </rv>
  <rv s="0">
    <fb>71.7</fb>
    <v>1</v>
  </rv>
  <rv s="0">
    <fb>11932687</fb>
    <v>2</v>
  </rv>
  <rv s="0">
    <fb>45783</fb>
    <v>0</v>
  </rv>
  <rv s="0">
    <fb>71.72</fb>
    <v>1</v>
  </rv>
  <rv s="0">
    <fb>12705475</fb>
    <v>2</v>
  </rv>
  <rv s="0">
    <fb>45784</fb>
    <v>0</v>
  </rv>
  <rv s="0">
    <fb>72.400000000000006</fb>
    <v>1</v>
  </rv>
  <rv s="0">
    <fb>15025786</fb>
    <v>2</v>
  </rv>
  <rv s="0">
    <fb>45785</fb>
    <v>0</v>
  </rv>
  <rv s="0">
    <fb>14371061</fb>
    <v>2</v>
  </rv>
  <rv s="0">
    <fb>45786</fb>
    <v>0</v>
  </rv>
  <rv s="0">
    <fb>11228947</fb>
    <v>2</v>
  </rv>
  <rv s="0">
    <fb>45789</fb>
    <v>0</v>
  </rv>
  <rv s="0">
    <fb>69.53</fb>
    <v>1</v>
  </rv>
  <rv s="0">
    <fb>21539013</fb>
    <v>2</v>
  </rv>
  <rv s="0">
    <fb>45790</fb>
    <v>0</v>
  </rv>
  <rv s="0">
    <fb>68.959999999999994</fb>
    <v>1</v>
  </rv>
  <rv s="0">
    <fb>14389053</fb>
    <v>2</v>
  </rv>
  <rv s="0">
    <fb>45791</fb>
    <v>0</v>
  </rv>
  <rv s="0">
    <fb>16286799</fb>
    <v>2</v>
  </rv>
  <rv s="0">
    <fb>45792</fb>
    <v>0</v>
  </rv>
  <rv s="0">
    <fb>71.61</fb>
    <v>1</v>
  </rv>
  <rv s="0">
    <fb>19817096</fb>
    <v>2</v>
  </rv>
  <rv s="0">
    <fb>45793</fb>
    <v>0</v>
  </rv>
  <rv s="0">
    <fb>72</fb>
    <v>1</v>
  </rv>
  <rv s="0">
    <fb>18441200</fb>
    <v>2</v>
  </rv>
  <rv s="0">
    <fb>45796</fb>
    <v>0</v>
  </rv>
  <rv s="0">
    <fb>71.930000000000007</fb>
    <v>1</v>
  </rv>
  <rv s="0">
    <fb>13282775</fb>
    <v>2</v>
  </rv>
  <rv s="0">
    <fb>45797</fb>
    <v>0</v>
  </rv>
  <rv s="0">
    <fb>71.69</fb>
    <v>1</v>
  </rv>
  <rv s="0">
    <fb>12137798</fb>
    <v>2</v>
  </rv>
  <rv s="0">
    <fb>45798</fb>
    <v>0</v>
  </rv>
  <rv s="0">
    <fb>12094424</fb>
    <v>2</v>
  </rv>
  <rv s="0">
    <fb>45799</fb>
    <v>0</v>
  </rv>
  <rv s="0">
    <fb>11101798</fb>
    <v>2</v>
  </rv>
  <rv s="0">
    <fb>45800</fb>
    <v>0</v>
  </rv>
  <rv s="0">
    <fb>71.77</fb>
    <v>1</v>
  </rv>
  <rv s="0">
    <fb>12822145</fb>
    <v>2</v>
  </rv>
  <rv s="0">
    <fb>45804</fb>
    <v>0</v>
  </rv>
  <rv s="0">
    <fb>71.78</fb>
    <v>1</v>
  </rv>
  <rv s="0">
    <fb>10666102</fb>
    <v>2</v>
  </rv>
  <rv s="0">
    <fb>45805</fb>
    <v>0</v>
  </rv>
  <rv s="0">
    <fb>71.150000000000006</fb>
    <v>1</v>
  </rv>
  <rv s="0">
    <fb>8710896</fb>
    <v>2</v>
  </rv>
  <rv s="0">
    <fb>45806</fb>
    <v>0</v>
  </rv>
  <rv s="0">
    <fb>10294095</fb>
    <v>2</v>
  </rv>
  <rv s="0">
    <fb>45807</fb>
    <v>0</v>
  </rv>
  <rv s="0">
    <fb>28019547</fb>
    <v>2</v>
  </rv>
  <rv s="0">
    <fb>45810</fb>
    <v>0</v>
  </rv>
  <rv s="0">
    <fb>10202737</fb>
    <v>2</v>
  </rv>
  <rv s="0">
    <fb>45811</fb>
    <v>0</v>
  </rv>
  <rv s="0">
    <fb>71.16</fb>
    <v>1</v>
  </rv>
  <rv s="0">
    <fb>20139767</fb>
    <v>2</v>
  </rv>
  <rv s="0">
    <fb>45812</fb>
    <v>0</v>
  </rv>
  <rv s="0">
    <fb>71.37</fb>
    <v>1</v>
  </rv>
  <rv s="0">
    <fb>13565891</fb>
    <v>2</v>
  </rv>
  <rv s="0">
    <fb>45813</fb>
    <v>0</v>
  </rv>
  <rv s="0">
    <fb>70.91</fb>
    <v>1</v>
  </rv>
  <rv s="0">
    <fb>13535619</fb>
    <v>2</v>
  </rv>
  <rv s="0">
    <fb>45814</fb>
    <v>0</v>
  </rv>
  <rv s="0">
    <fb>9524036</fb>
    <v>2</v>
  </rv>
  <rv s="0">
    <fb>45817</fb>
    <v>0</v>
  </rv>
  <rv s="0">
    <fb>12281339</fb>
    <v>2</v>
  </rv>
  <rv s="0">
    <fb>45818</fb>
    <v>0</v>
  </rv>
  <rv s="0">
    <fb>12264972</fb>
    <v>2</v>
  </rv>
  <rv s="0">
    <fb>45819</fb>
    <v>0</v>
  </rv>
  <rv s="0">
    <fb>72.069999999999993</fb>
    <v>1</v>
  </rv>
  <rv s="0">
    <fb>12718510</fb>
    <v>2</v>
  </rv>
  <rv s="0">
    <fb>45820</fb>
    <v>0</v>
  </rv>
  <rv s="0">
    <fb>72.239999999999995</fb>
    <v>1</v>
  </rv>
  <rv s="0">
    <fb>12806911</fb>
    <v>2</v>
  </rv>
  <rv s="0">
    <fb>45821</fb>
    <v>0</v>
  </rv>
  <rv s="0">
    <fb>71.02</fb>
    <v>1</v>
  </rv>
  <rv s="0">
    <fb>17467162</fb>
    <v>2</v>
  </rv>
  <rv s="0">
    <fb>45824</fb>
    <v>0</v>
  </rv>
  <rv s="0">
    <fb>15045880</fb>
    <v>2</v>
  </rv>
  <rv s="0">
    <fb>45825</fb>
    <v>0</v>
  </rv>
  <rv s="0">
    <fb>15437032</fb>
    <v>2</v>
  </rv>
  <rv s="0">
    <fb>45826</fb>
    <v>0</v>
  </rv>
  <rv s="0">
    <fb>69.209999999999994</fb>
    <v>1</v>
  </rv>
  <rv s="0">
    <fb>16227582</fb>
    <v>2</v>
  </rv>
  <rv s="0">
    <fb>45828</fb>
    <v>0</v>
  </rv>
  <rv s="0">
    <fb>68.84</fb>
    <v>1</v>
  </rv>
  <rv s="0">
    <fb>40859425</fb>
    <v>2</v>
  </rv>
  <rv s="0">
    <fb>45831</fb>
    <v>0</v>
  </rv>
  <rv s="0">
    <fb>69.739999999999995</fb>
    <v>1</v>
  </rv>
  <rv s="0">
    <fb>21822773</fb>
    <v>2</v>
  </rv>
  <rv s="0">
    <fb>45832</fb>
    <v>0</v>
  </rv>
  <rv s="0">
    <fb>70.209999999999994</fb>
    <v>1</v>
  </rv>
  <rv s="0">
    <fb>15216084</fb>
    <v>2</v>
  </rv>
  <rv s="0">
    <fb>45833</fb>
    <v>0</v>
  </rv>
  <rv s="0">
    <fb>69.63</fb>
    <v>1</v>
  </rv>
  <rv s="0">
    <fb>12540374</fb>
    <v>2</v>
  </rv>
  <rv s="0">
    <fb>45834</fb>
    <v>0</v>
  </rv>
  <rv s="0">
    <fb>69.47</fb>
    <v>1</v>
  </rv>
  <rv s="0">
    <fb>14454090</fb>
    <v>2</v>
  </rv>
  <rv s="0">
    <fb>45835</fb>
    <v>0</v>
  </rv>
  <rv s="0">
    <fb>70.33</fb>
    <v>1</v>
  </rv>
  <rv s="0">
    <fb>23470691</fb>
    <v>2</v>
  </rv>
  <rv s="0">
    <fb>45838</fb>
    <v>0</v>
  </rv>
  <rv s="0">
    <fb>70.75</fb>
    <v>1</v>
  </rv>
  <rv s="0">
    <fb>15428966</fb>
    <v>2</v>
  </rv>
  <rv s="0">
    <fb>45839</fb>
    <v>0</v>
  </rv>
  <rv s="0">
    <fb>71.67</fb>
    <v>1</v>
  </rv>
  <rv s="0">
    <fb>21729276</fb>
    <v>2</v>
  </rv>
  <rv s="0">
    <fb>45840</fb>
    <v>0</v>
  </rv>
  <rv s="0">
    <fb>13050239</fb>
    <v>2</v>
  </rv>
  <rv s="0">
    <fb>45841</fb>
    <v>0</v>
  </rv>
  <rv s="0">
    <fb>9440457</fb>
    <v>2</v>
  </rv>
  <rv s="0">
    <fb>45845</fb>
    <v>0</v>
  </rv>
  <rv s="0">
    <fb>16984675</fb>
    <v>2</v>
  </rv>
  <rv s="0">
    <fb>45846</fb>
    <v>0</v>
  </rv>
  <rv s="0">
    <fb>70.239999999999995</fb>
    <v>1</v>
  </rv>
  <rv s="0">
    <fb>17115521</fb>
    <v>2</v>
  </rv>
  <rv s="0">
    <fb>45847</fb>
    <v>0</v>
  </rv>
  <rv s="0">
    <fb>69.48</fb>
    <v>1</v>
  </rv>
  <rv s="0">
    <fb>33704119</fb>
    <v>2</v>
  </rv>
  <rv s="0">
    <fb>45848</fb>
    <v>0</v>
  </rv>
  <rv s="0">
    <fb>69.77</fb>
    <v>1</v>
  </rv>
  <rv s="0">
    <fb>14615046</fb>
    <v>2</v>
  </rv>
  <rv s="0">
    <fb>45849</fb>
    <v>0</v>
  </rv>
  <rv s="0">
    <fb>69.87</fb>
    <v>1</v>
  </rv>
  <rv s="0">
    <fb>12916670</fb>
    <v>2</v>
  </rv>
  <rv s="0">
    <fb>45852</fb>
    <v>0</v>
  </rv>
  <rv s="0">
    <fb>13983246</fb>
    <v>2</v>
  </rv>
  <rv s="0">
    <fb>45853</fb>
    <v>0</v>
  </rv>
  <rv s="0">
    <fb>69.36</fb>
    <v>1</v>
  </rv>
  <rv s="0">
    <fb>12639808</fb>
    <v>2</v>
  </rv>
  <rv s="0">
    <fb>45854</fb>
    <v>0</v>
  </rv>
  <rv s="0">
    <fb>69.27</fb>
    <v>1</v>
  </rv>
  <rv s="0">
    <fb>13178292</fb>
    <v>2</v>
  </rv>
  <rv s="0">
    <fb>45855</fb>
    <v>0</v>
  </rv>
  <rv s="0">
    <fb>20464657</fb>
    <v>2</v>
  </rv>
  <rv s="0">
    <fb>45856</fb>
    <v>0</v>
  </rv>
  <rv s="0">
    <fb>69.849999999999994</fb>
    <v>1</v>
  </rv>
  <rv s="0">
    <fb>14927950</fb>
    <v>2</v>
  </rv>
  <rv s="0">
    <fb>45859</fb>
    <v>0</v>
  </rv>
  <rv s="0">
    <fb>17811719</fb>
    <v>2</v>
  </rv>
  <rv s="0">
    <fb>45860</fb>
    <v>0</v>
  </rv>
  <rv s="0">
    <fb>69.66</fb>
    <v>1</v>
  </rv>
  <rv s="0">
    <fb>22339884</fb>
    <v>2</v>
  </rv>
  <rv s="0">
    <fb>45861</fb>
    <v>0</v>
  </rv>
  <rv s="0">
    <fb>21029993</fb>
    <v>2</v>
  </rv>
  <rv s="0">
    <fb>45862</fb>
    <v>0</v>
  </rv>
  <rv s="0">
    <fb>69.099999999999994</fb>
    <v>1</v>
  </rv>
  <rv s="0">
    <fb>12511367</fb>
    <v>2</v>
  </rv>
  <rv s="0">
    <fb>45863</fb>
    <v>0</v>
  </rv>
  <rv s="0">
    <fb>69.17</fb>
    <v>1</v>
  </rv>
  <rv s="0">
    <fb>12574823</fb>
    <v>2</v>
  </rv>
  <rv s="0">
    <fb>45866</fb>
    <v>0</v>
  </rv>
  <rv s="0">
    <fb>68.09</fb>
    <v>1</v>
  </rv>
  <rv s="0">
    <fb>13668798</fb>
    <v>2</v>
  </rv>
  <rv s="0">
    <fb>45867</fb>
    <v>0</v>
  </rv>
  <rv s="0">
    <fb>16223379</fb>
    <v>2</v>
  </rv>
  <rv s="0">
    <fb>45868</fb>
    <v>0</v>
  </rv>
  <rv s="0">
    <fb>68.75</fb>
    <v>1</v>
  </rv>
  <rv s="0">
    <fb>10448179</fb>
    <v>2</v>
  </rv>
  <rv s="0">
    <fb>45869</fb>
    <v>0</v>
  </rv>
  <rv s="0">
    <fb>67.89</fb>
    <v>1</v>
  </rv>
  <rv s="0">
    <fb>17193418</fb>
    <v>2</v>
  </rv>
  <rv s="0">
    <fb>45870</fb>
    <v>0</v>
  </rv>
  <rv s="0">
    <fb>68.86</fb>
    <v>1</v>
  </rv>
  <rv s="0">
    <fb>16107506</fb>
    <v>2</v>
  </rv>
  <rv s="0">
    <fb>45873</fb>
    <v>0</v>
  </rv>
  <rv s="0">
    <fb>10701525</fb>
    <v>2</v>
  </rv>
  <rv s="0">
    <fb>45874</fb>
    <v>0</v>
  </rv>
  <rv s="0">
    <fb>11993391</fb>
    <v>2</v>
  </rv>
  <rv s="0">
    <fb>45875</fb>
    <v>0</v>
  </rv>
  <rv s="0">
    <fb>69.510000000000005</fb>
    <v>1</v>
  </rv>
  <rv s="0">
    <fb>10782977</fb>
    <v>2</v>
  </rv>
  <rv s="0">
    <fb>45876</fb>
    <v>0</v>
  </rv>
  <rv s="0">
    <fb>70.430000000000007</fb>
    <v>1</v>
  </rv>
  <rv s="0">
    <fb>15790802</fb>
    <v>2</v>
  </rv>
  <rv s="0">
    <fb>45877</fb>
    <v>0</v>
  </rv>
  <rv s="0">
    <fb>9232651</fb>
    <v>2</v>
  </rv>
  <rv s="0">
    <fb>45880</fb>
    <v>0</v>
  </rv>
  <rv s="0">
    <fb>10909371</fb>
    <v>2</v>
  </rv>
  <rv s="0">
    <fb>45881</fb>
    <v>0</v>
  </rv>
  <rv s="0">
    <fb>70.709999999999994</fb>
    <v>1</v>
  </rv>
  <rv s="0">
    <fb>11065044</fb>
    <v>2</v>
  </rv>
  <rv s="0">
    <fb>45882</fb>
    <v>0</v>
  </rv>
  <rv s="0">
    <fb>10356518</fb>
    <v>2</v>
  </rv>
  <rv s="0">
    <fb>45883</fb>
    <v>0</v>
  </rv>
  <rv s="0">
    <fb>69.55</fb>
    <v>1</v>
  </rv>
  <rv s="0">
    <fb>10722373</fb>
    <v>2</v>
  </rv>
  <rv s="0">
    <fb>45884</fb>
    <v>0</v>
  </rv>
  <rv s="0">
    <fb>69.92</fb>
    <v>1</v>
  </rv>
  <rv s="0">
    <fb>12381112</fb>
    <v>2</v>
  </rv>
  <rv s="0">
    <fb>45887</fb>
    <v>0</v>
  </rv>
  <rv s="0">
    <fb>69.13</fb>
    <v>1</v>
  </rv>
  <rv s="0">
    <fb>14094881</fb>
    <v>2</v>
  </rv>
  <rv s="0">
    <fb>45888</fb>
    <v>0</v>
  </rv>
  <rv s="0">
    <fb>70.13</fb>
    <v>1</v>
  </rv>
  <rv s="0">
    <fb>13862214</fb>
    <v>2</v>
  </rv>
  <rv s="0">
    <fb>45889</fb>
    <v>0</v>
  </rv>
  <rv s="0">
    <fb>70.7</fb>
    <v>1</v>
  </rv>
  <rv s="0">
    <fb>17530847</fb>
    <v>2</v>
  </rv>
  <rv s="0">
    <fb>45890</fb>
    <v>0</v>
  </rv>
  <rv s="0">
    <fb>70.66</fb>
    <v>1</v>
  </rv>
  <rv s="0">
    <fb>8840427</fb>
    <v>2</v>
  </rv>
  <rv s="0">
    <fb>45891</fb>
    <v>0</v>
  </rv>
  <rv s="0">
    <fb>12999606</fb>
    <v>2</v>
  </rv>
  <rv s="0">
    <fb>45894</fb>
    <v>0</v>
  </rv>
  <rv s="0">
    <fb>68.930000000000007</fb>
    <v>1</v>
  </rv>
  <rv s="0">
    <fb>13634562</fb>
    <v>2</v>
  </rv>
  <rv s="0">
    <fb>45895</fb>
    <v>0</v>
  </rv>
  <rv s="0">
    <fb>17964231</fb>
    <v>2</v>
  </rv>
  <rv s="0">
    <fb>45896</fb>
    <v>0</v>
  </rv>
  <rv s="0">
    <fb>68.83</fb>
    <v>1</v>
  </rv>
  <rv s="0">
    <fb>11562741</fb>
    <v>2</v>
  </rv>
  <rv s="0">
    <fb>45897</fb>
    <v>0</v>
  </rv>
  <rv s="0">
    <fb>68.36</fb>
    <v>1</v>
  </rv>
  <rv s="0">
    <fb>16209870</fb>
    <v>2</v>
  </rv>
  <rv s="0">
    <fb>45898</fb>
    <v>0</v>
  </rv>
  <rv s="0">
    <fb>68.989999999999995</fb>
    <v>1</v>
  </rv>
  <rv s="0">
    <fb>14601094</fb>
    <v>2</v>
  </rv>
  <rv s="0">
    <fb>45902</fb>
    <v>0</v>
  </rv>
  <rv s="0">
    <fb>69.06</fb>
    <v>1</v>
  </rv>
  <rv s="0">
    <fb>24770073</fb>
    <v>2</v>
  </rv>
  <rv s="0">
    <fb>45903</fb>
    <v>0</v>
  </rv>
  <rv s="0">
    <fb>33581491</fb>
    <v>2</v>
  </rv>
  <rv s="0">
    <fb>45904</fb>
    <v>0</v>
  </rv>
  <rv s="0">
    <fb>68.25</fb>
    <v>1</v>
  </rv>
  <rv s="0">
    <fb>16736009</fb>
    <v>2</v>
  </rv>
  <rv s="0">
    <fb>45905</fb>
    <v>0</v>
  </rv>
  <rv s="0">
    <fb>23977995</fb>
    <v>2</v>
  </rv>
  <rv s="0">
    <fb>45908</fb>
    <v>0</v>
  </rv>
  <rv s="0">
    <fb>67.430000000000007</fb>
    <v>1</v>
  </rv>
  <rv s="0">
    <fb>21671747</fb>
    <v>2</v>
  </rv>
  <rv s="0">
    <fb>45909</fb>
    <v>0</v>
  </rv>
  <rv s="0">
    <fb>67.86</fb>
    <v>1</v>
  </rv>
  <rv s="0">
    <fb>14120570</fb>
    <v>2</v>
  </rv>
  <rv s="0">
    <fb>45910</fb>
    <v>0</v>
  </rv>
  <rv s="0">
    <fb>67.819999999999993</fb>
    <v>1</v>
  </rv>
  <rv s="0">
    <fb>16041934</fb>
    <v>2</v>
  </rv>
  <rv s="0">
    <fb>45911</fb>
    <v>0</v>
  </rv>
  <rv s="0">
    <fb>67.62</fb>
    <v>1</v>
  </rv>
  <rv s="0">
    <fb>15128731</fb>
    <v>2</v>
  </rv>
  <rv s="0">
    <fb>45912</fb>
    <v>0</v>
  </rv>
  <rv s="0">
    <fb>67.010000000000005</fb>
    <v>1</v>
  </rv>
  <rv s="0">
    <fb>18712351</fb>
    <v>2</v>
  </rv>
  <rv s="0">
    <fb>45915</fb>
    <v>0</v>
  </rv>
  <rv s="0">
    <fb>66.209999999999994</fb>
    <v>1</v>
  </rv>
  <rv s="0">
    <fb>15986132</fb>
    <v>2</v>
  </rv>
  <rv s="0">
    <fb>45916</fb>
    <v>0</v>
  </rv>
  <rv s="0">
    <fb>66.239999999999995</fb>
    <v>1</v>
  </rv>
  <rv s="0">
    <fb>18555912</fb>
    <v>2</v>
  </rv>
  <rv s="0">
    <fb>45917</fb>
    <v>0</v>
  </rv>
  <rv s="0">
    <fb>67.040000000000006</fb>
    <v>1</v>
  </rv>
  <rv s="0">
    <fb>17372334</fb>
    <v>2</v>
  </rv>
  <rv s="0">
    <fb>45918</fb>
    <v>0</v>
  </rv>
  <rv s="0">
    <fb>66.459999999999994</fb>
    <v>1</v>
  </rv>
  <rv s="0">
    <fb>17722919</fb>
    <v>2</v>
  </rv>
  <rv s="0">
    <fb>45919</fb>
    <v>0</v>
  </rv>
  <rv s="0">
    <fb>66.430000000000007</fb>
    <v>1</v>
  </rv>
  <rv s="0">
    <fb>31192851</fb>
    <v>2</v>
  </rv>
  <rv s="0">
    <fb>45922</fb>
    <v>0</v>
  </rv>
  <rv s="0">
    <fb>13298742</fb>
    <v>2</v>
  </rv>
  <rv s="0">
    <fb>45923</fb>
    <v>0</v>
  </rv>
  <rv s="0">
    <fb>66.709999999999994</fb>
    <v>1</v>
  </rv>
  <rv s="0">
    <fb>15072791</fb>
    <v>2</v>
  </rv>
  <rv s="0">
    <fb>45924</fb>
    <v>0</v>
  </rv>
  <rv s="0">
    <fb>66.45</fb>
    <v>1</v>
  </rv>
  <rv s="0">
    <fb>14759294</fb>
    <v>2</v>
  </rv>
  <rv s="0">
    <fb>45925</fb>
    <v>0</v>
  </rv>
  <rv s="0">
    <fb>65.98</fb>
    <v>1</v>
  </rv>
  <rv s="0">
    <fb>14395010</fb>
    <v>2</v>
  </rv>
  <rv s="0">
    <fb>45926</fb>
    <v>0</v>
  </rv>
  <rv s="0">
    <fb>65.67</fb>
    <v>1</v>
  </rv>
  <rv s="0">
    <fb>17821566</fb>
    <v>2</v>
  </rv>
  <rv s="0">
    <fb>45929</fb>
    <v>0</v>
  </rv>
  <rv s="0">
    <fb>66.040000000000006</fb>
    <v>1</v>
  </rv>
  <rv s="0">
    <fb>14818531</fb>
    <v>2</v>
  </rv>
  <rv s="0">
    <fb>45930</fb>
    <v>0</v>
  </rv>
  <rv s="0">
    <fb>66.319999999999993</fb>
    <v>1</v>
  </rv>
  <rv s="0">
    <fb>13814992</fb>
    <v>2</v>
  </rv>
  <rv s="0">
    <fb>45931</fb>
    <v>0</v>
  </rv>
  <rv s="0">
    <fb>66.78</fb>
    <v>1</v>
  </rv>
  <rv s="0">
    <fb>14877538</fb>
    <v>2</v>
  </rv>
  <rv s="0">
    <fb>45932</fb>
    <v>0</v>
  </rv>
  <rv s="0">
    <fb>66.099999999999994</fb>
    <v>1</v>
  </rv>
  <rv s="0">
    <fb>14350722</fb>
    <v>2</v>
  </rv>
  <rv s="0">
    <fb>45933</fb>
    <v>0</v>
  </rv>
  <rv s="0">
    <fb>66.650000000000006</fb>
    <v>1</v>
  </rv>
  <rv s="0">
    <fb>12249240</fb>
    <v>2</v>
  </rv>
  <rv s="0">
    <fb>45936</fb>
    <v>0</v>
  </rv>
  <rv s="0">
    <fb>14333320</fb>
    <v>2</v>
  </rv>
  <rv s="0">
    <fb>45937</fb>
    <v>0</v>
  </rv>
  <rv s="0">
    <fb>66.790000000000006</fb>
    <v>1</v>
  </rv>
  <rv s="0">
    <fb>13328270</fb>
    <v>2</v>
  </rv>
  <rv s="0">
    <fb>45938</fb>
    <v>0</v>
  </rv>
  <rv s="0">
    <fb>66.12</fb>
    <v>1</v>
  </rv>
  <rv s="0">
    <fb>12606677</fb>
    <v>2</v>
  </rv>
  <rv s="0">
    <fb>45939</fb>
    <v>0</v>
  </rv>
  <rv s="0">
    <fb>66.37</fb>
    <v>1</v>
  </rv>
  <rv s="0">
    <fb>12705190</fb>
    <v>2</v>
  </rv>
  <rv s="0">
    <fb>45940</fb>
    <v>0</v>
  </rv>
  <rv s="0">
    <fb>17991744</fb>
    <v>2</v>
  </rv>
  <rv s="0">
    <fb>45943</fb>
    <v>0</v>
  </rv>
  <rv s="0">
    <fb>66.8</fb>
    <v>1</v>
  </rv>
  <rv s="0">
    <fb>13690029</fb>
    <v>2</v>
  </rv>
  <rv s="0">
    <fb>45944</fb>
    <v>0</v>
  </rv>
  <rv s="0">
    <fb>67.510000000000005</fb>
    <v>1</v>
  </rv>
  <rv s="0">
    <fb>14245564</fb>
    <v>2</v>
  </rv>
  <rv s="0">
    <fb>45945</fb>
    <v>0</v>
  </rv>
  <rv s="0">
    <fb>67.08</fb>
    <v>1</v>
  </rv>
  <rv s="0">
    <fb>11193715</fb>
    <v>2</v>
  </rv>
  <rv s="0">
    <fb>45946</fb>
    <v>0</v>
  </rv>
  <rv s="0">
    <fb>67.59</fb>
    <v>1</v>
  </rv>
  <rv s="0">
    <fb>15707226</fb>
    <v>2</v>
  </rv>
  <rv s="0">
    <fb>45947</fb>
    <v>0</v>
  </rv>
  <rv s="0">
    <fb>68.44</fb>
    <v>1</v>
  </rv>
  <rv s="0">
    <fb>15541769</fb>
    <v>2</v>
  </rv>
  <rv s="0">
    <fb>45950</fb>
    <v>0</v>
  </rv>
  <rv s="0">
    <fb>17786778</fb>
    <v>2</v>
  </rv>
  <rv s="0">
    <fb>45951</fb>
    <v>0</v>
  </rv>
  <rv s="0">
    <fb>71.22</fb>
    <v>1</v>
  </rv>
  <rv s="0">
    <fb>33651302</fb>
    <v>2</v>
  </rv>
  <rv s="0">
    <fb>45952</fb>
    <v>0</v>
  </rv>
  <rv s="0">
    <fb>70.81</fb>
    <v>1</v>
  </rv>
  <rv s="0">
    <fb>18292950</fb>
    <v>2</v>
  </rv>
  <rv s="0">
    <fb>45953</fb>
    <v>0</v>
  </rv>
  <rv s="0">
    <fb>13989414</fb>
    <v>2</v>
  </rv>
  <rv s="0">
    <fb>45954</fb>
    <v>0</v>
  </rv>
  <rv s="0">
    <fb>15688202</fb>
    <v>2</v>
  </rv>
  <rv s="0">
    <fb>45957</fb>
    <v>0</v>
  </rv>
  <rv s="0">
    <fb>70.06</fb>
    <v>1</v>
  </rv>
  <rv s="0">
    <fb>13800049</fb>
    <v>2</v>
  </rv>
  <rv s="0">
    <fb>45958</fb>
    <v>0</v>
  </rv>
  <rv s="0">
    <fb>70.16</fb>
    <v>1</v>
  </rv>
  <rv s="0">
    <fb>12730493</fb>
    <v>2</v>
  </rv>
  <rv s="0">
    <fb>45959</fb>
    <v>0</v>
  </rv>
  <rv s="0">
    <fb>68.349999999999994</fb>
    <v>1</v>
  </rv>
  <rv s="0">
    <fb>19789610</fb>
    <v>2</v>
  </rv>
  <rv s="0">
    <fb>45960</fb>
    <v>0</v>
  </rv>
  <rv s="0">
    <fb>14751735</fb>
    <v>2</v>
  </rv>
  <rv s="0">
    <fb>45961</fb>
    <v>0</v>
  </rv>
  <rv s="0">
    <fb>68.900000000000006</fb>
    <v>1</v>
  </rv>
  <rv s="0">
    <fb>16742681</fb>
    <v>2</v>
  </rv>
  <rv s="0">
    <fb>45964</fb>
    <v>0</v>
  </rv>
  <rv s="0">
    <fb>67.97</fb>
    <v>1</v>
  </rv>
  <rv s="0">
    <fb>15660354</fb>
    <v>2</v>
  </rv>
  <rv s="0">
    <fb>45965</fb>
    <v>0</v>
  </rv>
  <rv s="0">
    <fb>68.66</fb>
    <v>1</v>
  </rv>
  <rv s="0">
    <fb>12743781</fb>
    <v>2</v>
  </rv>
  <rv s="0">
    <fb>45966</fb>
    <v>0</v>
  </rv>
  <rv s="0">
    <fb>68.510000000000005</fb>
    <v>1</v>
  </rv>
  <rv s="0">
    <fb>12850125</fb>
    <v>2</v>
  </rv>
  <rv s="0">
    <fb>45967</fb>
    <v>0</v>
  </rv>
  <rv s="0">
    <fb>15906651</fb>
    <v>2</v>
  </rv>
  <rv s="0">
    <fb>45968</fb>
    <v>0</v>
  </rv>
  <rv s="0">
    <fb>70.55</fb>
    <v>1</v>
  </rv>
  <rv s="0">
    <fb>25108308</fb>
    <v>2</v>
  </rv>
  <rv s="0">
    <fb>45971</fb>
    <v>0</v>
  </rv>
  <rv s="0">
    <fb>15317986</fb>
    <v>2</v>
  </rv>
  <rv s="0">
    <fb>45972</fb>
    <v>0</v>
  </rv>
  <rv s="0">
    <fb>16160212</fb>
    <v>2</v>
  </rv>
  <rv s="0">
    <fb>45973</fb>
    <v>0</v>
  </rv>
  <rv s="0">
    <fb>71.510000000000005</fb>
    <v>1</v>
  </rv>
  <rv s="0">
    <fb>13612613</fb>
    <v>2</v>
  </rv>
  <rv s="0">
    <fb>45974</fb>
    <v>0</v>
  </rv>
  <rv s="0">
    <fb>71.069999999999993</fb>
    <v>1</v>
  </rv>
  <rv s="0">
    <fb>14002824</fb>
    <v>2</v>
  </rv>
  <rv s="0">
    <fb>45975</fb>
    <v>0</v>
  </rv>
  <rv s="0">
    <fb>13172016</fb>
    <v>2</v>
  </rv>
  <rv s="0">
    <fb>45978</fb>
    <v>0</v>
  </rv>
  <rv s="0">
    <fb>70.680000000000007</fb>
    <v>1</v>
  </rv>
  <rv s="0">
    <fb>14772285</fb>
    <v>2</v>
  </rv>
  <rv s="0">
    <fb>45979</fb>
    <v>0</v>
  </rv>
  <rv s="0">
    <fb>12838923</fb>
    <v>2</v>
  </rv>
  <rv s="0">
    <fb>45980</fb>
    <v>0</v>
  </rv>
  <rv s="0">
    <fb>71.11</fb>
    <v>1</v>
  </rv>
  <rv s="0">
    <fb>12401529</fb>
    <v>2</v>
  </rv>
  <rv s="0">
    <fb>45981</fb>
    <v>0</v>
  </rv>
  <rv s="0">
    <fb>15396543</fb>
    <v>2</v>
  </rv>
  <rv s="0">
    <fb>45982</fb>
    <v>0</v>
  </rv>
  <rv s="0">
    <fb>72.95</fb>
    <v>1</v>
  </rv>
  <rv s="0">
    <fb>26492529</fb>
    <v>2</v>
  </rv>
  <rv s="0">
    <fb>45985</fb>
    <v>0</v>
  </rv>
  <rv s="0">
    <fb>72.59</fb>
    <v>1</v>
  </rv>
  <rv s="0">
    <fb>39818553</fb>
    <v>2</v>
  </rv>
  <rv s="0">
    <fb>45986</fb>
    <v>0</v>
  </rv>
  <rv s="0">
    <fb>72.61</fb>
    <v>1</v>
  </rv>
  <rv s="0">
    <fb>17451155</fb>
    <v>2</v>
  </rv>
  <rv s="0">
    <fb>45987</fb>
    <v>0</v>
  </rv>
  <rv s="0">
    <fb>72.88</fb>
    <v>1</v>
  </rv>
  <rv s="0">
    <fb>11795061</fb>
    <v>2</v>
  </rv>
  <rv s="0">
    <fb>45989</fb>
    <v>0</v>
  </rv>
  <rv s="0">
    <fb>73.12</fb>
    <v>1</v>
  </rv>
  <rv s="0">
    <fb>7423049</fb>
    <v>2</v>
  </rv>
  <rv s="0">
    <fb>45992</fb>
    <v>0</v>
  </rv>
  <rv s="0">
    <fb>71.95</fb>
    <v>1</v>
  </rv>
  <rv s="0">
    <fb>14388075</fb>
    <v>2</v>
  </rv>
  <rv s="0">
    <fb>45993</fb>
    <v>0</v>
  </rv>
  <rv s="0">
    <fb>70.67</fb>
    <v>1</v>
  </rv>
  <rv s="0">
    <fb>19871302</fb>
    <v>2</v>
  </rv>
  <rv s="0">
    <fb>45994</fb>
    <v>0</v>
  </rv>
  <rv s="0">
    <fb>17001667</fb>
    <v>2</v>
  </rv>
  <rv s="0">
    <fb>45995</fb>
    <v>0</v>
  </rv>
  <rv s="0">
    <fb>70.45</fb>
    <v>1</v>
  </rv>
  <rv s="0">
    <fb>17710032</fb>
    <v>2</v>
  </rv>
  <rv s="0">
    <fb>45996</fb>
    <v>0</v>
  </rv>
  <rv s="0">
    <fb>70</fb>
    <v>1</v>
  </rv>
  <rv s="0">
    <fb>13978242</fb>
    <v>2</v>
  </rv>
  <rv s="0">
    <fb>45999</fb>
    <v>0</v>
  </rv>
  <rv s="0">
    <fb>70.25</fb>
    <v>1</v>
  </rv>
  <rv s="0">
    <fb>17775097</fb>
    <v>2</v>
  </rv>
  <rv s="0">
    <fb>46000</fb>
    <v>0</v>
  </rv>
  <rv s="0">
    <fb>70.09</fb>
    <v>1</v>
  </rv>
  <rv s="0">
    <fb>13010623</fb>
    <v>2</v>
  </rv>
  <rv s="0">
    <fb>46001</fb>
    <v>0</v>
  </rv>
  <rv s="0">
    <fb>29789356</fb>
    <v>2</v>
  </rv>
  <rv s="0">
    <fb>46002</fb>
    <v>0</v>
  </rv>
  <rv s="0">
    <fb>69.11</fb>
    <v>1</v>
  </rv>
  <rv s="0">
    <fb>23124157</fb>
    <v>2</v>
  </rv>
  <rv s="0">
    <fb>46003</fb>
    <v>0</v>
  </rv>
  <rv s="0">
    <fb>18444506</fb>
    <v>2</v>
  </rv>
  <rv s="0">
    <fb>46006</fb>
    <v>0</v>
  </rv>
  <rv s="0">
    <fb>70.97</fb>
    <v>1</v>
  </rv>
  <rv s="0">
    <fb>18660053</fb>
    <v>2</v>
  </rv>
  <rv s="0">
    <fb>46007</fb>
    <v>0</v>
  </rv>
  <rv s="0">
    <fb>17370016</fb>
    <v>2</v>
  </rv>
  <rv s="0">
    <fb>46008</fb>
    <v>0</v>
  </rv>
  <rv s="0">
    <fb>13672698</fb>
    <v>2</v>
  </rv>
  <rv s="0">
    <fb>46009</fb>
    <v>0</v>
  </rv>
  <rv s="0">
    <fb>70.36</fb>
    <v>1</v>
  </rv>
  <rv s="0">
    <fb>15524801</fb>
    <v>2</v>
  </rv>
  <rv s="0">
    <fb>46010</fb>
    <v>0</v>
  </rv>
  <rv s="0">
    <fb>36911057</fb>
    <v>2</v>
  </rv>
  <rv s="0">
    <fb>46013</fb>
    <v>0</v>
  </rv>
  <rv s="0">
    <fb>12828517</fb>
    <v>2</v>
  </rv>
  <rv s="0">
    <fb>46014</fb>
    <v>0</v>
  </rv>
  <rv s="0">
    <fb>9471036</fb>
    <v>2</v>
  </rv>
  <rv s="0">
    <fb>46015</fb>
    <v>0</v>
  </rv>
  <rv s="0">
    <fb>70.11</fb>
    <v>1</v>
  </rv>
  <rv s="0">
    <fb>4515327</fb>
    <v>2</v>
  </rv>
  <rv s="0">
    <fb>46017</fb>
    <v>0</v>
  </rv>
  <rv s="0">
    <fb>5711350</fb>
    <v>2</v>
  </rv>
  <rv s="0">
    <fb>46020</fb>
    <v>0</v>
  </rv>
  <rv s="0">
    <fb>9686936</fb>
    <v>2</v>
  </rv>
  <rv s="0">
    <fb>46021</fb>
    <v>0</v>
  </rv>
  <rv s="0">
    <fb>8610896</fb>
    <v>2</v>
  </rv>
  <rv s="0">
    <fb>46022</fb>
    <v>0</v>
  </rv>
  <rv s="0">
    <fb>69.91</fb>
    <v>1</v>
  </rv>
  <rv s="0">
    <fb>8127801</fb>
    <v>2</v>
  </rv>
  <rv s="0">
    <fb>46024</fb>
    <v>0</v>
  </rv>
  <rv s="0">
    <fb>69.12</fb>
    <v>1</v>
  </rv>
  <rv s="0">
    <fb>12151309</fb>
    <v>2</v>
  </rv>
  <rv s="0">
    <fb>46027</fb>
    <v>0</v>
  </rv>
  <rv s="0">
    <fb>67.94</fb>
    <v>1</v>
  </rv>
  <rv s="0">
    <fb>21186642</fb>
    <v>2</v>
  </rv>
  <rv s="0">
    <fb>46028</fb>
    <v>0</v>
  </rv>
  <rv s="0">
    <fb>67.84</fb>
    <v>1</v>
  </rv>
  <rv s="0">
    <fb>21019861</fb>
    <v>2</v>
  </rv>
  <rv s="0">
    <fb>46029</fb>
    <v>0</v>
  </rv>
  <rv s="0">
    <fb>67.540000000000006</fb>
    <v>1</v>
  </rv>
  <rv s="0">
    <fb>20223362</fb>
    <v>2</v>
  </rv>
  <rv s="0">
    <fb>46030</fb>
    <v>0</v>
  </rv>
  <rv s="0">
    <fb>69.37</fb>
    <v>1</v>
  </rv>
  <rv s="0">
    <fb>19236983</fb>
    <v>2</v>
  </rv>
  <rv s="0">
    <fb>46031</fb>
    <v>0</v>
  </rv>
  <rv s="0">
    <fb>70.510000000000005</fb>
    <v>1</v>
  </rv>
  <rv s="0">
    <fb>19638646</fb>
    <v>2</v>
  </rv>
  <rv s="0">
    <fb>46034</fb>
    <v>0</v>
  </rv>
  <rv s="0">
    <fb>70.5</fb>
    <v>1</v>
  </rv>
  <rv s="0">
    <fb>20582473</fb>
    <v>2</v>
  </rv>
  <rv s="0">
    <fb>46035</fb>
    <v>0</v>
  </rv>
  <rv s="0">
    <fb>71.239999999999995</fb>
    <v>1</v>
  </rv>
  <rv s="0">
    <fb>18324762</fb>
    <v>2</v>
  </rv>
  <rv s="0">
    <fb>46036</fb>
    <v>0</v>
  </rv>
  <rv s="0">
    <fb>71.44</fb>
    <v>1</v>
  </rv>
  <rv s="0">
    <fb>16739070</fb>
    <v>2</v>
  </rv>
  <rv s="0">
    <fb>46037</fb>
    <v>0</v>
  </rv>
  <rv s="0">
    <fb>70.48</fb>
    <v>1</v>
  </rv>
  <rv s="0">
    <fb>15464124</fb>
    <v>2</v>
  </rv>
  <rv s="0">
    <fb>46038</fb>
    <v>0</v>
  </rv>
  <rv s="0">
    <fb>20027535</fb>
    <v>2</v>
  </rv>
  <rv s="0">
    <fb>46042</fb>
    <v>0</v>
  </rv>
  <rv s="0">
    <fb>22152209</fb>
    <v>2</v>
  </rv>
  <rv s="0">
    <fb>46043</fb>
    <v>0</v>
  </rv>
  <rv s="0">
    <fb>72.010000000000005</fb>
    <v>1</v>
  </rv>
  <rv s="0">
    <fb>21660567</fb>
    <v>2</v>
  </rv>
  <rv s="0">
    <fb>46044</fb>
    <v>0</v>
  </rv>
  <rv s="0">
    <fb>13962778</fb>
    <v>2</v>
  </rv>
  <rv s="0">
    <fb>46045</fb>
    <v>0</v>
  </rv>
  <rv s="0">
    <fb>18307084</fb>
    <v>2</v>
  </rv>
  <rv s="0">
    <fb>46048</fb>
    <v>0</v>
  </rv>
  <rv s="0">
    <fb>14017420</fb>
    <v>2</v>
  </rv>
  <rv s="0">
    <fb>46049</fb>
    <v>0</v>
  </rv>
  <rv s="0">
    <fb>73.55</fb>
    <v>1</v>
  </rv>
  <rv s="0">
    <fb>13239184</fb>
    <v>2</v>
  </rv>
  <rv s="0">
    <fb>46050</fb>
    <v>0</v>
  </rv>
  <rv s="0">
    <fb>73.06</fb>
    <v>1</v>
  </rv>
  <rv s="0">
    <fb>14633680</fb>
    <v>2</v>
  </rv>
  <rv s="0">
    <fb>46051</fb>
    <v>0</v>
  </rv>
  <rv s="0">
    <fb>73.430000000000007</fb>
    <v>1</v>
  </rv>
  <rv s="0">
    <fb>20862070</fb>
    <v>2</v>
  </rv>
  <rv s="0">
    <fb>46052</fb>
    <v>0</v>
  </rv>
  <rv s="0">
    <fb>74.81</fb>
    <v>1</v>
  </rv>
  <rv s="0">
    <fb>26420468</fb>
    <v>2</v>
  </rv>
  <rv s="1">
    <v>3</v>
    <v>KO</v>
    <v>Daily</v>
    <v>45292</v>
    <v>46052</v>
    <v>0</v>
    <v>1</v>
    <v>639053280000000000,639056582287753272,0</v>
    <v>0</v>
    <v>a1wljc</v>
    <v>XNYS:KO</v>
    <v>1</v>
    <v>2</v>
  </rv>
</rvData>
</file>

<file path=xl/richData/rdrichvaluestructure.xml><?xml version="1.0" encoding="utf-8"?>
<rvStructures xmlns="http://schemas.microsoft.com/office/spreadsheetml/2017/richdata" count="2">
  <s t="_formattednumber">
    <k n="_Format" t="spb"/>
  </s>
  <s t="_stockhistorycache">
    <k n="_Format" t="spb"/>
    <k n="Symbol" t="s"/>
    <k n="Interval" t="s"/>
    <k n="StartDate" t="i"/>
    <k n="EndDate" t="i"/>
    <k n="f1904" t="b"/>
    <k n="fdcompat" t="b"/>
    <k n="etag" t="s"/>
    <k n="Date" t="a"/>
    <k n="EntityId" t="s"/>
    <k n="Instrument" t="s"/>
    <k n="Close" t="a"/>
    <k n="Volume" t="a"/>
  </s>
</rvStructures>
</file>

<file path=xl/richData/rdsupportingpropertybag.xml><?xml version="1.0" encoding="utf-8"?>
<supportingPropertyBags xmlns="http://schemas.microsoft.com/office/spreadsheetml/2017/richdata2">
  <spbData count="4">
    <spb s="0">
      <v>1</v>
    </spb>
    <spb s="0">
      <v>2</v>
    </spb>
    <spb s="0">
      <v>3</v>
    </spb>
    <spb s="1">
      <v>1</v>
      <v>2</v>
      <v>3</v>
    </spb>
  </spbData>
</supportingPropertyBags>
</file>

<file path=xl/richData/rdsupportingpropertybagstructure.xml><?xml version="1.0" encoding="utf-8"?>
<spbStructures xmlns="http://schemas.microsoft.com/office/spreadsheetml/2017/richdata2" count="2">
  <s>
    <k n="_Self" t="i"/>
  </s>
  <s>
    <k n="Date" t="i"/>
    <k n="Close" t="i"/>
    <k n="Volume" t="i"/>
  </s>
</spbStructures>
</file>

<file path=xl/richData/richStyles.xml><?xml version="1.0" encoding="utf-8"?>
<richStyleSheet xmlns="http://schemas.microsoft.com/office/spreadsheetml/2017/richdata2" xmlns:mc="http://schemas.openxmlformats.org/markup-compatibility/2006" xmlns:x="http://schemas.openxmlformats.org/spreadsheetml/2006/main" mc:Ignorable="x">
  <dxfs count="3">
    <x:dxf>
      <x:numFmt numFmtId="19" formatCode="m/d/yyyy"/>
    </x:dxf>
    <x:dxf>
      <x:numFmt numFmtId="0" formatCode="General"/>
    </x:dxf>
    <x:dxf>
      <x:numFmt numFmtId="3" formatCode="#,##0"/>
    </x:dxf>
  </dxfs>
  <richProperties>
    <rPr n="NumberFormat" t="s"/>
  </richProperties>
  <richStyles>
    <rSty dxfid="0"/>
    <rSty dxfid="1">
      <rpv i="0">_([$$-en-US]* #,##0.00_);_([$$-en-US]* (#,##0.00);_([$$-en-US]* "-"??_);_(@_)</rpv>
    </rSty>
    <rSty dxfid="2">
      <rpv i="0">#,##0</rpv>
    </rSty>
  </richStyles>
</richStyleSheet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1A965423-DC5E-45D6-AE8E-44CE50110C42}" name="Weekly" displayName="Weekly" ref="A1:D121" tableType="queryTable" totalsRowShown="0">
  <autoFilter ref="A1:D121" xr:uid="{1A965423-DC5E-45D6-AE8E-44CE50110C42}"/>
  <tableColumns count="4">
    <tableColumn id="1" xr3:uid="{D76052C5-E006-4DA8-811D-E07700CDE2D1}" uniqueName="1" name="Week" queryTableFieldId="1" dataDxfId="1"/>
    <tableColumn id="2" xr3:uid="{01237D70-E22D-4116-A201-6F5B5339B034}" uniqueName="2" name="Average" queryTableFieldId="2"/>
    <tableColumn id="4" xr3:uid="{344056E1-720A-4A1A-9B85-5914DBF6C8A8}" uniqueName="4" name="XL Forecast" queryTableFieldId="4"/>
    <tableColumn id="8" xr3:uid="{5FB06651-9573-40BD-91DE-08D567DCF885}" uniqueName="8" name="Calc Forecast" queryTableFieldId="8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7FFCEF2A-BDCF-47F0-B5B7-0DE037954043}" name="Table1" displayName="Table1" ref="A1:B523" totalsRowShown="0">
  <autoFilter ref="A1:B523" xr:uid="{7FFCEF2A-BDCF-47F0-B5B7-0DE037954043}"/>
  <tableColumns count="2">
    <tableColumn id="1" xr3:uid="{94D6F9DE-B59C-4669-9FF7-199F346F17A9}" name="Week" dataDxfId="0"/>
    <tableColumn id="2" xr3:uid="{1F434434-C2AF-469C-B4DF-4A8F6A9167B7}" name="Clos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E2B0CA-D215-4909-9549-33E0F6F82D2C}">
  <dimension ref="A1:B9"/>
  <sheetViews>
    <sheetView workbookViewId="0">
      <selection activeCell="A3" sqref="A3:B3"/>
    </sheetView>
  </sheetViews>
  <sheetFormatPr defaultRowHeight="15" x14ac:dyDescent="0.25"/>
  <cols>
    <col min="1" max="1" width="15" bestFit="1" customWidth="1"/>
    <col min="2" max="2" width="14.5703125" bestFit="1" customWidth="1"/>
  </cols>
  <sheetData>
    <row r="1" spans="1:2" x14ac:dyDescent="0.25">
      <c r="A1" t="s">
        <v>24</v>
      </c>
      <c r="B1" t="s">
        <v>25</v>
      </c>
    </row>
    <row r="2" spans="1:2" x14ac:dyDescent="0.25">
      <c r="A2" s="12" t="s">
        <v>26</v>
      </c>
      <c r="B2" s="12" t="s">
        <v>27</v>
      </c>
    </row>
    <row r="3" spans="1:2" x14ac:dyDescent="0.25">
      <c r="A3" s="13" t="s">
        <v>1</v>
      </c>
      <c r="B3" s="13" t="s">
        <v>28</v>
      </c>
    </row>
    <row r="4" spans="1:2" x14ac:dyDescent="0.25">
      <c r="A4" s="14" t="s">
        <v>29</v>
      </c>
      <c r="B4" s="14" t="s">
        <v>30</v>
      </c>
    </row>
    <row r="5" spans="1:2" x14ac:dyDescent="0.25">
      <c r="A5" s="15" t="s">
        <v>15</v>
      </c>
      <c r="B5" s="15" t="s">
        <v>31</v>
      </c>
    </row>
    <row r="6" spans="1:2" x14ac:dyDescent="0.25">
      <c r="A6" s="9" t="s">
        <v>20</v>
      </c>
      <c r="B6" s="9" t="s">
        <v>32</v>
      </c>
    </row>
    <row r="7" spans="1:2" x14ac:dyDescent="0.25">
      <c r="A7" s="16" t="s">
        <v>23</v>
      </c>
      <c r="B7" s="16" t="s">
        <v>33</v>
      </c>
    </row>
    <row r="8" spans="1:2" x14ac:dyDescent="0.25">
      <c r="A8" t="s">
        <v>34</v>
      </c>
      <c r="B8" t="s">
        <v>35</v>
      </c>
    </row>
    <row r="9" spans="1:2" x14ac:dyDescent="0.25">
      <c r="A9" t="s">
        <v>36</v>
      </c>
      <c r="B9" t="s">
        <v>37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0F43F9-2C8F-4F53-A4E1-034AE0838EB4}">
  <dimension ref="A1:AE523"/>
  <sheetViews>
    <sheetView zoomScale="70" zoomScaleNormal="70" workbookViewId="0">
      <selection activeCell="B2" sqref="B2"/>
    </sheetView>
  </sheetViews>
  <sheetFormatPr defaultRowHeight="15" x14ac:dyDescent="0.25"/>
  <cols>
    <col min="1" max="1" width="13.140625" style="20" customWidth="1"/>
    <col min="2" max="2" width="12" bestFit="1" customWidth="1"/>
    <col min="3" max="3" width="10.5703125" bestFit="1" customWidth="1"/>
    <col min="4" max="4" width="12.42578125" bestFit="1" customWidth="1"/>
    <col min="5" max="5" width="14.85546875" bestFit="1" customWidth="1"/>
    <col min="8" max="8" width="14.85546875" bestFit="1" customWidth="1"/>
    <col min="9" max="9" width="13.5703125" bestFit="1" customWidth="1"/>
    <col min="10" max="10" width="11.7109375" bestFit="1" customWidth="1"/>
    <col min="14" max="14" width="10.5703125" bestFit="1" customWidth="1"/>
    <col min="15" max="15" width="10" bestFit="1" customWidth="1"/>
    <col min="17" max="18" width="11.42578125" bestFit="1" customWidth="1"/>
    <col min="23" max="23" width="9.7109375" bestFit="1" customWidth="1"/>
    <col min="24" max="24" width="10.140625" bestFit="1" customWidth="1"/>
    <col min="25" max="25" width="8.5703125" bestFit="1" customWidth="1"/>
    <col min="26" max="26" width="8.85546875" bestFit="1" customWidth="1"/>
    <col min="27" max="27" width="13" bestFit="1" customWidth="1"/>
    <col min="28" max="28" width="12.85546875" bestFit="1" customWidth="1"/>
    <col min="31" max="31" width="16.85546875" style="18" bestFit="1" customWidth="1"/>
  </cols>
  <sheetData>
    <row r="1" spans="1:31" s="8" customFormat="1" x14ac:dyDescent="0.25">
      <c r="A1" s="19" t="s">
        <v>45</v>
      </c>
      <c r="B1" s="4" t="str" cm="1">
        <f t="array" aca="1" ref="B1:D523" ca="1">_xlfn.STOCKHISTORY("KO","2024-01-01","2026-01-30",0,1,0,1,5)</f>
        <v>Date</v>
      </c>
      <c r="C1" s="4" t="str">
        <f ca="1"/>
        <v>Close</v>
      </c>
      <c r="D1" s="4" t="str">
        <f ca="1"/>
        <v>Volume</v>
      </c>
      <c r="E1" s="5" t="s">
        <v>0</v>
      </c>
      <c r="F1" s="5" t="s">
        <v>1</v>
      </c>
      <c r="G1" s="6" t="s">
        <v>2</v>
      </c>
      <c r="H1" s="6" t="s">
        <v>3</v>
      </c>
      <c r="I1" s="6" t="s">
        <v>4</v>
      </c>
      <c r="J1" s="7" t="s">
        <v>7</v>
      </c>
      <c r="K1" s="7" t="s">
        <v>8</v>
      </c>
      <c r="L1" s="7" t="s">
        <v>6</v>
      </c>
      <c r="M1" s="7" t="s">
        <v>5</v>
      </c>
      <c r="N1" s="3" t="s">
        <v>9</v>
      </c>
      <c r="O1" s="3" t="s">
        <v>10</v>
      </c>
      <c r="P1" s="3" t="s">
        <v>11</v>
      </c>
      <c r="Q1" s="3" t="s">
        <v>12</v>
      </c>
      <c r="R1" s="3" t="s">
        <v>13</v>
      </c>
      <c r="S1" s="3" t="s">
        <v>14</v>
      </c>
      <c r="T1" s="3" t="s">
        <v>15</v>
      </c>
      <c r="U1" s="1" t="s">
        <v>16</v>
      </c>
      <c r="V1" s="3" t="s">
        <v>17</v>
      </c>
      <c r="W1" s="10" t="s">
        <v>18</v>
      </c>
      <c r="X1" s="10" t="s">
        <v>19</v>
      </c>
      <c r="Y1" s="10" t="s">
        <v>20</v>
      </c>
      <c r="Z1" s="10" t="s">
        <v>21</v>
      </c>
      <c r="AA1" s="10" t="s">
        <v>22</v>
      </c>
      <c r="AB1" s="11" t="s">
        <v>23</v>
      </c>
      <c r="AC1" s="7" t="s">
        <v>38</v>
      </c>
      <c r="AD1" s="7" t="s">
        <v>43</v>
      </c>
      <c r="AE1" s="17" t="s">
        <v>44</v>
      </c>
    </row>
    <row r="2" spans="1:31" x14ac:dyDescent="0.25">
      <c r="A2" s="20">
        <f ca="1">B2 - WEEKDAY(B2, 2) + 1</f>
        <v>45292</v>
      </c>
      <c r="B2" vm="1">
        <f ca="1"/>
        <v>45293</v>
      </c>
      <c r="C2" vm="2">
        <f ca="1"/>
        <v>59.82</v>
      </c>
      <c r="D2" vm="3">
        <f ca="1"/>
        <v>16322593</v>
      </c>
      <c r="E2">
        <f ca="1">C2*D2</f>
        <v>976417513.25999999</v>
      </c>
      <c r="F2">
        <f ca="1">SUM($E$2:E2)/SUM($D$2:D2)</f>
        <v>59.82</v>
      </c>
      <c r="G2">
        <f ca="1">_xlfn.STDEV.P($C$2:C2)</f>
        <v>0</v>
      </c>
      <c r="H2">
        <f ca="1">F2 + G2</f>
        <v>59.82</v>
      </c>
      <c r="I2">
        <f ca="1">F2 - G2</f>
        <v>59.82</v>
      </c>
      <c r="AC2" t="s">
        <v>39</v>
      </c>
      <c r="AD2">
        <f ca="1">MIN(C:C)</f>
        <v>58.06</v>
      </c>
      <c r="AE2" s="18">
        <f ca="1">MIN(D:D)</f>
        <v>4515327</v>
      </c>
    </row>
    <row r="3" spans="1:31" x14ac:dyDescent="0.25">
      <c r="A3" s="20">
        <f t="shared" ref="A3:A66" ca="1" si="0">B3 - WEEKDAY(B3, 2) + 1</f>
        <v>45292</v>
      </c>
      <c r="B3" vm="4">
        <f ca="1"/>
        <v>45294</v>
      </c>
      <c r="C3" vm="5">
        <f ca="1"/>
        <v>59.96</v>
      </c>
      <c r="D3" vm="6">
        <f ca="1"/>
        <v>14830634</v>
      </c>
      <c r="E3">
        <f t="shared" ref="E3:E66" ca="1" si="1">C3*D3</f>
        <v>889244814.63999999</v>
      </c>
      <c r="F3">
        <f ca="1">SUM($E$2:E3)/SUM($D$2:D3)</f>
        <v>59.886647630436492</v>
      </c>
      <c r="G3">
        <f ca="1">_xlfn.STDEV.P($C$2:C3)</f>
        <v>7.0000000000000284E-2</v>
      </c>
      <c r="H3">
        <f t="shared" ref="H3:H66" ca="1" si="2">F3 + G3</f>
        <v>59.956647630436493</v>
      </c>
      <c r="I3">
        <f t="shared" ref="I3:I66" ca="1" si="3">F3 - G3</f>
        <v>59.816647630436492</v>
      </c>
      <c r="N3">
        <f ca="1">C3-C2</f>
        <v>0.14000000000000057</v>
      </c>
      <c r="O3">
        <f ca="1">MAX(N3,0)</f>
        <v>0.14000000000000057</v>
      </c>
      <c r="P3">
        <f ca="1">MAX(-N3,0)</f>
        <v>0</v>
      </c>
      <c r="AC3" t="s">
        <v>40</v>
      </c>
      <c r="AD3">
        <f ca="1">MAX(C:C)</f>
        <v>74.81</v>
      </c>
      <c r="AE3" s="18">
        <f ca="1">MAX(D:D)</f>
        <v>48578480</v>
      </c>
    </row>
    <row r="4" spans="1:31" x14ac:dyDescent="0.25">
      <c r="A4" s="20">
        <f t="shared" ca="1" si="0"/>
        <v>45292</v>
      </c>
      <c r="B4" vm="7">
        <f ca="1"/>
        <v>45295</v>
      </c>
      <c r="C4" vm="8">
        <f ca="1"/>
        <v>59.76</v>
      </c>
      <c r="D4" vm="9">
        <f ca="1"/>
        <v>12912926</v>
      </c>
      <c r="E4">
        <f t="shared" ca="1" si="1"/>
        <v>771676457.75999999</v>
      </c>
      <c r="F4">
        <f ca="1">SUM($E$2:E4)/SUM($D$2:D4)</f>
        <v>59.849535439592373</v>
      </c>
      <c r="G4">
        <f ca="1">_xlfn.STDEV.P($C$2:C4)</f>
        <v>8.3798700599844608E-2</v>
      </c>
      <c r="H4">
        <f t="shared" ca="1" si="2"/>
        <v>59.933334140192216</v>
      </c>
      <c r="I4">
        <f t="shared" ca="1" si="3"/>
        <v>59.76573673899253</v>
      </c>
      <c r="N4">
        <f t="shared" ref="N4:N67" ca="1" si="4">C4-C3</f>
        <v>-0.20000000000000284</v>
      </c>
      <c r="O4">
        <f t="shared" ref="O4:O67" ca="1" si="5">MAX(N4,0)</f>
        <v>0</v>
      </c>
      <c r="P4">
        <f t="shared" ref="P4:P67" ca="1" si="6">MAX(-N4,0)</f>
        <v>0.20000000000000284</v>
      </c>
      <c r="AC4" t="s">
        <v>41</v>
      </c>
      <c r="AD4">
        <f ca="1">MEDIAN(C:C)</f>
        <v>68.210000000000008</v>
      </c>
      <c r="AE4" s="18">
        <f ca="1">MEDIAN(D:D)</f>
        <v>14010122</v>
      </c>
    </row>
    <row r="5" spans="1:31" x14ac:dyDescent="0.25">
      <c r="A5" s="20">
        <f t="shared" ca="1" si="0"/>
        <v>45292</v>
      </c>
      <c r="B5" vm="10">
        <f ca="1"/>
        <v>45296</v>
      </c>
      <c r="C5" vm="11">
        <f ca="1"/>
        <v>59.67</v>
      </c>
      <c r="D5" vm="12">
        <f ca="1"/>
        <v>10412798</v>
      </c>
      <c r="E5">
        <f t="shared" ca="1" si="1"/>
        <v>621331656.65999997</v>
      </c>
      <c r="F5">
        <f ca="1">SUM($E$2:E5)/SUM($D$2:D5)</f>
        <v>59.815220052970545</v>
      </c>
      <c r="G5">
        <f ca="1">_xlfn.STDEV.P($C$2:C5)</f>
        <v>0.1054454835448157</v>
      </c>
      <c r="H5">
        <f t="shared" ca="1" si="2"/>
        <v>59.920665536515358</v>
      </c>
      <c r="I5">
        <f t="shared" ca="1" si="3"/>
        <v>59.709774569425733</v>
      </c>
      <c r="N5">
        <f t="shared" ca="1" si="4"/>
        <v>-8.9999999999996305E-2</v>
      </c>
      <c r="O5">
        <f t="shared" ca="1" si="5"/>
        <v>0</v>
      </c>
      <c r="P5">
        <f t="shared" ca="1" si="6"/>
        <v>8.9999999999996305E-2</v>
      </c>
      <c r="AC5" t="s">
        <v>42</v>
      </c>
      <c r="AD5">
        <f ca="1">AVERAGE(C:C)</f>
        <v>66.737049808429106</v>
      </c>
      <c r="AE5" s="18">
        <f ca="1">AVERAGE(D:D)</f>
        <v>15442756.603448275</v>
      </c>
    </row>
    <row r="6" spans="1:31" x14ac:dyDescent="0.25">
      <c r="A6" s="20">
        <f t="shared" ca="1" si="0"/>
        <v>45299</v>
      </c>
      <c r="B6" vm="13">
        <f ca="1"/>
        <v>45299</v>
      </c>
      <c r="C6" vm="14">
        <f ca="1"/>
        <v>60.11</v>
      </c>
      <c r="D6" vm="15">
        <f ca="1"/>
        <v>11554634</v>
      </c>
      <c r="E6">
        <f t="shared" ca="1" si="1"/>
        <v>694549049.74000001</v>
      </c>
      <c r="F6">
        <f ca="1">SUM($E$2:E6)/SUM($D$2:D6)</f>
        <v>59.866800993161277</v>
      </c>
      <c r="G6">
        <f ca="1">_xlfn.STDEV.P($C$2:C6)</f>
        <v>0.15499677415998026</v>
      </c>
      <c r="H6">
        <f t="shared" ca="1" si="2"/>
        <v>60.02179776732126</v>
      </c>
      <c r="I6">
        <f t="shared" ca="1" si="3"/>
        <v>59.711804219001294</v>
      </c>
      <c r="N6">
        <f t="shared" ca="1" si="4"/>
        <v>0.43999999999999773</v>
      </c>
      <c r="O6">
        <f t="shared" ca="1" si="5"/>
        <v>0.43999999999999773</v>
      </c>
      <c r="P6">
        <f t="shared" ca="1" si="6"/>
        <v>0</v>
      </c>
    </row>
    <row r="7" spans="1:31" x14ac:dyDescent="0.25">
      <c r="A7" s="20">
        <f t="shared" ca="1" si="0"/>
        <v>45299</v>
      </c>
      <c r="B7" vm="16">
        <f ca="1"/>
        <v>45300</v>
      </c>
      <c r="C7" vm="17">
        <f ca="1"/>
        <v>60</v>
      </c>
      <c r="D7" vm="18">
        <f ca="1"/>
        <v>10493653</v>
      </c>
      <c r="E7">
        <f t="shared" ca="1" si="1"/>
        <v>629619180</v>
      </c>
      <c r="F7">
        <f ca="1">SUM($E$2:E7)/SUM($D$2:D7)</f>
        <v>59.885065655446752</v>
      </c>
      <c r="G7">
        <f ca="1">_xlfn.STDEV.P($C$2:C7)</f>
        <v>0.1502960042346064</v>
      </c>
      <c r="H7">
        <f t="shared" ca="1" si="2"/>
        <v>60.035361659681357</v>
      </c>
      <c r="I7">
        <f t="shared" ca="1" si="3"/>
        <v>59.734769651212147</v>
      </c>
      <c r="N7">
        <f t="shared" ca="1" si="4"/>
        <v>-0.10999999999999943</v>
      </c>
      <c r="O7">
        <f t="shared" ca="1" si="5"/>
        <v>0</v>
      </c>
      <c r="P7">
        <f t="shared" ca="1" si="6"/>
        <v>0.10999999999999943</v>
      </c>
    </row>
    <row r="8" spans="1:31" x14ac:dyDescent="0.25">
      <c r="A8" s="20">
        <f t="shared" ca="1" si="0"/>
        <v>45299</v>
      </c>
      <c r="B8" vm="19">
        <f ca="1"/>
        <v>45301</v>
      </c>
      <c r="C8" vm="20">
        <f ca="1"/>
        <v>60.2</v>
      </c>
      <c r="D8" vm="21">
        <f ca="1"/>
        <v>12257983</v>
      </c>
      <c r="E8">
        <f t="shared" ca="1" si="1"/>
        <v>737930576.60000002</v>
      </c>
      <c r="F8">
        <f ca="1">SUM($E$2:E8)/SUM($D$2:D8)</f>
        <v>59.928546538843442</v>
      </c>
      <c r="G8">
        <f ca="1">_xlfn.STDEV.P($C$2:C8)</f>
        <v>0.17715437750557539</v>
      </c>
      <c r="H8">
        <f t="shared" ca="1" si="2"/>
        <v>60.105700916349015</v>
      </c>
      <c r="I8">
        <f t="shared" ca="1" si="3"/>
        <v>59.751392161337868</v>
      </c>
      <c r="N8">
        <f t="shared" ca="1" si="4"/>
        <v>0.20000000000000284</v>
      </c>
      <c r="O8">
        <f t="shared" ca="1" si="5"/>
        <v>0.20000000000000284</v>
      </c>
      <c r="P8">
        <f t="shared" ca="1" si="6"/>
        <v>0</v>
      </c>
    </row>
    <row r="9" spans="1:31" x14ac:dyDescent="0.25">
      <c r="A9" s="20">
        <f t="shared" ca="1" si="0"/>
        <v>45299</v>
      </c>
      <c r="B9" vm="22">
        <f ca="1"/>
        <v>45302</v>
      </c>
      <c r="C9" vm="23">
        <f ca="1"/>
        <v>59.81</v>
      </c>
      <c r="D9" vm="24">
        <f ca="1"/>
        <v>13754232</v>
      </c>
      <c r="E9">
        <f t="shared" ca="1" si="1"/>
        <v>822640615.92000008</v>
      </c>
      <c r="F9">
        <f ca="1">SUM($E$2:E9)/SUM($D$2:D9)</f>
        <v>59.912645180387301</v>
      </c>
      <c r="G9">
        <f ca="1">_xlfn.STDEV.P($C$2:C9)</f>
        <v>0.17050934725111139</v>
      </c>
      <c r="H9">
        <f t="shared" ca="1" si="2"/>
        <v>60.083154527638413</v>
      </c>
      <c r="I9">
        <f t="shared" ca="1" si="3"/>
        <v>59.742135833136189</v>
      </c>
      <c r="N9">
        <f t="shared" ca="1" si="4"/>
        <v>-0.39000000000000057</v>
      </c>
      <c r="O9">
        <f t="shared" ca="1" si="5"/>
        <v>0</v>
      </c>
      <c r="P9">
        <f t="shared" ca="1" si="6"/>
        <v>0.39000000000000057</v>
      </c>
    </row>
    <row r="10" spans="1:31" x14ac:dyDescent="0.25">
      <c r="A10" s="20">
        <f t="shared" ca="1" si="0"/>
        <v>45299</v>
      </c>
      <c r="B10" vm="25">
        <f ca="1"/>
        <v>45303</v>
      </c>
      <c r="C10" vm="26">
        <f ca="1"/>
        <v>60.39</v>
      </c>
      <c r="D10" vm="27">
        <f ca="1"/>
        <v>13218008</v>
      </c>
      <c r="E10">
        <f t="shared" ca="1" si="1"/>
        <v>798235503.12</v>
      </c>
      <c r="F10">
        <f ca="1">SUM($E$2:E10)/SUM($D$2:D10)</f>
        <v>59.967152939714182</v>
      </c>
      <c r="G10">
        <f ca="1">_xlfn.STDEV.P($C$2:C10)</f>
        <v>0.21911156186566227</v>
      </c>
      <c r="H10">
        <f t="shared" ca="1" si="2"/>
        <v>60.186264501579842</v>
      </c>
      <c r="I10">
        <f t="shared" ca="1" si="3"/>
        <v>59.748041377848523</v>
      </c>
      <c r="N10">
        <f t="shared" ca="1" si="4"/>
        <v>0.57999999999999829</v>
      </c>
      <c r="O10">
        <f t="shared" ca="1" si="5"/>
        <v>0.57999999999999829</v>
      </c>
      <c r="P10">
        <f t="shared" ca="1" si="6"/>
        <v>0</v>
      </c>
    </row>
    <row r="11" spans="1:31" x14ac:dyDescent="0.25">
      <c r="A11" s="20">
        <f t="shared" ca="1" si="0"/>
        <v>45306</v>
      </c>
      <c r="B11" vm="28">
        <f ca="1"/>
        <v>45307</v>
      </c>
      <c r="C11" vm="29">
        <f ca="1"/>
        <v>59.99</v>
      </c>
      <c r="D11" vm="30">
        <f ca="1"/>
        <v>11826910</v>
      </c>
      <c r="E11">
        <f t="shared" ca="1" si="1"/>
        <v>709496330.89999998</v>
      </c>
      <c r="F11">
        <f ca="1">SUM($E$2:E11)/SUM($D$2:D11)</f>
        <v>59.969270833337411</v>
      </c>
      <c r="G11">
        <f ca="1">_xlfn.STDEV.P($C$2:C11)</f>
        <v>0.20796393918177275</v>
      </c>
      <c r="H11">
        <f t="shared" ca="1" si="2"/>
        <v>60.177234772519185</v>
      </c>
      <c r="I11">
        <f t="shared" ca="1" si="3"/>
        <v>59.761306894155638</v>
      </c>
      <c r="N11">
        <f t="shared" ca="1" si="4"/>
        <v>-0.39999999999999858</v>
      </c>
      <c r="O11">
        <f t="shared" ca="1" si="5"/>
        <v>0</v>
      </c>
      <c r="P11">
        <f t="shared" ca="1" si="6"/>
        <v>0.39999999999999858</v>
      </c>
    </row>
    <row r="12" spans="1:31" x14ac:dyDescent="0.25">
      <c r="A12" s="20">
        <f t="shared" ca="1" si="0"/>
        <v>45306</v>
      </c>
      <c r="B12" vm="31">
        <f ca="1"/>
        <v>45308</v>
      </c>
      <c r="C12" vm="29">
        <f ca="1"/>
        <v>59.99</v>
      </c>
      <c r="D12" vm="32">
        <f ca="1"/>
        <v>8982132</v>
      </c>
      <c r="E12">
        <f t="shared" ca="1" si="1"/>
        <v>538838098.68000007</v>
      </c>
      <c r="F12">
        <f ca="1">SUM($E$2:E12)/SUM($D$2:D12)</f>
        <v>59.970634213867214</v>
      </c>
      <c r="G12">
        <f ca="1">_xlfn.STDEV.P($C$2:C12)</f>
        <v>0.19836105322874398</v>
      </c>
      <c r="H12">
        <f t="shared" ca="1" si="2"/>
        <v>60.168995267095958</v>
      </c>
      <c r="I12">
        <f t="shared" ca="1" si="3"/>
        <v>59.77227316063847</v>
      </c>
      <c r="N12">
        <f t="shared" ca="1" si="4"/>
        <v>0</v>
      </c>
      <c r="O12">
        <f t="shared" ca="1" si="5"/>
        <v>0</v>
      </c>
      <c r="P12">
        <f t="shared" ca="1" si="6"/>
        <v>0</v>
      </c>
    </row>
    <row r="13" spans="1:31" x14ac:dyDescent="0.25">
      <c r="A13" s="20">
        <f t="shared" ca="1" si="0"/>
        <v>45306</v>
      </c>
      <c r="B13" vm="33">
        <f ca="1"/>
        <v>45309</v>
      </c>
      <c r="C13" vm="34">
        <f ca="1"/>
        <v>60.16</v>
      </c>
      <c r="D13" vm="35">
        <f ca="1"/>
        <v>10397682</v>
      </c>
      <c r="E13">
        <f t="shared" ca="1" si="1"/>
        <v>625524549.12</v>
      </c>
      <c r="F13">
        <f ca="1">SUM($E$2:E13)/SUM($D$2:D13)</f>
        <v>59.984031799312191</v>
      </c>
      <c r="G13">
        <f ca="1">_xlfn.STDEV.P($C$2:C13)</f>
        <v>0.19684314116123569</v>
      </c>
      <c r="H13">
        <f t="shared" ca="1" si="2"/>
        <v>60.18087494047343</v>
      </c>
      <c r="I13">
        <f t="shared" ca="1" si="3"/>
        <v>59.787188658150953</v>
      </c>
      <c r="N13">
        <f t="shared" ca="1" si="4"/>
        <v>0.1699999999999946</v>
      </c>
      <c r="O13">
        <f t="shared" ca="1" si="5"/>
        <v>0.1699999999999946</v>
      </c>
      <c r="P13">
        <f t="shared" ca="1" si="6"/>
        <v>0</v>
      </c>
      <c r="W13" s="9">
        <f ca="1">AVERAGE(C2:C13)</f>
        <v>59.988333333333337</v>
      </c>
    </row>
    <row r="14" spans="1:31" x14ac:dyDescent="0.25">
      <c r="A14" s="20">
        <f t="shared" ca="1" si="0"/>
        <v>45306</v>
      </c>
      <c r="B14" vm="36">
        <f ca="1"/>
        <v>45310</v>
      </c>
      <c r="C14" vm="37">
        <f ca="1"/>
        <v>59.83</v>
      </c>
      <c r="D14" vm="38">
        <f ca="1"/>
        <v>14392600</v>
      </c>
      <c r="E14">
        <f t="shared" ca="1" si="1"/>
        <v>861109258</v>
      </c>
      <c r="F14">
        <f ca="1">SUM($E$2:E14)/SUM($D$2:D14)</f>
        <v>59.970292568732077</v>
      </c>
      <c r="G14">
        <f ca="1">_xlfn.STDEV.P($C$2:C14)</f>
        <v>0.19376982624271039</v>
      </c>
      <c r="H14">
        <f t="shared" ca="1" si="2"/>
        <v>60.164062394974785</v>
      </c>
      <c r="I14">
        <f t="shared" ca="1" si="3"/>
        <v>59.776522742489369</v>
      </c>
      <c r="N14">
        <f t="shared" ca="1" si="4"/>
        <v>-0.32999999999999829</v>
      </c>
      <c r="O14">
        <f t="shared" ca="1" si="5"/>
        <v>0</v>
      </c>
      <c r="P14">
        <f t="shared" ca="1" si="6"/>
        <v>0.32999999999999829</v>
      </c>
      <c r="W14">
        <f ca="1">C14*(2/(12+1)) + W13*(1-(2/(12+1)))</f>
        <v>59.963974358974362</v>
      </c>
    </row>
    <row r="15" spans="1:31" x14ac:dyDescent="0.25">
      <c r="A15" s="20">
        <f t="shared" ca="1" si="0"/>
        <v>45313</v>
      </c>
      <c r="B15" vm="39">
        <f ca="1"/>
        <v>45313</v>
      </c>
      <c r="C15" vm="40">
        <f ca="1"/>
        <v>59.57</v>
      </c>
      <c r="D15" vm="41">
        <f ca="1"/>
        <v>14314265</v>
      </c>
      <c r="E15">
        <f t="shared" ca="1" si="1"/>
        <v>852700766.04999995</v>
      </c>
      <c r="F15">
        <f ca="1">SUM($E$2:E15)/SUM($D$2:D15)</f>
        <v>59.937675390737397</v>
      </c>
      <c r="G15">
        <f ca="1">_xlfn.STDEV.P($C$2:C15)</f>
        <v>0.21402364927497985</v>
      </c>
      <c r="H15">
        <f t="shared" ca="1" si="2"/>
        <v>60.151699040012375</v>
      </c>
      <c r="I15">
        <f t="shared" ca="1" si="3"/>
        <v>59.723651741462419</v>
      </c>
      <c r="N15">
        <f t="shared" ca="1" si="4"/>
        <v>-0.25999999999999801</v>
      </c>
      <c r="O15">
        <f t="shared" ca="1" si="5"/>
        <v>0</v>
      </c>
      <c r="P15">
        <f t="shared" ca="1" si="6"/>
        <v>0.25999999999999801</v>
      </c>
      <c r="Q15" s="2">
        <f ca="1">AVERAGE(O3:O16)</f>
        <v>0.12928571428571395</v>
      </c>
      <c r="R15" s="2">
        <f ca="1">AVERAGE(P3:P16)</f>
        <v>0.12714285714285672</v>
      </c>
      <c r="S15">
        <f ca="1">IF(R15=0,NA(),Q15/R15)</f>
        <v>1.0168539325842703</v>
      </c>
      <c r="T15">
        <f ca="1">100-(100/(1+S15))</f>
        <v>50.417827298050156</v>
      </c>
      <c r="U15">
        <f>70</f>
        <v>70</v>
      </c>
      <c r="V15">
        <f>30</f>
        <v>30</v>
      </c>
      <c r="W15">
        <f t="shared" ref="W15:W78" ca="1" si="7">C15*(2/(12+1)) + W14*(1-(2/(12+1)))</f>
        <v>59.90336291913215</v>
      </c>
    </row>
    <row r="16" spans="1:31" x14ac:dyDescent="0.25">
      <c r="A16" s="20">
        <f t="shared" ca="1" si="0"/>
        <v>45313</v>
      </c>
      <c r="B16" vm="42">
        <f ca="1"/>
        <v>45314</v>
      </c>
      <c r="C16" vm="43">
        <f ca="1"/>
        <v>59.85</v>
      </c>
      <c r="D16" vm="44">
        <f ca="1"/>
        <v>14481643</v>
      </c>
      <c r="E16">
        <f t="shared" ca="1" si="1"/>
        <v>866726333.55000007</v>
      </c>
      <c r="F16">
        <f ca="1">SUM($E$2:E16)/SUM($D$2:D16)</f>
        <v>59.930998211000869</v>
      </c>
      <c r="G16">
        <f ca="1">_xlfn.STDEV.P($C$2:C16)</f>
        <v>0.20818154470450917</v>
      </c>
      <c r="H16">
        <f t="shared" ca="1" si="2"/>
        <v>60.139179755705378</v>
      </c>
      <c r="I16">
        <f t="shared" ca="1" si="3"/>
        <v>59.72281666629636</v>
      </c>
      <c r="N16">
        <f t="shared" ca="1" si="4"/>
        <v>0.28000000000000114</v>
      </c>
      <c r="O16">
        <f t="shared" ca="1" si="5"/>
        <v>0.28000000000000114</v>
      </c>
      <c r="P16">
        <f t="shared" ca="1" si="6"/>
        <v>0</v>
      </c>
      <c r="Q16">
        <f ca="1">(Q15*13+O16)/14</f>
        <v>0.14005102040816303</v>
      </c>
      <c r="R16">
        <f ca="1">(R15*13+P16)/14</f>
        <v>0.11806122448979553</v>
      </c>
      <c r="S16">
        <f t="shared" ref="S16:S79" ca="1" si="8">IF(R16=0,NA(),Q16/R16)</f>
        <v>1.1862575626620588</v>
      </c>
      <c r="T16">
        <f t="shared" ref="T16:T79" ca="1" si="9">100-(100/(1+S16))</f>
        <v>54.259735125518908</v>
      </c>
      <c r="U16">
        <f>70</f>
        <v>70</v>
      </c>
      <c r="V16">
        <f>30</f>
        <v>30</v>
      </c>
      <c r="W16">
        <f t="shared" ca="1" si="7"/>
        <v>59.895153239265667</v>
      </c>
    </row>
    <row r="17" spans="1:25" x14ac:dyDescent="0.25">
      <c r="A17" s="20">
        <f t="shared" ca="1" si="0"/>
        <v>45313</v>
      </c>
      <c r="B17" vm="45">
        <f ca="1"/>
        <v>45315</v>
      </c>
      <c r="C17" vm="46">
        <f ca="1"/>
        <v>58.91</v>
      </c>
      <c r="D17" vm="47">
        <f ca="1"/>
        <v>16370484</v>
      </c>
      <c r="E17">
        <f t="shared" ca="1" si="1"/>
        <v>964385212.43999994</v>
      </c>
      <c r="F17">
        <f ca="1">SUM($E$2:E17)/SUM($D$2:D17)</f>
        <v>59.850066689803043</v>
      </c>
      <c r="G17">
        <f ca="1">_xlfn.STDEV.P($C$2:C17)</f>
        <v>0.32073889302671177</v>
      </c>
      <c r="H17">
        <f t="shared" ca="1" si="2"/>
        <v>60.170805582829757</v>
      </c>
      <c r="I17">
        <f t="shared" ca="1" si="3"/>
        <v>59.529327796776329</v>
      </c>
      <c r="N17">
        <f t="shared" ca="1" si="4"/>
        <v>-0.94000000000000483</v>
      </c>
      <c r="O17">
        <f t="shared" ca="1" si="5"/>
        <v>0</v>
      </c>
      <c r="P17">
        <f t="shared" ca="1" si="6"/>
        <v>0.94000000000000483</v>
      </c>
      <c r="Q17">
        <f t="shared" ref="Q17:Q80" ca="1" si="10">(Q16*13+O17)/14</f>
        <v>0.13004737609329425</v>
      </c>
      <c r="R17">
        <f t="shared" ref="R17:R80" ca="1" si="11">(R16*13+P17)/14</f>
        <v>0.17677113702623906</v>
      </c>
      <c r="S17">
        <f t="shared" ca="1" si="8"/>
        <v>0.73568218364738269</v>
      </c>
      <c r="T17">
        <f t="shared" ca="1" si="9"/>
        <v>42.385765699421519</v>
      </c>
      <c r="U17">
        <f>70</f>
        <v>70</v>
      </c>
      <c r="V17">
        <f>30</f>
        <v>30</v>
      </c>
      <c r="W17">
        <f t="shared" ca="1" si="7"/>
        <v>59.743591202455562</v>
      </c>
    </row>
    <row r="18" spans="1:25" x14ac:dyDescent="0.25">
      <c r="A18" s="20">
        <f t="shared" ca="1" si="0"/>
        <v>45313</v>
      </c>
      <c r="B18" vm="48">
        <f ca="1"/>
        <v>45316</v>
      </c>
      <c r="C18" vm="49">
        <f ca="1"/>
        <v>59.16</v>
      </c>
      <c r="D18" vm="50">
        <f ca="1"/>
        <v>14899712</v>
      </c>
      <c r="E18">
        <f t="shared" ca="1" si="1"/>
        <v>881466961.91999996</v>
      </c>
      <c r="F18">
        <f ca="1">SUM($E$2:E18)/SUM($D$2:D18)</f>
        <v>59.803631585531335</v>
      </c>
      <c r="G18">
        <f ca="1">_xlfn.STDEV.P($C$2:C18)</f>
        <v>0.35387034554097335</v>
      </c>
      <c r="H18">
        <f t="shared" ca="1" si="2"/>
        <v>60.157501931072311</v>
      </c>
      <c r="I18">
        <f t="shared" ca="1" si="3"/>
        <v>59.449761239990359</v>
      </c>
      <c r="N18">
        <f t="shared" ca="1" si="4"/>
        <v>0.25</v>
      </c>
      <c r="O18">
        <f t="shared" ca="1" si="5"/>
        <v>0.25</v>
      </c>
      <c r="P18">
        <f t="shared" ca="1" si="6"/>
        <v>0</v>
      </c>
      <c r="Q18">
        <f t="shared" ca="1" si="10"/>
        <v>0.13861542065805896</v>
      </c>
      <c r="R18">
        <f t="shared" ca="1" si="11"/>
        <v>0.16414462723865056</v>
      </c>
      <c r="S18">
        <f t="shared" ca="1" si="8"/>
        <v>0.84447126287310892</v>
      </c>
      <c r="T18">
        <f t="shared" ca="1" si="9"/>
        <v>45.783920837979721</v>
      </c>
      <c r="U18">
        <f>70</f>
        <v>70</v>
      </c>
      <c r="V18">
        <f>30</f>
        <v>30</v>
      </c>
      <c r="W18">
        <f t="shared" ca="1" si="7"/>
        <v>59.653807940539323</v>
      </c>
    </row>
    <row r="19" spans="1:25" x14ac:dyDescent="0.25">
      <c r="A19" s="20">
        <f t="shared" ca="1" si="0"/>
        <v>45313</v>
      </c>
      <c r="B19" vm="51">
        <f ca="1"/>
        <v>45317</v>
      </c>
      <c r="C19" vm="52">
        <f ca="1"/>
        <v>59.37</v>
      </c>
      <c r="D19" vm="53">
        <f ca="1"/>
        <v>13025072</v>
      </c>
      <c r="E19">
        <f t="shared" ca="1" si="1"/>
        <v>773298524.63999999</v>
      </c>
      <c r="F19">
        <f ca="1">SUM($E$2:E19)/SUM($D$2:D19)</f>
        <v>59.779540599203585</v>
      </c>
      <c r="G19">
        <f ca="1">_xlfn.STDEV.P($C$2:C19)</f>
        <v>0.35995755922670275</v>
      </c>
      <c r="H19">
        <f t="shared" ca="1" si="2"/>
        <v>60.139498158430285</v>
      </c>
      <c r="I19">
        <f t="shared" ca="1" si="3"/>
        <v>59.419583039976885</v>
      </c>
      <c r="N19">
        <f t="shared" ca="1" si="4"/>
        <v>0.21000000000000085</v>
      </c>
      <c r="O19">
        <f t="shared" ca="1" si="5"/>
        <v>0.21000000000000085</v>
      </c>
      <c r="P19">
        <f t="shared" ca="1" si="6"/>
        <v>0</v>
      </c>
      <c r="Q19">
        <f t="shared" ca="1" si="10"/>
        <v>0.14371431918248337</v>
      </c>
      <c r="R19">
        <f t="shared" ca="1" si="11"/>
        <v>0.15242001100731839</v>
      </c>
      <c r="S19">
        <f t="shared" ca="1" si="8"/>
        <v>0.94288353761884314</v>
      </c>
      <c r="T19">
        <f t="shared" ca="1" si="9"/>
        <v>48.530111010895752</v>
      </c>
      <c r="U19">
        <f>70</f>
        <v>70</v>
      </c>
      <c r="V19">
        <f>30</f>
        <v>30</v>
      </c>
      <c r="W19">
        <f t="shared" ca="1" si="7"/>
        <v>59.610145180456357</v>
      </c>
    </row>
    <row r="20" spans="1:25" x14ac:dyDescent="0.25">
      <c r="A20" s="20">
        <f t="shared" ca="1" si="0"/>
        <v>45320</v>
      </c>
      <c r="B20" vm="54">
        <f ca="1"/>
        <v>45320</v>
      </c>
      <c r="C20" vm="55">
        <f ca="1"/>
        <v>59.73</v>
      </c>
      <c r="D20" vm="56">
        <f ca="1"/>
        <v>14547070</v>
      </c>
      <c r="E20">
        <f t="shared" ca="1" si="1"/>
        <v>868896491.0999999</v>
      </c>
      <c r="F20">
        <f ca="1">SUM($E$2:E20)/SUM($D$2:D20)</f>
        <v>59.776646282150097</v>
      </c>
      <c r="G20">
        <f ca="1">_xlfn.STDEV.P($C$2:C20)</f>
        <v>0.35079332330971058</v>
      </c>
      <c r="H20">
        <f t="shared" ca="1" si="2"/>
        <v>60.127439605459806</v>
      </c>
      <c r="I20">
        <f t="shared" ca="1" si="3"/>
        <v>59.425852958840387</v>
      </c>
      <c r="N20">
        <f t="shared" ca="1" si="4"/>
        <v>0.35999999999999943</v>
      </c>
      <c r="O20">
        <f t="shared" ca="1" si="5"/>
        <v>0.35999999999999943</v>
      </c>
      <c r="P20">
        <f t="shared" ca="1" si="6"/>
        <v>0</v>
      </c>
      <c r="Q20">
        <f t="shared" ca="1" si="10"/>
        <v>0.15916329638373453</v>
      </c>
      <c r="R20">
        <f t="shared" ca="1" si="11"/>
        <v>0.1415328673639385</v>
      </c>
      <c r="S20">
        <f t="shared" ca="1" si="8"/>
        <v>1.1245677371494285</v>
      </c>
      <c r="T20">
        <f t="shared" ca="1" si="9"/>
        <v>52.931601920034879</v>
      </c>
      <c r="U20">
        <f>70</f>
        <v>70</v>
      </c>
      <c r="V20">
        <f>30</f>
        <v>30</v>
      </c>
      <c r="W20">
        <f t="shared" ca="1" si="7"/>
        <v>59.628584383463071</v>
      </c>
    </row>
    <row r="21" spans="1:25" x14ac:dyDescent="0.25">
      <c r="A21" s="20">
        <f t="shared" ca="1" si="0"/>
        <v>45320</v>
      </c>
      <c r="B21" vm="57">
        <f ca="1"/>
        <v>45321</v>
      </c>
      <c r="C21" vm="58">
        <f ca="1"/>
        <v>59.9</v>
      </c>
      <c r="D21" vm="59">
        <f ca="1"/>
        <v>22061536</v>
      </c>
      <c r="E21">
        <f t="shared" ca="1" si="1"/>
        <v>1321486006.3999999</v>
      </c>
      <c r="F21">
        <f ca="1">SUM($E$2:E21)/SUM($D$2:D21)</f>
        <v>59.786686151381822</v>
      </c>
      <c r="G21">
        <f ca="1">_xlfn.STDEV.P($C$2:C21)</f>
        <v>0.34254780688248571</v>
      </c>
      <c r="H21">
        <f t="shared" ca="1" si="2"/>
        <v>60.129233958264308</v>
      </c>
      <c r="I21">
        <f t="shared" ca="1" si="3"/>
        <v>59.444138344499336</v>
      </c>
      <c r="J21">
        <f ca="1">AVERAGE(C2:C21)</f>
        <v>59.809000000000005</v>
      </c>
      <c r="K21">
        <f ca="1">_xlfn.STDEV.S(C2:C21)</f>
        <v>0.35144663441567631</v>
      </c>
      <c r="L21">
        <f ca="1">J21 + 2*K21</f>
        <v>60.511893268831358</v>
      </c>
      <c r="M21">
        <f ca="1">J21-2*K21</f>
        <v>59.106106731168651</v>
      </c>
      <c r="N21">
        <f t="shared" ca="1" si="4"/>
        <v>0.17000000000000171</v>
      </c>
      <c r="O21">
        <f t="shared" ca="1" si="5"/>
        <v>0.17000000000000171</v>
      </c>
      <c r="P21">
        <f t="shared" ca="1" si="6"/>
        <v>0</v>
      </c>
      <c r="Q21">
        <f t="shared" ca="1" si="10"/>
        <v>0.15993734664203932</v>
      </c>
      <c r="R21">
        <f t="shared" ca="1" si="11"/>
        <v>0.13142337683794289</v>
      </c>
      <c r="S21">
        <f t="shared" ca="1" si="8"/>
        <v>1.2169626933209665</v>
      </c>
      <c r="T21">
        <f t="shared" ca="1" si="9"/>
        <v>54.893241865878238</v>
      </c>
      <c r="U21">
        <f>70</f>
        <v>70</v>
      </c>
      <c r="V21">
        <f>30</f>
        <v>30</v>
      </c>
      <c r="W21">
        <f t="shared" ca="1" si="7"/>
        <v>59.670340632161057</v>
      </c>
    </row>
    <row r="22" spans="1:25" x14ac:dyDescent="0.25">
      <c r="A22" s="20">
        <f t="shared" ca="1" si="0"/>
        <v>45320</v>
      </c>
      <c r="B22" vm="60">
        <f ca="1"/>
        <v>45322</v>
      </c>
      <c r="C22" vm="61">
        <f ca="1"/>
        <v>59.49</v>
      </c>
      <c r="D22" vm="62">
        <f ca="1"/>
        <v>22836998</v>
      </c>
      <c r="E22">
        <f t="shared" ca="1" si="1"/>
        <v>1358573011.02</v>
      </c>
      <c r="F22">
        <f ca="1">SUM($E$2:E22)/SUM($D$2:D22)</f>
        <v>59.763632155470965</v>
      </c>
      <c r="G22">
        <f ca="1">_xlfn.STDEV.P($C$2:C22)</f>
        <v>0.34112525545508604</v>
      </c>
      <c r="H22">
        <f t="shared" ca="1" si="2"/>
        <v>60.104757410926048</v>
      </c>
      <c r="I22">
        <f t="shared" ca="1" si="3"/>
        <v>59.422506900015883</v>
      </c>
      <c r="J22">
        <f t="shared" ref="J22:J85" ca="1" si="12">AVERAGE(C3:C22)</f>
        <v>59.792500000000004</v>
      </c>
      <c r="K22">
        <f t="shared" ref="K22:K85" ca="1" si="13">_xlfn.STDEV.S(C3:C22)</f>
        <v>0.35857723237671973</v>
      </c>
      <c r="L22">
        <f t="shared" ref="L22:L85" ca="1" si="14">J22 + 2*K22</f>
        <v>60.509654464753446</v>
      </c>
      <c r="M22">
        <f t="shared" ref="M22:M85" ca="1" si="15">J22-2*K22</f>
        <v>59.075345535246562</v>
      </c>
      <c r="N22">
        <f t="shared" ca="1" si="4"/>
        <v>-0.40999999999999659</v>
      </c>
      <c r="O22">
        <f t="shared" ca="1" si="5"/>
        <v>0</v>
      </c>
      <c r="P22">
        <f t="shared" ca="1" si="6"/>
        <v>0.40999999999999659</v>
      </c>
      <c r="Q22">
        <f t="shared" ca="1" si="10"/>
        <v>0.14851325045332223</v>
      </c>
      <c r="R22">
        <f t="shared" ca="1" si="11"/>
        <v>0.15132170706380385</v>
      </c>
      <c r="S22">
        <f t="shared" ca="1" si="8"/>
        <v>0.98144049082596285</v>
      </c>
      <c r="T22">
        <f t="shared" ca="1" si="9"/>
        <v>49.53166624836912</v>
      </c>
      <c r="U22">
        <f>70</f>
        <v>70</v>
      </c>
      <c r="V22">
        <f>30</f>
        <v>30</v>
      </c>
      <c r="W22">
        <f t="shared" ca="1" si="7"/>
        <v>59.642595919520893</v>
      </c>
    </row>
    <row r="23" spans="1:25" x14ac:dyDescent="0.25">
      <c r="A23" s="20">
        <f t="shared" ca="1" si="0"/>
        <v>45320</v>
      </c>
      <c r="B23" vm="63">
        <f ca="1"/>
        <v>45323</v>
      </c>
      <c r="C23" vm="64">
        <f ca="1"/>
        <v>60.98</v>
      </c>
      <c r="D23" vm="65">
        <f ca="1"/>
        <v>15870884</v>
      </c>
      <c r="E23">
        <f t="shared" ca="1" si="1"/>
        <v>967806506.31999993</v>
      </c>
      <c r="F23">
        <f ca="1">SUM($E$2:E23)/SUM($D$2:D23)</f>
        <v>59.825953164302582</v>
      </c>
      <c r="G23">
        <f ca="1">_xlfn.STDEV.P($C$2:C23)</f>
        <v>0.41488149258862134</v>
      </c>
      <c r="H23">
        <f t="shared" ca="1" si="2"/>
        <v>60.240834656891202</v>
      </c>
      <c r="I23">
        <f t="shared" ca="1" si="3"/>
        <v>59.411071671713962</v>
      </c>
      <c r="J23">
        <f t="shared" ca="1" si="12"/>
        <v>59.843500000000006</v>
      </c>
      <c r="K23">
        <f t="shared" ca="1" si="13"/>
        <v>0.44562522606475446</v>
      </c>
      <c r="L23">
        <f t="shared" ca="1" si="14"/>
        <v>60.734750452129518</v>
      </c>
      <c r="M23">
        <f t="shared" ca="1" si="15"/>
        <v>58.952249547870494</v>
      </c>
      <c r="N23">
        <f t="shared" ca="1" si="4"/>
        <v>1.4899999999999949</v>
      </c>
      <c r="O23">
        <f t="shared" ca="1" si="5"/>
        <v>1.4899999999999949</v>
      </c>
      <c r="P23">
        <f t="shared" ca="1" si="6"/>
        <v>0</v>
      </c>
      <c r="Q23">
        <f t="shared" ca="1" si="10"/>
        <v>0.24433373256379884</v>
      </c>
      <c r="R23">
        <f t="shared" ca="1" si="11"/>
        <v>0.14051301370210359</v>
      </c>
      <c r="S23">
        <f t="shared" ca="1" si="8"/>
        <v>1.738869063628524</v>
      </c>
      <c r="T23">
        <f t="shared" ca="1" si="9"/>
        <v>63.488579527961285</v>
      </c>
      <c r="U23">
        <f>70</f>
        <v>70</v>
      </c>
      <c r="V23">
        <f>30</f>
        <v>30</v>
      </c>
      <c r="W23">
        <f t="shared" ca="1" si="7"/>
        <v>59.848350393440754</v>
      </c>
    </row>
    <row r="24" spans="1:25" x14ac:dyDescent="0.25">
      <c r="A24" s="20">
        <f t="shared" ca="1" si="0"/>
        <v>45320</v>
      </c>
      <c r="B24" vm="66">
        <f ca="1"/>
        <v>45324</v>
      </c>
      <c r="C24" vm="67">
        <f ca="1"/>
        <v>60.54</v>
      </c>
      <c r="D24" vm="68">
        <f ca="1"/>
        <v>17544906</v>
      </c>
      <c r="E24">
        <f t="shared" ca="1" si="1"/>
        <v>1062168609.24</v>
      </c>
      <c r="F24">
        <f ca="1">SUM($E$2:E24)/SUM($D$2:D24)</f>
        <v>59.864228528023581</v>
      </c>
      <c r="G24">
        <f ca="1">_xlfn.STDEV.P($C$2:C24)</f>
        <v>0.42962022179087994</v>
      </c>
      <c r="H24">
        <f t="shared" ca="1" si="2"/>
        <v>60.293848749814458</v>
      </c>
      <c r="I24">
        <f t="shared" ca="1" si="3"/>
        <v>59.434608306232704</v>
      </c>
      <c r="J24">
        <f t="shared" ca="1" si="12"/>
        <v>59.882500000000007</v>
      </c>
      <c r="K24">
        <f t="shared" ca="1" si="13"/>
        <v>0.47132372381578597</v>
      </c>
      <c r="L24">
        <f t="shared" ca="1" si="14"/>
        <v>60.825147447631579</v>
      </c>
      <c r="M24">
        <f t="shared" ca="1" si="15"/>
        <v>58.939852552368436</v>
      </c>
      <c r="N24">
        <f t="shared" ca="1" si="4"/>
        <v>-0.43999999999999773</v>
      </c>
      <c r="O24">
        <f t="shared" ca="1" si="5"/>
        <v>0</v>
      </c>
      <c r="P24">
        <f t="shared" ca="1" si="6"/>
        <v>0.43999999999999773</v>
      </c>
      <c r="Q24">
        <f t="shared" ca="1" si="10"/>
        <v>0.22688132309495607</v>
      </c>
      <c r="R24">
        <f t="shared" ca="1" si="11"/>
        <v>0.16190494129481031</v>
      </c>
      <c r="S24">
        <f t="shared" ca="1" si="8"/>
        <v>1.4013242664523204</v>
      </c>
      <c r="T24">
        <f t="shared" ca="1" si="9"/>
        <v>58.356311391572923</v>
      </c>
      <c r="U24">
        <f>70</f>
        <v>70</v>
      </c>
      <c r="V24">
        <f>30</f>
        <v>30</v>
      </c>
      <c r="W24">
        <f t="shared" ca="1" si="7"/>
        <v>59.954758025219093</v>
      </c>
    </row>
    <row r="25" spans="1:25" x14ac:dyDescent="0.25">
      <c r="A25" s="20">
        <f t="shared" ca="1" si="0"/>
        <v>45327</v>
      </c>
      <c r="B25" vm="69">
        <f ca="1"/>
        <v>45327</v>
      </c>
      <c r="C25" vm="70">
        <f ca="1"/>
        <v>60.04</v>
      </c>
      <c r="D25" vm="71">
        <f ca="1"/>
        <v>12759569</v>
      </c>
      <c r="E25">
        <f t="shared" ca="1" si="1"/>
        <v>766084522.75999999</v>
      </c>
      <c r="F25">
        <f ca="1">SUM($E$2:E25)/SUM($D$2:D25)</f>
        <v>59.870823568224644</v>
      </c>
      <c r="G25">
        <f ca="1">_xlfn.STDEV.P($C$2:C25)</f>
        <v>0.42182124143080141</v>
      </c>
      <c r="H25">
        <f t="shared" ca="1" si="2"/>
        <v>60.292644809655442</v>
      </c>
      <c r="I25">
        <f t="shared" ca="1" si="3"/>
        <v>59.449002326793845</v>
      </c>
      <c r="J25">
        <f t="shared" ca="1" si="12"/>
        <v>59.900999999999996</v>
      </c>
      <c r="K25">
        <f t="shared" ca="1" si="13"/>
        <v>0.46980287019355849</v>
      </c>
      <c r="L25">
        <f t="shared" ca="1" si="14"/>
        <v>60.840605740387112</v>
      </c>
      <c r="M25">
        <f t="shared" ca="1" si="15"/>
        <v>58.961394259612881</v>
      </c>
      <c r="N25">
        <f t="shared" ca="1" si="4"/>
        <v>-0.5</v>
      </c>
      <c r="O25">
        <f t="shared" ca="1" si="5"/>
        <v>0</v>
      </c>
      <c r="P25">
        <f t="shared" ca="1" si="6"/>
        <v>0.5</v>
      </c>
      <c r="Q25">
        <f t="shared" ca="1" si="10"/>
        <v>0.2106755143024592</v>
      </c>
      <c r="R25">
        <f t="shared" ca="1" si="11"/>
        <v>0.18605458834518099</v>
      </c>
      <c r="S25">
        <f t="shared" ca="1" si="8"/>
        <v>1.1323317321881889</v>
      </c>
      <c r="T25">
        <f t="shared" ca="1" si="9"/>
        <v>53.102981824793055</v>
      </c>
      <c r="U25">
        <f>70</f>
        <v>70</v>
      </c>
      <c r="V25">
        <f>30</f>
        <v>30</v>
      </c>
      <c r="W25">
        <f t="shared" ca="1" si="7"/>
        <v>59.967872175185384</v>
      </c>
    </row>
    <row r="26" spans="1:25" x14ac:dyDescent="0.25">
      <c r="A26" s="20">
        <f t="shared" ca="1" si="0"/>
        <v>45327</v>
      </c>
      <c r="B26" vm="72">
        <f ca="1"/>
        <v>45328</v>
      </c>
      <c r="C26" vm="73">
        <f ca="1"/>
        <v>59.94</v>
      </c>
      <c r="D26" vm="74">
        <f ca="1"/>
        <v>12777150</v>
      </c>
      <c r="E26">
        <f t="shared" ca="1" si="1"/>
        <v>765862371</v>
      </c>
      <c r="F26">
        <f ca="1">SUM($E$2:E26)/SUM($D$2:D26)</f>
        <v>59.873328563207977</v>
      </c>
      <c r="G26">
        <f ca="1">_xlfn.STDEV.P($C$2:C26)</f>
        <v>0.41344136222685823</v>
      </c>
      <c r="H26">
        <f t="shared" ca="1" si="2"/>
        <v>60.286769925434832</v>
      </c>
      <c r="I26">
        <f t="shared" ca="1" si="3"/>
        <v>59.459887200981122</v>
      </c>
      <c r="J26">
        <f t="shared" ca="1" si="12"/>
        <v>59.892499999999998</v>
      </c>
      <c r="K26">
        <f t="shared" ca="1" si="13"/>
        <v>0.46735397381653404</v>
      </c>
      <c r="L26">
        <f t="shared" ca="1" si="14"/>
        <v>60.827207947633063</v>
      </c>
      <c r="M26">
        <f t="shared" ca="1" si="15"/>
        <v>58.957792052366933</v>
      </c>
      <c r="N26">
        <f t="shared" ca="1" si="4"/>
        <v>-0.10000000000000142</v>
      </c>
      <c r="O26">
        <f t="shared" ca="1" si="5"/>
        <v>0</v>
      </c>
      <c r="P26">
        <f t="shared" ca="1" si="6"/>
        <v>0.10000000000000142</v>
      </c>
      <c r="Q26">
        <f t="shared" ca="1" si="10"/>
        <v>0.19562726328085497</v>
      </c>
      <c r="R26">
        <f t="shared" ca="1" si="11"/>
        <v>0.17990783203481103</v>
      </c>
      <c r="S26">
        <f t="shared" ca="1" si="8"/>
        <v>1.0873749134112312</v>
      </c>
      <c r="T26">
        <f t="shared" ca="1" si="9"/>
        <v>52.092937709700678</v>
      </c>
      <c r="U26">
        <f>70</f>
        <v>70</v>
      </c>
      <c r="V26">
        <f>30</f>
        <v>30</v>
      </c>
      <c r="W26">
        <f t="shared" ca="1" si="7"/>
        <v>59.963584148233792</v>
      </c>
    </row>
    <row r="27" spans="1:25" x14ac:dyDescent="0.25">
      <c r="A27" s="20">
        <f t="shared" ca="1" si="0"/>
        <v>45327</v>
      </c>
      <c r="B27" vm="75">
        <f ca="1"/>
        <v>45329</v>
      </c>
      <c r="C27" vm="29">
        <f ca="1"/>
        <v>59.99</v>
      </c>
      <c r="D27" vm="76">
        <f ca="1"/>
        <v>10259892</v>
      </c>
      <c r="E27">
        <f t="shared" ca="1" si="1"/>
        <v>615490921.08000004</v>
      </c>
      <c r="F27">
        <f ca="1">SUM($E$2:E27)/SUM($D$2:D27)</f>
        <v>59.876625221630199</v>
      </c>
      <c r="G27">
        <f ca="1">_xlfn.STDEV.P($C$2:C27)</f>
        <v>0.40589808380660042</v>
      </c>
      <c r="H27">
        <f t="shared" ca="1" si="2"/>
        <v>60.282523305436797</v>
      </c>
      <c r="I27">
        <f t="shared" ca="1" si="3"/>
        <v>59.470727137823602</v>
      </c>
      <c r="J27">
        <f t="shared" ca="1" si="12"/>
        <v>59.891999999999996</v>
      </c>
      <c r="K27">
        <f t="shared" ca="1" si="13"/>
        <v>0.46723824645181694</v>
      </c>
      <c r="L27">
        <f t="shared" ca="1" si="14"/>
        <v>60.82647649290363</v>
      </c>
      <c r="M27">
        <f t="shared" ca="1" si="15"/>
        <v>58.957523507096361</v>
      </c>
      <c r="N27">
        <f t="shared" ca="1" si="4"/>
        <v>5.0000000000004263E-2</v>
      </c>
      <c r="O27">
        <f t="shared" ca="1" si="5"/>
        <v>5.0000000000004263E-2</v>
      </c>
      <c r="P27">
        <f t="shared" ca="1" si="6"/>
        <v>0</v>
      </c>
      <c r="Q27">
        <f t="shared" ca="1" si="10"/>
        <v>0.18522531590365135</v>
      </c>
      <c r="R27">
        <f t="shared" ca="1" si="11"/>
        <v>0.16705727260375311</v>
      </c>
      <c r="S27">
        <f t="shared" ca="1" si="8"/>
        <v>1.1087533815004356</v>
      </c>
      <c r="T27">
        <f t="shared" ca="1" si="9"/>
        <v>52.578617833040646</v>
      </c>
      <c r="U27">
        <f>70</f>
        <v>70</v>
      </c>
      <c r="V27">
        <f>30</f>
        <v>30</v>
      </c>
      <c r="W27">
        <f t="shared" ca="1" si="7"/>
        <v>59.967648125428596</v>
      </c>
      <c r="X27" s="9">
        <f ca="1">AVERAGE(C2:C27)</f>
        <v>59.890769230769237</v>
      </c>
      <c r="Y27">
        <f ca="1">W28-X28</f>
        <v>6.0203684479461117E-2</v>
      </c>
    </row>
    <row r="28" spans="1:25" x14ac:dyDescent="0.25">
      <c r="A28" s="20">
        <f t="shared" ca="1" si="0"/>
        <v>45327</v>
      </c>
      <c r="B28" vm="77">
        <f ca="1"/>
        <v>45330</v>
      </c>
      <c r="C28" vm="37">
        <f ca="1"/>
        <v>59.83</v>
      </c>
      <c r="D28" vm="78">
        <f ca="1"/>
        <v>12874761</v>
      </c>
      <c r="E28">
        <f t="shared" ca="1" si="1"/>
        <v>770296950.63</v>
      </c>
      <c r="F28">
        <f ca="1">SUM($E$2:E28)/SUM($D$2:D28)</f>
        <v>59.875028627597707</v>
      </c>
      <c r="G28">
        <f ca="1">_xlfn.STDEV.P($C$2:C28)</f>
        <v>0.39847583414531607</v>
      </c>
      <c r="H28">
        <f t="shared" ca="1" si="2"/>
        <v>60.273504461743023</v>
      </c>
      <c r="I28">
        <f t="shared" ca="1" si="3"/>
        <v>59.476552793452392</v>
      </c>
      <c r="J28">
        <f t="shared" ca="1" si="12"/>
        <v>59.873499999999993</v>
      </c>
      <c r="K28">
        <f t="shared" ca="1" si="13"/>
        <v>0.46169339336152992</v>
      </c>
      <c r="L28">
        <f t="shared" ca="1" si="14"/>
        <v>60.79688678672305</v>
      </c>
      <c r="M28">
        <f t="shared" ca="1" si="15"/>
        <v>58.950113213276936</v>
      </c>
      <c r="N28">
        <f t="shared" ca="1" si="4"/>
        <v>-0.16000000000000369</v>
      </c>
      <c r="O28">
        <f t="shared" ca="1" si="5"/>
        <v>0</v>
      </c>
      <c r="P28">
        <f t="shared" ca="1" si="6"/>
        <v>0.16000000000000369</v>
      </c>
      <c r="Q28">
        <f t="shared" ca="1" si="10"/>
        <v>0.17199493619624767</v>
      </c>
      <c r="R28">
        <f t="shared" ca="1" si="11"/>
        <v>0.16655318170348529</v>
      </c>
      <c r="S28">
        <f t="shared" ca="1" si="8"/>
        <v>1.0326727741680153</v>
      </c>
      <c r="T28">
        <f t="shared" ca="1" si="9"/>
        <v>50.803689963855312</v>
      </c>
      <c r="U28">
        <f>70</f>
        <v>70</v>
      </c>
      <c r="V28">
        <f>30</f>
        <v>30</v>
      </c>
      <c r="W28">
        <f t="shared" ca="1" si="7"/>
        <v>59.946471490747278</v>
      </c>
      <c r="X28">
        <f ca="1">C28*(2/(26+1)) + X27*(1-(2/(26+1)))</f>
        <v>59.886267806267817</v>
      </c>
      <c r="Y28">
        <f t="shared" ref="Y28:Y91" ca="1" si="16">W29-X29</f>
        <v>2.4914517706271511E-2</v>
      </c>
    </row>
    <row r="29" spans="1:25" x14ac:dyDescent="0.25">
      <c r="A29" s="20">
        <f t="shared" ca="1" si="0"/>
        <v>45327</v>
      </c>
      <c r="B29" vm="79">
        <f ca="1"/>
        <v>45331</v>
      </c>
      <c r="C29" vm="80">
        <f ca="1"/>
        <v>59.56</v>
      </c>
      <c r="D29" vm="81">
        <f ca="1"/>
        <v>15235251</v>
      </c>
      <c r="E29">
        <f t="shared" ca="1" si="1"/>
        <v>907411549.56000006</v>
      </c>
      <c r="F29">
        <f ca="1">SUM($E$2:E29)/SUM($D$2:D29)</f>
        <v>59.862760365349907</v>
      </c>
      <c r="G29">
        <f ca="1">_xlfn.STDEV.P($C$2:C29)</f>
        <v>0.39601635582590883</v>
      </c>
      <c r="H29">
        <f t="shared" ca="1" si="2"/>
        <v>60.258776721175813</v>
      </c>
      <c r="I29">
        <f t="shared" ca="1" si="3"/>
        <v>59.466744009524</v>
      </c>
      <c r="J29">
        <f t="shared" ca="1" si="12"/>
        <v>59.86099999999999</v>
      </c>
      <c r="K29">
        <f t="shared" ca="1" si="13"/>
        <v>0.46685848188210444</v>
      </c>
      <c r="L29">
        <f t="shared" ca="1" si="14"/>
        <v>60.794716963764202</v>
      </c>
      <c r="M29">
        <f t="shared" ca="1" si="15"/>
        <v>58.927283036235778</v>
      </c>
      <c r="N29">
        <f t="shared" ca="1" si="4"/>
        <v>-0.26999999999999602</v>
      </c>
      <c r="O29">
        <f t="shared" ca="1" si="5"/>
        <v>0</v>
      </c>
      <c r="P29">
        <f t="shared" ca="1" si="6"/>
        <v>0.26999999999999602</v>
      </c>
      <c r="Q29">
        <f t="shared" ca="1" si="10"/>
        <v>0.1597095836108014</v>
      </c>
      <c r="R29">
        <f t="shared" ca="1" si="11"/>
        <v>0.17394224015323606</v>
      </c>
      <c r="S29">
        <f t="shared" ca="1" si="8"/>
        <v>0.91817596157266768</v>
      </c>
      <c r="T29">
        <f t="shared" ca="1" si="9"/>
        <v>47.86713940570273</v>
      </c>
      <c r="U29">
        <f>70</f>
        <v>70</v>
      </c>
      <c r="V29">
        <f>30</f>
        <v>30</v>
      </c>
      <c r="W29">
        <f t="shared" ca="1" si="7"/>
        <v>59.887014338324619</v>
      </c>
      <c r="X29">
        <f t="shared" ref="X29:X92" ca="1" si="17">C29*(2/(26+1)) + X28*(1-(2/(26+1)))</f>
        <v>59.862099820618347</v>
      </c>
      <c r="Y29">
        <f t="shared" ca="1" si="16"/>
        <v>8.1504751608179049E-3</v>
      </c>
    </row>
    <row r="30" spans="1:25" x14ac:dyDescent="0.25">
      <c r="A30" s="20">
        <f t="shared" ca="1" si="0"/>
        <v>45334</v>
      </c>
      <c r="B30" vm="82">
        <f ca="1"/>
        <v>45334</v>
      </c>
      <c r="C30" vm="83">
        <f ca="1"/>
        <v>59.7</v>
      </c>
      <c r="D30" vm="84">
        <f ca="1"/>
        <v>13516782</v>
      </c>
      <c r="E30">
        <f t="shared" ca="1" si="1"/>
        <v>806951885.4000001</v>
      </c>
      <c r="F30">
        <f ca="1">SUM($E$2:E30)/SUM($D$2:D30)</f>
        <v>59.857324688789717</v>
      </c>
      <c r="G30">
        <f ca="1">_xlfn.STDEV.P($C$2:C30)</f>
        <v>0.3904633060112826</v>
      </c>
      <c r="H30">
        <f t="shared" ca="1" si="2"/>
        <v>60.247787994801001</v>
      </c>
      <c r="I30">
        <f t="shared" ca="1" si="3"/>
        <v>59.466861382778433</v>
      </c>
      <c r="J30">
        <f t="shared" ca="1" si="12"/>
        <v>59.826499999999989</v>
      </c>
      <c r="K30">
        <f t="shared" ca="1" si="13"/>
        <v>0.450932075641227</v>
      </c>
      <c r="L30">
        <f t="shared" ca="1" si="14"/>
        <v>60.728364151282442</v>
      </c>
      <c r="M30">
        <f t="shared" ca="1" si="15"/>
        <v>58.924635848717536</v>
      </c>
      <c r="N30">
        <f t="shared" ca="1" si="4"/>
        <v>0.14000000000000057</v>
      </c>
      <c r="O30">
        <f t="shared" ca="1" si="5"/>
        <v>0.14000000000000057</v>
      </c>
      <c r="P30">
        <f t="shared" ca="1" si="6"/>
        <v>0</v>
      </c>
      <c r="Q30">
        <f t="shared" ca="1" si="10"/>
        <v>0.15830175621002993</v>
      </c>
      <c r="R30">
        <f t="shared" ca="1" si="11"/>
        <v>0.1615177944280049</v>
      </c>
      <c r="S30">
        <f t="shared" ca="1" si="8"/>
        <v>0.98008864453997668</v>
      </c>
      <c r="T30">
        <f t="shared" ca="1" si="9"/>
        <v>49.497210503304281</v>
      </c>
      <c r="U30">
        <f>70</f>
        <v>70</v>
      </c>
      <c r="V30">
        <f>30</f>
        <v>30</v>
      </c>
      <c r="W30">
        <f t="shared" ca="1" si="7"/>
        <v>59.858242901659288</v>
      </c>
      <c r="X30">
        <f t="shared" ca="1" si="17"/>
        <v>59.85009242649847</v>
      </c>
      <c r="Y30">
        <f t="shared" ca="1" si="16"/>
        <v>-3.2996857034746085E-2</v>
      </c>
    </row>
    <row r="31" spans="1:25" x14ac:dyDescent="0.25">
      <c r="A31" s="20">
        <f t="shared" ca="1" si="0"/>
        <v>45334</v>
      </c>
      <c r="B31" vm="85">
        <f ca="1"/>
        <v>45335</v>
      </c>
      <c r="C31" vm="86">
        <f ca="1"/>
        <v>59.35</v>
      </c>
      <c r="D31" vm="87">
        <f ca="1"/>
        <v>24195706</v>
      </c>
      <c r="E31">
        <f t="shared" ca="1" si="1"/>
        <v>1436015151.1000001</v>
      </c>
      <c r="F31">
        <f ca="1">SUM($E$2:E31)/SUM($D$2:D31)</f>
        <v>59.828706679052637</v>
      </c>
      <c r="G31">
        <f ca="1">_xlfn.STDEV.P($C$2:C31)</f>
        <v>0.39511461065816789</v>
      </c>
      <c r="H31">
        <f t="shared" ca="1" si="2"/>
        <v>60.223821289710806</v>
      </c>
      <c r="I31">
        <f t="shared" ca="1" si="3"/>
        <v>59.433592068394468</v>
      </c>
      <c r="J31">
        <f t="shared" ca="1" si="12"/>
        <v>59.794500000000006</v>
      </c>
      <c r="K31">
        <f t="shared" ca="1" si="13"/>
        <v>0.46130792319230751</v>
      </c>
      <c r="L31">
        <f t="shared" ca="1" si="14"/>
        <v>60.717115846384623</v>
      </c>
      <c r="M31">
        <f t="shared" ca="1" si="15"/>
        <v>58.87188415361539</v>
      </c>
      <c r="N31">
        <f t="shared" ca="1" si="4"/>
        <v>-0.35000000000000142</v>
      </c>
      <c r="O31">
        <f t="shared" ca="1" si="5"/>
        <v>0</v>
      </c>
      <c r="P31">
        <f t="shared" ca="1" si="6"/>
        <v>0.35000000000000142</v>
      </c>
      <c r="Q31">
        <f t="shared" ca="1" si="10"/>
        <v>0.14699448790931349</v>
      </c>
      <c r="R31">
        <f t="shared" ca="1" si="11"/>
        <v>0.17498080911171893</v>
      </c>
      <c r="S31">
        <f t="shared" ca="1" si="8"/>
        <v>0.84006062525098291</v>
      </c>
      <c r="T31">
        <f t="shared" ca="1" si="9"/>
        <v>45.653964533717428</v>
      </c>
      <c r="U31">
        <f>70</f>
        <v>70</v>
      </c>
      <c r="V31">
        <f>30</f>
        <v>30</v>
      </c>
      <c r="W31">
        <f t="shared" ca="1" si="7"/>
        <v>59.780051686019398</v>
      </c>
      <c r="X31">
        <f t="shared" ca="1" si="17"/>
        <v>59.813048543054144</v>
      </c>
      <c r="Y31">
        <f t="shared" ca="1" si="16"/>
        <v>-6.9645087592128618E-2</v>
      </c>
    </row>
    <row r="32" spans="1:25" x14ac:dyDescent="0.25">
      <c r="A32" s="20">
        <f t="shared" ca="1" si="0"/>
        <v>45334</v>
      </c>
      <c r="B32" vm="88">
        <f ca="1"/>
        <v>45336</v>
      </c>
      <c r="C32" vm="89">
        <f ca="1"/>
        <v>59.29</v>
      </c>
      <c r="D32" vm="90">
        <f ca="1"/>
        <v>15872453</v>
      </c>
      <c r="E32">
        <f t="shared" ca="1" si="1"/>
        <v>941077738.37</v>
      </c>
      <c r="F32">
        <f ca="1">SUM($E$2:E32)/SUM($D$2:D32)</f>
        <v>59.809483255541565</v>
      </c>
      <c r="G32">
        <f ca="1">_xlfn.STDEV.P($C$2:C32)</f>
        <v>0.40123093637955259</v>
      </c>
      <c r="H32">
        <f t="shared" ca="1" si="2"/>
        <v>60.21071419192112</v>
      </c>
      <c r="I32">
        <f t="shared" ca="1" si="3"/>
        <v>59.40825231916201</v>
      </c>
      <c r="J32">
        <f t="shared" ca="1" si="12"/>
        <v>59.759500000000003</v>
      </c>
      <c r="K32">
        <f t="shared" ca="1" si="13"/>
        <v>0.4721225866680232</v>
      </c>
      <c r="L32">
        <f t="shared" ca="1" si="14"/>
        <v>60.703745173336046</v>
      </c>
      <c r="M32">
        <f t="shared" ca="1" si="15"/>
        <v>58.81525482666396</v>
      </c>
      <c r="N32">
        <f t="shared" ca="1" si="4"/>
        <v>-6.0000000000002274E-2</v>
      </c>
      <c r="O32">
        <f t="shared" ca="1" si="5"/>
        <v>0</v>
      </c>
      <c r="P32">
        <f t="shared" ca="1" si="6"/>
        <v>6.0000000000002274E-2</v>
      </c>
      <c r="Q32">
        <f t="shared" ca="1" si="10"/>
        <v>0.13649488163007681</v>
      </c>
      <c r="R32">
        <f t="shared" ca="1" si="11"/>
        <v>0.16676789417516774</v>
      </c>
      <c r="S32">
        <f t="shared" ca="1" si="8"/>
        <v>0.81847217838408926</v>
      </c>
      <c r="T32">
        <f t="shared" ca="1" si="9"/>
        <v>45.008781993650899</v>
      </c>
      <c r="U32">
        <f>70</f>
        <v>70</v>
      </c>
      <c r="V32">
        <f>30</f>
        <v>30</v>
      </c>
      <c r="W32">
        <f t="shared" ca="1" si="7"/>
        <v>59.704659118939489</v>
      </c>
      <c r="X32">
        <f t="shared" ca="1" si="17"/>
        <v>59.774304206531617</v>
      </c>
      <c r="Y32">
        <f t="shared" ca="1" si="16"/>
        <v>-8.8789483754268872E-2</v>
      </c>
    </row>
    <row r="33" spans="1:27" x14ac:dyDescent="0.25">
      <c r="A33" s="20">
        <f t="shared" ca="1" si="0"/>
        <v>45334</v>
      </c>
      <c r="B33" vm="91">
        <f ca="1"/>
        <v>45337</v>
      </c>
      <c r="C33" vm="92">
        <f ca="1"/>
        <v>59.4</v>
      </c>
      <c r="D33" vm="93">
        <f ca="1"/>
        <v>13695848</v>
      </c>
      <c r="E33">
        <f t="shared" ca="1" si="1"/>
        <v>813533371.19999993</v>
      </c>
      <c r="F33">
        <f ca="1">SUM($E$2:E33)/SUM($D$2:D33)</f>
        <v>59.79725149987808</v>
      </c>
      <c r="G33">
        <f ca="1">_xlfn.STDEV.P($C$2:C33)</f>
        <v>0.40210469232993301</v>
      </c>
      <c r="H33">
        <f t="shared" ca="1" si="2"/>
        <v>60.199356192208015</v>
      </c>
      <c r="I33">
        <f t="shared" ca="1" si="3"/>
        <v>59.395146807548144</v>
      </c>
      <c r="J33">
        <f t="shared" ca="1" si="12"/>
        <v>59.721500000000006</v>
      </c>
      <c r="K33">
        <f t="shared" ca="1" si="13"/>
        <v>0.4687640524209436</v>
      </c>
      <c r="L33">
        <f t="shared" ca="1" si="14"/>
        <v>60.659028104841894</v>
      </c>
      <c r="M33">
        <f t="shared" ca="1" si="15"/>
        <v>58.783971895158118</v>
      </c>
      <c r="N33">
        <f t="shared" ca="1" si="4"/>
        <v>0.10999999999999943</v>
      </c>
      <c r="O33">
        <f t="shared" ca="1" si="5"/>
        <v>0.10999999999999943</v>
      </c>
      <c r="P33">
        <f t="shared" ca="1" si="6"/>
        <v>0</v>
      </c>
      <c r="Q33">
        <f t="shared" ca="1" si="10"/>
        <v>0.13460239008507127</v>
      </c>
      <c r="R33">
        <f t="shared" ca="1" si="11"/>
        <v>0.15485590173408431</v>
      </c>
      <c r="S33">
        <f t="shared" ca="1" si="8"/>
        <v>0.86921059241389464</v>
      </c>
      <c r="T33">
        <f t="shared" ca="1" si="9"/>
        <v>46.501480140415744</v>
      </c>
      <c r="U33">
        <f>70</f>
        <v>70</v>
      </c>
      <c r="V33">
        <f>30</f>
        <v>30</v>
      </c>
      <c r="W33">
        <f t="shared" ca="1" si="7"/>
        <v>59.657788485256489</v>
      </c>
      <c r="X33">
        <f t="shared" ca="1" si="17"/>
        <v>59.746577969010758</v>
      </c>
      <c r="Y33">
        <f t="shared" ca="1" si="16"/>
        <v>-0.10357452936558786</v>
      </c>
    </row>
    <row r="34" spans="1:27" x14ac:dyDescent="0.25">
      <c r="A34" s="20">
        <f t="shared" ca="1" si="0"/>
        <v>45334</v>
      </c>
      <c r="B34" vm="94">
        <f ca="1"/>
        <v>45338</v>
      </c>
      <c r="C34" vm="95">
        <f ca="1"/>
        <v>59.39</v>
      </c>
      <c r="D34" vm="96">
        <f ca="1"/>
        <v>13947057</v>
      </c>
      <c r="E34">
        <f t="shared" ca="1" si="1"/>
        <v>828315715.23000002</v>
      </c>
      <c r="F34">
        <f ca="1">SUM($E$2:E34)/SUM($D$2:D34)</f>
        <v>59.785228991394327</v>
      </c>
      <c r="G34">
        <f ca="1">_xlfn.STDEV.P($C$2:C34)</f>
        <v>0.40281675819101986</v>
      </c>
      <c r="H34">
        <f t="shared" ca="1" si="2"/>
        <v>60.188045749585349</v>
      </c>
      <c r="I34">
        <f t="shared" ca="1" si="3"/>
        <v>59.382412233203304</v>
      </c>
      <c r="J34">
        <f t="shared" ca="1" si="12"/>
        <v>59.699500000000015</v>
      </c>
      <c r="K34">
        <f t="shared" ca="1" si="13"/>
        <v>0.47370293822627957</v>
      </c>
      <c r="L34">
        <f t="shared" ca="1" si="14"/>
        <v>60.646905876452571</v>
      </c>
      <c r="M34">
        <f t="shared" ca="1" si="15"/>
        <v>58.752094123547458</v>
      </c>
      <c r="N34">
        <f t="shared" ca="1" si="4"/>
        <v>-9.9999999999980105E-3</v>
      </c>
      <c r="O34">
        <f t="shared" ca="1" si="5"/>
        <v>0</v>
      </c>
      <c r="P34">
        <f t="shared" ca="1" si="6"/>
        <v>9.9999999999980105E-3</v>
      </c>
      <c r="Q34">
        <f t="shared" ca="1" si="10"/>
        <v>0.12498793365042334</v>
      </c>
      <c r="R34">
        <f t="shared" ca="1" si="11"/>
        <v>0.14450905161022101</v>
      </c>
      <c r="S34">
        <f t="shared" ca="1" si="8"/>
        <v>0.86491421995868278</v>
      </c>
      <c r="T34">
        <f t="shared" ca="1" si="9"/>
        <v>46.378230735880443</v>
      </c>
      <c r="U34">
        <f>70</f>
        <v>70</v>
      </c>
      <c r="V34">
        <f>30</f>
        <v>30</v>
      </c>
      <c r="W34">
        <f t="shared" ca="1" si="7"/>
        <v>59.616590256755487</v>
      </c>
      <c r="X34">
        <f t="shared" ca="1" si="17"/>
        <v>59.720164786121074</v>
      </c>
      <c r="Y34">
        <f t="shared" ca="1" si="16"/>
        <v>-9.4764935412285922E-3</v>
      </c>
    </row>
    <row r="35" spans="1:27" x14ac:dyDescent="0.25">
      <c r="A35" s="20">
        <f t="shared" ca="1" si="0"/>
        <v>45341</v>
      </c>
      <c r="B35" vm="97">
        <f ca="1"/>
        <v>45342</v>
      </c>
      <c r="C35" vm="98">
        <f ca="1"/>
        <v>60.7</v>
      </c>
      <c r="D35" vm="99">
        <f ca="1"/>
        <v>18339324</v>
      </c>
      <c r="E35">
        <f t="shared" ca="1" si="1"/>
        <v>1113196966.8</v>
      </c>
      <c r="F35">
        <f ca="1">SUM($E$2:E35)/SUM($D$2:D35)</f>
        <v>59.819411668572613</v>
      </c>
      <c r="G35">
        <f ca="1">_xlfn.STDEV.P($C$2:C35)</f>
        <v>0.42447362070131112</v>
      </c>
      <c r="H35">
        <f t="shared" ca="1" si="2"/>
        <v>60.243885289273926</v>
      </c>
      <c r="I35">
        <f t="shared" ca="1" si="3"/>
        <v>59.3949380478713</v>
      </c>
      <c r="J35">
        <f t="shared" ca="1" si="12"/>
        <v>59.756000000000007</v>
      </c>
      <c r="K35">
        <f t="shared" ca="1" si="13"/>
        <v>0.5223368544088044</v>
      </c>
      <c r="L35">
        <f t="shared" ca="1" si="14"/>
        <v>60.800673708817619</v>
      </c>
      <c r="M35">
        <f t="shared" ca="1" si="15"/>
        <v>58.711326291182395</v>
      </c>
      <c r="N35">
        <f t="shared" ca="1" si="4"/>
        <v>1.3100000000000023</v>
      </c>
      <c r="O35">
        <f t="shared" ca="1" si="5"/>
        <v>1.3100000000000023</v>
      </c>
      <c r="P35">
        <f t="shared" ca="1" si="6"/>
        <v>0</v>
      </c>
      <c r="Q35">
        <f t="shared" ca="1" si="10"/>
        <v>0.20963165267539324</v>
      </c>
      <c r="R35">
        <f t="shared" ca="1" si="11"/>
        <v>0.13418697649520522</v>
      </c>
      <c r="S35">
        <f t="shared" ca="1" si="8"/>
        <v>1.5622354579461279</v>
      </c>
      <c r="T35">
        <f t="shared" ca="1" si="9"/>
        <v>60.971580621181715</v>
      </c>
      <c r="U35">
        <f>70</f>
        <v>70</v>
      </c>
      <c r="V35">
        <f>30</f>
        <v>30</v>
      </c>
      <c r="W35">
        <f t="shared" ca="1" si="7"/>
        <v>59.7832686787931</v>
      </c>
      <c r="X35">
        <f t="shared" ca="1" si="17"/>
        <v>59.792745172334328</v>
      </c>
      <c r="Y35">
        <f t="shared" ca="1" si="16"/>
        <v>0.1074319561051027</v>
      </c>
    </row>
    <row r="36" spans="1:27" x14ac:dyDescent="0.25">
      <c r="A36" s="20">
        <f t="shared" ca="1" si="0"/>
        <v>45341</v>
      </c>
      <c r="B36" vm="100">
        <f ca="1"/>
        <v>45343</v>
      </c>
      <c r="C36" vm="101">
        <f ca="1"/>
        <v>61.24</v>
      </c>
      <c r="D36" vm="102">
        <f ca="1"/>
        <v>14378264</v>
      </c>
      <c r="E36">
        <f t="shared" ca="1" si="1"/>
        <v>880524887.36000001</v>
      </c>
      <c r="F36">
        <f ca="1">SUM($E$2:E36)/SUM($D$2:D36)</f>
        <v>59.859845465730068</v>
      </c>
      <c r="G36">
        <f ca="1">_xlfn.STDEV.P($C$2:C36)</f>
        <v>0.47941852535022045</v>
      </c>
      <c r="H36">
        <f t="shared" ca="1" si="2"/>
        <v>60.339263991080287</v>
      </c>
      <c r="I36">
        <f t="shared" ca="1" si="3"/>
        <v>59.380426940379849</v>
      </c>
      <c r="J36">
        <f t="shared" ca="1" si="12"/>
        <v>59.825500000000012</v>
      </c>
      <c r="K36">
        <f t="shared" ca="1" si="13"/>
        <v>0.61902703792662495</v>
      </c>
      <c r="L36">
        <f t="shared" ca="1" si="14"/>
        <v>61.063554075853261</v>
      </c>
      <c r="M36">
        <f t="shared" ca="1" si="15"/>
        <v>58.587445924146763</v>
      </c>
      <c r="N36">
        <f t="shared" ca="1" si="4"/>
        <v>0.53999999999999915</v>
      </c>
      <c r="O36">
        <f t="shared" ca="1" si="5"/>
        <v>0.53999999999999915</v>
      </c>
      <c r="P36">
        <f t="shared" ca="1" si="6"/>
        <v>0</v>
      </c>
      <c r="Q36">
        <f t="shared" ca="1" si="10"/>
        <v>0.23322939177000795</v>
      </c>
      <c r="R36">
        <f t="shared" ca="1" si="11"/>
        <v>0.12460219245983342</v>
      </c>
      <c r="S36">
        <f t="shared" ca="1" si="8"/>
        <v>1.8717920380509472</v>
      </c>
      <c r="T36">
        <f t="shared" ca="1" si="9"/>
        <v>65.178537068488822</v>
      </c>
      <c r="U36">
        <f>70</f>
        <v>70</v>
      </c>
      <c r="V36">
        <f>30</f>
        <v>30</v>
      </c>
      <c r="W36">
        <f t="shared" ca="1" si="7"/>
        <v>60.007381189748003</v>
      </c>
      <c r="X36">
        <f t="shared" ca="1" si="17"/>
        <v>59.8999492336429</v>
      </c>
      <c r="Y36">
        <f t="shared" ca="1" si="16"/>
        <v>0.19062311231115103</v>
      </c>
      <c r="Z36" s="9">
        <f ca="1">AVERAGE(Y28:Y36)</f>
        <v>2.9597344439314575E-3</v>
      </c>
    </row>
    <row r="37" spans="1:27" x14ac:dyDescent="0.25">
      <c r="A37" s="20">
        <f t="shared" ca="1" si="0"/>
        <v>45341</v>
      </c>
      <c r="B37" vm="103">
        <f ca="1"/>
        <v>45344</v>
      </c>
      <c r="C37" vm="104">
        <f ca="1"/>
        <v>61.15</v>
      </c>
      <c r="D37" vm="105">
        <f ca="1"/>
        <v>12982799</v>
      </c>
      <c r="E37">
        <f t="shared" ca="1" si="1"/>
        <v>793898158.85000002</v>
      </c>
      <c r="F37">
        <f ca="1">SUM($E$2:E37)/SUM($D$2:D37)</f>
        <v>59.892172020078782</v>
      </c>
      <c r="G37">
        <f ca="1">_xlfn.STDEV.P($C$2:C37)</f>
        <v>0.51707771880438913</v>
      </c>
      <c r="H37">
        <f t="shared" ca="1" si="2"/>
        <v>60.409249738883169</v>
      </c>
      <c r="I37">
        <f t="shared" ca="1" si="3"/>
        <v>59.375094301274395</v>
      </c>
      <c r="J37">
        <f t="shared" ca="1" si="12"/>
        <v>59.937500000000014</v>
      </c>
      <c r="K37">
        <f t="shared" ca="1" si="13"/>
        <v>0.64669096988153163</v>
      </c>
      <c r="L37">
        <f t="shared" ca="1" si="14"/>
        <v>61.23088193976308</v>
      </c>
      <c r="M37">
        <f t="shared" ca="1" si="15"/>
        <v>58.644118060236949</v>
      </c>
      <c r="N37">
        <f t="shared" ca="1" si="4"/>
        <v>-9.0000000000003411E-2</v>
      </c>
      <c r="O37">
        <f t="shared" ca="1" si="5"/>
        <v>0</v>
      </c>
      <c r="P37">
        <f t="shared" ca="1" si="6"/>
        <v>9.0000000000003411E-2</v>
      </c>
      <c r="Q37">
        <f t="shared" ca="1" si="10"/>
        <v>0.21657014950072168</v>
      </c>
      <c r="R37">
        <f t="shared" ca="1" si="11"/>
        <v>0.12213060728413128</v>
      </c>
      <c r="S37">
        <f t="shared" ca="1" si="8"/>
        <v>1.7732667864074492</v>
      </c>
      <c r="T37">
        <f t="shared" ca="1" si="9"/>
        <v>63.941442456914793</v>
      </c>
      <c r="U37">
        <f>70</f>
        <v>70</v>
      </c>
      <c r="V37">
        <f>30</f>
        <v>30</v>
      </c>
      <c r="W37">
        <f t="shared" ca="1" si="7"/>
        <v>60.183168699017543</v>
      </c>
      <c r="X37">
        <f t="shared" ca="1" si="17"/>
        <v>59.992545586706392</v>
      </c>
      <c r="Y37">
        <f t="shared" ca="1" si="16"/>
        <v>0.25761762942630639</v>
      </c>
      <c r="Z37">
        <f ca="1">Y37*(2/(9+1)) + Z36*(1-(2/(9+1)))</f>
        <v>5.3891313440406451E-2</v>
      </c>
      <c r="AA37">
        <f ca="1">Y37-Z37</f>
        <v>0.20372631598589994</v>
      </c>
    </row>
    <row r="38" spans="1:27" x14ac:dyDescent="0.25">
      <c r="A38" s="20">
        <f t="shared" ca="1" si="0"/>
        <v>45341</v>
      </c>
      <c r="B38" vm="106">
        <f ca="1"/>
        <v>45345</v>
      </c>
      <c r="C38" vm="107">
        <f ca="1"/>
        <v>61.2</v>
      </c>
      <c r="D38" vm="108">
        <f ca="1"/>
        <v>13612914</v>
      </c>
      <c r="E38">
        <f t="shared" ca="1" si="1"/>
        <v>833110336.80000007</v>
      </c>
      <c r="F38">
        <f ca="1">SUM($E$2:E38)/SUM($D$2:D38)</f>
        <v>59.925652248138654</v>
      </c>
      <c r="G38">
        <f ca="1">_xlfn.STDEV.P($C$2:C38)</f>
        <v>0.55125714616497734</v>
      </c>
      <c r="H38">
        <f t="shared" ca="1" si="2"/>
        <v>60.476909394303632</v>
      </c>
      <c r="I38">
        <f t="shared" ca="1" si="3"/>
        <v>59.374395101973676</v>
      </c>
      <c r="J38">
        <f t="shared" ca="1" si="12"/>
        <v>60.039500000000011</v>
      </c>
      <c r="K38">
        <f t="shared" ca="1" si="13"/>
        <v>0.67773985849252949</v>
      </c>
      <c r="L38">
        <f t="shared" ca="1" si="14"/>
        <v>61.39497971698507</v>
      </c>
      <c r="M38">
        <f t="shared" ca="1" si="15"/>
        <v>58.684020283014952</v>
      </c>
      <c r="N38">
        <f t="shared" ca="1" si="4"/>
        <v>5.0000000000004263E-2</v>
      </c>
      <c r="O38">
        <f t="shared" ca="1" si="5"/>
        <v>5.0000000000004263E-2</v>
      </c>
      <c r="P38">
        <f t="shared" ca="1" si="6"/>
        <v>0</v>
      </c>
      <c r="Q38">
        <f t="shared" ca="1" si="10"/>
        <v>0.20467228167924187</v>
      </c>
      <c r="R38">
        <f t="shared" ca="1" si="11"/>
        <v>0.1134069924781219</v>
      </c>
      <c r="S38">
        <f t="shared" ca="1" si="8"/>
        <v>1.8047589236503787</v>
      </c>
      <c r="T38">
        <f t="shared" ca="1" si="9"/>
        <v>64.346311849914528</v>
      </c>
      <c r="U38">
        <f>70</f>
        <v>70</v>
      </c>
      <c r="V38">
        <f>30</f>
        <v>30</v>
      </c>
      <c r="W38">
        <f t="shared" ca="1" si="7"/>
        <v>60.339604283784077</v>
      </c>
      <c r="X38">
        <f t="shared" ca="1" si="17"/>
        <v>60.08198665435777</v>
      </c>
      <c r="Y38">
        <f t="shared" ca="1" si="16"/>
        <v>0.26808207868260325</v>
      </c>
      <c r="Z38">
        <f t="shared" ref="Z38:Z101" ca="1" si="18">Y38*(2/(9+1)) + Z37*(1-(2/(9+1)))</f>
        <v>9.6729466488845811E-2</v>
      </c>
      <c r="AA38">
        <f t="shared" ref="AA38:AA101" ca="1" si="19">Y38-Z38</f>
        <v>0.17135261219375744</v>
      </c>
    </row>
    <row r="39" spans="1:27" x14ac:dyDescent="0.25">
      <c r="A39" s="20">
        <f t="shared" ca="1" si="0"/>
        <v>45348</v>
      </c>
      <c r="B39" vm="109">
        <f ca="1"/>
        <v>45348</v>
      </c>
      <c r="C39" vm="110">
        <f ca="1"/>
        <v>60.71</v>
      </c>
      <c r="D39" vm="111">
        <f ca="1"/>
        <v>10336096</v>
      </c>
      <c r="E39">
        <f t="shared" ca="1" si="1"/>
        <v>627504388.15999997</v>
      </c>
      <c r="F39">
        <f ca="1">SUM($E$2:E39)/SUM($D$2:D39)</f>
        <v>59.940607413314247</v>
      </c>
      <c r="G39">
        <f ca="1">_xlfn.STDEV.P($C$2:C39)</f>
        <v>0.55756395357561483</v>
      </c>
      <c r="H39">
        <f t="shared" ca="1" si="2"/>
        <v>60.498171366889864</v>
      </c>
      <c r="I39">
        <f t="shared" ca="1" si="3"/>
        <v>59.38304345973863</v>
      </c>
      <c r="J39">
        <f t="shared" ca="1" si="12"/>
        <v>60.106500000000004</v>
      </c>
      <c r="K39">
        <f t="shared" ca="1" si="13"/>
        <v>0.67429709991024622</v>
      </c>
      <c r="L39">
        <f t="shared" ca="1" si="14"/>
        <v>61.455094199820493</v>
      </c>
      <c r="M39">
        <f t="shared" ca="1" si="15"/>
        <v>58.757905800179515</v>
      </c>
      <c r="N39">
        <f t="shared" ca="1" si="4"/>
        <v>-0.49000000000000199</v>
      </c>
      <c r="O39">
        <f t="shared" ca="1" si="5"/>
        <v>0</v>
      </c>
      <c r="P39">
        <f t="shared" ca="1" si="6"/>
        <v>0.49000000000000199</v>
      </c>
      <c r="Q39">
        <f t="shared" ca="1" si="10"/>
        <v>0.19005283298786746</v>
      </c>
      <c r="R39">
        <f t="shared" ca="1" si="11"/>
        <v>0.14030649301539905</v>
      </c>
      <c r="S39">
        <f t="shared" ca="1" si="8"/>
        <v>1.3545547957428357</v>
      </c>
      <c r="T39">
        <f t="shared" ca="1" si="9"/>
        <v>57.529126023821789</v>
      </c>
      <c r="U39">
        <f>70</f>
        <v>70</v>
      </c>
      <c r="V39">
        <f>30</f>
        <v>30</v>
      </c>
      <c r="W39">
        <f t="shared" ca="1" si="7"/>
        <v>60.396588240124984</v>
      </c>
      <c r="X39">
        <f t="shared" ca="1" si="17"/>
        <v>60.128506161442381</v>
      </c>
      <c r="Y39">
        <f t="shared" ca="1" si="16"/>
        <v>0.24370998532292987</v>
      </c>
      <c r="Z39">
        <f t="shared" ca="1" si="18"/>
        <v>0.12612557025566262</v>
      </c>
      <c r="AA39">
        <f t="shared" ca="1" si="19"/>
        <v>0.11758441506726725</v>
      </c>
    </row>
    <row r="40" spans="1:27" x14ac:dyDescent="0.25">
      <c r="A40" s="20">
        <f t="shared" ca="1" si="0"/>
        <v>45348</v>
      </c>
      <c r="B40" vm="112">
        <f ca="1"/>
        <v>45349</v>
      </c>
      <c r="C40" vm="113">
        <f ca="1"/>
        <v>60.34</v>
      </c>
      <c r="D40" vm="114">
        <f ca="1"/>
        <v>9931088</v>
      </c>
      <c r="E40">
        <f t="shared" ca="1" si="1"/>
        <v>599241849.92000008</v>
      </c>
      <c r="F40">
        <f ca="1">SUM($E$2:E40)/SUM($D$2:D40)</f>
        <v>59.947792609437414</v>
      </c>
      <c r="G40">
        <f ca="1">_xlfn.STDEV.P($C$2:C40)</f>
        <v>0.55354740280592885</v>
      </c>
      <c r="H40">
        <f t="shared" ca="1" si="2"/>
        <v>60.50134001224334</v>
      </c>
      <c r="I40">
        <f t="shared" ca="1" si="3"/>
        <v>59.394245206631489</v>
      </c>
      <c r="J40">
        <f t="shared" ca="1" si="12"/>
        <v>60.137</v>
      </c>
      <c r="K40">
        <f t="shared" ca="1" si="13"/>
        <v>0.67015394932020944</v>
      </c>
      <c r="L40">
        <f t="shared" ca="1" si="14"/>
        <v>61.477307898640419</v>
      </c>
      <c r="M40">
        <f t="shared" ca="1" si="15"/>
        <v>58.796692101359582</v>
      </c>
      <c r="N40">
        <f t="shared" ca="1" si="4"/>
        <v>-0.36999999999999744</v>
      </c>
      <c r="O40">
        <f t="shared" ca="1" si="5"/>
        <v>0</v>
      </c>
      <c r="P40">
        <f t="shared" ca="1" si="6"/>
        <v>0.36999999999999744</v>
      </c>
      <c r="Q40">
        <f t="shared" ca="1" si="10"/>
        <v>0.17647763063159122</v>
      </c>
      <c r="R40">
        <f t="shared" ca="1" si="11"/>
        <v>0.15671317208572752</v>
      </c>
      <c r="S40">
        <f t="shared" ca="1" si="8"/>
        <v>1.1261186809175929</v>
      </c>
      <c r="T40">
        <f t="shared" ca="1" si="9"/>
        <v>52.965936992359296</v>
      </c>
      <c r="U40">
        <f>70</f>
        <v>70</v>
      </c>
      <c r="V40">
        <f>30</f>
        <v>30</v>
      </c>
      <c r="W40">
        <f t="shared" ca="1" si="7"/>
        <v>60.387882357028836</v>
      </c>
      <c r="X40">
        <f t="shared" ca="1" si="17"/>
        <v>60.144172371705906</v>
      </c>
      <c r="Y40">
        <f t="shared" ca="1" si="16"/>
        <v>0.22662404339927633</v>
      </c>
      <c r="Z40">
        <f t="shared" ca="1" si="18"/>
        <v>0.14622526488438536</v>
      </c>
      <c r="AA40">
        <f t="shared" ca="1" si="19"/>
        <v>8.0398778514890967E-2</v>
      </c>
    </row>
    <row r="41" spans="1:27" x14ac:dyDescent="0.25">
      <c r="A41" s="20">
        <f t="shared" ca="1" si="0"/>
        <v>45348</v>
      </c>
      <c r="B41" vm="115">
        <f ca="1"/>
        <v>45350</v>
      </c>
      <c r="C41" vm="116">
        <f ca="1"/>
        <v>60.4</v>
      </c>
      <c r="D41" vm="117">
        <f ca="1"/>
        <v>8076536</v>
      </c>
      <c r="E41">
        <f t="shared" ca="1" si="1"/>
        <v>487822774.39999998</v>
      </c>
      <c r="F41">
        <f ca="1">SUM($E$2:E41)/SUM($D$2:D41)</f>
        <v>59.954313344590645</v>
      </c>
      <c r="G41">
        <f ca="1">_xlfn.STDEV.P($C$2:C41)</f>
        <v>0.5505994460585667</v>
      </c>
      <c r="H41">
        <f t="shared" ca="1" si="2"/>
        <v>60.504912790649215</v>
      </c>
      <c r="I41">
        <f t="shared" ca="1" si="3"/>
        <v>59.403713898532075</v>
      </c>
      <c r="J41">
        <f t="shared" ca="1" si="12"/>
        <v>60.161999999999999</v>
      </c>
      <c r="K41">
        <f t="shared" ca="1" si="13"/>
        <v>0.67017358317002274</v>
      </c>
      <c r="L41">
        <f t="shared" ca="1" si="14"/>
        <v>61.502347166340044</v>
      </c>
      <c r="M41">
        <f t="shared" ca="1" si="15"/>
        <v>58.821652833659954</v>
      </c>
      <c r="N41">
        <f t="shared" ca="1" si="4"/>
        <v>5.9999999999995168E-2</v>
      </c>
      <c r="O41">
        <f t="shared" ca="1" si="5"/>
        <v>5.9999999999995168E-2</v>
      </c>
      <c r="P41">
        <f t="shared" ca="1" si="6"/>
        <v>0</v>
      </c>
      <c r="Q41">
        <f t="shared" ca="1" si="10"/>
        <v>0.16815779987219151</v>
      </c>
      <c r="R41">
        <f t="shared" ca="1" si="11"/>
        <v>0.14551937407960414</v>
      </c>
      <c r="S41">
        <f t="shared" ca="1" si="8"/>
        <v>1.1555698403444437</v>
      </c>
      <c r="T41">
        <f t="shared" ca="1" si="9"/>
        <v>53.60855485711344</v>
      </c>
      <c r="U41">
        <f>70</f>
        <v>70</v>
      </c>
      <c r="V41">
        <f>30</f>
        <v>30</v>
      </c>
      <c r="W41">
        <f t="shared" ca="1" si="7"/>
        <v>60.389746609793633</v>
      </c>
      <c r="X41">
        <f t="shared" ca="1" si="17"/>
        <v>60.163122566394357</v>
      </c>
      <c r="Y41">
        <f t="shared" ca="1" si="16"/>
        <v>0.1803416211696387</v>
      </c>
      <c r="Z41">
        <f t="shared" ca="1" si="18"/>
        <v>0.15304853614143604</v>
      </c>
      <c r="AA41">
        <f t="shared" ca="1" si="19"/>
        <v>2.7293085028202657E-2</v>
      </c>
    </row>
    <row r="42" spans="1:27" x14ac:dyDescent="0.25">
      <c r="A42" s="20">
        <f t="shared" ca="1" si="0"/>
        <v>45348</v>
      </c>
      <c r="B42" vm="118">
        <f ca="1"/>
        <v>45351</v>
      </c>
      <c r="C42" vm="119">
        <f ca="1"/>
        <v>60.02</v>
      </c>
      <c r="D42" vm="120">
        <f ca="1"/>
        <v>18152651</v>
      </c>
      <c r="E42">
        <f t="shared" ca="1" si="1"/>
        <v>1089522113.02</v>
      </c>
      <c r="F42">
        <f ca="1">SUM($E$2:E42)/SUM($D$2:D42)</f>
        <v>59.956375393396662</v>
      </c>
      <c r="G42">
        <f ca="1">_xlfn.STDEV.P($C$2:C42)</f>
        <v>0.54386940728747091</v>
      </c>
      <c r="H42">
        <f t="shared" ca="1" si="2"/>
        <v>60.500244800684136</v>
      </c>
      <c r="I42">
        <f t="shared" ca="1" si="3"/>
        <v>59.412505986109188</v>
      </c>
      <c r="J42">
        <f t="shared" ca="1" si="12"/>
        <v>60.188499999999998</v>
      </c>
      <c r="K42">
        <f t="shared" ca="1" si="13"/>
        <v>0.65244701337592004</v>
      </c>
      <c r="L42">
        <f t="shared" ca="1" si="14"/>
        <v>61.493394026751837</v>
      </c>
      <c r="M42">
        <f t="shared" ca="1" si="15"/>
        <v>58.883605973248159</v>
      </c>
      <c r="N42">
        <f t="shared" ca="1" si="4"/>
        <v>-0.37999999999999545</v>
      </c>
      <c r="O42">
        <f t="shared" ca="1" si="5"/>
        <v>0</v>
      </c>
      <c r="P42">
        <f t="shared" ca="1" si="6"/>
        <v>0.37999999999999545</v>
      </c>
      <c r="Q42">
        <f t="shared" ca="1" si="10"/>
        <v>0.15614652845274926</v>
      </c>
      <c r="R42">
        <f t="shared" ca="1" si="11"/>
        <v>0.16226799021677493</v>
      </c>
      <c r="S42">
        <f t="shared" ca="1" si="8"/>
        <v>0.96227560496775755</v>
      </c>
      <c r="T42">
        <f t="shared" ca="1" si="9"/>
        <v>49.038759006718067</v>
      </c>
      <c r="U42">
        <f>70</f>
        <v>70</v>
      </c>
      <c r="V42">
        <f>30</f>
        <v>30</v>
      </c>
      <c r="W42">
        <f t="shared" ca="1" si="7"/>
        <v>60.33286251597923</v>
      </c>
      <c r="X42">
        <f t="shared" ca="1" si="17"/>
        <v>60.152520894809591</v>
      </c>
      <c r="Y42">
        <f t="shared" ca="1" si="16"/>
        <v>0.10293696989376855</v>
      </c>
      <c r="Z42">
        <f t="shared" ca="1" si="18"/>
        <v>0.14302622289190253</v>
      </c>
      <c r="AA42">
        <f t="shared" ca="1" si="19"/>
        <v>-4.0089252998133984E-2</v>
      </c>
    </row>
    <row r="43" spans="1:27" x14ac:dyDescent="0.25">
      <c r="A43" s="20">
        <f t="shared" ca="1" si="0"/>
        <v>45348</v>
      </c>
      <c r="B43" vm="121">
        <f ca="1"/>
        <v>45352</v>
      </c>
      <c r="C43" vm="122">
        <f ca="1"/>
        <v>59.53</v>
      </c>
      <c r="D43" vm="123">
        <f ca="1"/>
        <v>10927564</v>
      </c>
      <c r="E43">
        <f t="shared" ca="1" si="1"/>
        <v>650517884.91999996</v>
      </c>
      <c r="F43">
        <f ca="1">SUM($E$2:E43)/SUM($D$2:D43)</f>
        <v>59.94846739241752</v>
      </c>
      <c r="G43">
        <f ca="1">_xlfn.STDEV.P($C$2:C43)</f>
        <v>0.54184078834035521</v>
      </c>
      <c r="H43">
        <f t="shared" ca="1" si="2"/>
        <v>60.490308180757872</v>
      </c>
      <c r="I43">
        <f t="shared" ca="1" si="3"/>
        <v>59.406626604077168</v>
      </c>
      <c r="J43">
        <f t="shared" ca="1" si="12"/>
        <v>60.116000000000007</v>
      </c>
      <c r="K43">
        <f t="shared" ca="1" si="13"/>
        <v>0.64031571160351519</v>
      </c>
      <c r="L43">
        <f t="shared" ca="1" si="14"/>
        <v>61.39663142320704</v>
      </c>
      <c r="M43">
        <f t="shared" ca="1" si="15"/>
        <v>58.835368576792973</v>
      </c>
      <c r="N43">
        <f t="shared" ca="1" si="4"/>
        <v>-0.49000000000000199</v>
      </c>
      <c r="O43">
        <f t="shared" ca="1" si="5"/>
        <v>0</v>
      </c>
      <c r="P43">
        <f t="shared" ca="1" si="6"/>
        <v>0.49000000000000199</v>
      </c>
      <c r="Q43">
        <f t="shared" ca="1" si="10"/>
        <v>0.1449932049918386</v>
      </c>
      <c r="R43">
        <f t="shared" ca="1" si="11"/>
        <v>0.18567741948700545</v>
      </c>
      <c r="S43">
        <f t="shared" ca="1" si="8"/>
        <v>0.78088765662744408</v>
      </c>
      <c r="T43">
        <f t="shared" ca="1" si="9"/>
        <v>43.848226681869988</v>
      </c>
      <c r="U43">
        <f>70</f>
        <v>70</v>
      </c>
      <c r="V43">
        <f>30</f>
        <v>30</v>
      </c>
      <c r="W43">
        <f t="shared" ca="1" si="7"/>
        <v>60.209345205828576</v>
      </c>
      <c r="X43">
        <f t="shared" ca="1" si="17"/>
        <v>60.106408235934808</v>
      </c>
      <c r="Y43">
        <f t="shared" ca="1" si="16"/>
        <v>6.3455411544943274E-2</v>
      </c>
      <c r="Z43">
        <f t="shared" ca="1" si="18"/>
        <v>0.12711206062251068</v>
      </c>
      <c r="AA43">
        <f t="shared" ca="1" si="19"/>
        <v>-6.3656649077567407E-2</v>
      </c>
    </row>
    <row r="44" spans="1:27" x14ac:dyDescent="0.25">
      <c r="A44" s="20">
        <f t="shared" ca="1" si="0"/>
        <v>45355</v>
      </c>
      <c r="B44" vm="124">
        <f ca="1"/>
        <v>45355</v>
      </c>
      <c r="C44" vm="23">
        <f ca="1"/>
        <v>59.81</v>
      </c>
      <c r="D44" vm="125">
        <f ca="1"/>
        <v>10150243</v>
      </c>
      <c r="E44">
        <f t="shared" ca="1" si="1"/>
        <v>607086033.83000004</v>
      </c>
      <c r="F44">
        <f ca="1">SUM($E$2:E44)/SUM($D$2:D44)</f>
        <v>59.946122316040608</v>
      </c>
      <c r="G44">
        <f ca="1">_xlfn.STDEV.P($C$2:C44)</f>
        <v>0.53608368937312278</v>
      </c>
      <c r="H44">
        <f t="shared" ca="1" si="2"/>
        <v>60.48220600541373</v>
      </c>
      <c r="I44">
        <f t="shared" ca="1" si="3"/>
        <v>59.410038626667486</v>
      </c>
      <c r="J44">
        <f t="shared" ca="1" si="12"/>
        <v>60.07950000000001</v>
      </c>
      <c r="K44">
        <f t="shared" ca="1" si="13"/>
        <v>0.63566355715483436</v>
      </c>
      <c r="L44">
        <f t="shared" ca="1" si="14"/>
        <v>61.350827114309681</v>
      </c>
      <c r="M44">
        <f t="shared" ca="1" si="15"/>
        <v>58.80817288569034</v>
      </c>
      <c r="N44">
        <f t="shared" ca="1" si="4"/>
        <v>0.28000000000000114</v>
      </c>
      <c r="O44">
        <f t="shared" ca="1" si="5"/>
        <v>0.28000000000000114</v>
      </c>
      <c r="P44">
        <f t="shared" ca="1" si="6"/>
        <v>0</v>
      </c>
      <c r="Q44">
        <f t="shared" ca="1" si="10"/>
        <v>0.15463654749242162</v>
      </c>
      <c r="R44">
        <f t="shared" ca="1" si="11"/>
        <v>0.17241474666650505</v>
      </c>
      <c r="S44">
        <f t="shared" ca="1" si="8"/>
        <v>0.896887015073768</v>
      </c>
      <c r="T44">
        <f t="shared" ca="1" si="9"/>
        <v>47.282047267263778</v>
      </c>
      <c r="U44">
        <f>70</f>
        <v>70</v>
      </c>
      <c r="V44">
        <f>30</f>
        <v>30</v>
      </c>
      <c r="W44">
        <f t="shared" ca="1" si="7"/>
        <v>60.147907481854951</v>
      </c>
      <c r="X44">
        <f t="shared" ca="1" si="17"/>
        <v>60.084452070310007</v>
      </c>
      <c r="Y44">
        <f t="shared" ca="1" si="16"/>
        <v>8.6655249577418658E-3</v>
      </c>
      <c r="Z44">
        <f t="shared" ca="1" si="18"/>
        <v>0.10342275348955692</v>
      </c>
      <c r="AA44">
        <f t="shared" ca="1" si="19"/>
        <v>-9.4757228531815049E-2</v>
      </c>
    </row>
    <row r="45" spans="1:27" x14ac:dyDescent="0.25">
      <c r="A45" s="20">
        <f t="shared" ca="1" si="0"/>
        <v>45355</v>
      </c>
      <c r="B45" vm="126">
        <f ca="1"/>
        <v>45356</v>
      </c>
      <c r="C45" vm="127">
        <f ca="1"/>
        <v>59.52</v>
      </c>
      <c r="D45" vm="128">
        <f ca="1"/>
        <v>12309959</v>
      </c>
      <c r="E45">
        <f t="shared" ca="1" si="1"/>
        <v>732688759.68000007</v>
      </c>
      <c r="F45">
        <f ca="1">SUM($E$2:E45)/SUM($D$2:D45)</f>
        <v>59.937546131657143</v>
      </c>
      <c r="G45">
        <f ca="1">_xlfn.STDEV.P($C$2:C45)</f>
        <v>0.53421391233496707</v>
      </c>
      <c r="H45">
        <f t="shared" ca="1" si="2"/>
        <v>60.471760043992113</v>
      </c>
      <c r="I45">
        <f t="shared" ca="1" si="3"/>
        <v>59.403332219322174</v>
      </c>
      <c r="J45">
        <f t="shared" ca="1" si="12"/>
        <v>60.053500000000007</v>
      </c>
      <c r="K45">
        <f t="shared" ca="1" si="13"/>
        <v>0.64788136503367255</v>
      </c>
      <c r="L45">
        <f t="shared" ca="1" si="14"/>
        <v>61.349262730067352</v>
      </c>
      <c r="M45">
        <f t="shared" ca="1" si="15"/>
        <v>58.757737269932662</v>
      </c>
      <c r="N45">
        <f t="shared" ca="1" si="4"/>
        <v>-0.28999999999999915</v>
      </c>
      <c r="O45">
        <f t="shared" ca="1" si="5"/>
        <v>0</v>
      </c>
      <c r="P45">
        <f t="shared" ca="1" si="6"/>
        <v>0.28999999999999915</v>
      </c>
      <c r="Q45">
        <f t="shared" ca="1" si="10"/>
        <v>0.14359107981439151</v>
      </c>
      <c r="R45">
        <f t="shared" ca="1" si="11"/>
        <v>0.1808136933331832</v>
      </c>
      <c r="S45">
        <f t="shared" ca="1" si="8"/>
        <v>0.79413830428095933</v>
      </c>
      <c r="T45">
        <f t="shared" ca="1" si="9"/>
        <v>44.262936830793983</v>
      </c>
      <c r="U45">
        <f>70</f>
        <v>70</v>
      </c>
      <c r="V45">
        <f>30</f>
        <v>30</v>
      </c>
      <c r="W45">
        <f t="shared" ca="1" si="7"/>
        <v>60.051306330800344</v>
      </c>
      <c r="X45">
        <f t="shared" ca="1" si="17"/>
        <v>60.042640805842602</v>
      </c>
      <c r="Y45">
        <f t="shared" ca="1" si="16"/>
        <v>-3.1966614390718462E-2</v>
      </c>
      <c r="Z45">
        <f t="shared" ca="1" si="18"/>
        <v>7.6344879913501848E-2</v>
      </c>
      <c r="AA45">
        <f t="shared" ca="1" si="19"/>
        <v>-0.10831149430422031</v>
      </c>
    </row>
    <row r="46" spans="1:27" x14ac:dyDescent="0.25">
      <c r="A46" s="20">
        <f t="shared" ca="1" si="0"/>
        <v>45355</v>
      </c>
      <c r="B46" vm="129">
        <f ca="1"/>
        <v>45357</v>
      </c>
      <c r="C46" vm="130">
        <f ca="1"/>
        <v>59.55</v>
      </c>
      <c r="D46" vm="131">
        <f ca="1"/>
        <v>12378815</v>
      </c>
      <c r="E46">
        <f t="shared" ca="1" si="1"/>
        <v>737158433.25</v>
      </c>
      <c r="F46">
        <f ca="1">SUM($E$2:E46)/SUM($D$2:D46)</f>
        <v>59.929858299094427</v>
      </c>
      <c r="G46">
        <f ca="1">_xlfn.STDEV.P($C$2:C46)</f>
        <v>0.53171374457770026</v>
      </c>
      <c r="H46">
        <f t="shared" ca="1" si="2"/>
        <v>60.461572043672128</v>
      </c>
      <c r="I46">
        <f t="shared" ca="1" si="3"/>
        <v>59.398144554516726</v>
      </c>
      <c r="J46">
        <f t="shared" ca="1" si="12"/>
        <v>60.034000000000006</v>
      </c>
      <c r="K46">
        <f t="shared" ca="1" si="13"/>
        <v>0.65727827960621499</v>
      </c>
      <c r="L46">
        <f t="shared" ca="1" si="14"/>
        <v>61.348556559212433</v>
      </c>
      <c r="M46">
        <f t="shared" ca="1" si="15"/>
        <v>58.719443440787579</v>
      </c>
      <c r="N46">
        <f t="shared" ca="1" si="4"/>
        <v>2.9999999999994031E-2</v>
      </c>
      <c r="O46">
        <f t="shared" ca="1" si="5"/>
        <v>2.9999999999994031E-2</v>
      </c>
      <c r="P46">
        <f t="shared" ca="1" si="6"/>
        <v>0</v>
      </c>
      <c r="Q46">
        <f t="shared" ca="1" si="10"/>
        <v>0.13547743125622028</v>
      </c>
      <c r="R46">
        <f t="shared" ca="1" si="11"/>
        <v>0.16789842952367012</v>
      </c>
      <c r="S46">
        <f t="shared" ca="1" si="8"/>
        <v>0.80690112254516844</v>
      </c>
      <c r="T46">
        <f t="shared" ca="1" si="9"/>
        <v>44.656628549136215</v>
      </c>
      <c r="U46">
        <f>70</f>
        <v>70</v>
      </c>
      <c r="V46">
        <f>30</f>
        <v>30</v>
      </c>
      <c r="W46">
        <f t="shared" ca="1" si="7"/>
        <v>59.974182279907986</v>
      </c>
      <c r="X46">
        <f t="shared" ca="1" si="17"/>
        <v>60.006148894298704</v>
      </c>
      <c r="Y46">
        <f t="shared" ca="1" si="16"/>
        <v>-7.2211548474093945E-2</v>
      </c>
      <c r="Z46">
        <f t="shared" ca="1" si="18"/>
        <v>4.6633594235982692E-2</v>
      </c>
      <c r="AA46">
        <f t="shared" ca="1" si="19"/>
        <v>-0.11884514271007664</v>
      </c>
    </row>
    <row r="47" spans="1:27" x14ac:dyDescent="0.25">
      <c r="A47" s="20">
        <f t="shared" ca="1" si="0"/>
        <v>45355</v>
      </c>
      <c r="B47" vm="132">
        <f ca="1"/>
        <v>45358</v>
      </c>
      <c r="C47" vm="133">
        <f ca="1"/>
        <v>59.44</v>
      </c>
      <c r="D47" vm="134">
        <f ca="1"/>
        <v>13686859</v>
      </c>
      <c r="E47">
        <f t="shared" ca="1" si="1"/>
        <v>813546898.95999992</v>
      </c>
      <c r="F47">
        <f ca="1">SUM($E$2:E47)/SUM($D$2:D47)</f>
        <v>59.919344658594071</v>
      </c>
      <c r="G47">
        <f ca="1">_xlfn.STDEV.P($C$2:C47)</f>
        <v>0.53118091678034451</v>
      </c>
      <c r="H47">
        <f t="shared" ca="1" si="2"/>
        <v>60.450525575374414</v>
      </c>
      <c r="I47">
        <f t="shared" ca="1" si="3"/>
        <v>59.388163741813727</v>
      </c>
      <c r="J47">
        <f t="shared" ca="1" si="12"/>
        <v>60.006499999999996</v>
      </c>
      <c r="K47">
        <f t="shared" ca="1" si="13"/>
        <v>0.67058713472833531</v>
      </c>
      <c r="L47">
        <f t="shared" ca="1" si="14"/>
        <v>61.347674269456668</v>
      </c>
      <c r="M47">
        <f t="shared" ca="1" si="15"/>
        <v>58.665325730543323</v>
      </c>
      <c r="N47">
        <f t="shared" ca="1" si="4"/>
        <v>-0.10999999999999943</v>
      </c>
      <c r="O47">
        <f t="shared" ca="1" si="5"/>
        <v>0</v>
      </c>
      <c r="P47">
        <f t="shared" ca="1" si="6"/>
        <v>0.10999999999999943</v>
      </c>
      <c r="Q47">
        <f t="shared" ca="1" si="10"/>
        <v>0.12580047188077598</v>
      </c>
      <c r="R47">
        <f t="shared" ca="1" si="11"/>
        <v>0.16376282741483653</v>
      </c>
      <c r="S47">
        <f t="shared" ca="1" si="8"/>
        <v>0.76818698032187704</v>
      </c>
      <c r="T47">
        <f t="shared" ca="1" si="9"/>
        <v>43.44489518761403</v>
      </c>
      <c r="U47">
        <f>70</f>
        <v>70</v>
      </c>
      <c r="V47">
        <f>30</f>
        <v>30</v>
      </c>
      <c r="W47">
        <f t="shared" ca="1" si="7"/>
        <v>59.892000390691372</v>
      </c>
      <c r="X47">
        <f t="shared" ca="1" si="17"/>
        <v>59.964211939165466</v>
      </c>
      <c r="Y47">
        <f t="shared" ca="1" si="16"/>
        <v>-9.653778972489846E-2</v>
      </c>
      <c r="Z47">
        <f t="shared" ca="1" si="18"/>
        <v>1.7999317443806458E-2</v>
      </c>
      <c r="AA47">
        <f t="shared" ca="1" si="19"/>
        <v>-0.11453710716870491</v>
      </c>
    </row>
    <row r="48" spans="1:27" x14ac:dyDescent="0.25">
      <c r="A48" s="20">
        <f t="shared" ca="1" si="0"/>
        <v>45355</v>
      </c>
      <c r="B48" vm="135">
        <f ca="1"/>
        <v>45359</v>
      </c>
      <c r="C48" vm="127">
        <f ca="1"/>
        <v>59.52</v>
      </c>
      <c r="D48" vm="136">
        <f ca="1"/>
        <v>13239013</v>
      </c>
      <c r="E48">
        <f t="shared" ca="1" si="1"/>
        <v>787986053.75999999</v>
      </c>
      <c r="F48">
        <f ca="1">SUM($E$2:E48)/SUM($D$2:D48)</f>
        <v>59.911222741352361</v>
      </c>
      <c r="G48">
        <f ca="1">_xlfn.STDEV.P($C$2:C48)</f>
        <v>0.52900121131749211</v>
      </c>
      <c r="H48">
        <f t="shared" ca="1" si="2"/>
        <v>60.440223952669854</v>
      </c>
      <c r="I48">
        <f t="shared" ca="1" si="3"/>
        <v>59.382221530034869</v>
      </c>
      <c r="J48">
        <f t="shared" ca="1" si="12"/>
        <v>59.991</v>
      </c>
      <c r="K48">
        <f t="shared" ca="1" si="13"/>
        <v>0.67841843942169555</v>
      </c>
      <c r="L48">
        <f t="shared" ca="1" si="14"/>
        <v>61.347836878843388</v>
      </c>
      <c r="M48">
        <f t="shared" ca="1" si="15"/>
        <v>58.634163121156611</v>
      </c>
      <c r="N48">
        <f t="shared" ca="1" si="4"/>
        <v>8.00000000000054E-2</v>
      </c>
      <c r="O48">
        <f t="shared" ca="1" si="5"/>
        <v>8.00000000000054E-2</v>
      </c>
      <c r="P48">
        <f t="shared" ca="1" si="6"/>
        <v>0</v>
      </c>
      <c r="Q48">
        <f t="shared" ca="1" si="10"/>
        <v>0.12252900960357807</v>
      </c>
      <c r="R48">
        <f t="shared" ca="1" si="11"/>
        <v>0.15206548259949107</v>
      </c>
      <c r="S48">
        <f t="shared" ca="1" si="8"/>
        <v>0.80576477652258571</v>
      </c>
      <c r="T48">
        <f t="shared" ca="1" si="9"/>
        <v>44.621801632119031</v>
      </c>
      <c r="U48">
        <f>70</f>
        <v>70</v>
      </c>
      <c r="V48">
        <f>30</f>
        <v>30</v>
      </c>
      <c r="W48">
        <f t="shared" ca="1" si="7"/>
        <v>59.834769561354236</v>
      </c>
      <c r="X48">
        <f t="shared" ca="1" si="17"/>
        <v>59.931307351079134</v>
      </c>
      <c r="Y48">
        <f t="shared" ca="1" si="16"/>
        <v>-5.706076746015043E-2</v>
      </c>
      <c r="Z48">
        <f t="shared" ca="1" si="18"/>
        <v>2.9873004630150812E-3</v>
      </c>
      <c r="AA48">
        <f t="shared" ca="1" si="19"/>
        <v>-6.0048067923165513E-2</v>
      </c>
    </row>
    <row r="49" spans="1:27" x14ac:dyDescent="0.25">
      <c r="A49" s="20">
        <f t="shared" ca="1" si="0"/>
        <v>45362</v>
      </c>
      <c r="B49" vm="137">
        <f ca="1"/>
        <v>45362</v>
      </c>
      <c r="C49" vm="138">
        <f ca="1"/>
        <v>60.24</v>
      </c>
      <c r="D49" vm="139">
        <f ca="1"/>
        <v>14114260</v>
      </c>
      <c r="E49">
        <f t="shared" ca="1" si="1"/>
        <v>850243022.39999998</v>
      </c>
      <c r="F49">
        <f ca="1">SUM($E$2:E49)/SUM($D$2:D49)</f>
        <v>59.91820022647002</v>
      </c>
      <c r="G49">
        <f ca="1">_xlfn.STDEV.P($C$2:C49)</f>
        <v>0.52530542537704283</v>
      </c>
      <c r="H49">
        <f t="shared" ca="1" si="2"/>
        <v>60.443505651847062</v>
      </c>
      <c r="I49">
        <f t="shared" ca="1" si="3"/>
        <v>59.392894801092979</v>
      </c>
      <c r="J49">
        <f t="shared" ca="1" si="12"/>
        <v>60.024999999999999</v>
      </c>
      <c r="K49">
        <f t="shared" ca="1" si="13"/>
        <v>0.67269685046949601</v>
      </c>
      <c r="L49">
        <f t="shared" ca="1" si="14"/>
        <v>61.37039370093899</v>
      </c>
      <c r="M49">
        <f t="shared" ca="1" si="15"/>
        <v>58.679606299061007</v>
      </c>
      <c r="N49">
        <f t="shared" ca="1" si="4"/>
        <v>0.71999999999999886</v>
      </c>
      <c r="O49">
        <f t="shared" ca="1" si="5"/>
        <v>0.71999999999999886</v>
      </c>
      <c r="P49">
        <f t="shared" ca="1" si="6"/>
        <v>0</v>
      </c>
      <c r="Q49">
        <f t="shared" ca="1" si="10"/>
        <v>0.16520550891760813</v>
      </c>
      <c r="R49">
        <f t="shared" ca="1" si="11"/>
        <v>0.14120366241381313</v>
      </c>
      <c r="S49">
        <f t="shared" ca="1" si="8"/>
        <v>1.169980339698661</v>
      </c>
      <c r="T49">
        <f t="shared" ca="1" si="9"/>
        <v>53.916633173788703</v>
      </c>
      <c r="U49">
        <f>70</f>
        <v>70</v>
      </c>
      <c r="V49">
        <f>30</f>
        <v>30</v>
      </c>
      <c r="W49">
        <f t="shared" ca="1" si="7"/>
        <v>59.897112705761273</v>
      </c>
      <c r="X49">
        <f t="shared" ca="1" si="17"/>
        <v>59.954173473221424</v>
      </c>
      <c r="Y49">
        <f t="shared" ca="1" si="16"/>
        <v>-4.740470614997605E-3</v>
      </c>
      <c r="Z49">
        <f t="shared" ca="1" si="18"/>
        <v>1.4417462474125438E-3</v>
      </c>
      <c r="AA49">
        <f t="shared" ca="1" si="19"/>
        <v>-6.1822168624101493E-3</v>
      </c>
    </row>
    <row r="50" spans="1:27" x14ac:dyDescent="0.25">
      <c r="A50" s="20">
        <f t="shared" ca="1" si="0"/>
        <v>45362</v>
      </c>
      <c r="B50" vm="140">
        <f ca="1"/>
        <v>45363</v>
      </c>
      <c r="C50" vm="141">
        <f ca="1"/>
        <v>60.5</v>
      </c>
      <c r="D50" vm="142">
        <f ca="1"/>
        <v>12684645</v>
      </c>
      <c r="E50">
        <f t="shared" ca="1" si="1"/>
        <v>767421022.5</v>
      </c>
      <c r="F50">
        <f ca="1">SUM($E$2:E50)/SUM($D$2:D50)</f>
        <v>59.92908916726352</v>
      </c>
      <c r="G50">
        <f ca="1">_xlfn.STDEV.P($C$2:C50)</f>
        <v>0.5259432731109055</v>
      </c>
      <c r="H50">
        <f t="shared" ca="1" si="2"/>
        <v>60.455032440374424</v>
      </c>
      <c r="I50">
        <f t="shared" ca="1" si="3"/>
        <v>59.403145894152615</v>
      </c>
      <c r="J50">
        <f t="shared" ca="1" si="12"/>
        <v>60.064999999999998</v>
      </c>
      <c r="K50">
        <f t="shared" ca="1" si="13"/>
        <v>0.67613063203714407</v>
      </c>
      <c r="L50">
        <f t="shared" ca="1" si="14"/>
        <v>61.417261264074284</v>
      </c>
      <c r="M50">
        <f t="shared" ca="1" si="15"/>
        <v>58.712738735925711</v>
      </c>
      <c r="N50">
        <f t="shared" ca="1" si="4"/>
        <v>0.25999999999999801</v>
      </c>
      <c r="O50">
        <f t="shared" ca="1" si="5"/>
        <v>0.25999999999999801</v>
      </c>
      <c r="P50">
        <f t="shared" ca="1" si="6"/>
        <v>0</v>
      </c>
      <c r="Q50">
        <f t="shared" ca="1" si="10"/>
        <v>0.17197654399492168</v>
      </c>
      <c r="R50">
        <f t="shared" ca="1" si="11"/>
        <v>0.1311176865271122</v>
      </c>
      <c r="S50">
        <f t="shared" ca="1" si="8"/>
        <v>1.3116197253782447</v>
      </c>
      <c r="T50">
        <f t="shared" ca="1" si="9"/>
        <v>56.740289545834692</v>
      </c>
      <c r="U50">
        <f>70</f>
        <v>70</v>
      </c>
      <c r="V50">
        <f>30</f>
        <v>30</v>
      </c>
      <c r="W50">
        <f t="shared" ca="1" si="7"/>
        <v>59.989864597182617</v>
      </c>
      <c r="X50">
        <f t="shared" ca="1" si="17"/>
        <v>59.994605067797615</v>
      </c>
      <c r="Y50">
        <f t="shared" ca="1" si="16"/>
        <v>8.5763926863279494E-2</v>
      </c>
      <c r="Z50">
        <f t="shared" ca="1" si="18"/>
        <v>1.8306182370585934E-2</v>
      </c>
      <c r="AA50">
        <f t="shared" ca="1" si="19"/>
        <v>6.7457744492693567E-2</v>
      </c>
    </row>
    <row r="51" spans="1:27" x14ac:dyDescent="0.25">
      <c r="A51" s="20">
        <f t="shared" ca="1" si="0"/>
        <v>45362</v>
      </c>
      <c r="B51" vm="143">
        <f ca="1"/>
        <v>45364</v>
      </c>
      <c r="C51" vm="144">
        <f ca="1"/>
        <v>61.12</v>
      </c>
      <c r="D51" vm="145">
        <f ca="1"/>
        <v>13909460</v>
      </c>
      <c r="E51">
        <f t="shared" ca="1" si="1"/>
        <v>850146195.19999993</v>
      </c>
      <c r="F51">
        <f ca="1">SUM($E$2:E51)/SUM($D$2:D51)</f>
        <v>59.953038886445803</v>
      </c>
      <c r="G51">
        <f ca="1">_xlfn.STDEV.P($C$2:C51)</f>
        <v>0.5458153900358621</v>
      </c>
      <c r="H51">
        <f t="shared" ca="1" si="2"/>
        <v>60.498854276481666</v>
      </c>
      <c r="I51">
        <f t="shared" ca="1" si="3"/>
        <v>59.407223496409941</v>
      </c>
      <c r="J51">
        <f t="shared" ca="1" si="12"/>
        <v>60.153499999999987</v>
      </c>
      <c r="K51">
        <f t="shared" ca="1" si="13"/>
        <v>0.69324010422454896</v>
      </c>
      <c r="L51">
        <f t="shared" ca="1" si="14"/>
        <v>61.539980208449087</v>
      </c>
      <c r="M51">
        <f t="shared" ca="1" si="15"/>
        <v>58.767019791550887</v>
      </c>
      <c r="N51">
        <f t="shared" ca="1" si="4"/>
        <v>0.61999999999999744</v>
      </c>
      <c r="O51">
        <f t="shared" ca="1" si="5"/>
        <v>0.61999999999999744</v>
      </c>
      <c r="P51">
        <f t="shared" ca="1" si="6"/>
        <v>0</v>
      </c>
      <c r="Q51">
        <f t="shared" ca="1" si="10"/>
        <v>0.20397821942385569</v>
      </c>
      <c r="R51">
        <f t="shared" ca="1" si="11"/>
        <v>0.12175213748946133</v>
      </c>
      <c r="S51">
        <f t="shared" ca="1" si="8"/>
        <v>1.6753563726264085</v>
      </c>
      <c r="T51">
        <f t="shared" ca="1" si="9"/>
        <v>62.621802080958069</v>
      </c>
      <c r="U51">
        <f>70</f>
        <v>70</v>
      </c>
      <c r="V51">
        <f>30</f>
        <v>30</v>
      </c>
      <c r="W51">
        <f t="shared" ca="1" si="7"/>
        <v>60.163731582231442</v>
      </c>
      <c r="X51">
        <f t="shared" ca="1" si="17"/>
        <v>60.077967655368163</v>
      </c>
      <c r="Y51">
        <f t="shared" ca="1" si="16"/>
        <v>0.10623587443898685</v>
      </c>
      <c r="Z51">
        <f t="shared" ca="1" si="18"/>
        <v>3.5892120784266117E-2</v>
      </c>
      <c r="AA51">
        <f t="shared" ca="1" si="19"/>
        <v>7.0343753654720731E-2</v>
      </c>
    </row>
    <row r="52" spans="1:27" x14ac:dyDescent="0.25">
      <c r="A52" s="20">
        <f t="shared" ca="1" si="0"/>
        <v>45362</v>
      </c>
      <c r="B52" vm="146">
        <f ca="1"/>
        <v>45365</v>
      </c>
      <c r="C52" vm="141">
        <f ca="1"/>
        <v>60.5</v>
      </c>
      <c r="D52" vm="147">
        <f ca="1"/>
        <v>13996609</v>
      </c>
      <c r="E52">
        <f t="shared" ca="1" si="1"/>
        <v>846794844.5</v>
      </c>
      <c r="F52">
        <f ca="1">SUM($E$2:E52)/SUM($D$2:D52)</f>
        <v>59.963887877916079</v>
      </c>
      <c r="G52">
        <f ca="1">_xlfn.STDEV.P($C$2:C52)</f>
        <v>0.54534738266688576</v>
      </c>
      <c r="H52">
        <f t="shared" ca="1" si="2"/>
        <v>60.509235260582962</v>
      </c>
      <c r="I52">
        <f t="shared" ca="1" si="3"/>
        <v>59.418540495249196</v>
      </c>
      <c r="J52">
        <f t="shared" ca="1" si="12"/>
        <v>60.213999999999984</v>
      </c>
      <c r="K52">
        <f t="shared" ca="1" si="13"/>
        <v>0.66618631817706664</v>
      </c>
      <c r="L52">
        <f t="shared" ca="1" si="14"/>
        <v>61.546372636354121</v>
      </c>
      <c r="M52">
        <f t="shared" ca="1" si="15"/>
        <v>58.881627363645848</v>
      </c>
      <c r="N52">
        <f t="shared" ca="1" si="4"/>
        <v>-0.61999999999999744</v>
      </c>
      <c r="O52">
        <f t="shared" ca="1" si="5"/>
        <v>0</v>
      </c>
      <c r="P52">
        <f t="shared" ca="1" si="6"/>
        <v>0.61999999999999744</v>
      </c>
      <c r="Q52">
        <f t="shared" ca="1" si="10"/>
        <v>0.18940834660786598</v>
      </c>
      <c r="R52">
        <f t="shared" ca="1" si="11"/>
        <v>0.1573412705259282</v>
      </c>
      <c r="S52">
        <f t="shared" ca="1" si="8"/>
        <v>1.203805879886126</v>
      </c>
      <c r="T52">
        <f t="shared" ca="1" si="9"/>
        <v>54.623952629998804</v>
      </c>
      <c r="U52">
        <f>70</f>
        <v>70</v>
      </c>
      <c r="V52">
        <f>30</f>
        <v>30</v>
      </c>
      <c r="W52">
        <f t="shared" ca="1" si="7"/>
        <v>60.215465184965062</v>
      </c>
      <c r="X52">
        <f t="shared" ca="1" si="17"/>
        <v>60.109229310526075</v>
      </c>
      <c r="Y52">
        <f t="shared" ca="1" si="16"/>
        <v>7.1605794910688303E-2</v>
      </c>
      <c r="Z52">
        <f t="shared" ca="1" si="18"/>
        <v>4.303485560955056E-2</v>
      </c>
      <c r="AA52">
        <f t="shared" ca="1" si="19"/>
        <v>2.8570939301137743E-2</v>
      </c>
    </row>
    <row r="53" spans="1:27" x14ac:dyDescent="0.25">
      <c r="A53" s="20">
        <f t="shared" ca="1" si="0"/>
        <v>45362</v>
      </c>
      <c r="B53" vm="148">
        <f ca="1"/>
        <v>45366</v>
      </c>
      <c r="C53" vm="149">
        <f ca="1"/>
        <v>59.88</v>
      </c>
      <c r="D53" vm="150">
        <f ca="1"/>
        <v>36849930</v>
      </c>
      <c r="E53">
        <f t="shared" ca="1" si="1"/>
        <v>2206573808.4000001</v>
      </c>
      <c r="F53">
        <f ca="1">SUM($E$2:E53)/SUM($D$2:D53)</f>
        <v>59.959724566296217</v>
      </c>
      <c r="G53">
        <f ca="1">_xlfn.STDEV.P($C$2:C53)</f>
        <v>0.54026603544296092</v>
      </c>
      <c r="H53">
        <f t="shared" ca="1" si="2"/>
        <v>60.499990601739178</v>
      </c>
      <c r="I53">
        <f t="shared" ca="1" si="3"/>
        <v>59.419458530853255</v>
      </c>
      <c r="J53">
        <f t="shared" ca="1" si="12"/>
        <v>60.238</v>
      </c>
      <c r="K53">
        <f t="shared" ca="1" si="13"/>
        <v>0.64358044522319358</v>
      </c>
      <c r="L53">
        <f t="shared" ca="1" si="14"/>
        <v>61.525160890446386</v>
      </c>
      <c r="M53">
        <f t="shared" ca="1" si="15"/>
        <v>58.950839109553613</v>
      </c>
      <c r="N53">
        <f t="shared" ca="1" si="4"/>
        <v>-0.61999999999999744</v>
      </c>
      <c r="O53">
        <f t="shared" ca="1" si="5"/>
        <v>0</v>
      </c>
      <c r="P53">
        <f t="shared" ca="1" si="6"/>
        <v>0.61999999999999744</v>
      </c>
      <c r="Q53">
        <f t="shared" ca="1" si="10"/>
        <v>0.17587917899301844</v>
      </c>
      <c r="R53">
        <f t="shared" ca="1" si="11"/>
        <v>0.19038832263121885</v>
      </c>
      <c r="S53">
        <f t="shared" ca="1" si="8"/>
        <v>0.92379184060408714</v>
      </c>
      <c r="T53">
        <f t="shared" ca="1" si="9"/>
        <v>48.019324186030886</v>
      </c>
      <c r="U53">
        <f>70</f>
        <v>70</v>
      </c>
      <c r="V53">
        <f>30</f>
        <v>30</v>
      </c>
      <c r="W53">
        <f t="shared" ca="1" si="7"/>
        <v>60.163855156508902</v>
      </c>
      <c r="X53">
        <f t="shared" ca="1" si="17"/>
        <v>60.092249361598213</v>
      </c>
      <c r="Y53">
        <f t="shared" ca="1" si="16"/>
        <v>6.3600965708616286E-2</v>
      </c>
      <c r="Z53">
        <f t="shared" ca="1" si="18"/>
        <v>4.7148077629363704E-2</v>
      </c>
      <c r="AA53">
        <f t="shared" ca="1" si="19"/>
        <v>1.6452888079252583E-2</v>
      </c>
    </row>
    <row r="54" spans="1:27" x14ac:dyDescent="0.25">
      <c r="A54" s="20">
        <f t="shared" ca="1" si="0"/>
        <v>45369</v>
      </c>
      <c r="B54" vm="151">
        <f ca="1"/>
        <v>45369</v>
      </c>
      <c r="C54" vm="152">
        <f ca="1"/>
        <v>60.13</v>
      </c>
      <c r="D54" vm="153">
        <f ca="1"/>
        <v>15856686</v>
      </c>
      <c r="E54">
        <f t="shared" ca="1" si="1"/>
        <v>953462529.18000007</v>
      </c>
      <c r="F54">
        <f ca="1">SUM($E$2:E54)/SUM($D$2:D54)</f>
        <v>59.963284897600253</v>
      </c>
      <c r="G54">
        <f ca="1">_xlfn.STDEV.P($C$2:C54)</f>
        <v>0.535525014963665</v>
      </c>
      <c r="H54">
        <f t="shared" ca="1" si="2"/>
        <v>60.498809912563921</v>
      </c>
      <c r="I54">
        <f t="shared" ca="1" si="3"/>
        <v>59.427759882636586</v>
      </c>
      <c r="J54">
        <f t="shared" ca="1" si="12"/>
        <v>60.274999999999999</v>
      </c>
      <c r="K54">
        <f t="shared" ca="1" si="13"/>
        <v>0.61279772570692415</v>
      </c>
      <c r="L54">
        <f t="shared" ca="1" si="14"/>
        <v>61.500595451413844</v>
      </c>
      <c r="M54">
        <f t="shared" ca="1" si="15"/>
        <v>59.049404548586153</v>
      </c>
      <c r="N54">
        <f t="shared" ca="1" si="4"/>
        <v>0.25</v>
      </c>
      <c r="O54">
        <f t="shared" ca="1" si="5"/>
        <v>0.25</v>
      </c>
      <c r="P54">
        <f t="shared" ca="1" si="6"/>
        <v>0</v>
      </c>
      <c r="Q54">
        <f t="shared" ca="1" si="10"/>
        <v>0.18117352335065998</v>
      </c>
      <c r="R54">
        <f t="shared" ca="1" si="11"/>
        <v>0.17678915672898896</v>
      </c>
      <c r="S54">
        <f t="shared" ca="1" si="8"/>
        <v>1.0247999747427501</v>
      </c>
      <c r="T54">
        <f t="shared" ca="1" si="9"/>
        <v>50.612405547513433</v>
      </c>
      <c r="U54">
        <f>70</f>
        <v>70</v>
      </c>
      <c r="V54">
        <f>30</f>
        <v>30</v>
      </c>
      <c r="W54">
        <f t="shared" ca="1" si="7"/>
        <v>60.158646670892146</v>
      </c>
      <c r="X54">
        <f t="shared" ca="1" si="17"/>
        <v>60.09504570518353</v>
      </c>
      <c r="Y54">
        <f t="shared" ca="1" si="16"/>
        <v>6.4581786525124585E-2</v>
      </c>
      <c r="Z54">
        <f t="shared" ca="1" si="18"/>
        <v>5.0634819408515885E-2</v>
      </c>
      <c r="AA54">
        <f t="shared" ca="1" si="19"/>
        <v>1.3946967116608699E-2</v>
      </c>
    </row>
    <row r="55" spans="1:27" x14ac:dyDescent="0.25">
      <c r="A55" s="20">
        <f t="shared" ca="1" si="0"/>
        <v>45369</v>
      </c>
      <c r="B55" vm="154">
        <f ca="1"/>
        <v>45370</v>
      </c>
      <c r="C55" vm="155">
        <f ca="1"/>
        <v>60.23</v>
      </c>
      <c r="D55" vm="156">
        <f ca="1"/>
        <v>15030627</v>
      </c>
      <c r="E55">
        <f t="shared" ca="1" si="1"/>
        <v>905294664.20999992</v>
      </c>
      <c r="F55">
        <f ca="1">SUM($E$2:E55)/SUM($D$2:D55)</f>
        <v>59.968468446296342</v>
      </c>
      <c r="G55">
        <f ca="1">_xlfn.STDEV.P($C$2:C55)</f>
        <v>0.53157442083249462</v>
      </c>
      <c r="H55">
        <f t="shared" ca="1" si="2"/>
        <v>60.500042867128833</v>
      </c>
      <c r="I55">
        <f t="shared" ca="1" si="3"/>
        <v>59.43689402546385</v>
      </c>
      <c r="J55">
        <f t="shared" ca="1" si="12"/>
        <v>60.251500000000007</v>
      </c>
      <c r="K55">
        <f t="shared" ca="1" si="13"/>
        <v>0.60459882305716162</v>
      </c>
      <c r="L55">
        <f t="shared" ca="1" si="14"/>
        <v>61.460697646114333</v>
      </c>
      <c r="M55">
        <f t="shared" ca="1" si="15"/>
        <v>59.042302353885681</v>
      </c>
      <c r="N55">
        <f t="shared" ca="1" si="4"/>
        <v>9.9999999999994316E-2</v>
      </c>
      <c r="O55">
        <f t="shared" ca="1" si="5"/>
        <v>9.9999999999994316E-2</v>
      </c>
      <c r="P55">
        <f t="shared" ca="1" si="6"/>
        <v>0</v>
      </c>
      <c r="Q55">
        <f t="shared" ca="1" si="10"/>
        <v>0.17537541453989816</v>
      </c>
      <c r="R55">
        <f t="shared" ca="1" si="11"/>
        <v>0.16416135981977548</v>
      </c>
      <c r="S55">
        <f t="shared" ca="1" si="8"/>
        <v>1.0683111709870949</v>
      </c>
      <c r="T55">
        <f t="shared" ca="1" si="9"/>
        <v>51.651375575042074</v>
      </c>
      <c r="U55">
        <f>70</f>
        <v>70</v>
      </c>
      <c r="V55">
        <f>30</f>
        <v>30</v>
      </c>
      <c r="W55">
        <f t="shared" ca="1" si="7"/>
        <v>60.169624106139509</v>
      </c>
      <c r="X55">
        <f t="shared" ca="1" si="17"/>
        <v>60.105042319614384</v>
      </c>
      <c r="Y55">
        <f t="shared" ca="1" si="16"/>
        <v>0.10609574258905496</v>
      </c>
      <c r="Z55">
        <f t="shared" ca="1" si="18"/>
        <v>6.1727004044623709E-2</v>
      </c>
      <c r="AA55">
        <f t="shared" ca="1" si="19"/>
        <v>4.4368738544431255E-2</v>
      </c>
    </row>
    <row r="56" spans="1:27" x14ac:dyDescent="0.25">
      <c r="A56" s="20">
        <f t="shared" ca="1" si="0"/>
        <v>45369</v>
      </c>
      <c r="B56" vm="157">
        <f ca="1"/>
        <v>45371</v>
      </c>
      <c r="C56" vm="158">
        <f ca="1"/>
        <v>60.75</v>
      </c>
      <c r="D56" vm="159">
        <f ca="1"/>
        <v>15258764</v>
      </c>
      <c r="E56">
        <f t="shared" ca="1" si="1"/>
        <v>926969913</v>
      </c>
      <c r="F56">
        <f ca="1">SUM($E$2:E56)/SUM($D$2:D56)</f>
        <v>59.983589541786458</v>
      </c>
      <c r="G56">
        <f ca="1">_xlfn.STDEV.P($C$2:C56)</f>
        <v>0.53644172004819368</v>
      </c>
      <c r="H56">
        <f t="shared" ca="1" si="2"/>
        <v>60.520031261834653</v>
      </c>
      <c r="I56">
        <f t="shared" ca="1" si="3"/>
        <v>59.447147821738263</v>
      </c>
      <c r="J56">
        <f t="shared" ca="1" si="12"/>
        <v>60.227000000000011</v>
      </c>
      <c r="K56">
        <f t="shared" ca="1" si="13"/>
        <v>0.57145336412381065</v>
      </c>
      <c r="L56">
        <f t="shared" ca="1" si="14"/>
        <v>61.369906728247635</v>
      </c>
      <c r="M56">
        <f t="shared" ca="1" si="15"/>
        <v>59.084093271752387</v>
      </c>
      <c r="N56">
        <f t="shared" ca="1" si="4"/>
        <v>0.52000000000000313</v>
      </c>
      <c r="O56">
        <f t="shared" ca="1" si="5"/>
        <v>0.52000000000000313</v>
      </c>
      <c r="P56">
        <f t="shared" ca="1" si="6"/>
        <v>0</v>
      </c>
      <c r="Q56">
        <f t="shared" ca="1" si="10"/>
        <v>0.19999145635847709</v>
      </c>
      <c r="R56">
        <f t="shared" ca="1" si="11"/>
        <v>0.15243554840407722</v>
      </c>
      <c r="S56">
        <f t="shared" ca="1" si="8"/>
        <v>1.3119738699554406</v>
      </c>
      <c r="T56">
        <f t="shared" ca="1" si="9"/>
        <v>56.746916001292291</v>
      </c>
      <c r="U56">
        <f>70</f>
        <v>70</v>
      </c>
      <c r="V56">
        <f>30</f>
        <v>30</v>
      </c>
      <c r="W56">
        <f t="shared" ca="1" si="7"/>
        <v>60.258912705194966</v>
      </c>
      <c r="X56">
        <f t="shared" ca="1" si="17"/>
        <v>60.152816962605911</v>
      </c>
      <c r="Y56">
        <f t="shared" ca="1" si="16"/>
        <v>0.11507567121363138</v>
      </c>
      <c r="Z56">
        <f t="shared" ca="1" si="18"/>
        <v>7.2396737478425247E-2</v>
      </c>
      <c r="AA56">
        <f t="shared" ca="1" si="19"/>
        <v>4.2678933735206134E-2</v>
      </c>
    </row>
    <row r="57" spans="1:27" x14ac:dyDescent="0.25">
      <c r="A57" s="20">
        <f t="shared" ca="1" si="0"/>
        <v>45369</v>
      </c>
      <c r="B57" vm="160">
        <f ca="1"/>
        <v>45372</v>
      </c>
      <c r="C57" vm="161">
        <f ca="1"/>
        <v>60.47</v>
      </c>
      <c r="D57" vm="162">
        <f ca="1"/>
        <v>13067077</v>
      </c>
      <c r="E57">
        <f t="shared" ca="1" si="1"/>
        <v>790166146.18999994</v>
      </c>
      <c r="F57">
        <f ca="1">SUM($E$2:E57)/SUM($D$2:D57)</f>
        <v>59.991517509684719</v>
      </c>
      <c r="G57">
        <f ca="1">_xlfn.STDEV.P($C$2:C57)</f>
        <v>0.53521712049543857</v>
      </c>
      <c r="H57">
        <f t="shared" ca="1" si="2"/>
        <v>60.526734630180158</v>
      </c>
      <c r="I57">
        <f t="shared" ca="1" si="3"/>
        <v>59.456300389189281</v>
      </c>
      <c r="J57">
        <f t="shared" ca="1" si="12"/>
        <v>60.192999999999998</v>
      </c>
      <c r="K57">
        <f t="shared" ca="1" si="13"/>
        <v>0.53255194952921547</v>
      </c>
      <c r="L57">
        <f t="shared" ca="1" si="14"/>
        <v>61.258103899058426</v>
      </c>
      <c r="M57">
        <f t="shared" ca="1" si="15"/>
        <v>59.12789610094157</v>
      </c>
      <c r="N57">
        <f t="shared" ca="1" si="4"/>
        <v>-0.28000000000000114</v>
      </c>
      <c r="O57">
        <f t="shared" ca="1" si="5"/>
        <v>0</v>
      </c>
      <c r="P57">
        <f t="shared" ca="1" si="6"/>
        <v>0.28000000000000114</v>
      </c>
      <c r="Q57">
        <f t="shared" ca="1" si="10"/>
        <v>0.18570635233287161</v>
      </c>
      <c r="R57">
        <f t="shared" ca="1" si="11"/>
        <v>0.16154729494664322</v>
      </c>
      <c r="S57">
        <f t="shared" ca="1" si="8"/>
        <v>1.1495478918059741</v>
      </c>
      <c r="T57">
        <f t="shared" ca="1" si="9"/>
        <v>53.478589436784524</v>
      </c>
      <c r="U57">
        <f>70</f>
        <v>70</v>
      </c>
      <c r="V57">
        <f>30</f>
        <v>30</v>
      </c>
      <c r="W57">
        <f t="shared" ca="1" si="7"/>
        <v>60.29138767362651</v>
      </c>
      <c r="X57">
        <f t="shared" ca="1" si="17"/>
        <v>60.176312002412878</v>
      </c>
      <c r="Y57">
        <f t="shared" ca="1" si="16"/>
        <v>0.12239526576320969</v>
      </c>
      <c r="Z57">
        <f t="shared" ca="1" si="18"/>
        <v>8.2396443135382136E-2</v>
      </c>
      <c r="AA57">
        <f t="shared" ca="1" si="19"/>
        <v>3.9998822627827557E-2</v>
      </c>
    </row>
    <row r="58" spans="1:27" x14ac:dyDescent="0.25">
      <c r="A58" s="20">
        <f t="shared" ca="1" si="0"/>
        <v>45369</v>
      </c>
      <c r="B58" vm="163">
        <f ca="1"/>
        <v>45373</v>
      </c>
      <c r="C58" vm="164">
        <f ca="1"/>
        <v>60.49</v>
      </c>
      <c r="D58" vm="165">
        <f ca="1"/>
        <v>11502843</v>
      </c>
      <c r="E58">
        <f t="shared" ca="1" si="1"/>
        <v>695806973.07000005</v>
      </c>
      <c r="F58">
        <f ca="1">SUM($E$2:E58)/SUM($D$2:D58)</f>
        <v>59.998568477485428</v>
      </c>
      <c r="G58">
        <f ca="1">_xlfn.STDEV.P($C$2:C58)</f>
        <v>0.5342118802736856</v>
      </c>
      <c r="H58">
        <f t="shared" ca="1" si="2"/>
        <v>60.532780357759115</v>
      </c>
      <c r="I58">
        <f t="shared" ca="1" si="3"/>
        <v>59.46435659721174</v>
      </c>
      <c r="J58">
        <f t="shared" ca="1" si="12"/>
        <v>60.157500000000006</v>
      </c>
      <c r="K58">
        <f t="shared" ca="1" si="13"/>
        <v>0.48327691745764967</v>
      </c>
      <c r="L58">
        <f t="shared" ca="1" si="14"/>
        <v>61.124053834915308</v>
      </c>
      <c r="M58">
        <f t="shared" ca="1" si="15"/>
        <v>59.190946165084704</v>
      </c>
      <c r="N58">
        <f t="shared" ca="1" si="4"/>
        <v>2.0000000000003126E-2</v>
      </c>
      <c r="O58">
        <f t="shared" ca="1" si="5"/>
        <v>2.0000000000003126E-2</v>
      </c>
      <c r="P58">
        <f t="shared" ca="1" si="6"/>
        <v>0</v>
      </c>
      <c r="Q58">
        <f t="shared" ca="1" si="10"/>
        <v>0.17387018430909529</v>
      </c>
      <c r="R58">
        <f t="shared" ca="1" si="11"/>
        <v>0.1500082024504544</v>
      </c>
      <c r="S58">
        <f t="shared" ca="1" si="8"/>
        <v>1.1590711805677569</v>
      </c>
      <c r="T58">
        <f t="shared" ca="1" si="9"/>
        <v>53.683787315569816</v>
      </c>
      <c r="U58">
        <f>70</f>
        <v>70</v>
      </c>
      <c r="V58">
        <f>30</f>
        <v>30</v>
      </c>
      <c r="W58">
        <f t="shared" ca="1" si="7"/>
        <v>60.321943416145508</v>
      </c>
      <c r="X58">
        <f t="shared" ca="1" si="17"/>
        <v>60.199548150382299</v>
      </c>
      <c r="Y58">
        <f t="shared" ca="1" si="16"/>
        <v>0.11955568581473131</v>
      </c>
      <c r="Z58">
        <f t="shared" ca="1" si="18"/>
        <v>8.9828291671251975E-2</v>
      </c>
      <c r="AA58">
        <f t="shared" ca="1" si="19"/>
        <v>2.972739414347933E-2</v>
      </c>
    </row>
    <row r="59" spans="1:27" x14ac:dyDescent="0.25">
      <c r="A59" s="20">
        <f t="shared" ca="1" si="0"/>
        <v>45376</v>
      </c>
      <c r="B59" vm="166">
        <f ca="1"/>
        <v>45376</v>
      </c>
      <c r="C59" vm="116">
        <f ca="1"/>
        <v>60.4</v>
      </c>
      <c r="D59" vm="167">
        <f ca="1"/>
        <v>13144651</v>
      </c>
      <c r="E59">
        <f t="shared" ca="1" si="1"/>
        <v>793936920.39999998</v>
      </c>
      <c r="F59">
        <f ca="1">SUM($E$2:E59)/SUM($D$2:D59)</f>
        <v>60.004953912016767</v>
      </c>
      <c r="G59">
        <f ca="1">_xlfn.STDEV.P($C$2:C59)</f>
        <v>0.53189585312646248</v>
      </c>
      <c r="H59">
        <f t="shared" ca="1" si="2"/>
        <v>60.536849765143231</v>
      </c>
      <c r="I59">
        <f t="shared" ca="1" si="3"/>
        <v>59.473058058890302</v>
      </c>
      <c r="J59">
        <f t="shared" ca="1" si="12"/>
        <v>60.14200000000001</v>
      </c>
      <c r="K59">
        <f t="shared" ca="1" si="13"/>
        <v>0.46939602850785478</v>
      </c>
      <c r="L59">
        <f t="shared" ca="1" si="14"/>
        <v>61.080792057015721</v>
      </c>
      <c r="M59">
        <f t="shared" ca="1" si="15"/>
        <v>59.203207942984299</v>
      </c>
      <c r="N59">
        <f t="shared" ca="1" si="4"/>
        <v>-9.0000000000003411E-2</v>
      </c>
      <c r="O59">
        <f t="shared" ca="1" si="5"/>
        <v>0</v>
      </c>
      <c r="P59">
        <f t="shared" ca="1" si="6"/>
        <v>9.0000000000003411E-2</v>
      </c>
      <c r="Q59">
        <f t="shared" ca="1" si="10"/>
        <v>0.16145088542987418</v>
      </c>
      <c r="R59">
        <f t="shared" ca="1" si="11"/>
        <v>0.14572190227542217</v>
      </c>
      <c r="S59">
        <f t="shared" ca="1" si="8"/>
        <v>1.1079383600464081</v>
      </c>
      <c r="T59">
        <f t="shared" ca="1" si="9"/>
        <v>52.560282646121394</v>
      </c>
      <c r="U59">
        <f>70</f>
        <v>70</v>
      </c>
      <c r="V59">
        <f>30</f>
        <v>30</v>
      </c>
      <c r="W59">
        <f t="shared" ca="1" si="7"/>
        <v>60.333952121353896</v>
      </c>
      <c r="X59">
        <f t="shared" ca="1" si="17"/>
        <v>60.214396435539165</v>
      </c>
      <c r="Y59">
        <f t="shared" ca="1" si="16"/>
        <v>0.12713657689994307</v>
      </c>
      <c r="Z59">
        <f t="shared" ca="1" si="18"/>
        <v>9.7289948716990204E-2</v>
      </c>
      <c r="AA59">
        <f t="shared" ca="1" si="19"/>
        <v>2.9846628182952861E-2</v>
      </c>
    </row>
    <row r="60" spans="1:27" x14ac:dyDescent="0.25">
      <c r="A60" s="20">
        <f t="shared" ca="1" si="0"/>
        <v>45376</v>
      </c>
      <c r="B60" vm="168">
        <f ca="1"/>
        <v>45377</v>
      </c>
      <c r="C60" vm="67">
        <f ca="1"/>
        <v>60.54</v>
      </c>
      <c r="D60" vm="169">
        <f ca="1"/>
        <v>13277388</v>
      </c>
      <c r="E60">
        <f t="shared" ca="1" si="1"/>
        <v>803813069.51999998</v>
      </c>
      <c r="F60">
        <f ca="1">SUM($E$2:E60)/SUM($D$2:D60)</f>
        <v>60.01341470939181</v>
      </c>
      <c r="G60">
        <f ca="1">_xlfn.STDEV.P($C$2:C60)</f>
        <v>0.53152282946444052</v>
      </c>
      <c r="H60">
        <f t="shared" ca="1" si="2"/>
        <v>60.544937538856253</v>
      </c>
      <c r="I60">
        <f t="shared" ca="1" si="3"/>
        <v>59.481891879927367</v>
      </c>
      <c r="J60">
        <f t="shared" ca="1" si="12"/>
        <v>60.152000000000001</v>
      </c>
      <c r="K60">
        <f t="shared" ca="1" si="13"/>
        <v>0.47592126726127532</v>
      </c>
      <c r="L60">
        <f t="shared" ca="1" si="14"/>
        <v>61.103842534522549</v>
      </c>
      <c r="M60">
        <f t="shared" ca="1" si="15"/>
        <v>59.200157465477453</v>
      </c>
      <c r="N60">
        <f t="shared" ca="1" si="4"/>
        <v>0.14000000000000057</v>
      </c>
      <c r="O60">
        <f t="shared" ca="1" si="5"/>
        <v>0.14000000000000057</v>
      </c>
      <c r="P60">
        <f t="shared" ca="1" si="6"/>
        <v>0</v>
      </c>
      <c r="Q60">
        <f t="shared" ca="1" si="10"/>
        <v>0.15991867932774034</v>
      </c>
      <c r="R60">
        <f t="shared" ca="1" si="11"/>
        <v>0.13531319497003488</v>
      </c>
      <c r="S60">
        <f t="shared" ca="1" si="8"/>
        <v>1.1818409827892569</v>
      </c>
      <c r="T60">
        <f t="shared" ca="1" si="9"/>
        <v>54.167145640393834</v>
      </c>
      <c r="U60">
        <f>70</f>
        <v>70</v>
      </c>
      <c r="V60">
        <f>30</f>
        <v>30</v>
      </c>
      <c r="W60">
        <f t="shared" ca="1" si="7"/>
        <v>60.365651794991763</v>
      </c>
      <c r="X60">
        <f t="shared" ca="1" si="17"/>
        <v>60.23851521809182</v>
      </c>
      <c r="Y60">
        <f t="shared" ca="1" si="16"/>
        <v>0.17071549069149228</v>
      </c>
      <c r="Z60">
        <f t="shared" ca="1" si="18"/>
        <v>0.11197505711189062</v>
      </c>
      <c r="AA60">
        <f t="shared" ca="1" si="19"/>
        <v>5.8740433579601653E-2</v>
      </c>
    </row>
    <row r="61" spans="1:27" x14ac:dyDescent="0.25">
      <c r="A61" s="20">
        <f t="shared" ca="1" si="0"/>
        <v>45376</v>
      </c>
      <c r="B61" vm="170">
        <f ca="1"/>
        <v>45378</v>
      </c>
      <c r="C61" vm="171">
        <f ca="1"/>
        <v>61.03</v>
      </c>
      <c r="D61" vm="172">
        <f ca="1"/>
        <v>12551216</v>
      </c>
      <c r="E61">
        <f t="shared" ca="1" si="1"/>
        <v>766000712.48000002</v>
      </c>
      <c r="F61">
        <f ca="1">SUM($E$2:E61)/SUM($D$2:D61)</f>
        <v>60.028387168576664</v>
      </c>
      <c r="G61">
        <f ca="1">_xlfn.STDEV.P($C$2:C61)</f>
        <v>0.5422509412931743</v>
      </c>
      <c r="H61">
        <f t="shared" ca="1" si="2"/>
        <v>60.57063810986984</v>
      </c>
      <c r="I61">
        <f t="shared" ca="1" si="3"/>
        <v>59.486136227283488</v>
      </c>
      <c r="J61">
        <f t="shared" ca="1" si="12"/>
        <v>60.183500000000002</v>
      </c>
      <c r="K61">
        <f t="shared" ca="1" si="13"/>
        <v>0.51263278125872136</v>
      </c>
      <c r="L61">
        <f t="shared" ca="1" si="14"/>
        <v>61.208765562517442</v>
      </c>
      <c r="M61">
        <f t="shared" ca="1" si="15"/>
        <v>59.158234437482562</v>
      </c>
      <c r="N61">
        <f t="shared" ca="1" si="4"/>
        <v>0.49000000000000199</v>
      </c>
      <c r="O61">
        <f t="shared" ca="1" si="5"/>
        <v>0.49000000000000199</v>
      </c>
      <c r="P61">
        <f t="shared" ca="1" si="6"/>
        <v>0</v>
      </c>
      <c r="Q61">
        <f t="shared" ca="1" si="10"/>
        <v>0.18349591651861616</v>
      </c>
      <c r="R61">
        <f t="shared" ca="1" si="11"/>
        <v>0.12564796675788953</v>
      </c>
      <c r="S61">
        <f t="shared" ca="1" si="8"/>
        <v>1.4603970223584561</v>
      </c>
      <c r="T61">
        <f t="shared" ca="1" si="9"/>
        <v>59.35615305527265</v>
      </c>
      <c r="U61">
        <f>70</f>
        <v>70</v>
      </c>
      <c r="V61">
        <f>30</f>
        <v>30</v>
      </c>
      <c r="W61">
        <f t="shared" ca="1" si="7"/>
        <v>60.46785921114688</v>
      </c>
      <c r="X61">
        <f t="shared" ca="1" si="17"/>
        <v>60.297143720455388</v>
      </c>
      <c r="Y61">
        <f t="shared" ca="1" si="16"/>
        <v>0.21487885060575707</v>
      </c>
      <c r="Z61">
        <f t="shared" ca="1" si="18"/>
        <v>0.13255581581066392</v>
      </c>
      <c r="AA61">
        <f t="shared" ca="1" si="19"/>
        <v>8.2323034795093147E-2</v>
      </c>
    </row>
    <row r="62" spans="1:27" x14ac:dyDescent="0.25">
      <c r="A62" s="20">
        <f t="shared" ca="1" si="0"/>
        <v>45376</v>
      </c>
      <c r="B62" vm="173">
        <f ca="1"/>
        <v>45379</v>
      </c>
      <c r="C62" vm="174">
        <f ca="1"/>
        <v>61.18</v>
      </c>
      <c r="D62" vm="175">
        <f ca="1"/>
        <v>13683528</v>
      </c>
      <c r="E62">
        <f t="shared" ca="1" si="1"/>
        <v>837158243.03999996</v>
      </c>
      <c r="F62">
        <f ca="1">SUM($E$2:E62)/SUM($D$2:D62)</f>
        <v>60.046586275032119</v>
      </c>
      <c r="G62">
        <f ca="1">_xlfn.STDEV.P($C$2:C62)</f>
        <v>0.5565526207575805</v>
      </c>
      <c r="H62">
        <f t="shared" ca="1" si="2"/>
        <v>60.603138895789698</v>
      </c>
      <c r="I62">
        <f t="shared" ca="1" si="3"/>
        <v>59.490033654274541</v>
      </c>
      <c r="J62">
        <f t="shared" ca="1" si="12"/>
        <v>60.241500000000009</v>
      </c>
      <c r="K62">
        <f t="shared" ca="1" si="13"/>
        <v>0.55687355646927272</v>
      </c>
      <c r="L62">
        <f t="shared" ca="1" si="14"/>
        <v>61.355247112938557</v>
      </c>
      <c r="M62">
        <f t="shared" ca="1" si="15"/>
        <v>59.127752887061462</v>
      </c>
      <c r="N62">
        <f t="shared" ca="1" si="4"/>
        <v>0.14999999999999858</v>
      </c>
      <c r="O62">
        <f t="shared" ca="1" si="5"/>
        <v>0.14999999999999858</v>
      </c>
      <c r="P62">
        <f t="shared" ca="1" si="6"/>
        <v>0</v>
      </c>
      <c r="Q62">
        <f t="shared" ca="1" si="10"/>
        <v>0.18110335105300063</v>
      </c>
      <c r="R62">
        <f t="shared" ca="1" si="11"/>
        <v>0.11667311198946885</v>
      </c>
      <c r="S62">
        <f t="shared" ca="1" si="8"/>
        <v>1.5522286837548944</v>
      </c>
      <c r="T62">
        <f t="shared" ca="1" si="9"/>
        <v>60.818558056138677</v>
      </c>
      <c r="U62">
        <f>70</f>
        <v>70</v>
      </c>
      <c r="V62">
        <f>30</f>
        <v>30</v>
      </c>
      <c r="W62">
        <f t="shared" ca="1" si="7"/>
        <v>60.577419332508896</v>
      </c>
      <c r="X62">
        <f t="shared" ca="1" si="17"/>
        <v>60.362540481903139</v>
      </c>
      <c r="Y62">
        <f t="shared" ca="1" si="16"/>
        <v>0.20714497189919712</v>
      </c>
      <c r="Z62">
        <f t="shared" ca="1" si="18"/>
        <v>0.14747364702837057</v>
      </c>
      <c r="AA62">
        <f t="shared" ca="1" si="19"/>
        <v>5.9671324870826548E-2</v>
      </c>
    </row>
    <row r="63" spans="1:27" x14ac:dyDescent="0.25">
      <c r="A63" s="20">
        <f t="shared" ca="1" si="0"/>
        <v>45383</v>
      </c>
      <c r="B63" vm="176">
        <f ca="1"/>
        <v>45383</v>
      </c>
      <c r="C63" vm="177">
        <f ca="1"/>
        <v>60.68</v>
      </c>
      <c r="D63" vm="178">
        <f ca="1"/>
        <v>11668686</v>
      </c>
      <c r="E63">
        <f t="shared" ca="1" si="1"/>
        <v>708055866.48000002</v>
      </c>
      <c r="F63">
        <f ca="1">SUM($E$2:E63)/SUM($D$2:D63)</f>
        <v>60.055008781508121</v>
      </c>
      <c r="G63">
        <f ca="1">_xlfn.STDEV.P($C$2:C63)</f>
        <v>0.55736850593192555</v>
      </c>
      <c r="H63">
        <f t="shared" ca="1" si="2"/>
        <v>60.612377287440047</v>
      </c>
      <c r="I63">
        <f t="shared" ca="1" si="3"/>
        <v>59.497640275576195</v>
      </c>
      <c r="J63">
        <f t="shared" ca="1" si="12"/>
        <v>60.299000000000014</v>
      </c>
      <c r="K63">
        <f t="shared" ca="1" si="13"/>
        <v>0.53861322906731068</v>
      </c>
      <c r="L63">
        <f t="shared" ca="1" si="14"/>
        <v>61.376226458134639</v>
      </c>
      <c r="M63">
        <f t="shared" ca="1" si="15"/>
        <v>59.221773541865389</v>
      </c>
      <c r="N63">
        <f t="shared" ca="1" si="4"/>
        <v>-0.5</v>
      </c>
      <c r="O63">
        <f t="shared" ca="1" si="5"/>
        <v>0</v>
      </c>
      <c r="P63">
        <f t="shared" ca="1" si="6"/>
        <v>0.5</v>
      </c>
      <c r="Q63">
        <f t="shared" ca="1" si="10"/>
        <v>0.16816739740635772</v>
      </c>
      <c r="R63">
        <f t="shared" ca="1" si="11"/>
        <v>0.14405360399022107</v>
      </c>
      <c r="S63">
        <f t="shared" ca="1" si="8"/>
        <v>1.1673945860998631</v>
      </c>
      <c r="T63">
        <f t="shared" ca="1" si="9"/>
        <v>53.861654614563811</v>
      </c>
      <c r="U63">
        <f>70</f>
        <v>70</v>
      </c>
      <c r="V63">
        <f>30</f>
        <v>30</v>
      </c>
      <c r="W63">
        <f t="shared" ca="1" si="7"/>
        <v>60.593200973661368</v>
      </c>
      <c r="X63">
        <f t="shared" ca="1" si="17"/>
        <v>60.386056001762171</v>
      </c>
      <c r="Y63">
        <f t="shared" ca="1" si="16"/>
        <v>0.15644583648068533</v>
      </c>
      <c r="Z63">
        <f t="shared" ca="1" si="18"/>
        <v>0.14926808491883353</v>
      </c>
      <c r="AA63">
        <f t="shared" ca="1" si="19"/>
        <v>7.1777515618517973E-3</v>
      </c>
    </row>
    <row r="64" spans="1:27" x14ac:dyDescent="0.25">
      <c r="A64" s="20">
        <f t="shared" ca="1" si="0"/>
        <v>45383</v>
      </c>
      <c r="B64" vm="179">
        <f ca="1"/>
        <v>45384</v>
      </c>
      <c r="C64" vm="180">
        <f ca="1"/>
        <v>60.15</v>
      </c>
      <c r="D64" vm="181">
        <f ca="1"/>
        <v>13017260</v>
      </c>
      <c r="E64">
        <f t="shared" ca="1" si="1"/>
        <v>782988189</v>
      </c>
      <c r="F64">
        <f ca="1">SUM($E$2:E64)/SUM($D$2:D64)</f>
        <v>60.056397262883188</v>
      </c>
      <c r="G64">
        <f ca="1">_xlfn.STDEV.P($C$2:C64)</f>
        <v>0.55299678315237155</v>
      </c>
      <c r="H64">
        <f t="shared" ca="1" si="2"/>
        <v>60.609394046035561</v>
      </c>
      <c r="I64">
        <f t="shared" ca="1" si="3"/>
        <v>59.503400479730814</v>
      </c>
      <c r="J64">
        <f t="shared" ca="1" si="12"/>
        <v>60.31600000000001</v>
      </c>
      <c r="K64">
        <f t="shared" ca="1" si="13"/>
        <v>0.52762027813071821</v>
      </c>
      <c r="L64">
        <f t="shared" ca="1" si="14"/>
        <v>61.371240556261448</v>
      </c>
      <c r="M64">
        <f t="shared" ca="1" si="15"/>
        <v>59.260759443738571</v>
      </c>
      <c r="N64">
        <f t="shared" ca="1" si="4"/>
        <v>-0.53000000000000114</v>
      </c>
      <c r="O64">
        <f t="shared" ca="1" si="5"/>
        <v>0</v>
      </c>
      <c r="P64">
        <f t="shared" ca="1" si="6"/>
        <v>0.53000000000000114</v>
      </c>
      <c r="Q64">
        <f t="shared" ca="1" si="10"/>
        <v>0.15615544044876076</v>
      </c>
      <c r="R64">
        <f t="shared" ca="1" si="11"/>
        <v>0.17162120370520537</v>
      </c>
      <c r="S64">
        <f t="shared" ca="1" si="8"/>
        <v>0.90988430961590139</v>
      </c>
      <c r="T64">
        <f t="shared" ca="1" si="9"/>
        <v>47.640807615142357</v>
      </c>
      <c r="U64">
        <f>70</f>
        <v>70</v>
      </c>
      <c r="V64">
        <f>30</f>
        <v>30</v>
      </c>
      <c r="W64">
        <f t="shared" ca="1" si="7"/>
        <v>60.525016208482697</v>
      </c>
      <c r="X64">
        <f t="shared" ca="1" si="17"/>
        <v>60.368570372002011</v>
      </c>
      <c r="Y64">
        <f t="shared" ca="1" si="16"/>
        <v>8.9414367574661924E-2</v>
      </c>
      <c r="Z64">
        <f t="shared" ca="1" si="18"/>
        <v>0.13729734144999922</v>
      </c>
      <c r="AA64">
        <f t="shared" ca="1" si="19"/>
        <v>-4.7882973875337298E-2</v>
      </c>
    </row>
    <row r="65" spans="1:27" x14ac:dyDescent="0.25">
      <c r="A65" s="20">
        <f t="shared" ca="1" si="0"/>
        <v>45383</v>
      </c>
      <c r="B65" vm="182">
        <f ca="1"/>
        <v>45385</v>
      </c>
      <c r="C65" vm="37">
        <f ca="1"/>
        <v>59.83</v>
      </c>
      <c r="D65" vm="183">
        <f ca="1"/>
        <v>13672922</v>
      </c>
      <c r="E65">
        <f t="shared" ca="1" si="1"/>
        <v>818050923.25999999</v>
      </c>
      <c r="F65">
        <f ca="1">SUM($E$2:E65)/SUM($D$2:D65)</f>
        <v>60.052973904274651</v>
      </c>
      <c r="G65">
        <f ca="1">_xlfn.STDEV.P($C$2:C65)</f>
        <v>0.54954151255700212</v>
      </c>
      <c r="H65">
        <f t="shared" ca="1" si="2"/>
        <v>60.60251541683165</v>
      </c>
      <c r="I65">
        <f t="shared" ca="1" si="3"/>
        <v>59.503432391717652</v>
      </c>
      <c r="J65">
        <f t="shared" ca="1" si="12"/>
        <v>60.331500000000005</v>
      </c>
      <c r="K65">
        <f t="shared" ca="1" si="13"/>
        <v>0.50716212501786007</v>
      </c>
      <c r="L65">
        <f t="shared" ca="1" si="14"/>
        <v>61.345824250035726</v>
      </c>
      <c r="M65">
        <f t="shared" ca="1" si="15"/>
        <v>59.317175749964285</v>
      </c>
      <c r="N65">
        <f t="shared" ca="1" si="4"/>
        <v>-0.32000000000000028</v>
      </c>
      <c r="O65">
        <f t="shared" ca="1" si="5"/>
        <v>0</v>
      </c>
      <c r="P65">
        <f t="shared" ca="1" si="6"/>
        <v>0.32000000000000028</v>
      </c>
      <c r="Q65">
        <f t="shared" ca="1" si="10"/>
        <v>0.14500148041670641</v>
      </c>
      <c r="R65">
        <f t="shared" ca="1" si="11"/>
        <v>0.18221968915483358</v>
      </c>
      <c r="S65">
        <f t="shared" ca="1" si="8"/>
        <v>0.79575089327200776</v>
      </c>
      <c r="T65">
        <f t="shared" ca="1" si="9"/>
        <v>44.312988859055132</v>
      </c>
      <c r="U65">
        <f>70</f>
        <v>70</v>
      </c>
      <c r="V65">
        <f>30</f>
        <v>30</v>
      </c>
      <c r="W65">
        <f t="shared" ca="1" si="7"/>
        <v>60.418090637946896</v>
      </c>
      <c r="X65">
        <f t="shared" ca="1" si="17"/>
        <v>60.328676270372235</v>
      </c>
      <c r="Y65">
        <f t="shared" ca="1" si="16"/>
        <v>-6.4013344750648571E-3</v>
      </c>
      <c r="Z65">
        <f t="shared" ca="1" si="18"/>
        <v>0.10855760626498641</v>
      </c>
      <c r="AA65">
        <f t="shared" ca="1" si="19"/>
        <v>-0.11495894074005127</v>
      </c>
    </row>
    <row r="66" spans="1:27" x14ac:dyDescent="0.25">
      <c r="A66" s="20">
        <f t="shared" ca="1" si="0"/>
        <v>45383</v>
      </c>
      <c r="B66" vm="184">
        <f ca="1"/>
        <v>45386</v>
      </c>
      <c r="C66" vm="185">
        <f ca="1"/>
        <v>59.3</v>
      </c>
      <c r="D66" vm="186">
        <f ca="1"/>
        <v>14320686</v>
      </c>
      <c r="E66">
        <f t="shared" ca="1" si="1"/>
        <v>849216679.79999995</v>
      </c>
      <c r="F66">
        <f ca="1">SUM($E$2:E66)/SUM($D$2:D66)</f>
        <v>60.041234678934281</v>
      </c>
      <c r="G66">
        <f ca="1">_xlfn.STDEV.P($C$2:C66)</f>
        <v>0.55362059509524175</v>
      </c>
      <c r="H66">
        <f t="shared" ca="1" si="2"/>
        <v>60.59485527402952</v>
      </c>
      <c r="I66">
        <f t="shared" ca="1" si="3"/>
        <v>59.487614083839041</v>
      </c>
      <c r="J66">
        <f t="shared" ca="1" si="12"/>
        <v>60.318999999999996</v>
      </c>
      <c r="K66">
        <f t="shared" ca="1" si="13"/>
        <v>0.53000397217975248</v>
      </c>
      <c r="L66">
        <f t="shared" ca="1" si="14"/>
        <v>61.3790079443595</v>
      </c>
      <c r="M66">
        <f t="shared" ca="1" si="15"/>
        <v>59.258992055640491</v>
      </c>
      <c r="N66">
        <f t="shared" ca="1" si="4"/>
        <v>-0.53000000000000114</v>
      </c>
      <c r="O66">
        <f t="shared" ca="1" si="5"/>
        <v>0</v>
      </c>
      <c r="P66">
        <f t="shared" ca="1" si="6"/>
        <v>0.53000000000000114</v>
      </c>
      <c r="Q66">
        <f t="shared" ca="1" si="10"/>
        <v>0.13464423181551308</v>
      </c>
      <c r="R66">
        <f t="shared" ca="1" si="11"/>
        <v>0.20706113992948841</v>
      </c>
      <c r="S66">
        <f t="shared" ca="1" si="8"/>
        <v>0.65026316314767785</v>
      </c>
      <c r="T66">
        <f t="shared" ca="1" si="9"/>
        <v>39.40360408381045</v>
      </c>
      <c r="U66">
        <f>70</f>
        <v>70</v>
      </c>
      <c r="V66">
        <f>30</f>
        <v>30</v>
      </c>
      <c r="W66">
        <f t="shared" ca="1" si="7"/>
        <v>60.246076693647375</v>
      </c>
      <c r="X66">
        <f t="shared" ca="1" si="17"/>
        <v>60.252478028122439</v>
      </c>
      <c r="Y66">
        <f t="shared" ca="1" si="16"/>
        <v>-6.4645530275001306E-2</v>
      </c>
      <c r="Z66">
        <f t="shared" ca="1" si="18"/>
        <v>7.3916978956988871E-2</v>
      </c>
      <c r="AA66">
        <f t="shared" ca="1" si="19"/>
        <v>-0.13856250923199018</v>
      </c>
    </row>
    <row r="67" spans="1:27" x14ac:dyDescent="0.25">
      <c r="A67" s="20">
        <f t="shared" ref="A67:A130" ca="1" si="20">B67 - WEEKDAY(B67, 2) + 1</f>
        <v>45383</v>
      </c>
      <c r="B67" vm="187">
        <f ca="1"/>
        <v>45387</v>
      </c>
      <c r="C67" vm="188">
        <f ca="1"/>
        <v>59.51</v>
      </c>
      <c r="D67" vm="189">
        <f ca="1"/>
        <v>10157760</v>
      </c>
      <c r="E67">
        <f t="shared" ref="E67:E130" ca="1" si="21">C67*D67</f>
        <v>604488297.60000002</v>
      </c>
      <c r="F67">
        <f ca="1">SUM($E$2:E67)/SUM($D$2:D67)</f>
        <v>60.035424308775816</v>
      </c>
      <c r="G67">
        <f ca="1">_xlfn.STDEV.P($C$2:C67)</f>
        <v>0.55357880644899637</v>
      </c>
      <c r="H67">
        <f t="shared" ref="H67:H130" ca="1" si="22">F67 + G67</f>
        <v>60.589003115224813</v>
      </c>
      <c r="I67">
        <f t="shared" ref="I67:I130" ca="1" si="23">F67 - G67</f>
        <v>59.48184550232682</v>
      </c>
      <c r="J67">
        <f t="shared" ca="1" si="12"/>
        <v>60.322499999999991</v>
      </c>
      <c r="K67">
        <f t="shared" ca="1" si="13"/>
        <v>0.52409194653328972</v>
      </c>
      <c r="L67">
        <f t="shared" ca="1" si="14"/>
        <v>61.37068389306657</v>
      </c>
      <c r="M67">
        <f t="shared" ca="1" si="15"/>
        <v>59.274316106933412</v>
      </c>
      <c r="N67">
        <f t="shared" ca="1" si="4"/>
        <v>0.21000000000000085</v>
      </c>
      <c r="O67">
        <f t="shared" ca="1" si="5"/>
        <v>0.21000000000000085</v>
      </c>
      <c r="P67">
        <f t="shared" ca="1" si="6"/>
        <v>0</v>
      </c>
      <c r="Q67">
        <f t="shared" ca="1" si="10"/>
        <v>0.14002678668583363</v>
      </c>
      <c r="R67">
        <f t="shared" ca="1" si="11"/>
        <v>0.19227105850595352</v>
      </c>
      <c r="S67">
        <f t="shared" ca="1" si="8"/>
        <v>0.72827802464871649</v>
      </c>
      <c r="T67">
        <f t="shared" ca="1" si="9"/>
        <v>42.138939121021551</v>
      </c>
      <c r="U67">
        <f>70</f>
        <v>70</v>
      </c>
      <c r="V67">
        <f>30</f>
        <v>30</v>
      </c>
      <c r="W67">
        <f t="shared" ca="1" si="7"/>
        <v>60.132834125393927</v>
      </c>
      <c r="X67">
        <f t="shared" ca="1" si="17"/>
        <v>60.197479655668928</v>
      </c>
      <c r="Y67">
        <f t="shared" ca="1" si="16"/>
        <v>-0.12868704515785367</v>
      </c>
      <c r="Z67">
        <f t="shared" ca="1" si="18"/>
        <v>3.3396174134020365E-2</v>
      </c>
      <c r="AA67">
        <f t="shared" ca="1" si="19"/>
        <v>-0.16208321929187403</v>
      </c>
    </row>
    <row r="68" spans="1:27" x14ac:dyDescent="0.25">
      <c r="A68" s="20">
        <f t="shared" ca="1" si="20"/>
        <v>45390</v>
      </c>
      <c r="B68" vm="190">
        <f ca="1"/>
        <v>45390</v>
      </c>
      <c r="C68" vm="191">
        <f ca="1"/>
        <v>59.27</v>
      </c>
      <c r="D68" vm="192">
        <f ca="1"/>
        <v>10284535</v>
      </c>
      <c r="E68">
        <f t="shared" ca="1" si="21"/>
        <v>609564389.45000005</v>
      </c>
      <c r="F68">
        <f ca="1">SUM($E$2:E68)/SUM($D$2:D68)</f>
        <v>60.027040846614</v>
      </c>
      <c r="G68">
        <f ca="1">_xlfn.STDEV.P($C$2:C68)</f>
        <v>0.55765065064265307</v>
      </c>
      <c r="H68">
        <f t="shared" ca="1" si="22"/>
        <v>60.584691497256649</v>
      </c>
      <c r="I68">
        <f t="shared" ca="1" si="23"/>
        <v>59.46939019597135</v>
      </c>
      <c r="J68">
        <f t="shared" ca="1" si="12"/>
        <v>60.309999999999988</v>
      </c>
      <c r="K68">
        <f t="shared" ca="1" si="13"/>
        <v>0.54673191737238469</v>
      </c>
      <c r="L68">
        <f t="shared" ca="1" si="14"/>
        <v>61.403463834744755</v>
      </c>
      <c r="M68">
        <f t="shared" ca="1" si="15"/>
        <v>59.216536165255221</v>
      </c>
      <c r="N68">
        <f t="shared" ref="N68:N131" ca="1" si="24">C68-C67</f>
        <v>-0.23999999999999488</v>
      </c>
      <c r="O68">
        <f t="shared" ref="O68:O131" ca="1" si="25">MAX(N68,0)</f>
        <v>0</v>
      </c>
      <c r="P68">
        <f t="shared" ref="P68:P131" ca="1" si="26">MAX(-N68,0)</f>
        <v>0.23999999999999488</v>
      </c>
      <c r="Q68">
        <f t="shared" ca="1" si="10"/>
        <v>0.13002487335113122</v>
      </c>
      <c r="R68">
        <f t="shared" ca="1" si="11"/>
        <v>0.19568026861267077</v>
      </c>
      <c r="S68">
        <f t="shared" ca="1" si="8"/>
        <v>0.6644761593643469</v>
      </c>
      <c r="T68">
        <f t="shared" ca="1" si="9"/>
        <v>39.921037956957356</v>
      </c>
      <c r="U68">
        <f>70</f>
        <v>70</v>
      </c>
      <c r="V68">
        <f>30</f>
        <v>30</v>
      </c>
      <c r="W68">
        <f t="shared" ca="1" si="7"/>
        <v>60.000090413794858</v>
      </c>
      <c r="X68">
        <f t="shared" ca="1" si="17"/>
        <v>60.128777458952712</v>
      </c>
      <c r="Y68">
        <f t="shared" ca="1" si="16"/>
        <v>-0.14149806627509065</v>
      </c>
      <c r="Z68">
        <f t="shared" ca="1" si="18"/>
        <v>-1.5826739478018402E-3</v>
      </c>
      <c r="AA68">
        <f t="shared" ca="1" si="19"/>
        <v>-0.13991539232728881</v>
      </c>
    </row>
    <row r="69" spans="1:27" x14ac:dyDescent="0.25">
      <c r="A69" s="20">
        <f t="shared" ca="1" si="20"/>
        <v>45390</v>
      </c>
      <c r="B69" vm="193">
        <f ca="1"/>
        <v>45391</v>
      </c>
      <c r="C69" vm="194">
        <f ca="1"/>
        <v>59.72</v>
      </c>
      <c r="D69" vm="195">
        <f ca="1"/>
        <v>10792141</v>
      </c>
      <c r="E69">
        <f t="shared" ca="1" si="21"/>
        <v>644506660.51999998</v>
      </c>
      <c r="F69">
        <f ca="1">SUM($E$2:E69)/SUM($D$2:D69)</f>
        <v>60.023552037085238</v>
      </c>
      <c r="G69">
        <f ca="1">_xlfn.STDEV.P($C$2:C69)</f>
        <v>0.5549151833628666</v>
      </c>
      <c r="H69">
        <f t="shared" ca="1" si="22"/>
        <v>60.578467220448104</v>
      </c>
      <c r="I69">
        <f t="shared" ca="1" si="23"/>
        <v>59.468636853722373</v>
      </c>
      <c r="J69">
        <f t="shared" ca="1" si="12"/>
        <v>60.283999999999992</v>
      </c>
      <c r="K69">
        <f t="shared" ca="1" si="13"/>
        <v>0.56237653615798422</v>
      </c>
      <c r="L69">
        <f t="shared" ca="1" si="14"/>
        <v>61.40875307231596</v>
      </c>
      <c r="M69">
        <f t="shared" ca="1" si="15"/>
        <v>59.159246927684023</v>
      </c>
      <c r="N69">
        <f t="shared" ca="1" si="24"/>
        <v>0.44999999999999574</v>
      </c>
      <c r="O69">
        <f t="shared" ca="1" si="25"/>
        <v>0.44999999999999574</v>
      </c>
      <c r="P69">
        <f t="shared" ca="1" si="26"/>
        <v>0</v>
      </c>
      <c r="Q69">
        <f t="shared" ca="1" si="10"/>
        <v>0.15288023954033583</v>
      </c>
      <c r="R69">
        <f t="shared" ca="1" si="11"/>
        <v>0.18170310656890856</v>
      </c>
      <c r="S69">
        <f t="shared" ca="1" si="8"/>
        <v>0.84137383464249127</v>
      </c>
      <c r="T69">
        <f t="shared" ca="1" si="9"/>
        <v>45.692722401795542</v>
      </c>
      <c r="U69">
        <f>70</f>
        <v>70</v>
      </c>
      <c r="V69">
        <f>30</f>
        <v>30</v>
      </c>
      <c r="W69">
        <f t="shared" ca="1" si="7"/>
        <v>59.956999580903343</v>
      </c>
      <c r="X69">
        <f t="shared" ca="1" si="17"/>
        <v>60.098497647178434</v>
      </c>
      <c r="Y69">
        <f t="shared" ca="1" si="16"/>
        <v>-0.21374034132392694</v>
      </c>
      <c r="Z69">
        <f t="shared" ca="1" si="18"/>
        <v>-4.4014207423026863E-2</v>
      </c>
      <c r="AA69">
        <f t="shared" ca="1" si="19"/>
        <v>-0.16972613390090008</v>
      </c>
    </row>
    <row r="70" spans="1:27" x14ac:dyDescent="0.25">
      <c r="A70" s="20">
        <f t="shared" ca="1" si="20"/>
        <v>45390</v>
      </c>
      <c r="B70" vm="196">
        <f ca="1"/>
        <v>45392</v>
      </c>
      <c r="C70" vm="197">
        <f ca="1"/>
        <v>58.92</v>
      </c>
      <c r="D70" vm="198">
        <f ca="1"/>
        <v>11861881</v>
      </c>
      <c r="E70">
        <f t="shared" ca="1" si="21"/>
        <v>698902028.51999998</v>
      </c>
      <c r="F70">
        <f ca="1">SUM($E$2:E70)/SUM($D$2:D70)</f>
        <v>60.009939798024369</v>
      </c>
      <c r="G70">
        <f ca="1">_xlfn.STDEV.P($C$2:C70)</f>
        <v>0.56691184139760586</v>
      </c>
      <c r="H70">
        <f t="shared" ca="1" si="22"/>
        <v>60.576851639421974</v>
      </c>
      <c r="I70">
        <f t="shared" ca="1" si="23"/>
        <v>59.443027956626764</v>
      </c>
      <c r="J70">
        <f t="shared" ca="1" si="12"/>
        <v>60.204999999999998</v>
      </c>
      <c r="K70">
        <f t="shared" ca="1" si="13"/>
        <v>0.63652427910861076</v>
      </c>
      <c r="L70">
        <f t="shared" ca="1" si="14"/>
        <v>61.478048558217218</v>
      </c>
      <c r="M70">
        <f t="shared" ca="1" si="15"/>
        <v>58.931951441782779</v>
      </c>
      <c r="N70">
        <f t="shared" ca="1" si="24"/>
        <v>-0.79999999999999716</v>
      </c>
      <c r="O70">
        <f t="shared" ca="1" si="25"/>
        <v>0</v>
      </c>
      <c r="P70">
        <f t="shared" ca="1" si="26"/>
        <v>0.79999999999999716</v>
      </c>
      <c r="Q70">
        <f t="shared" ca="1" si="10"/>
        <v>0.14196022243031184</v>
      </c>
      <c r="R70">
        <f t="shared" ca="1" si="11"/>
        <v>0.2258671703854149</v>
      </c>
      <c r="S70">
        <f t="shared" ca="1" si="8"/>
        <v>0.62851197979801121</v>
      </c>
      <c r="T70">
        <f t="shared" ca="1" si="9"/>
        <v>38.594249695109227</v>
      </c>
      <c r="U70">
        <f>70</f>
        <v>70</v>
      </c>
      <c r="V70">
        <f>30</f>
        <v>30</v>
      </c>
      <c r="W70">
        <f t="shared" ca="1" si="7"/>
        <v>59.797461183841293</v>
      </c>
      <c r="X70">
        <f t="shared" ca="1" si="17"/>
        <v>60.01120152516522</v>
      </c>
      <c r="Y70">
        <f t="shared" ca="1" si="16"/>
        <v>-0.25753425663199891</v>
      </c>
      <c r="Z70">
        <f t="shared" ca="1" si="18"/>
        <v>-8.671821726482129E-2</v>
      </c>
      <c r="AA70">
        <f t="shared" ca="1" si="19"/>
        <v>-0.17081603936717762</v>
      </c>
    </row>
    <row r="71" spans="1:27" x14ac:dyDescent="0.25">
      <c r="A71" s="20">
        <f t="shared" ca="1" si="20"/>
        <v>45390</v>
      </c>
      <c r="B71" vm="199">
        <f ca="1"/>
        <v>45393</v>
      </c>
      <c r="C71" vm="200">
        <f ca="1"/>
        <v>59.05</v>
      </c>
      <c r="D71" vm="201">
        <f ca="1"/>
        <v>11109007</v>
      </c>
      <c r="E71">
        <f t="shared" ca="1" si="21"/>
        <v>655986863.35000002</v>
      </c>
      <c r="F71">
        <f ca="1">SUM($E$2:E71)/SUM($D$2:D71)</f>
        <v>59.99897718210763</v>
      </c>
      <c r="G71">
        <f ca="1">_xlfn.STDEV.P($C$2:C71)</f>
        <v>0.5745905374388669</v>
      </c>
      <c r="H71">
        <f t="shared" ca="1" si="22"/>
        <v>60.573567719546496</v>
      </c>
      <c r="I71">
        <f t="shared" ca="1" si="23"/>
        <v>59.424386644668765</v>
      </c>
      <c r="J71">
        <f t="shared" ca="1" si="12"/>
        <v>60.101500000000001</v>
      </c>
      <c r="K71">
        <f t="shared" ca="1" si="13"/>
        <v>0.64810066631983243</v>
      </c>
      <c r="L71">
        <f t="shared" ca="1" si="14"/>
        <v>61.397701332639663</v>
      </c>
      <c r="M71">
        <f t="shared" ca="1" si="15"/>
        <v>58.80529866736034</v>
      </c>
      <c r="N71">
        <f t="shared" ca="1" si="24"/>
        <v>0.12999999999999545</v>
      </c>
      <c r="O71">
        <f t="shared" ca="1" si="25"/>
        <v>0.12999999999999545</v>
      </c>
      <c r="P71">
        <f t="shared" ca="1" si="26"/>
        <v>0</v>
      </c>
      <c r="Q71">
        <f t="shared" ca="1" si="10"/>
        <v>0.14110592082814638</v>
      </c>
      <c r="R71">
        <f t="shared" ca="1" si="11"/>
        <v>0.20973380107217099</v>
      </c>
      <c r="S71">
        <f t="shared" ca="1" si="8"/>
        <v>0.67278578897061403</v>
      </c>
      <c r="T71">
        <f t="shared" ca="1" si="9"/>
        <v>40.219482578497256</v>
      </c>
      <c r="U71">
        <f>70</f>
        <v>70</v>
      </c>
      <c r="V71">
        <f>30</f>
        <v>30</v>
      </c>
      <c r="W71">
        <f t="shared" ca="1" si="7"/>
        <v>59.682467155558015</v>
      </c>
      <c r="X71">
        <f t="shared" ca="1" si="17"/>
        <v>59.940001412190014</v>
      </c>
      <c r="Y71">
        <f t="shared" ca="1" si="16"/>
        <v>-0.35033536684052535</v>
      </c>
      <c r="Z71">
        <f t="shared" ca="1" si="18"/>
        <v>-0.1394416471799621</v>
      </c>
      <c r="AA71">
        <f t="shared" ca="1" si="19"/>
        <v>-0.21089371966056325</v>
      </c>
    </row>
    <row r="72" spans="1:27" x14ac:dyDescent="0.25">
      <c r="A72" s="20">
        <f t="shared" ca="1" si="20"/>
        <v>45390</v>
      </c>
      <c r="B72" vm="202">
        <f ca="1"/>
        <v>45394</v>
      </c>
      <c r="C72" vm="203">
        <f ca="1"/>
        <v>58.28</v>
      </c>
      <c r="D72" vm="204">
        <f ca="1"/>
        <v>12250949</v>
      </c>
      <c r="E72">
        <f t="shared" ca="1" si="21"/>
        <v>713985307.72000003</v>
      </c>
      <c r="F72">
        <f ca="1">SUM($E$2:E72)/SUM($D$2:D72)</f>
        <v>59.977597588666811</v>
      </c>
      <c r="G72">
        <f ca="1">_xlfn.STDEV.P($C$2:C72)</f>
        <v>0.60585809800126289</v>
      </c>
      <c r="H72">
        <f t="shared" ca="1" si="22"/>
        <v>60.583455686668074</v>
      </c>
      <c r="I72">
        <f t="shared" ca="1" si="23"/>
        <v>59.371739490665547</v>
      </c>
      <c r="J72">
        <f t="shared" ca="1" si="12"/>
        <v>59.990499999999997</v>
      </c>
      <c r="K72">
        <f t="shared" ca="1" si="13"/>
        <v>0.75718644717762462</v>
      </c>
      <c r="L72">
        <f t="shared" ca="1" si="14"/>
        <v>61.504872894355245</v>
      </c>
      <c r="M72">
        <f t="shared" ca="1" si="15"/>
        <v>58.47612710564475</v>
      </c>
      <c r="N72">
        <f t="shared" ca="1" si="24"/>
        <v>-0.76999999999999602</v>
      </c>
      <c r="O72">
        <f t="shared" ca="1" si="25"/>
        <v>0</v>
      </c>
      <c r="P72">
        <f t="shared" ca="1" si="26"/>
        <v>0.76999999999999602</v>
      </c>
      <c r="Q72">
        <f t="shared" ca="1" si="10"/>
        <v>0.13102692648327879</v>
      </c>
      <c r="R72">
        <f t="shared" ca="1" si="11"/>
        <v>0.24975281528130136</v>
      </c>
      <c r="S72">
        <f t="shared" ca="1" si="8"/>
        <v>0.52462642447373686</v>
      </c>
      <c r="T72">
        <f t="shared" ca="1" si="9"/>
        <v>34.410162125769588</v>
      </c>
      <c r="U72">
        <f>70</f>
        <v>70</v>
      </c>
      <c r="V72">
        <f>30</f>
        <v>30</v>
      </c>
      <c r="W72">
        <f t="shared" ca="1" si="7"/>
        <v>59.46670297777986</v>
      </c>
      <c r="X72">
        <f t="shared" ca="1" si="17"/>
        <v>59.817038344620386</v>
      </c>
      <c r="Y72">
        <f t="shared" ca="1" si="16"/>
        <v>-0.43021845470372</v>
      </c>
      <c r="Z72">
        <f t="shared" ca="1" si="18"/>
        <v>-0.19759700868471369</v>
      </c>
      <c r="AA72">
        <f t="shared" ca="1" si="19"/>
        <v>-0.23262144601900631</v>
      </c>
    </row>
    <row r="73" spans="1:27" x14ac:dyDescent="0.25">
      <c r="A73" s="20">
        <f t="shared" ca="1" si="20"/>
        <v>45397</v>
      </c>
      <c r="B73" vm="205">
        <f ca="1"/>
        <v>45397</v>
      </c>
      <c r="C73" vm="206">
        <f ca="1"/>
        <v>58.14</v>
      </c>
      <c r="D73" vm="207">
        <f ca="1"/>
        <v>12425049</v>
      </c>
      <c r="E73">
        <f t="shared" ca="1" si="21"/>
        <v>722392348.86000001</v>
      </c>
      <c r="F73">
        <f ca="1">SUM($E$2:E73)/SUM($D$2:D73)</f>
        <v>59.954706622016417</v>
      </c>
      <c r="G73">
        <f ca="1">_xlfn.STDEV.P($C$2:C73)</f>
        <v>0.63923348194884511</v>
      </c>
      <c r="H73">
        <f t="shared" ca="1" si="22"/>
        <v>60.593940103965259</v>
      </c>
      <c r="I73">
        <f t="shared" ca="1" si="23"/>
        <v>59.315473140067574</v>
      </c>
      <c r="J73">
        <f t="shared" ca="1" si="12"/>
        <v>59.903499999999994</v>
      </c>
      <c r="K73">
        <f t="shared" ca="1" si="13"/>
        <v>0.86310501282166963</v>
      </c>
      <c r="L73">
        <f t="shared" ca="1" si="14"/>
        <v>61.629710025643334</v>
      </c>
      <c r="M73">
        <f t="shared" ca="1" si="15"/>
        <v>58.177289974356654</v>
      </c>
      <c r="N73">
        <f t="shared" ca="1" si="24"/>
        <v>-0.14000000000000057</v>
      </c>
      <c r="O73">
        <f t="shared" ca="1" si="25"/>
        <v>0</v>
      </c>
      <c r="P73">
        <f t="shared" ca="1" si="26"/>
        <v>0.14000000000000057</v>
      </c>
      <c r="Q73">
        <f t="shared" ca="1" si="10"/>
        <v>0.12166786030590174</v>
      </c>
      <c r="R73">
        <f t="shared" ca="1" si="11"/>
        <v>0.24191332847549415</v>
      </c>
      <c r="S73">
        <f t="shared" ca="1" si="8"/>
        <v>0.50293987963638265</v>
      </c>
      <c r="T73">
        <f t="shared" ca="1" si="9"/>
        <v>33.463739065734458</v>
      </c>
      <c r="U73">
        <f>70</f>
        <v>70</v>
      </c>
      <c r="V73">
        <f>30</f>
        <v>30</v>
      </c>
      <c r="W73">
        <f t="shared" ca="1" si="7"/>
        <v>59.262594827352189</v>
      </c>
      <c r="X73">
        <f t="shared" ca="1" si="17"/>
        <v>59.692813282055909</v>
      </c>
      <c r="Y73">
        <f t="shared" ca="1" si="16"/>
        <v>-0.49428391152299156</v>
      </c>
      <c r="Z73">
        <f t="shared" ca="1" si="18"/>
        <v>-0.25693438925236928</v>
      </c>
      <c r="AA73">
        <f t="shared" ca="1" si="19"/>
        <v>-0.23734952227062228</v>
      </c>
    </row>
    <row r="74" spans="1:27" x14ac:dyDescent="0.25">
      <c r="A74" s="20">
        <f t="shared" ca="1" si="20"/>
        <v>45397</v>
      </c>
      <c r="B74" vm="208">
        <f ca="1"/>
        <v>45398</v>
      </c>
      <c r="C74" vm="209">
        <f ca="1"/>
        <v>58.06</v>
      </c>
      <c r="D74" vm="210">
        <f ca="1"/>
        <v>11236839</v>
      </c>
      <c r="E74">
        <f t="shared" ca="1" si="21"/>
        <v>652410872.34000003</v>
      </c>
      <c r="F74">
        <f ca="1">SUM($E$2:E74)/SUM($D$2:D74)</f>
        <v>59.93359913908251</v>
      </c>
      <c r="G74">
        <f ca="1">_xlfn.STDEV.P($C$2:C74)</f>
        <v>0.67215812662988428</v>
      </c>
      <c r="H74">
        <f t="shared" ca="1" si="22"/>
        <v>60.605757265712391</v>
      </c>
      <c r="I74">
        <f t="shared" ca="1" si="23"/>
        <v>59.261441012452629</v>
      </c>
      <c r="J74">
        <f t="shared" ca="1" si="12"/>
        <v>59.8</v>
      </c>
      <c r="K74">
        <f t="shared" ca="1" si="13"/>
        <v>0.95385643849751156</v>
      </c>
      <c r="L74">
        <f t="shared" ca="1" si="14"/>
        <v>61.707712876995018</v>
      </c>
      <c r="M74">
        <f t="shared" ca="1" si="15"/>
        <v>57.892287123004976</v>
      </c>
      <c r="N74">
        <f t="shared" ca="1" si="24"/>
        <v>-7.9999999999998295E-2</v>
      </c>
      <c r="O74">
        <f t="shared" ca="1" si="25"/>
        <v>0</v>
      </c>
      <c r="P74">
        <f t="shared" ca="1" si="26"/>
        <v>7.9999999999998295E-2</v>
      </c>
      <c r="Q74">
        <f t="shared" ca="1" si="10"/>
        <v>0.11297729885548018</v>
      </c>
      <c r="R74">
        <f t="shared" ca="1" si="11"/>
        <v>0.23034809072724444</v>
      </c>
      <c r="S74">
        <f t="shared" ca="1" si="8"/>
        <v>0.49046336133628643</v>
      </c>
      <c r="T74">
        <f t="shared" ca="1" si="9"/>
        <v>32.906770743868378</v>
      </c>
      <c r="U74">
        <f>70</f>
        <v>70</v>
      </c>
      <c r="V74">
        <f>30</f>
        <v>30</v>
      </c>
      <c r="W74">
        <f t="shared" ca="1" si="7"/>
        <v>59.077580238528775</v>
      </c>
      <c r="X74">
        <f t="shared" ca="1" si="17"/>
        <v>59.571864150051766</v>
      </c>
      <c r="Y74">
        <f t="shared" ca="1" si="16"/>
        <v>-0.50294734451218659</v>
      </c>
      <c r="Z74">
        <f t="shared" ca="1" si="18"/>
        <v>-0.30613698030433273</v>
      </c>
      <c r="AA74">
        <f t="shared" ca="1" si="19"/>
        <v>-0.19681036420785386</v>
      </c>
    </row>
    <row r="75" spans="1:27" x14ac:dyDescent="0.25">
      <c r="A75" s="20">
        <f t="shared" ca="1" si="20"/>
        <v>45397</v>
      </c>
      <c r="B75" vm="211">
        <f ca="1"/>
        <v>45399</v>
      </c>
      <c r="C75" vm="212">
        <f ca="1"/>
        <v>58.51</v>
      </c>
      <c r="D75" vm="213">
        <f ca="1"/>
        <v>13805068</v>
      </c>
      <c r="E75">
        <f t="shared" ca="1" si="21"/>
        <v>807734528.67999995</v>
      </c>
      <c r="F75">
        <f ca="1">SUM($E$2:E75)/SUM($D$2:D75)</f>
        <v>59.914378272359087</v>
      </c>
      <c r="G75">
        <f ca="1">_xlfn.STDEV.P($C$2:C75)</f>
        <v>0.68754797959944469</v>
      </c>
      <c r="H75">
        <f t="shared" ca="1" si="22"/>
        <v>60.601926251958531</v>
      </c>
      <c r="I75">
        <f t="shared" ca="1" si="23"/>
        <v>59.226830292759644</v>
      </c>
      <c r="J75">
        <f t="shared" ca="1" si="12"/>
        <v>59.713999999999999</v>
      </c>
      <c r="K75">
        <f t="shared" ca="1" si="13"/>
        <v>0.98990376991110107</v>
      </c>
      <c r="L75">
        <f t="shared" ca="1" si="14"/>
        <v>61.693807539822203</v>
      </c>
      <c r="M75">
        <f t="shared" ca="1" si="15"/>
        <v>57.734192460177795</v>
      </c>
      <c r="N75">
        <f t="shared" ca="1" si="24"/>
        <v>0.44999999999999574</v>
      </c>
      <c r="O75">
        <f t="shared" ca="1" si="25"/>
        <v>0.44999999999999574</v>
      </c>
      <c r="P75">
        <f t="shared" ca="1" si="26"/>
        <v>0</v>
      </c>
      <c r="Q75">
        <f t="shared" ca="1" si="10"/>
        <v>0.13705034893723128</v>
      </c>
      <c r="R75">
        <f t="shared" ca="1" si="11"/>
        <v>0.21389465567529839</v>
      </c>
      <c r="S75">
        <f t="shared" ca="1" si="8"/>
        <v>0.64073760283791203</v>
      </c>
      <c r="T75">
        <f t="shared" ca="1" si="9"/>
        <v>39.051802172977347</v>
      </c>
      <c r="U75">
        <f>70</f>
        <v>70</v>
      </c>
      <c r="V75">
        <f>30</f>
        <v>30</v>
      </c>
      <c r="W75">
        <f t="shared" ca="1" si="7"/>
        <v>58.990260201832044</v>
      </c>
      <c r="X75">
        <f t="shared" ca="1" si="17"/>
        <v>59.49320754634423</v>
      </c>
      <c r="Y75">
        <f t="shared" ca="1" si="16"/>
        <v>-0.47209450888249904</v>
      </c>
      <c r="Z75">
        <f t="shared" ca="1" si="18"/>
        <v>-0.33932848601996601</v>
      </c>
      <c r="AA75">
        <f t="shared" ca="1" si="19"/>
        <v>-0.13276602286253303</v>
      </c>
    </row>
    <row r="76" spans="1:27" x14ac:dyDescent="0.25">
      <c r="A76" s="20">
        <f t="shared" ca="1" si="20"/>
        <v>45397</v>
      </c>
      <c r="B76" vm="214">
        <f ca="1"/>
        <v>45400</v>
      </c>
      <c r="C76" vm="46">
        <f ca="1"/>
        <v>58.91</v>
      </c>
      <c r="D76" vm="215">
        <f ca="1"/>
        <v>11125869</v>
      </c>
      <c r="E76">
        <f t="shared" ca="1" si="21"/>
        <v>655424942.78999996</v>
      </c>
      <c r="F76">
        <f ca="1">SUM($E$2:E76)/SUM($D$2:D76)</f>
        <v>59.903566975550945</v>
      </c>
      <c r="G76">
        <f ca="1">_xlfn.STDEV.P($C$2:C76)</f>
        <v>0.69260346198640654</v>
      </c>
      <c r="H76">
        <f t="shared" ca="1" si="22"/>
        <v>60.596170437537353</v>
      </c>
      <c r="I76">
        <f t="shared" ca="1" si="23"/>
        <v>59.210963513564536</v>
      </c>
      <c r="J76">
        <f t="shared" ca="1" si="12"/>
        <v>59.621999999999993</v>
      </c>
      <c r="K76">
        <f t="shared" ca="1" si="13"/>
        <v>0.97392639946709891</v>
      </c>
      <c r="L76">
        <f t="shared" ca="1" si="14"/>
        <v>61.569852798934193</v>
      </c>
      <c r="M76">
        <f t="shared" ca="1" si="15"/>
        <v>57.674147201065793</v>
      </c>
      <c r="N76">
        <f t="shared" ca="1" si="24"/>
        <v>0.39999999999999858</v>
      </c>
      <c r="O76">
        <f t="shared" ca="1" si="25"/>
        <v>0.39999999999999858</v>
      </c>
      <c r="P76">
        <f t="shared" ca="1" si="26"/>
        <v>0</v>
      </c>
      <c r="Q76">
        <f t="shared" ca="1" si="10"/>
        <v>0.1558324668702861</v>
      </c>
      <c r="R76">
        <f t="shared" ca="1" si="11"/>
        <v>0.19861646598420563</v>
      </c>
      <c r="S76">
        <f t="shared" ca="1" si="8"/>
        <v>0.7845898682069905</v>
      </c>
      <c r="T76">
        <f t="shared" ca="1" si="9"/>
        <v>43.964716049591942</v>
      </c>
      <c r="U76">
        <f>70</f>
        <v>70</v>
      </c>
      <c r="V76">
        <f>30</f>
        <v>30</v>
      </c>
      <c r="W76">
        <f t="shared" ca="1" si="7"/>
        <v>58.977912478473272</v>
      </c>
      <c r="X76">
        <f t="shared" ca="1" si="17"/>
        <v>59.450006987355771</v>
      </c>
      <c r="Y76">
        <f t="shared" ca="1" si="16"/>
        <v>-0.34202924439904336</v>
      </c>
      <c r="Z76">
        <f t="shared" ca="1" si="18"/>
        <v>-0.33986863769578146</v>
      </c>
      <c r="AA76">
        <f t="shared" ca="1" si="19"/>
        <v>-2.1606067032619025E-3</v>
      </c>
    </row>
    <row r="77" spans="1:27" x14ac:dyDescent="0.25">
      <c r="A77" s="20">
        <f t="shared" ca="1" si="20"/>
        <v>45397</v>
      </c>
      <c r="B77" vm="216">
        <f ca="1"/>
        <v>45401</v>
      </c>
      <c r="C77" vm="217">
        <f ca="1"/>
        <v>60.17</v>
      </c>
      <c r="D77" vm="218">
        <f ca="1"/>
        <v>21207852</v>
      </c>
      <c r="E77">
        <f t="shared" ca="1" si="21"/>
        <v>1276076454.8400002</v>
      </c>
      <c r="F77">
        <f ca="1">SUM($E$2:E77)/SUM($D$2:D77)</f>
        <v>59.90892383737112</v>
      </c>
      <c r="G77">
        <f ca="1">_xlfn.STDEV.P($C$2:C77)</f>
        <v>0.68871255447173374</v>
      </c>
      <c r="H77">
        <f t="shared" ca="1" si="22"/>
        <v>60.597636391842855</v>
      </c>
      <c r="I77">
        <f t="shared" ca="1" si="23"/>
        <v>59.220211282899385</v>
      </c>
      <c r="J77">
        <f t="shared" ca="1" si="12"/>
        <v>59.606999999999992</v>
      </c>
      <c r="K77">
        <f t="shared" ca="1" si="13"/>
        <v>0.96242074178112269</v>
      </c>
      <c r="L77">
        <f t="shared" ca="1" si="14"/>
        <v>61.531841483562239</v>
      </c>
      <c r="M77">
        <f t="shared" ca="1" si="15"/>
        <v>57.682158516437745</v>
      </c>
      <c r="N77">
        <f t="shared" ca="1" si="24"/>
        <v>1.2600000000000051</v>
      </c>
      <c r="O77">
        <f t="shared" ca="1" si="25"/>
        <v>1.2600000000000051</v>
      </c>
      <c r="P77">
        <f t="shared" ca="1" si="26"/>
        <v>0</v>
      </c>
      <c r="Q77">
        <f t="shared" ca="1" si="10"/>
        <v>0.23470157637955175</v>
      </c>
      <c r="R77">
        <f t="shared" ca="1" si="11"/>
        <v>0.18442957555676237</v>
      </c>
      <c r="S77">
        <f t="shared" ca="1" si="8"/>
        <v>1.2725810145744061</v>
      </c>
      <c r="T77">
        <f t="shared" ca="1" si="9"/>
        <v>55.997168259927875</v>
      </c>
      <c r="U77">
        <f>70</f>
        <v>70</v>
      </c>
      <c r="V77">
        <f>30</f>
        <v>30</v>
      </c>
      <c r="W77">
        <f t="shared" ca="1" si="7"/>
        <v>59.161310558708152</v>
      </c>
      <c r="X77">
        <f t="shared" ca="1" si="17"/>
        <v>59.503339803107195</v>
      </c>
      <c r="Y77">
        <f t="shared" ca="1" si="16"/>
        <v>-0.20591509992455315</v>
      </c>
      <c r="Z77">
        <f t="shared" ca="1" si="18"/>
        <v>-0.31307793014153584</v>
      </c>
      <c r="AA77">
        <f t="shared" ca="1" si="19"/>
        <v>0.1071628302169827</v>
      </c>
    </row>
    <row r="78" spans="1:27" x14ac:dyDescent="0.25">
      <c r="A78" s="20">
        <f t="shared" ca="1" si="20"/>
        <v>45404</v>
      </c>
      <c r="B78" vm="219">
        <f ca="1"/>
        <v>45404</v>
      </c>
      <c r="C78" vm="220">
        <f ca="1"/>
        <v>60.55</v>
      </c>
      <c r="D78" vm="221">
        <f ca="1"/>
        <v>15624546</v>
      </c>
      <c r="E78">
        <f t="shared" ca="1" si="21"/>
        <v>946066260.29999995</v>
      </c>
      <c r="F78">
        <f ca="1">SUM($E$2:E78)/SUM($D$2:D78)</f>
        <v>59.91828127332829</v>
      </c>
      <c r="G78">
        <f ca="1">_xlfn.STDEV.P($C$2:C78)</f>
        <v>0.68811325245467003</v>
      </c>
      <c r="H78">
        <f t="shared" ca="1" si="22"/>
        <v>60.60639452578296</v>
      </c>
      <c r="I78">
        <f t="shared" ca="1" si="23"/>
        <v>59.23016802087362</v>
      </c>
      <c r="J78">
        <f t="shared" ca="1" si="12"/>
        <v>59.61</v>
      </c>
      <c r="K78">
        <f t="shared" ca="1" si="13"/>
        <v>0.96540692265789607</v>
      </c>
      <c r="L78">
        <f t="shared" ca="1" si="14"/>
        <v>61.540813845315789</v>
      </c>
      <c r="M78">
        <f t="shared" ca="1" si="15"/>
        <v>57.67918615468421</v>
      </c>
      <c r="N78">
        <f t="shared" ca="1" si="24"/>
        <v>0.37999999999999545</v>
      </c>
      <c r="O78">
        <f t="shared" ca="1" si="25"/>
        <v>0.37999999999999545</v>
      </c>
      <c r="P78">
        <f t="shared" ca="1" si="26"/>
        <v>0</v>
      </c>
      <c r="Q78">
        <f t="shared" ca="1" si="10"/>
        <v>0.24508003520958344</v>
      </c>
      <c r="R78">
        <f t="shared" ca="1" si="11"/>
        <v>0.17125603444556506</v>
      </c>
      <c r="S78">
        <f t="shared" ca="1" si="8"/>
        <v>1.431073865531342</v>
      </c>
      <c r="T78">
        <f t="shared" ca="1" si="9"/>
        <v>58.865914599372438</v>
      </c>
      <c r="U78">
        <f>70</f>
        <v>70</v>
      </c>
      <c r="V78">
        <f>30</f>
        <v>30</v>
      </c>
      <c r="W78">
        <f t="shared" ca="1" si="7"/>
        <v>59.374955088137668</v>
      </c>
      <c r="X78">
        <f t="shared" ca="1" si="17"/>
        <v>59.580870188062221</v>
      </c>
      <c r="Y78">
        <f t="shared" ca="1" si="16"/>
        <v>-8.9746865935431686E-2</v>
      </c>
      <c r="Z78">
        <f t="shared" ca="1" si="18"/>
        <v>-0.26841171730031504</v>
      </c>
      <c r="AA78">
        <f t="shared" ca="1" si="19"/>
        <v>0.17866485136488336</v>
      </c>
    </row>
    <row r="79" spans="1:27" x14ac:dyDescent="0.25">
      <c r="A79" s="20">
        <f t="shared" ca="1" si="20"/>
        <v>45404</v>
      </c>
      <c r="B79" vm="222">
        <f ca="1"/>
        <v>45405</v>
      </c>
      <c r="C79" vm="223">
        <f ca="1"/>
        <v>60.64</v>
      </c>
      <c r="D79" vm="224">
        <f ca="1"/>
        <v>13689127</v>
      </c>
      <c r="E79">
        <f t="shared" ca="1" si="21"/>
        <v>830108661.27999997</v>
      </c>
      <c r="F79">
        <f ca="1">SUM($E$2:E79)/SUM($D$2:D79)</f>
        <v>59.927394346223245</v>
      </c>
      <c r="G79">
        <f ca="1">_xlfn.STDEV.P($C$2:C79)</f>
        <v>0.68855932075497595</v>
      </c>
      <c r="H79">
        <f t="shared" ca="1" si="22"/>
        <v>60.615953666978221</v>
      </c>
      <c r="I79">
        <f t="shared" ca="1" si="23"/>
        <v>59.238835025468269</v>
      </c>
      <c r="J79">
        <f t="shared" ca="1" si="12"/>
        <v>59.621999999999993</v>
      </c>
      <c r="K79">
        <f t="shared" ca="1" si="13"/>
        <v>0.97716345667070015</v>
      </c>
      <c r="L79">
        <f t="shared" ca="1" si="14"/>
        <v>61.57632691334139</v>
      </c>
      <c r="M79">
        <f t="shared" ca="1" si="15"/>
        <v>57.667673086658596</v>
      </c>
      <c r="N79">
        <f t="shared" ca="1" si="24"/>
        <v>9.0000000000003411E-2</v>
      </c>
      <c r="O79">
        <f t="shared" ca="1" si="25"/>
        <v>9.0000000000003411E-2</v>
      </c>
      <c r="P79">
        <f t="shared" ca="1" si="26"/>
        <v>0</v>
      </c>
      <c r="Q79">
        <f t="shared" ca="1" si="10"/>
        <v>0.23400288983747058</v>
      </c>
      <c r="R79">
        <f t="shared" ca="1" si="11"/>
        <v>0.15902346055659614</v>
      </c>
      <c r="S79">
        <f t="shared" ca="1" si="8"/>
        <v>1.4714991675972831</v>
      </c>
      <c r="T79">
        <f t="shared" ca="1" si="9"/>
        <v>59.538728027484233</v>
      </c>
      <c r="U79">
        <f>70</f>
        <v>70</v>
      </c>
      <c r="V79">
        <f>30</f>
        <v>30</v>
      </c>
      <c r="W79">
        <f t="shared" ref="W79:W142" ca="1" si="27">C79*(2/(12+1)) + W78*(1-(2/(12+1)))</f>
        <v>59.569577382270332</v>
      </c>
      <c r="X79">
        <f t="shared" ca="1" si="17"/>
        <v>59.659324248205763</v>
      </c>
      <c r="Y79">
        <f t="shared" ca="1" si="16"/>
        <v>7.4883481103746874E-2</v>
      </c>
      <c r="Z79">
        <f t="shared" ca="1" si="18"/>
        <v>-0.19975267761950266</v>
      </c>
      <c r="AA79">
        <f t="shared" ca="1" si="19"/>
        <v>0.27463615872324953</v>
      </c>
    </row>
    <row r="80" spans="1:27" x14ac:dyDescent="0.25">
      <c r="A80" s="20">
        <f t="shared" ca="1" si="20"/>
        <v>45404</v>
      </c>
      <c r="B80" vm="225">
        <f ca="1"/>
        <v>45406</v>
      </c>
      <c r="C80" vm="226">
        <f ca="1"/>
        <v>61.55</v>
      </c>
      <c r="D80" vm="227">
        <f ca="1"/>
        <v>19548315</v>
      </c>
      <c r="E80">
        <f t="shared" ca="1" si="21"/>
        <v>1203198788.25</v>
      </c>
      <c r="F80">
        <f ca="1">SUM($E$2:E80)/SUM($D$2:D80)</f>
        <v>59.956134046830257</v>
      </c>
      <c r="G80">
        <f ca="1">_xlfn.STDEV.P($C$2:C80)</f>
        <v>0.70796471395977456</v>
      </c>
      <c r="H80">
        <f t="shared" ca="1" si="22"/>
        <v>60.664098760790033</v>
      </c>
      <c r="I80">
        <f t="shared" ca="1" si="23"/>
        <v>59.248169332870482</v>
      </c>
      <c r="J80">
        <f t="shared" ca="1" si="12"/>
        <v>59.672499999999992</v>
      </c>
      <c r="K80">
        <f t="shared" ca="1" si="13"/>
        <v>1.0504529098391193</v>
      </c>
      <c r="L80">
        <f t="shared" ca="1" si="14"/>
        <v>61.773405819678231</v>
      </c>
      <c r="M80">
        <f t="shared" ca="1" si="15"/>
        <v>57.571594180321753</v>
      </c>
      <c r="N80">
        <f t="shared" ca="1" si="24"/>
        <v>0.90999999999999659</v>
      </c>
      <c r="O80">
        <f t="shared" ca="1" si="25"/>
        <v>0.90999999999999659</v>
      </c>
      <c r="P80">
        <f t="shared" ca="1" si="26"/>
        <v>0</v>
      </c>
      <c r="Q80">
        <f t="shared" ca="1" si="10"/>
        <v>0.28228839770622244</v>
      </c>
      <c r="R80">
        <f t="shared" ca="1" si="11"/>
        <v>0.14766464194541068</v>
      </c>
      <c r="S80">
        <f t="shared" ref="S80:S143" ca="1" si="28">IF(R80=0,NA(),Q80/R80)</f>
        <v>1.9116857900930682</v>
      </c>
      <c r="T80">
        <f t="shared" ref="T80:T143" ca="1" si="29">100-(100/(1+S80))</f>
        <v>65.655634842108554</v>
      </c>
      <c r="U80">
        <f>70</f>
        <v>70</v>
      </c>
      <c r="V80">
        <f>30</f>
        <v>30</v>
      </c>
      <c r="W80">
        <f t="shared" ca="1" si="27"/>
        <v>59.874257784997972</v>
      </c>
      <c r="X80">
        <f t="shared" ca="1" si="17"/>
        <v>59.799374303894226</v>
      </c>
      <c r="Y80">
        <f t="shared" ca="1" si="16"/>
        <v>0.21817069338682415</v>
      </c>
      <c r="Z80">
        <f t="shared" ca="1" si="18"/>
        <v>-0.11616800341823731</v>
      </c>
      <c r="AA80">
        <f t="shared" ca="1" si="19"/>
        <v>0.33433869680506145</v>
      </c>
    </row>
    <row r="81" spans="1:27" x14ac:dyDescent="0.25">
      <c r="A81" s="20">
        <f t="shared" ca="1" si="20"/>
        <v>45404</v>
      </c>
      <c r="B81" vm="228">
        <f ca="1"/>
        <v>45407</v>
      </c>
      <c r="C81" vm="229">
        <f ca="1"/>
        <v>61.74</v>
      </c>
      <c r="D81" vm="230">
        <f ca="1"/>
        <v>19048535</v>
      </c>
      <c r="E81">
        <f t="shared" ca="1" si="21"/>
        <v>1176056550.9000001</v>
      </c>
      <c r="F81">
        <f ca="1">SUM($E$2:E81)/SUM($D$2:D81)</f>
        <v>59.986399841568783</v>
      </c>
      <c r="G81">
        <f ca="1">_xlfn.STDEV.P($C$2:C81)</f>
        <v>0.73130165415852855</v>
      </c>
      <c r="H81">
        <f t="shared" ca="1" si="22"/>
        <v>60.717701495727312</v>
      </c>
      <c r="I81">
        <f t="shared" ca="1" si="23"/>
        <v>59.255098187410255</v>
      </c>
      <c r="J81">
        <f t="shared" ca="1" si="12"/>
        <v>59.707999999999991</v>
      </c>
      <c r="K81">
        <f t="shared" ca="1" si="13"/>
        <v>1.109103953174529</v>
      </c>
      <c r="L81">
        <f t="shared" ca="1" si="14"/>
        <v>61.926207906349049</v>
      </c>
      <c r="M81">
        <f t="shared" ca="1" si="15"/>
        <v>57.489792093650934</v>
      </c>
      <c r="N81">
        <f t="shared" ca="1" si="24"/>
        <v>0.19000000000000483</v>
      </c>
      <c r="O81">
        <f t="shared" ca="1" si="25"/>
        <v>0.19000000000000483</v>
      </c>
      <c r="P81">
        <f t="shared" ca="1" si="26"/>
        <v>0</v>
      </c>
      <c r="Q81">
        <f t="shared" ref="Q81:Q144" ca="1" si="30">(Q80*13+O81)/14</f>
        <v>0.27569636929863545</v>
      </c>
      <c r="R81">
        <f t="shared" ref="R81:R144" ca="1" si="31">(R80*13+P81)/14</f>
        <v>0.13711716752073849</v>
      </c>
      <c r="S81">
        <f t="shared" ca="1" si="28"/>
        <v>2.010662663790348</v>
      </c>
      <c r="T81">
        <f t="shared" ca="1" si="29"/>
        <v>66.784721117143505</v>
      </c>
      <c r="U81">
        <f>70</f>
        <v>70</v>
      </c>
      <c r="V81">
        <f>30</f>
        <v>30</v>
      </c>
      <c r="W81">
        <f t="shared" ca="1" si="27"/>
        <v>60.161295048844437</v>
      </c>
      <c r="X81">
        <f t="shared" ca="1" si="17"/>
        <v>59.943124355457613</v>
      </c>
      <c r="Y81">
        <f t="shared" ca="1" si="16"/>
        <v>0.32794647858425918</v>
      </c>
      <c r="Z81">
        <f t="shared" ca="1" si="18"/>
        <v>-2.7345107017738027E-2</v>
      </c>
      <c r="AA81">
        <f t="shared" ca="1" si="19"/>
        <v>0.3552915856019972</v>
      </c>
    </row>
    <row r="82" spans="1:27" x14ac:dyDescent="0.25">
      <c r="A82" s="20">
        <f t="shared" ca="1" si="20"/>
        <v>45404</v>
      </c>
      <c r="B82" vm="231">
        <f ca="1"/>
        <v>45408</v>
      </c>
      <c r="C82" vm="229">
        <f ca="1"/>
        <v>61.74</v>
      </c>
      <c r="D82" vm="232">
        <f ca="1"/>
        <v>10994262</v>
      </c>
      <c r="E82">
        <f t="shared" ca="1" si="21"/>
        <v>678785735.88</v>
      </c>
      <c r="F82">
        <f ca="1">SUM($E$2:E82)/SUM($D$2:D82)</f>
        <v>60.003405474299647</v>
      </c>
      <c r="G82">
        <f ca="1">_xlfn.STDEV.P($C$2:C82)</f>
        <v>0.75272104068956669</v>
      </c>
      <c r="H82">
        <f t="shared" ca="1" si="22"/>
        <v>60.756126514989212</v>
      </c>
      <c r="I82">
        <f t="shared" ca="1" si="23"/>
        <v>59.250684433610083</v>
      </c>
      <c r="J82">
        <f t="shared" ca="1" si="12"/>
        <v>59.73599999999999</v>
      </c>
      <c r="K82">
        <f t="shared" ca="1" si="13"/>
        <v>1.1543665385236865</v>
      </c>
      <c r="L82">
        <f t="shared" ca="1" si="14"/>
        <v>62.044733077047361</v>
      </c>
      <c r="M82">
        <f t="shared" ca="1" si="15"/>
        <v>57.427266922952619</v>
      </c>
      <c r="N82">
        <f t="shared" ca="1" si="24"/>
        <v>0</v>
      </c>
      <c r="O82">
        <f t="shared" ca="1" si="25"/>
        <v>0</v>
      </c>
      <c r="P82">
        <f t="shared" ca="1" si="26"/>
        <v>0</v>
      </c>
      <c r="Q82">
        <f t="shared" ca="1" si="30"/>
        <v>0.25600377149159004</v>
      </c>
      <c r="R82">
        <f t="shared" ca="1" si="31"/>
        <v>0.12732308412640003</v>
      </c>
      <c r="S82">
        <f t="shared" ca="1" si="28"/>
        <v>2.010662663790348</v>
      </c>
      <c r="T82">
        <f t="shared" ca="1" si="29"/>
        <v>66.784721117143505</v>
      </c>
      <c r="U82">
        <f>70</f>
        <v>70</v>
      </c>
      <c r="V82">
        <f>30</f>
        <v>30</v>
      </c>
      <c r="W82">
        <f t="shared" ca="1" si="27"/>
        <v>60.404172733637601</v>
      </c>
      <c r="X82">
        <f t="shared" ca="1" si="17"/>
        <v>60.076226255053342</v>
      </c>
      <c r="Y82">
        <f t="shared" ca="1" si="16"/>
        <v>0.43414749002288033</v>
      </c>
      <c r="Z82">
        <f t="shared" ca="1" si="18"/>
        <v>6.4953412390385643E-2</v>
      </c>
      <c r="AA82">
        <f t="shared" ca="1" si="19"/>
        <v>0.36919407763249468</v>
      </c>
    </row>
    <row r="83" spans="1:27" x14ac:dyDescent="0.25">
      <c r="A83" s="20">
        <f t="shared" ca="1" si="20"/>
        <v>45411</v>
      </c>
      <c r="B83" vm="233">
        <f ca="1"/>
        <v>45411</v>
      </c>
      <c r="C83" vm="234">
        <f ca="1"/>
        <v>62.04</v>
      </c>
      <c r="D83" vm="235">
        <f ca="1"/>
        <v>13420749</v>
      </c>
      <c r="E83">
        <f t="shared" ca="1" si="21"/>
        <v>832623267.96000004</v>
      </c>
      <c r="F83">
        <f ca="1">SUM($E$2:E83)/SUM($D$2:D83)</f>
        <v>60.027232319401918</v>
      </c>
      <c r="G83">
        <f ca="1">_xlfn.STDEV.P($C$2:C83)</f>
        <v>0.7812978742024036</v>
      </c>
      <c r="H83">
        <f t="shared" ca="1" si="22"/>
        <v>60.808530193604319</v>
      </c>
      <c r="I83">
        <f t="shared" ca="1" si="23"/>
        <v>59.245934445199516</v>
      </c>
      <c r="J83">
        <f t="shared" ca="1" si="12"/>
        <v>59.803999999999988</v>
      </c>
      <c r="K83">
        <f t="shared" ca="1" si="13"/>
        <v>1.2490729193664942</v>
      </c>
      <c r="L83">
        <f t="shared" ca="1" si="14"/>
        <v>62.302145838732976</v>
      </c>
      <c r="M83">
        <f t="shared" ca="1" si="15"/>
        <v>57.305854161267</v>
      </c>
      <c r="N83">
        <f t="shared" ca="1" si="24"/>
        <v>0.29999999999999716</v>
      </c>
      <c r="O83">
        <f t="shared" ca="1" si="25"/>
        <v>0.29999999999999716</v>
      </c>
      <c r="P83">
        <f t="shared" ca="1" si="26"/>
        <v>0</v>
      </c>
      <c r="Q83">
        <f t="shared" ca="1" si="30"/>
        <v>0.25914635924219054</v>
      </c>
      <c r="R83">
        <f t="shared" ca="1" si="31"/>
        <v>0.11822857811737146</v>
      </c>
      <c r="S83">
        <f t="shared" ca="1" si="28"/>
        <v>2.1919096327532834</v>
      </c>
      <c r="T83">
        <f t="shared" ca="1" si="29"/>
        <v>68.670792251176039</v>
      </c>
      <c r="U83">
        <f>70</f>
        <v>70</v>
      </c>
      <c r="V83">
        <f>30</f>
        <v>30</v>
      </c>
      <c r="W83">
        <f t="shared" ca="1" si="27"/>
        <v>60.655838466924124</v>
      </c>
      <c r="X83">
        <f t="shared" ca="1" si="17"/>
        <v>60.221690976901243</v>
      </c>
      <c r="Y83">
        <f t="shared" ca="1" si="16"/>
        <v>0.49086739938336876</v>
      </c>
      <c r="Z83">
        <f t="shared" ca="1" si="18"/>
        <v>0.15013620978898229</v>
      </c>
      <c r="AA83">
        <f t="shared" ca="1" si="19"/>
        <v>0.34073118959438647</v>
      </c>
    </row>
    <row r="84" spans="1:27" x14ac:dyDescent="0.25">
      <c r="A84" s="20">
        <f t="shared" ca="1" si="20"/>
        <v>45411</v>
      </c>
      <c r="B84" vm="236">
        <f ca="1"/>
        <v>45412</v>
      </c>
      <c r="C84" vm="237">
        <f ca="1"/>
        <v>61.77</v>
      </c>
      <c r="D84" vm="238">
        <f ca="1"/>
        <v>19349153</v>
      </c>
      <c r="E84">
        <f t="shared" ca="1" si="21"/>
        <v>1195197180.8099999</v>
      </c>
      <c r="F84">
        <f ca="1">SUM($E$2:E84)/SUM($D$2:D84)</f>
        <v>60.056140606763698</v>
      </c>
      <c r="G84">
        <f ca="1">_xlfn.STDEV.P($C$2:C84)</f>
        <v>0.79989714827305003</v>
      </c>
      <c r="H84">
        <f t="shared" ca="1" si="22"/>
        <v>60.856037755036745</v>
      </c>
      <c r="I84">
        <f t="shared" ca="1" si="23"/>
        <v>59.256243458490651</v>
      </c>
      <c r="J84">
        <f t="shared" ca="1" si="12"/>
        <v>59.884999999999977</v>
      </c>
      <c r="K84">
        <f t="shared" ca="1" si="13"/>
        <v>1.3230288217411952</v>
      </c>
      <c r="L84">
        <f t="shared" ca="1" si="14"/>
        <v>62.53105764348237</v>
      </c>
      <c r="M84">
        <f t="shared" ca="1" si="15"/>
        <v>57.238942356517583</v>
      </c>
      <c r="N84">
        <f t="shared" ca="1" si="24"/>
        <v>-0.26999999999999602</v>
      </c>
      <c r="O84">
        <f t="shared" ca="1" si="25"/>
        <v>0</v>
      </c>
      <c r="P84">
        <f t="shared" ca="1" si="26"/>
        <v>0.26999999999999602</v>
      </c>
      <c r="Q84">
        <f t="shared" ca="1" si="30"/>
        <v>0.2406359050106055</v>
      </c>
      <c r="R84">
        <f t="shared" ca="1" si="31"/>
        <v>0.12906939396613035</v>
      </c>
      <c r="S84">
        <f t="shared" ca="1" si="28"/>
        <v>1.8643916858690124</v>
      </c>
      <c r="T84">
        <f t="shared" ca="1" si="29"/>
        <v>65.088573433119166</v>
      </c>
      <c r="U84">
        <f>70</f>
        <v>70</v>
      </c>
      <c r="V84">
        <f>30</f>
        <v>30</v>
      </c>
      <c r="W84">
        <f t="shared" ca="1" si="27"/>
        <v>60.827247933551185</v>
      </c>
      <c r="X84">
        <f t="shared" ca="1" si="17"/>
        <v>60.336380534167816</v>
      </c>
      <c r="Y84">
        <f t="shared" ca="1" si="16"/>
        <v>0.54247567709447964</v>
      </c>
      <c r="Z84">
        <f t="shared" ca="1" si="18"/>
        <v>0.22860410325008179</v>
      </c>
      <c r="AA84">
        <f t="shared" ca="1" si="19"/>
        <v>0.31387157384439784</v>
      </c>
    </row>
    <row r="85" spans="1:27" x14ac:dyDescent="0.25">
      <c r="A85" s="20">
        <f t="shared" ca="1" si="20"/>
        <v>45411</v>
      </c>
      <c r="B85" vm="239">
        <f ca="1"/>
        <v>45413</v>
      </c>
      <c r="C85" vm="240">
        <f ca="1"/>
        <v>61.93</v>
      </c>
      <c r="D85" vm="241">
        <f ca="1"/>
        <v>16730830</v>
      </c>
      <c r="E85">
        <f t="shared" ca="1" si="21"/>
        <v>1036140301.9</v>
      </c>
      <c r="F85">
        <f ca="1">SUM($E$2:E85)/SUM($D$2:D85)</f>
        <v>60.082637233009422</v>
      </c>
      <c r="G85">
        <f ca="1">_xlfn.STDEV.P($C$2:C85)</f>
        <v>0.82128931704378694</v>
      </c>
      <c r="H85">
        <f t="shared" ca="1" si="22"/>
        <v>60.903926550053207</v>
      </c>
      <c r="I85">
        <f t="shared" ca="1" si="23"/>
        <v>59.261347915965636</v>
      </c>
      <c r="J85">
        <f t="shared" ca="1" si="12"/>
        <v>59.989999999999995</v>
      </c>
      <c r="K85">
        <f t="shared" ca="1" si="13"/>
        <v>1.3995525600780605</v>
      </c>
      <c r="L85">
        <f t="shared" ca="1" si="14"/>
        <v>62.789105120156115</v>
      </c>
      <c r="M85">
        <f t="shared" ca="1" si="15"/>
        <v>57.190894879843874</v>
      </c>
      <c r="N85">
        <f t="shared" ca="1" si="24"/>
        <v>0.15999999999999659</v>
      </c>
      <c r="O85">
        <f t="shared" ca="1" si="25"/>
        <v>0.15999999999999659</v>
      </c>
      <c r="P85">
        <f t="shared" ca="1" si="26"/>
        <v>0</v>
      </c>
      <c r="Q85">
        <f t="shared" ca="1" si="30"/>
        <v>0.2348761975098477</v>
      </c>
      <c r="R85">
        <f t="shared" ca="1" si="31"/>
        <v>0.11985015153997818</v>
      </c>
      <c r="S85">
        <f t="shared" ca="1" si="28"/>
        <v>1.9597488571510109</v>
      </c>
      <c r="T85">
        <f t="shared" ca="1" si="29"/>
        <v>66.213349569038172</v>
      </c>
      <c r="U85">
        <f>70</f>
        <v>70</v>
      </c>
      <c r="V85">
        <f>30</f>
        <v>30</v>
      </c>
      <c r="W85">
        <f t="shared" ca="1" si="27"/>
        <v>60.996902097620236</v>
      </c>
      <c r="X85">
        <f t="shared" ca="1" si="17"/>
        <v>60.454426420525756</v>
      </c>
      <c r="Y85">
        <f t="shared" ca="1" si="16"/>
        <v>0.5815137786961273</v>
      </c>
      <c r="Z85">
        <f t="shared" ca="1" si="18"/>
        <v>0.29918603833929092</v>
      </c>
      <c r="AA85">
        <f t="shared" ca="1" si="19"/>
        <v>0.28232774035683639</v>
      </c>
    </row>
    <row r="86" spans="1:27" x14ac:dyDescent="0.25">
      <c r="A86" s="20">
        <f t="shared" ca="1" si="20"/>
        <v>45411</v>
      </c>
      <c r="B86" vm="242">
        <f ca="1"/>
        <v>45414</v>
      </c>
      <c r="C86" vm="243">
        <f ca="1"/>
        <v>61.99</v>
      </c>
      <c r="D86" vm="244">
        <f ca="1"/>
        <v>10991304</v>
      </c>
      <c r="E86">
        <f t="shared" ca="1" si="21"/>
        <v>681350934.96000004</v>
      </c>
      <c r="F86">
        <f ca="1">SUM($E$2:E86)/SUM($D$2:D86)</f>
        <v>60.100192317469315</v>
      </c>
      <c r="G86">
        <f ca="1">_xlfn.STDEV.P($C$2:C86)</f>
        <v>0.84264656400765692</v>
      </c>
      <c r="H86">
        <f t="shared" ca="1" si="22"/>
        <v>60.942838881476973</v>
      </c>
      <c r="I86">
        <f t="shared" ca="1" si="23"/>
        <v>59.257545753461656</v>
      </c>
      <c r="J86">
        <f t="shared" ref="J86:J149" ca="1" si="32">AVERAGE(C67:C86)</f>
        <v>60.124499999999998</v>
      </c>
      <c r="K86">
        <f t="shared" ref="K86:K149" ca="1" si="33">_xlfn.STDEV.S(C67:C86)</f>
        <v>1.4577974554280964</v>
      </c>
      <c r="L86">
        <f t="shared" ref="L86:L149" ca="1" si="34">J86 + 2*K86</f>
        <v>63.04009491085619</v>
      </c>
      <c r="M86">
        <f t="shared" ref="M86:M149" ca="1" si="35">J86-2*K86</f>
        <v>57.208905089143805</v>
      </c>
      <c r="N86">
        <f t="shared" ca="1" si="24"/>
        <v>6.0000000000002274E-2</v>
      </c>
      <c r="O86">
        <f t="shared" ca="1" si="25"/>
        <v>6.0000000000002274E-2</v>
      </c>
      <c r="P86">
        <f t="shared" ca="1" si="26"/>
        <v>0</v>
      </c>
      <c r="Q86">
        <f t="shared" ca="1" si="30"/>
        <v>0.22238504054485872</v>
      </c>
      <c r="R86">
        <f t="shared" ca="1" si="31"/>
        <v>0.11128942642997973</v>
      </c>
      <c r="S86">
        <f t="shared" ca="1" si="28"/>
        <v>1.9982584840148971</v>
      </c>
      <c r="T86">
        <f t="shared" ca="1" si="29"/>
        <v>66.647305249648667</v>
      </c>
      <c r="U86">
        <f>70</f>
        <v>70</v>
      </c>
      <c r="V86">
        <f>30</f>
        <v>30</v>
      </c>
      <c r="W86">
        <f t="shared" ca="1" si="27"/>
        <v>61.14968639029405</v>
      </c>
      <c r="X86">
        <f t="shared" ca="1" si="17"/>
        <v>60.568172611597923</v>
      </c>
      <c r="Y86">
        <f t="shared" ca="1" si="16"/>
        <v>0.61983122264390289</v>
      </c>
      <c r="Z86">
        <f t="shared" ca="1" si="18"/>
        <v>0.36331507520021333</v>
      </c>
      <c r="AA86">
        <f t="shared" ca="1" si="19"/>
        <v>0.25651614744368956</v>
      </c>
    </row>
    <row r="87" spans="1:27" x14ac:dyDescent="0.25">
      <c r="A87" s="20">
        <f t="shared" ca="1" si="20"/>
        <v>45411</v>
      </c>
      <c r="B87" vm="245">
        <f ca="1"/>
        <v>45415</v>
      </c>
      <c r="C87" vm="246">
        <f ca="1"/>
        <v>62.17</v>
      </c>
      <c r="D87" vm="247">
        <f ca="1"/>
        <v>11628675</v>
      </c>
      <c r="E87">
        <f t="shared" ca="1" si="21"/>
        <v>722954724.75</v>
      </c>
      <c r="F87">
        <f ca="1">SUM($E$2:E87)/SUM($D$2:D87)</f>
        <v>60.120152849563375</v>
      </c>
      <c r="G87">
        <f ca="1">_xlfn.STDEV.P($C$2:C87)</f>
        <v>0.86720428974459851</v>
      </c>
      <c r="H87">
        <f t="shared" ca="1" si="22"/>
        <v>60.987357139307974</v>
      </c>
      <c r="I87">
        <f t="shared" ca="1" si="23"/>
        <v>59.252948559818776</v>
      </c>
      <c r="J87">
        <f t="shared" ca="1" si="32"/>
        <v>60.257499999999993</v>
      </c>
      <c r="K87">
        <f t="shared" ca="1" si="33"/>
        <v>1.518846082080944</v>
      </c>
      <c r="L87">
        <f t="shared" ca="1" si="34"/>
        <v>63.295192164161882</v>
      </c>
      <c r="M87">
        <f t="shared" ca="1" si="35"/>
        <v>57.219807835838104</v>
      </c>
      <c r="N87">
        <f t="shared" ca="1" si="24"/>
        <v>0.17999999999999972</v>
      </c>
      <c r="O87">
        <f t="shared" ca="1" si="25"/>
        <v>0.17999999999999972</v>
      </c>
      <c r="P87">
        <f t="shared" ca="1" si="26"/>
        <v>0</v>
      </c>
      <c r="Q87">
        <f t="shared" ca="1" si="30"/>
        <v>0.21935753764879734</v>
      </c>
      <c r="R87">
        <f t="shared" ca="1" si="31"/>
        <v>0.10334018168498117</v>
      </c>
      <c r="S87">
        <f t="shared" ca="1" si="28"/>
        <v>2.1226742015751401</v>
      </c>
      <c r="T87">
        <f t="shared" ca="1" si="29"/>
        <v>67.976166085607659</v>
      </c>
      <c r="U87">
        <f>70</f>
        <v>70</v>
      </c>
      <c r="V87">
        <f>30</f>
        <v>30</v>
      </c>
      <c r="W87">
        <f t="shared" ca="1" si="27"/>
        <v>61.306657714864201</v>
      </c>
      <c r="X87">
        <f t="shared" ca="1" si="17"/>
        <v>60.686826492220298</v>
      </c>
      <c r="Y87">
        <f t="shared" ca="1" si="16"/>
        <v>0.65714738274378703</v>
      </c>
      <c r="Z87">
        <f t="shared" ca="1" si="18"/>
        <v>0.42208153670892812</v>
      </c>
      <c r="AA87">
        <f t="shared" ca="1" si="19"/>
        <v>0.23506584603485892</v>
      </c>
    </row>
    <row r="88" spans="1:27" x14ac:dyDescent="0.25">
      <c r="A88" s="20">
        <f t="shared" ca="1" si="20"/>
        <v>45418</v>
      </c>
      <c r="B88" vm="248">
        <f ca="1"/>
        <v>45418</v>
      </c>
      <c r="C88" vm="249">
        <f ca="1"/>
        <v>62.35</v>
      </c>
      <c r="D88" vm="250">
        <f ca="1"/>
        <v>9310699</v>
      </c>
      <c r="E88">
        <f t="shared" ca="1" si="21"/>
        <v>580522082.64999998</v>
      </c>
      <c r="F88">
        <f ca="1">SUM($E$2:E88)/SUM($D$2:D88)</f>
        <v>60.137238393161688</v>
      </c>
      <c r="G88">
        <f ca="1">_xlfn.STDEV.P($C$2:C88)</f>
        <v>0.89484503042963193</v>
      </c>
      <c r="H88">
        <f t="shared" ca="1" si="22"/>
        <v>61.032083423591317</v>
      </c>
      <c r="I88">
        <f t="shared" ca="1" si="23"/>
        <v>59.242393362732059</v>
      </c>
      <c r="J88">
        <f t="shared" ca="1" si="32"/>
        <v>60.41149999999999</v>
      </c>
      <c r="K88">
        <f t="shared" ca="1" si="33"/>
        <v>1.5687751675481707</v>
      </c>
      <c r="L88">
        <f t="shared" ca="1" si="34"/>
        <v>63.549050335096332</v>
      </c>
      <c r="M88">
        <f t="shared" ca="1" si="35"/>
        <v>57.273949664903647</v>
      </c>
      <c r="N88">
        <f t="shared" ca="1" si="24"/>
        <v>0.17999999999999972</v>
      </c>
      <c r="O88">
        <f t="shared" ca="1" si="25"/>
        <v>0.17999999999999972</v>
      </c>
      <c r="P88">
        <f t="shared" ca="1" si="26"/>
        <v>0</v>
      </c>
      <c r="Q88">
        <f t="shared" ca="1" si="30"/>
        <v>0.21654628495959752</v>
      </c>
      <c r="R88">
        <f t="shared" ca="1" si="31"/>
        <v>9.5958740136053947E-2</v>
      </c>
      <c r="S88">
        <f t="shared" ca="1" si="28"/>
        <v>2.2566603589477099</v>
      </c>
      <c r="T88">
        <f t="shared" ca="1" si="29"/>
        <v>69.293696923214938</v>
      </c>
      <c r="U88">
        <f>70</f>
        <v>70</v>
      </c>
      <c r="V88">
        <f>30</f>
        <v>30</v>
      </c>
      <c r="W88">
        <f t="shared" ca="1" si="27"/>
        <v>61.467171912577399</v>
      </c>
      <c r="X88">
        <f t="shared" ca="1" si="17"/>
        <v>60.810024529833612</v>
      </c>
      <c r="Y88">
        <f t="shared" ca="1" si="16"/>
        <v>0.70043329299020485</v>
      </c>
      <c r="Z88">
        <f t="shared" ca="1" si="18"/>
        <v>0.47775188796518347</v>
      </c>
      <c r="AA88">
        <f t="shared" ca="1" si="19"/>
        <v>0.22268140502502137</v>
      </c>
    </row>
    <row r="89" spans="1:27" x14ac:dyDescent="0.25">
      <c r="A89" s="20">
        <f t="shared" ca="1" si="20"/>
        <v>45418</v>
      </c>
      <c r="B89" vm="251">
        <f ca="1"/>
        <v>45419</v>
      </c>
      <c r="C89" vm="252">
        <f ca="1"/>
        <v>62.62</v>
      </c>
      <c r="D89" vm="253">
        <f ca="1"/>
        <v>9807029</v>
      </c>
      <c r="E89">
        <f t="shared" ca="1" si="21"/>
        <v>614116155.98000002</v>
      </c>
      <c r="F89">
        <f ca="1">SUM($E$2:E89)/SUM($D$2:D89)</f>
        <v>60.15711548877492</v>
      </c>
      <c r="G89">
        <f ca="1">_xlfn.STDEV.P($C$2:C89)</f>
        <v>0.92808851703625006</v>
      </c>
      <c r="H89">
        <f t="shared" ca="1" si="22"/>
        <v>61.085204005811171</v>
      </c>
      <c r="I89">
        <f t="shared" ca="1" si="23"/>
        <v>59.229026971738669</v>
      </c>
      <c r="J89">
        <f t="shared" ca="1" si="32"/>
        <v>60.556499999999986</v>
      </c>
      <c r="K89">
        <f t="shared" ca="1" si="33"/>
        <v>1.6341560674034719</v>
      </c>
      <c r="L89">
        <f t="shared" ca="1" si="34"/>
        <v>63.824812134806926</v>
      </c>
      <c r="M89">
        <f t="shared" ca="1" si="35"/>
        <v>57.288187865193045</v>
      </c>
      <c r="N89">
        <f t="shared" ca="1" si="24"/>
        <v>0.26999999999999602</v>
      </c>
      <c r="O89">
        <f t="shared" ca="1" si="25"/>
        <v>0.26999999999999602</v>
      </c>
      <c r="P89">
        <f t="shared" ca="1" si="26"/>
        <v>0</v>
      </c>
      <c r="Q89">
        <f t="shared" ca="1" si="30"/>
        <v>0.22036440746248312</v>
      </c>
      <c r="R89">
        <f t="shared" ca="1" si="31"/>
        <v>8.9104544412050096E-2</v>
      </c>
      <c r="S89">
        <f t="shared" ca="1" si="28"/>
        <v>2.473099536241858</v>
      </c>
      <c r="T89">
        <f t="shared" ca="1" si="29"/>
        <v>71.207274955267437</v>
      </c>
      <c r="U89">
        <f>70</f>
        <v>70</v>
      </c>
      <c r="V89">
        <f>30</f>
        <v>30</v>
      </c>
      <c r="W89">
        <f t="shared" ca="1" si="27"/>
        <v>61.644530079873178</v>
      </c>
      <c r="X89">
        <f t="shared" ca="1" si="17"/>
        <v>60.944096786882973</v>
      </c>
      <c r="Y89">
        <f t="shared" ca="1" si="16"/>
        <v>0.74471218799250494</v>
      </c>
      <c r="Z89">
        <f t="shared" ca="1" si="18"/>
        <v>0.53114394797064779</v>
      </c>
      <c r="AA89">
        <f t="shared" ca="1" si="19"/>
        <v>0.21356824002185715</v>
      </c>
    </row>
    <row r="90" spans="1:27" x14ac:dyDescent="0.25">
      <c r="A90" s="20">
        <f t="shared" ca="1" si="20"/>
        <v>45418</v>
      </c>
      <c r="B90" vm="254">
        <f ca="1"/>
        <v>45420</v>
      </c>
      <c r="C90" vm="255">
        <f ca="1"/>
        <v>62.85</v>
      </c>
      <c r="D90" vm="256">
        <f ca="1"/>
        <v>10484408</v>
      </c>
      <c r="E90">
        <f t="shared" ca="1" si="21"/>
        <v>658945042.80000007</v>
      </c>
      <c r="F90">
        <f ca="1">SUM($E$2:E90)/SUM($D$2:D90)</f>
        <v>60.179968359733707</v>
      </c>
      <c r="G90">
        <f ca="1">_xlfn.STDEV.P($C$2:C90)</f>
        <v>0.96551058019559677</v>
      </c>
      <c r="H90">
        <f t="shared" ca="1" si="22"/>
        <v>61.145478939929305</v>
      </c>
      <c r="I90">
        <f t="shared" ca="1" si="23"/>
        <v>59.214457779538108</v>
      </c>
      <c r="J90">
        <f t="shared" ca="1" si="32"/>
        <v>60.752999999999986</v>
      </c>
      <c r="K90">
        <f t="shared" ca="1" si="33"/>
        <v>1.663044449828466</v>
      </c>
      <c r="L90">
        <f t="shared" ca="1" si="34"/>
        <v>64.079088899656924</v>
      </c>
      <c r="M90">
        <f t="shared" ca="1" si="35"/>
        <v>57.426911100343055</v>
      </c>
      <c r="N90">
        <f t="shared" ca="1" si="24"/>
        <v>0.23000000000000398</v>
      </c>
      <c r="O90">
        <f t="shared" ca="1" si="25"/>
        <v>0.23000000000000398</v>
      </c>
      <c r="P90">
        <f t="shared" ca="1" si="26"/>
        <v>0</v>
      </c>
      <c r="Q90">
        <f t="shared" ca="1" si="30"/>
        <v>0.22105266407230603</v>
      </c>
      <c r="R90">
        <f t="shared" ca="1" si="31"/>
        <v>8.2739934096903653E-2</v>
      </c>
      <c r="S90">
        <f t="shared" ca="1" si="28"/>
        <v>2.6716562743863537</v>
      </c>
      <c r="T90">
        <f t="shared" ca="1" si="29"/>
        <v>72.764335077440478</v>
      </c>
      <c r="U90">
        <f>70</f>
        <v>70</v>
      </c>
      <c r="V90">
        <f>30</f>
        <v>30</v>
      </c>
      <c r="W90">
        <f t="shared" ca="1" si="27"/>
        <v>61.829986990661922</v>
      </c>
      <c r="X90">
        <f t="shared" ca="1" si="17"/>
        <v>61.085274802669417</v>
      </c>
      <c r="Y90">
        <f t="shared" ca="1" si="16"/>
        <v>0.77331004375792389</v>
      </c>
      <c r="Z90">
        <f t="shared" ca="1" si="18"/>
        <v>0.57957716712810303</v>
      </c>
      <c r="AA90">
        <f t="shared" ca="1" si="19"/>
        <v>0.19373287662982086</v>
      </c>
    </row>
    <row r="91" spans="1:27" x14ac:dyDescent="0.25">
      <c r="A91" s="20">
        <f t="shared" ca="1" si="20"/>
        <v>45418</v>
      </c>
      <c r="B91" vm="257">
        <f ca="1"/>
        <v>45421</v>
      </c>
      <c r="C91" vm="258">
        <f ca="1"/>
        <v>62.88</v>
      </c>
      <c r="D91" vm="259">
        <f ca="1"/>
        <v>9113662</v>
      </c>
      <c r="E91">
        <f t="shared" ca="1" si="21"/>
        <v>573067066.56000006</v>
      </c>
      <c r="F91">
        <f ca="1">SUM($E$2:E91)/SUM($D$2:D91)</f>
        <v>60.199740283292471</v>
      </c>
      <c r="G91">
        <f ca="1">_xlfn.STDEV.P($C$2:C91)</f>
        <v>1.0007464436331739</v>
      </c>
      <c r="H91">
        <f t="shared" ca="1" si="22"/>
        <v>61.200486726925647</v>
      </c>
      <c r="I91">
        <f t="shared" ca="1" si="23"/>
        <v>59.198993839659295</v>
      </c>
      <c r="J91">
        <f t="shared" ca="1" si="32"/>
        <v>60.944499999999984</v>
      </c>
      <c r="K91">
        <f t="shared" ca="1" si="33"/>
        <v>1.6770760112077279</v>
      </c>
      <c r="L91">
        <f t="shared" ca="1" si="34"/>
        <v>64.298652022415439</v>
      </c>
      <c r="M91">
        <f t="shared" ca="1" si="35"/>
        <v>57.590347977584528</v>
      </c>
      <c r="N91">
        <f t="shared" ca="1" si="24"/>
        <v>3.0000000000001137E-2</v>
      </c>
      <c r="O91">
        <f t="shared" ca="1" si="25"/>
        <v>3.0000000000001137E-2</v>
      </c>
      <c r="P91">
        <f t="shared" ca="1" si="26"/>
        <v>0</v>
      </c>
      <c r="Q91">
        <f t="shared" ca="1" si="30"/>
        <v>0.20740604520999856</v>
      </c>
      <c r="R91">
        <f t="shared" ca="1" si="31"/>
        <v>7.6829938804267681E-2</v>
      </c>
      <c r="S91">
        <f t="shared" ca="1" si="28"/>
        <v>2.6995471874367514</v>
      </c>
      <c r="T91">
        <f t="shared" ca="1" si="29"/>
        <v>72.969664952622082</v>
      </c>
      <c r="U91">
        <f>70</f>
        <v>70</v>
      </c>
      <c r="V91">
        <f>30</f>
        <v>30</v>
      </c>
      <c r="W91">
        <f t="shared" ca="1" si="27"/>
        <v>61.991527453637012</v>
      </c>
      <c r="X91">
        <f t="shared" ca="1" si="17"/>
        <v>61.218217409879088</v>
      </c>
      <c r="Y91">
        <f t="shared" ca="1" si="16"/>
        <v>0.81721651145153373</v>
      </c>
      <c r="Z91">
        <f t="shared" ca="1" si="18"/>
        <v>0.62710503599278922</v>
      </c>
      <c r="AA91">
        <f t="shared" ca="1" si="19"/>
        <v>0.19011147545874452</v>
      </c>
    </row>
    <row r="92" spans="1:27" x14ac:dyDescent="0.25">
      <c r="A92" s="20">
        <f t="shared" ca="1" si="20"/>
        <v>45418</v>
      </c>
      <c r="B92" vm="260">
        <f ca="1"/>
        <v>45422</v>
      </c>
      <c r="C92" vm="261">
        <f ca="1"/>
        <v>63.26</v>
      </c>
      <c r="D92" vm="262">
        <f ca="1"/>
        <v>8371691</v>
      </c>
      <c r="E92">
        <f t="shared" ca="1" si="21"/>
        <v>529593172.65999997</v>
      </c>
      <c r="F92">
        <f ca="1">SUM($E$2:E92)/SUM($D$2:D92)</f>
        <v>60.220188105092689</v>
      </c>
      <c r="G92">
        <f ca="1">_xlfn.STDEV.P($C$2:C92)</f>
        <v>1.0445488542427739</v>
      </c>
      <c r="H92">
        <f t="shared" ca="1" si="22"/>
        <v>61.264736959335465</v>
      </c>
      <c r="I92">
        <f t="shared" ca="1" si="23"/>
        <v>59.175639250849912</v>
      </c>
      <c r="J92">
        <f t="shared" ca="1" si="32"/>
        <v>61.193499999999993</v>
      </c>
      <c r="K92">
        <f t="shared" ca="1" si="33"/>
        <v>1.6296763482360541</v>
      </c>
      <c r="L92">
        <f t="shared" ca="1" si="34"/>
        <v>64.452852696472107</v>
      </c>
      <c r="M92">
        <f t="shared" ca="1" si="35"/>
        <v>57.934147303527887</v>
      </c>
      <c r="N92">
        <f t="shared" ca="1" si="24"/>
        <v>0.37999999999999545</v>
      </c>
      <c r="O92">
        <f t="shared" ca="1" si="25"/>
        <v>0.37999999999999545</v>
      </c>
      <c r="P92">
        <f t="shared" ca="1" si="26"/>
        <v>0</v>
      </c>
      <c r="Q92">
        <f t="shared" ca="1" si="30"/>
        <v>0.21973418483785548</v>
      </c>
      <c r="R92">
        <f t="shared" ca="1" si="31"/>
        <v>7.1342086032534266E-2</v>
      </c>
      <c r="S92">
        <f t="shared" ca="1" si="28"/>
        <v>3.0800078475088277</v>
      </c>
      <c r="T92">
        <f t="shared" ca="1" si="29"/>
        <v>75.490243220718796</v>
      </c>
      <c r="U92">
        <f>70</f>
        <v>70</v>
      </c>
      <c r="V92">
        <f>30</f>
        <v>30</v>
      </c>
      <c r="W92">
        <f t="shared" ca="1" si="27"/>
        <v>62.186677076154396</v>
      </c>
      <c r="X92">
        <f t="shared" ca="1" si="17"/>
        <v>61.369460564702862</v>
      </c>
      <c r="Y92">
        <f t="shared" ref="Y92:Y155" ca="1" si="36">W93-X93</f>
        <v>0.86783022247698938</v>
      </c>
      <c r="Z92">
        <f t="shared" ca="1" si="18"/>
        <v>0.67525007328962927</v>
      </c>
      <c r="AA92">
        <f t="shared" ca="1" si="19"/>
        <v>0.19258014918736011</v>
      </c>
    </row>
    <row r="93" spans="1:27" x14ac:dyDescent="0.25">
      <c r="A93" s="20">
        <f t="shared" ca="1" si="20"/>
        <v>45425</v>
      </c>
      <c r="B93" vm="263">
        <f ca="1"/>
        <v>45425</v>
      </c>
      <c r="C93" vm="264">
        <f ca="1"/>
        <v>63.58</v>
      </c>
      <c r="D93" vm="265">
        <f ca="1"/>
        <v>10137619</v>
      </c>
      <c r="E93">
        <f t="shared" ca="1" si="21"/>
        <v>644549816.01999998</v>
      </c>
      <c r="F93">
        <f ca="1">SUM($E$2:E93)/SUM($D$2:D93)</f>
        <v>60.247154736068232</v>
      </c>
      <c r="G93">
        <f ca="1">_xlfn.STDEV.P($C$2:C93)</f>
        <v>1.0946987904768397</v>
      </c>
      <c r="H93">
        <f t="shared" ca="1" si="22"/>
        <v>61.341853526545073</v>
      </c>
      <c r="I93">
        <f t="shared" ca="1" si="23"/>
        <v>59.152455945591392</v>
      </c>
      <c r="J93">
        <f t="shared" ca="1" si="32"/>
        <v>61.465499999999999</v>
      </c>
      <c r="K93">
        <f t="shared" ca="1" si="33"/>
        <v>1.5449901209018171</v>
      </c>
      <c r="L93">
        <f t="shared" ca="1" si="34"/>
        <v>64.555480241803636</v>
      </c>
      <c r="M93">
        <f t="shared" ca="1" si="35"/>
        <v>58.375519758196361</v>
      </c>
      <c r="N93">
        <f t="shared" ca="1" si="24"/>
        <v>0.32000000000000028</v>
      </c>
      <c r="O93">
        <f t="shared" ca="1" si="25"/>
        <v>0.32000000000000028</v>
      </c>
      <c r="P93">
        <f t="shared" ca="1" si="26"/>
        <v>0</v>
      </c>
      <c r="Q93">
        <f t="shared" ca="1" si="30"/>
        <v>0.22689602877800868</v>
      </c>
      <c r="R93">
        <f t="shared" ca="1" si="31"/>
        <v>6.6246222744496111E-2</v>
      </c>
      <c r="S93">
        <f t="shared" ca="1" si="28"/>
        <v>3.4250409967239941</v>
      </c>
      <c r="T93">
        <f t="shared" ca="1" si="29"/>
        <v>77.401339315492592</v>
      </c>
      <c r="U93">
        <f>70</f>
        <v>70</v>
      </c>
      <c r="V93">
        <f>30</f>
        <v>30</v>
      </c>
      <c r="W93">
        <f t="shared" ca="1" si="27"/>
        <v>62.401034449053718</v>
      </c>
      <c r="X93">
        <f t="shared" ref="X93:X156" ca="1" si="37">C93*(2/(26+1)) + X92*(1-(2/(26+1)))</f>
        <v>61.533204226576729</v>
      </c>
      <c r="Y93">
        <f t="shared" ca="1" si="36"/>
        <v>0.85930443798152112</v>
      </c>
      <c r="Z93">
        <f t="shared" ca="1" si="18"/>
        <v>0.71206094622800764</v>
      </c>
      <c r="AA93">
        <f t="shared" ca="1" si="19"/>
        <v>0.14724349175351348</v>
      </c>
    </row>
    <row r="94" spans="1:27" x14ac:dyDescent="0.25">
      <c r="A94" s="20">
        <f t="shared" ca="1" si="20"/>
        <v>45425</v>
      </c>
      <c r="B94" vm="266">
        <f ca="1"/>
        <v>45426</v>
      </c>
      <c r="C94" vm="267">
        <f ca="1"/>
        <v>63.1</v>
      </c>
      <c r="D94" vm="268">
        <f ca="1"/>
        <v>10852231</v>
      </c>
      <c r="E94">
        <f t="shared" ca="1" si="21"/>
        <v>684775776.10000002</v>
      </c>
      <c r="F94">
        <f ca="1">SUM($E$2:E94)/SUM($D$2:D94)</f>
        <v>60.271457601720698</v>
      </c>
      <c r="G94">
        <f ca="1">_xlfn.STDEV.P($C$2:C94)</f>
        <v>1.1267802219741931</v>
      </c>
      <c r="H94">
        <f t="shared" ca="1" si="22"/>
        <v>61.398237823694892</v>
      </c>
      <c r="I94">
        <f t="shared" ca="1" si="23"/>
        <v>59.144677379746504</v>
      </c>
      <c r="J94">
        <f t="shared" ca="1" si="32"/>
        <v>61.717499999999994</v>
      </c>
      <c r="K94">
        <f t="shared" ca="1" si="33"/>
        <v>1.3602819947581308</v>
      </c>
      <c r="L94">
        <f t="shared" ca="1" si="34"/>
        <v>64.438063989516252</v>
      </c>
      <c r="M94">
        <f t="shared" ca="1" si="35"/>
        <v>58.996936010483729</v>
      </c>
      <c r="N94">
        <f t="shared" ca="1" si="24"/>
        <v>-0.47999999999999687</v>
      </c>
      <c r="O94">
        <f t="shared" ca="1" si="25"/>
        <v>0</v>
      </c>
      <c r="P94">
        <f t="shared" ca="1" si="26"/>
        <v>0.47999999999999687</v>
      </c>
      <c r="Q94">
        <f t="shared" ca="1" si="30"/>
        <v>0.21068916957957948</v>
      </c>
      <c r="R94">
        <f t="shared" ca="1" si="31"/>
        <v>9.5800063977031877E-2</v>
      </c>
      <c r="S94">
        <f t="shared" ca="1" si="28"/>
        <v>2.1992591740866931</v>
      </c>
      <c r="T94">
        <f t="shared" ca="1" si="29"/>
        <v>68.742763696677542</v>
      </c>
      <c r="U94">
        <f>70</f>
        <v>70</v>
      </c>
      <c r="V94">
        <f>30</f>
        <v>30</v>
      </c>
      <c r="W94">
        <f t="shared" ca="1" si="27"/>
        <v>62.508567610737757</v>
      </c>
      <c r="X94">
        <f t="shared" ca="1" si="37"/>
        <v>61.649263172756235</v>
      </c>
      <c r="Y94">
        <f t="shared" ca="1" si="36"/>
        <v>0.84522521151947672</v>
      </c>
      <c r="Z94">
        <f t="shared" ca="1" si="18"/>
        <v>0.73869379928630152</v>
      </c>
      <c r="AA94">
        <f t="shared" ca="1" si="19"/>
        <v>0.10653141223317519</v>
      </c>
    </row>
    <row r="95" spans="1:27" x14ac:dyDescent="0.25">
      <c r="A95" s="20">
        <f t="shared" ca="1" si="20"/>
        <v>45425</v>
      </c>
      <c r="B95" vm="269">
        <f ca="1"/>
        <v>45427</v>
      </c>
      <c r="C95" vm="270">
        <f ca="1"/>
        <v>63.13</v>
      </c>
      <c r="D95" vm="271">
        <f ca="1"/>
        <v>9838897</v>
      </c>
      <c r="E95">
        <f t="shared" ca="1" si="21"/>
        <v>621129567.61000001</v>
      </c>
      <c r="F95">
        <f ca="1">SUM($E$2:E95)/SUM($D$2:D95)</f>
        <v>60.293365966495827</v>
      </c>
      <c r="G95">
        <f ca="1">_xlfn.STDEV.P($C$2:C95)</f>
        <v>1.1573161690980442</v>
      </c>
      <c r="H95">
        <f t="shared" ca="1" si="22"/>
        <v>61.450682135593873</v>
      </c>
      <c r="I95">
        <f t="shared" ca="1" si="23"/>
        <v>59.136049797397781</v>
      </c>
      <c r="J95">
        <f t="shared" ca="1" si="32"/>
        <v>61.948500000000003</v>
      </c>
      <c r="K95">
        <f t="shared" ca="1" si="33"/>
        <v>1.1652163792731018</v>
      </c>
      <c r="L95">
        <f t="shared" ca="1" si="34"/>
        <v>64.278932758546205</v>
      </c>
      <c r="M95">
        <f t="shared" ca="1" si="35"/>
        <v>59.618067241453801</v>
      </c>
      <c r="N95">
        <f t="shared" ca="1" si="24"/>
        <v>3.0000000000001137E-2</v>
      </c>
      <c r="O95">
        <f t="shared" ca="1" si="25"/>
        <v>3.0000000000001137E-2</v>
      </c>
      <c r="P95">
        <f t="shared" ca="1" si="26"/>
        <v>0</v>
      </c>
      <c r="Q95">
        <f t="shared" ca="1" si="30"/>
        <v>0.19778280032389531</v>
      </c>
      <c r="R95">
        <f t="shared" ca="1" si="31"/>
        <v>8.8957202264386748E-2</v>
      </c>
      <c r="S95">
        <f t="shared" ca="1" si="28"/>
        <v>2.2233478042179384</v>
      </c>
      <c r="T95">
        <f t="shared" ca="1" si="29"/>
        <v>68.976354376296541</v>
      </c>
      <c r="U95">
        <f>70</f>
        <v>70</v>
      </c>
      <c r="V95">
        <f>30</f>
        <v>30</v>
      </c>
      <c r="W95">
        <f t="shared" ca="1" si="27"/>
        <v>62.604172593701179</v>
      </c>
      <c r="X95">
        <f t="shared" ca="1" si="37"/>
        <v>61.758947382181702</v>
      </c>
      <c r="Y95">
        <f t="shared" ca="1" si="36"/>
        <v>0.83971897755041169</v>
      </c>
      <c r="Z95">
        <f t="shared" ca="1" si="18"/>
        <v>0.75889883493912358</v>
      </c>
      <c r="AA95">
        <f t="shared" ca="1" si="19"/>
        <v>8.0820142611288115E-2</v>
      </c>
    </row>
    <row r="96" spans="1:27" x14ac:dyDescent="0.25">
      <c r="A96" s="20">
        <f t="shared" ca="1" si="20"/>
        <v>45425</v>
      </c>
      <c r="B96" vm="272">
        <f ca="1"/>
        <v>45428</v>
      </c>
      <c r="C96" vm="273">
        <f ca="1"/>
        <v>63.32</v>
      </c>
      <c r="D96" vm="274">
        <f ca="1"/>
        <v>10228002</v>
      </c>
      <c r="E96">
        <f t="shared" ca="1" si="21"/>
        <v>647637086.63999999</v>
      </c>
      <c r="F96">
        <f ca="1">SUM($E$2:E96)/SUM($D$2:D96)</f>
        <v>60.317289382649143</v>
      </c>
      <c r="G96">
        <f ca="1">_xlfn.STDEV.P($C$2:C96)</f>
        <v>1.1905100561968462</v>
      </c>
      <c r="H96">
        <f t="shared" ca="1" si="22"/>
        <v>61.507799438845993</v>
      </c>
      <c r="I96">
        <f t="shared" ca="1" si="23"/>
        <v>59.126779326452294</v>
      </c>
      <c r="J96">
        <f t="shared" ca="1" si="32"/>
        <v>62.168999999999997</v>
      </c>
      <c r="K96">
        <f t="shared" ca="1" si="33"/>
        <v>0.95897368384945247</v>
      </c>
      <c r="L96">
        <f t="shared" ca="1" si="34"/>
        <v>64.086947367698897</v>
      </c>
      <c r="M96">
        <f t="shared" ca="1" si="35"/>
        <v>60.251052632301089</v>
      </c>
      <c r="N96">
        <f t="shared" ca="1" si="24"/>
        <v>0.18999999999999773</v>
      </c>
      <c r="O96">
        <f t="shared" ca="1" si="25"/>
        <v>0.18999999999999773</v>
      </c>
      <c r="P96">
        <f t="shared" ca="1" si="26"/>
        <v>0</v>
      </c>
      <c r="Q96">
        <f t="shared" ca="1" si="30"/>
        <v>0.19722688601504548</v>
      </c>
      <c r="R96">
        <f t="shared" ca="1" si="31"/>
        <v>8.2603116388359127E-2</v>
      </c>
      <c r="S96">
        <f t="shared" ca="1" si="28"/>
        <v>2.3876446148566828</v>
      </c>
      <c r="T96">
        <f t="shared" ca="1" si="29"/>
        <v>70.480964986278352</v>
      </c>
      <c r="U96">
        <f>70</f>
        <v>70</v>
      </c>
      <c r="V96">
        <f>30</f>
        <v>30</v>
      </c>
      <c r="W96">
        <f t="shared" ca="1" si="27"/>
        <v>62.714299886977919</v>
      </c>
      <c r="X96">
        <f t="shared" ca="1" si="37"/>
        <v>61.874580909427507</v>
      </c>
      <c r="Y96">
        <f t="shared" ca="1" si="36"/>
        <v>0.80270162640599096</v>
      </c>
      <c r="Z96">
        <f t="shared" ca="1" si="18"/>
        <v>0.7676593932324971</v>
      </c>
      <c r="AA96">
        <f t="shared" ca="1" si="19"/>
        <v>3.5042233173493864E-2</v>
      </c>
    </row>
    <row r="97" spans="1:28" x14ac:dyDescent="0.25">
      <c r="A97" s="20">
        <f t="shared" ca="1" si="20"/>
        <v>45425</v>
      </c>
      <c r="B97" vm="275">
        <f ca="1"/>
        <v>45429</v>
      </c>
      <c r="C97" vm="276">
        <f ca="1"/>
        <v>63.03</v>
      </c>
      <c r="D97" vm="277">
        <f ca="1"/>
        <v>11539022</v>
      </c>
      <c r="E97">
        <f t="shared" ca="1" si="21"/>
        <v>727304556.65999997</v>
      </c>
      <c r="F97">
        <f ca="1">SUM($E$2:E97)/SUM($D$2:D97)</f>
        <v>60.341266077020315</v>
      </c>
      <c r="G97">
        <f ca="1">_xlfn.STDEV.P($C$2:C97)</f>
        <v>1.2144993136676967</v>
      </c>
      <c r="H97">
        <f t="shared" ca="1" si="22"/>
        <v>61.555765390688009</v>
      </c>
      <c r="I97">
        <f t="shared" ca="1" si="23"/>
        <v>59.12676676335262</v>
      </c>
      <c r="J97">
        <f t="shared" ca="1" si="32"/>
        <v>62.311999999999998</v>
      </c>
      <c r="K97">
        <f t="shared" ca="1" si="33"/>
        <v>0.85252936359369702</v>
      </c>
      <c r="L97">
        <f t="shared" ca="1" si="34"/>
        <v>64.01705872718739</v>
      </c>
      <c r="M97">
        <f t="shared" ca="1" si="35"/>
        <v>60.606941272812605</v>
      </c>
      <c r="N97">
        <f t="shared" ca="1" si="24"/>
        <v>-0.28999999999999915</v>
      </c>
      <c r="O97">
        <f t="shared" ca="1" si="25"/>
        <v>0</v>
      </c>
      <c r="P97">
        <f t="shared" ca="1" si="26"/>
        <v>0.28999999999999915</v>
      </c>
      <c r="Q97">
        <f t="shared" ca="1" si="30"/>
        <v>0.18313925129968509</v>
      </c>
      <c r="R97">
        <f t="shared" ca="1" si="31"/>
        <v>9.7417179503476267E-2</v>
      </c>
      <c r="S97">
        <f t="shared" ca="1" si="28"/>
        <v>1.879948200441893</v>
      </c>
      <c r="T97">
        <f t="shared" ca="1" si="29"/>
        <v>65.277153254125807</v>
      </c>
      <c r="U97">
        <f>70</f>
        <v>70</v>
      </c>
      <c r="V97">
        <f>30</f>
        <v>30</v>
      </c>
      <c r="W97">
        <f t="shared" ca="1" si="27"/>
        <v>62.762869135135162</v>
      </c>
      <c r="X97">
        <f t="shared" ca="1" si="37"/>
        <v>61.960167508729171</v>
      </c>
      <c r="Y97">
        <f t="shared" ca="1" si="36"/>
        <v>0.72785667463863746</v>
      </c>
      <c r="Z97">
        <f t="shared" ca="1" si="18"/>
        <v>0.75969884951372513</v>
      </c>
      <c r="AA97">
        <f t="shared" ca="1" si="19"/>
        <v>-3.184217487508767E-2</v>
      </c>
    </row>
    <row r="98" spans="1:28" x14ac:dyDescent="0.25">
      <c r="A98" s="20">
        <f t="shared" ca="1" si="20"/>
        <v>45432</v>
      </c>
      <c r="B98" vm="278">
        <f ca="1"/>
        <v>45432</v>
      </c>
      <c r="C98" vm="279">
        <f ca="1"/>
        <v>62.57</v>
      </c>
      <c r="D98" vm="280">
        <f ca="1"/>
        <v>11000888</v>
      </c>
      <c r="E98">
        <f t="shared" ca="1" si="21"/>
        <v>688325562.15999997</v>
      </c>
      <c r="F98">
        <f ca="1">SUM($E$2:E98)/SUM($D$2:D98)</f>
        <v>60.359889460141744</v>
      </c>
      <c r="G98">
        <f ca="1">_xlfn.STDEV.P($C$2:C98)</f>
        <v>1.2278298925683859</v>
      </c>
      <c r="H98">
        <f t="shared" ca="1" si="22"/>
        <v>61.587719352710131</v>
      </c>
      <c r="I98">
        <f t="shared" ca="1" si="23"/>
        <v>59.132059567573357</v>
      </c>
      <c r="J98">
        <f t="shared" ca="1" si="32"/>
        <v>62.412999999999997</v>
      </c>
      <c r="K98">
        <f t="shared" ca="1" si="33"/>
        <v>0.74576770759011168</v>
      </c>
      <c r="L98">
        <f t="shared" ca="1" si="34"/>
        <v>63.90453541518022</v>
      </c>
      <c r="M98">
        <f t="shared" ca="1" si="35"/>
        <v>60.921464584819773</v>
      </c>
      <c r="N98">
        <f t="shared" ca="1" si="24"/>
        <v>-0.46000000000000085</v>
      </c>
      <c r="O98">
        <f t="shared" ca="1" si="25"/>
        <v>0</v>
      </c>
      <c r="P98">
        <f t="shared" ca="1" si="26"/>
        <v>0.46000000000000085</v>
      </c>
      <c r="Q98">
        <f t="shared" ca="1" si="30"/>
        <v>0.17005787620685045</v>
      </c>
      <c r="R98">
        <f t="shared" ca="1" si="31"/>
        <v>0.12331595239608517</v>
      </c>
      <c r="S98">
        <f t="shared" ca="1" si="28"/>
        <v>1.3790419885063399</v>
      </c>
      <c r="T98">
        <f t="shared" ca="1" si="29"/>
        <v>57.966273616387873</v>
      </c>
      <c r="U98">
        <f>70</f>
        <v>70</v>
      </c>
      <c r="V98">
        <f>30</f>
        <v>30</v>
      </c>
      <c r="W98">
        <f t="shared" ca="1" si="27"/>
        <v>62.733196960498987</v>
      </c>
      <c r="X98">
        <f t="shared" ca="1" si="37"/>
        <v>62.005340285860349</v>
      </c>
      <c r="Y98">
        <f t="shared" ca="1" si="36"/>
        <v>0.68804531157717008</v>
      </c>
      <c r="Z98">
        <f t="shared" ca="1" si="18"/>
        <v>0.74536814192641421</v>
      </c>
      <c r="AA98">
        <f t="shared" ca="1" si="19"/>
        <v>-5.7322830349244125E-2</v>
      </c>
    </row>
    <row r="99" spans="1:28" x14ac:dyDescent="0.25">
      <c r="A99" s="20">
        <f t="shared" ca="1" si="20"/>
        <v>45432</v>
      </c>
      <c r="B99" vm="281">
        <f ca="1"/>
        <v>45433</v>
      </c>
      <c r="C99" vm="282">
        <f ca="1"/>
        <v>62.91</v>
      </c>
      <c r="D99" vm="283">
        <f ca="1"/>
        <v>9796202</v>
      </c>
      <c r="E99">
        <f t="shared" ca="1" si="21"/>
        <v>616279067.81999993</v>
      </c>
      <c r="F99">
        <f ca="1">SUM($E$2:E99)/SUM($D$2:D99)</f>
        <v>60.37872463840317</v>
      </c>
      <c r="G99">
        <f ca="1">_xlfn.STDEV.P($C$2:C99)</f>
        <v>1.2467433002532495</v>
      </c>
      <c r="H99">
        <f t="shared" ca="1" si="22"/>
        <v>61.625467938656421</v>
      </c>
      <c r="I99">
        <f t="shared" ca="1" si="23"/>
        <v>59.13198133814992</v>
      </c>
      <c r="J99">
        <f t="shared" ca="1" si="32"/>
        <v>62.526499999999999</v>
      </c>
      <c r="K99">
        <f t="shared" ca="1" si="33"/>
        <v>0.62462852118173706</v>
      </c>
      <c r="L99">
        <f t="shared" ca="1" si="34"/>
        <v>63.775757042363473</v>
      </c>
      <c r="M99">
        <f t="shared" ca="1" si="35"/>
        <v>61.277242957636524</v>
      </c>
      <c r="N99">
        <f t="shared" ca="1" si="24"/>
        <v>0.33999999999999631</v>
      </c>
      <c r="O99">
        <f t="shared" ca="1" si="25"/>
        <v>0.33999999999999631</v>
      </c>
      <c r="P99">
        <f t="shared" ca="1" si="26"/>
        <v>0</v>
      </c>
      <c r="Q99">
        <f t="shared" ca="1" si="30"/>
        <v>0.18219659933493232</v>
      </c>
      <c r="R99">
        <f t="shared" ca="1" si="31"/>
        <v>0.11450767008207909</v>
      </c>
      <c r="S99">
        <f t="shared" ca="1" si="28"/>
        <v>1.5911300894021669</v>
      </c>
      <c r="T99">
        <f t="shared" ca="1" si="29"/>
        <v>61.406800681677744</v>
      </c>
      <c r="U99">
        <f>70</f>
        <v>70</v>
      </c>
      <c r="V99">
        <f>30</f>
        <v>30</v>
      </c>
      <c r="W99">
        <f t="shared" ca="1" si="27"/>
        <v>62.76039742811453</v>
      </c>
      <c r="X99">
        <f t="shared" ca="1" si="37"/>
        <v>62.07235211653736</v>
      </c>
      <c r="Y99">
        <f t="shared" ca="1" si="36"/>
        <v>0.65619258767912925</v>
      </c>
      <c r="Z99">
        <f t="shared" ca="1" si="18"/>
        <v>0.72753303107695722</v>
      </c>
      <c r="AA99">
        <f t="shared" ca="1" si="19"/>
        <v>-7.1340443397827968E-2</v>
      </c>
    </row>
    <row r="100" spans="1:28" x14ac:dyDescent="0.25">
      <c r="A100" s="20">
        <f t="shared" ca="1" si="20"/>
        <v>45432</v>
      </c>
      <c r="B100" vm="284">
        <f ca="1"/>
        <v>45434</v>
      </c>
      <c r="C100" vm="285">
        <f ca="1"/>
        <v>63</v>
      </c>
      <c r="D100" vm="286">
        <f ca="1"/>
        <v>7419406</v>
      </c>
      <c r="E100">
        <f t="shared" ca="1" si="21"/>
        <v>467422578</v>
      </c>
      <c r="F100">
        <f ca="1">SUM($E$2:E100)/SUM($D$2:D100)</f>
        <v>60.393306470980974</v>
      </c>
      <c r="G100">
        <f ca="1">_xlfn.STDEV.P($C$2:C100)</f>
        <v>1.2662873870320568</v>
      </c>
      <c r="H100">
        <f t="shared" ca="1" si="22"/>
        <v>61.659593858013032</v>
      </c>
      <c r="I100">
        <f t="shared" ca="1" si="23"/>
        <v>59.127019083948916</v>
      </c>
      <c r="J100">
        <f t="shared" ca="1" si="32"/>
        <v>62.599000000000011</v>
      </c>
      <c r="K100">
        <f t="shared" ca="1" si="33"/>
        <v>0.5884225120027089</v>
      </c>
      <c r="L100">
        <f t="shared" ca="1" si="34"/>
        <v>63.775845024005427</v>
      </c>
      <c r="M100">
        <f t="shared" ca="1" si="35"/>
        <v>61.422154975994594</v>
      </c>
      <c r="N100">
        <f t="shared" ca="1" si="24"/>
        <v>9.0000000000003411E-2</v>
      </c>
      <c r="O100">
        <f t="shared" ca="1" si="25"/>
        <v>9.0000000000003411E-2</v>
      </c>
      <c r="P100">
        <f t="shared" ca="1" si="26"/>
        <v>0</v>
      </c>
      <c r="Q100">
        <f t="shared" ca="1" si="30"/>
        <v>0.17561112795386596</v>
      </c>
      <c r="R100">
        <f t="shared" ca="1" si="31"/>
        <v>0.106328550790502</v>
      </c>
      <c r="S100">
        <f t="shared" ca="1" si="28"/>
        <v>1.6515895932774507</v>
      </c>
      <c r="T100">
        <f t="shared" ca="1" si="29"/>
        <v>62.286773091307559</v>
      </c>
      <c r="U100">
        <f>70</f>
        <v>70</v>
      </c>
      <c r="V100">
        <f>30</f>
        <v>30</v>
      </c>
      <c r="W100">
        <f t="shared" ca="1" si="27"/>
        <v>62.797259362250756</v>
      </c>
      <c r="X100">
        <f t="shared" ca="1" si="37"/>
        <v>62.141066774571627</v>
      </c>
      <c r="Y100">
        <f t="shared" ca="1" si="36"/>
        <v>0.55116617906750776</v>
      </c>
      <c r="Z100">
        <f t="shared" ca="1" si="18"/>
        <v>0.69225966067506728</v>
      </c>
      <c r="AA100">
        <f t="shared" ca="1" si="19"/>
        <v>-0.14109348160755952</v>
      </c>
    </row>
    <row r="101" spans="1:28" x14ac:dyDescent="0.25">
      <c r="A101" s="20">
        <f t="shared" ca="1" si="20"/>
        <v>45432</v>
      </c>
      <c r="B101" vm="287">
        <f ca="1"/>
        <v>45435</v>
      </c>
      <c r="C101" vm="288">
        <f ca="1"/>
        <v>62.09</v>
      </c>
      <c r="D101" vm="289">
        <f ca="1"/>
        <v>9834292</v>
      </c>
      <c r="E101">
        <f t="shared" ca="1" si="21"/>
        <v>610611190.28000009</v>
      </c>
      <c r="F101">
        <f ca="1">SUM($E$2:E101)/SUM($D$2:D101)</f>
        <v>60.405725461848988</v>
      </c>
      <c r="G101">
        <f ca="1">_xlfn.STDEV.P($C$2:C101)</f>
        <v>1.2700867529424911</v>
      </c>
      <c r="H101">
        <f t="shared" ca="1" si="22"/>
        <v>61.675812214791478</v>
      </c>
      <c r="I101">
        <f t="shared" ca="1" si="23"/>
        <v>59.135638708906498</v>
      </c>
      <c r="J101">
        <f t="shared" ca="1" si="32"/>
        <v>62.616500000000009</v>
      </c>
      <c r="K101">
        <f t="shared" ca="1" si="33"/>
        <v>0.56632030178206172</v>
      </c>
      <c r="L101">
        <f t="shared" ca="1" si="34"/>
        <v>63.749140603564129</v>
      </c>
      <c r="M101">
        <f t="shared" ca="1" si="35"/>
        <v>61.483859396435889</v>
      </c>
      <c r="N101">
        <f t="shared" ca="1" si="24"/>
        <v>-0.90999999999999659</v>
      </c>
      <c r="O101">
        <f t="shared" ca="1" si="25"/>
        <v>0</v>
      </c>
      <c r="P101">
        <f t="shared" ca="1" si="26"/>
        <v>0.90999999999999659</v>
      </c>
      <c r="Q101">
        <f t="shared" ca="1" si="30"/>
        <v>0.16306747595716126</v>
      </c>
      <c r="R101">
        <f t="shared" ca="1" si="31"/>
        <v>0.16373365430546591</v>
      </c>
      <c r="S101">
        <f t="shared" ca="1" si="28"/>
        <v>0.99593132913859106</v>
      </c>
      <c r="T101">
        <f t="shared" ca="1" si="29"/>
        <v>49.898075880617476</v>
      </c>
      <c r="U101">
        <f>70</f>
        <v>70</v>
      </c>
      <c r="V101">
        <f>30</f>
        <v>30</v>
      </c>
      <c r="W101">
        <f t="shared" ca="1" si="27"/>
        <v>62.688450229596796</v>
      </c>
      <c r="X101">
        <f t="shared" ca="1" si="37"/>
        <v>62.137284050529288</v>
      </c>
      <c r="Y101">
        <f t="shared" ca="1" si="36"/>
        <v>0.45541994805763863</v>
      </c>
      <c r="Z101">
        <f t="shared" ca="1" si="18"/>
        <v>0.64489171815158164</v>
      </c>
      <c r="AA101">
        <f t="shared" ca="1" si="19"/>
        <v>-0.189471770093943</v>
      </c>
      <c r="AB101">
        <f ca="1">AVERAGE(C2:C101)</f>
        <v>60.495800000000017</v>
      </c>
    </row>
    <row r="102" spans="1:28" x14ac:dyDescent="0.25">
      <c r="A102" s="20">
        <f t="shared" ca="1" si="20"/>
        <v>45432</v>
      </c>
      <c r="B102" vm="290">
        <f ca="1"/>
        <v>45436</v>
      </c>
      <c r="C102" vm="291">
        <f ca="1"/>
        <v>62</v>
      </c>
      <c r="D102" vm="292">
        <f ca="1"/>
        <v>8203136</v>
      </c>
      <c r="E102">
        <f t="shared" ca="1" si="21"/>
        <v>508594432</v>
      </c>
      <c r="F102">
        <f ca="1">SUM($E$2:E102)/SUM($D$2:D102)</f>
        <v>60.415400202081457</v>
      </c>
      <c r="G102">
        <f ca="1">_xlfn.STDEV.P($C$2:C102)</f>
        <v>1.2725286726141902</v>
      </c>
      <c r="H102">
        <f t="shared" ca="1" si="22"/>
        <v>61.68792887469565</v>
      </c>
      <c r="I102">
        <f t="shared" ca="1" si="23"/>
        <v>59.142871529467264</v>
      </c>
      <c r="J102">
        <f t="shared" ca="1" si="32"/>
        <v>62.629500000000007</v>
      </c>
      <c r="K102">
        <f t="shared" ca="1" si="33"/>
        <v>0.54782320428938946</v>
      </c>
      <c r="L102">
        <f t="shared" ca="1" si="34"/>
        <v>63.725146408578787</v>
      </c>
      <c r="M102">
        <f t="shared" ca="1" si="35"/>
        <v>61.533853591421227</v>
      </c>
      <c r="N102">
        <f t="shared" ca="1" si="24"/>
        <v>-9.0000000000003411E-2</v>
      </c>
      <c r="O102">
        <f t="shared" ca="1" si="25"/>
        <v>0</v>
      </c>
      <c r="P102">
        <f t="shared" ca="1" si="26"/>
        <v>9.0000000000003411E-2</v>
      </c>
      <c r="Q102">
        <f t="shared" ca="1" si="30"/>
        <v>0.15141979910307832</v>
      </c>
      <c r="R102">
        <f t="shared" ca="1" si="31"/>
        <v>0.15846696471221858</v>
      </c>
      <c r="S102">
        <f t="shared" ca="1" si="28"/>
        <v>0.95552911850152389</v>
      </c>
      <c r="T102">
        <f t="shared" ca="1" si="29"/>
        <v>48.862945044445233</v>
      </c>
      <c r="U102">
        <f>70</f>
        <v>70</v>
      </c>
      <c r="V102">
        <f>30</f>
        <v>30</v>
      </c>
      <c r="W102">
        <f t="shared" ca="1" si="27"/>
        <v>62.582534809658831</v>
      </c>
      <c r="X102">
        <f t="shared" ca="1" si="37"/>
        <v>62.127114861601193</v>
      </c>
      <c r="Y102">
        <f t="shared" ca="1" si="36"/>
        <v>0.36085614942531663</v>
      </c>
      <c r="Z102">
        <f t="shared" ref="Z102:Z165" ca="1" si="38">Y102*(2/(9+1)) + Z101*(1-(2/(9+1)))</f>
        <v>0.58808460440632859</v>
      </c>
      <c r="AA102">
        <f t="shared" ref="AA102:AA165" ca="1" si="39">Y102-Z102</f>
        <v>-0.22722845498101196</v>
      </c>
      <c r="AB102">
        <f t="shared" ref="AB102:AB165" ca="1" si="40">AVERAGE(C3:C102)</f>
        <v>60.517600000000023</v>
      </c>
    </row>
    <row r="103" spans="1:28" x14ac:dyDescent="0.25">
      <c r="A103" s="20">
        <f t="shared" ca="1" si="20"/>
        <v>45439</v>
      </c>
      <c r="B103" vm="293">
        <f ca="1"/>
        <v>45440</v>
      </c>
      <c r="C103" vm="294">
        <f ca="1"/>
        <v>61.82</v>
      </c>
      <c r="D103" vm="295">
        <f ca="1"/>
        <v>12346998</v>
      </c>
      <c r="E103">
        <f t="shared" ca="1" si="21"/>
        <v>763291416.36000001</v>
      </c>
      <c r="F103">
        <f ca="1">SUM($E$2:E103)/SUM($D$2:D103)</f>
        <v>60.428113594779809</v>
      </c>
      <c r="G103">
        <f ca="1">_xlfn.STDEV.P($C$2:C103)</f>
        <v>1.2728296768970506</v>
      </c>
      <c r="H103">
        <f t="shared" ca="1" si="22"/>
        <v>61.700943271676863</v>
      </c>
      <c r="I103">
        <f t="shared" ca="1" si="23"/>
        <v>59.155283917882755</v>
      </c>
      <c r="J103">
        <f t="shared" ca="1" si="32"/>
        <v>62.618499999999997</v>
      </c>
      <c r="K103">
        <f t="shared" ca="1" si="33"/>
        <v>0.56230049093457357</v>
      </c>
      <c r="L103">
        <f t="shared" ca="1" si="34"/>
        <v>63.743100981869148</v>
      </c>
      <c r="M103">
        <f t="shared" ca="1" si="35"/>
        <v>61.493899018130847</v>
      </c>
      <c r="N103">
        <f t="shared" ca="1" si="24"/>
        <v>-0.17999999999999972</v>
      </c>
      <c r="O103">
        <f t="shared" ca="1" si="25"/>
        <v>0</v>
      </c>
      <c r="P103">
        <f t="shared" ca="1" si="26"/>
        <v>0.17999999999999972</v>
      </c>
      <c r="Q103">
        <f t="shared" ca="1" si="30"/>
        <v>0.14060409916714414</v>
      </c>
      <c r="R103">
        <f t="shared" ca="1" si="31"/>
        <v>0.1600050386613458</v>
      </c>
      <c r="S103">
        <f t="shared" ca="1" si="28"/>
        <v>0.87874794658645605</v>
      </c>
      <c r="T103">
        <f t="shared" ca="1" si="29"/>
        <v>46.773062250477778</v>
      </c>
      <c r="U103">
        <f>70</f>
        <v>70</v>
      </c>
      <c r="V103">
        <f>30</f>
        <v>30</v>
      </c>
      <c r="W103">
        <f t="shared" ca="1" si="27"/>
        <v>62.465221762019013</v>
      </c>
      <c r="X103">
        <f t="shared" ca="1" si="37"/>
        <v>62.104365612593696</v>
      </c>
      <c r="Y103">
        <f t="shared" ca="1" si="36"/>
        <v>0.27308273283958329</v>
      </c>
      <c r="Z103">
        <f t="shared" ca="1" si="38"/>
        <v>0.52508423009297955</v>
      </c>
      <c r="AA103">
        <f t="shared" ca="1" si="39"/>
        <v>-0.25200149725339627</v>
      </c>
      <c r="AB103">
        <f t="shared" ca="1" si="40"/>
        <v>60.536200000000029</v>
      </c>
    </row>
    <row r="104" spans="1:28" x14ac:dyDescent="0.25">
      <c r="A104" s="20">
        <f t="shared" ca="1" si="20"/>
        <v>45439</v>
      </c>
      <c r="B104" vm="296">
        <f ca="1"/>
        <v>45441</v>
      </c>
      <c r="C104" vm="297">
        <f ca="1"/>
        <v>61.7</v>
      </c>
      <c r="D104" vm="298">
        <f ca="1"/>
        <v>11861815</v>
      </c>
      <c r="E104">
        <f t="shared" ca="1" si="21"/>
        <v>731873985.5</v>
      </c>
      <c r="F104">
        <f ca="1">SUM($E$2:E104)/SUM($D$2:D104)</f>
        <v>60.439078044384956</v>
      </c>
      <c r="G104">
        <f ca="1">_xlfn.STDEV.P($C$2:C104)</f>
        <v>1.2718779585057802</v>
      </c>
      <c r="H104">
        <f t="shared" ca="1" si="22"/>
        <v>61.71095600289074</v>
      </c>
      <c r="I104">
        <f t="shared" ca="1" si="23"/>
        <v>59.167200085879173</v>
      </c>
      <c r="J104">
        <f t="shared" ca="1" si="32"/>
        <v>62.614999999999995</v>
      </c>
      <c r="K104">
        <f t="shared" ca="1" si="33"/>
        <v>0.56804836710303142</v>
      </c>
      <c r="L104">
        <f t="shared" ca="1" si="34"/>
        <v>63.751096734206058</v>
      </c>
      <c r="M104">
        <f t="shared" ca="1" si="35"/>
        <v>61.478903265793932</v>
      </c>
      <c r="N104">
        <f t="shared" ca="1" si="24"/>
        <v>-0.11999999999999744</v>
      </c>
      <c r="O104">
        <f t="shared" ca="1" si="25"/>
        <v>0</v>
      </c>
      <c r="P104">
        <f t="shared" ca="1" si="26"/>
        <v>0.11999999999999744</v>
      </c>
      <c r="Q104">
        <f t="shared" ca="1" si="30"/>
        <v>0.13056094922663383</v>
      </c>
      <c r="R104">
        <f t="shared" ca="1" si="31"/>
        <v>0.15714753589982092</v>
      </c>
      <c r="S104">
        <f t="shared" ca="1" si="28"/>
        <v>0.83081766748073216</v>
      </c>
      <c r="T104">
        <f t="shared" ca="1" si="29"/>
        <v>45.37959635401409</v>
      </c>
      <c r="U104">
        <f>70</f>
        <v>70</v>
      </c>
      <c r="V104">
        <f>30</f>
        <v>30</v>
      </c>
      <c r="W104">
        <f t="shared" ca="1" si="27"/>
        <v>62.347495337093008</v>
      </c>
      <c r="X104">
        <f t="shared" ca="1" si="37"/>
        <v>62.074412604253425</v>
      </c>
      <c r="Y104">
        <f t="shared" ca="1" si="36"/>
        <v>0.22274079411470638</v>
      </c>
      <c r="Z104">
        <f t="shared" ca="1" si="38"/>
        <v>0.46461554289732493</v>
      </c>
      <c r="AA104">
        <f t="shared" ca="1" si="39"/>
        <v>-0.24187474878261855</v>
      </c>
      <c r="AB104">
        <f t="shared" ca="1" si="40"/>
        <v>60.55560000000002</v>
      </c>
    </row>
    <row r="105" spans="1:28" x14ac:dyDescent="0.25">
      <c r="A105" s="20">
        <f t="shared" ca="1" si="20"/>
        <v>45439</v>
      </c>
      <c r="B105" vm="299">
        <f ca="1"/>
        <v>45442</v>
      </c>
      <c r="C105" vm="300">
        <f ca="1"/>
        <v>61.97</v>
      </c>
      <c r="D105" vm="301">
        <f ca="1"/>
        <v>9436821</v>
      </c>
      <c r="E105">
        <f t="shared" ca="1" si="21"/>
        <v>584799797.37</v>
      </c>
      <c r="F105">
        <f ca="1">SUM($E$2:E105)/SUM($D$2:D105)</f>
        <v>60.449505967045923</v>
      </c>
      <c r="G105">
        <f ca="1">_xlfn.STDEV.P($C$2:C105)</f>
        <v>1.2734716990452639</v>
      </c>
      <c r="H105">
        <f t="shared" ca="1" si="22"/>
        <v>61.72297766609119</v>
      </c>
      <c r="I105">
        <f t="shared" ca="1" si="23"/>
        <v>59.176034268000656</v>
      </c>
      <c r="J105">
        <f t="shared" ca="1" si="32"/>
        <v>62.616999999999997</v>
      </c>
      <c r="K105">
        <f t="shared" ca="1" si="33"/>
        <v>0.56557469607657007</v>
      </c>
      <c r="L105">
        <f t="shared" ca="1" si="34"/>
        <v>63.748149392153138</v>
      </c>
      <c r="M105">
        <f t="shared" ca="1" si="35"/>
        <v>61.485850607846857</v>
      </c>
      <c r="N105">
        <f t="shared" ca="1" si="24"/>
        <v>0.26999999999999602</v>
      </c>
      <c r="O105">
        <f t="shared" ca="1" si="25"/>
        <v>0.26999999999999602</v>
      </c>
      <c r="P105">
        <f t="shared" ca="1" si="26"/>
        <v>0</v>
      </c>
      <c r="Q105">
        <f t="shared" ca="1" si="30"/>
        <v>0.14052088142473113</v>
      </c>
      <c r="R105">
        <f t="shared" ca="1" si="31"/>
        <v>0.14592271190697656</v>
      </c>
      <c r="S105">
        <f t="shared" ca="1" si="28"/>
        <v>0.96298156461285467</v>
      </c>
      <c r="T105">
        <f t="shared" ca="1" si="29"/>
        <v>49.057086524537837</v>
      </c>
      <c r="U105">
        <f>70</f>
        <v>70</v>
      </c>
      <c r="V105">
        <f>30</f>
        <v>30</v>
      </c>
      <c r="W105">
        <f t="shared" ca="1" si="27"/>
        <v>62.289419131386396</v>
      </c>
      <c r="X105">
        <f t="shared" ca="1" si="37"/>
        <v>62.066678337271689</v>
      </c>
      <c r="Y105">
        <f t="shared" ca="1" si="36"/>
        <v>0.25734194418365064</v>
      </c>
      <c r="Z105">
        <f t="shared" ca="1" si="38"/>
        <v>0.42316082315459014</v>
      </c>
      <c r="AA105">
        <f t="shared" ca="1" si="39"/>
        <v>-0.1658188789709395</v>
      </c>
      <c r="AB105">
        <f t="shared" ca="1" si="40"/>
        <v>60.578600000000023</v>
      </c>
    </row>
    <row r="106" spans="1:28" x14ac:dyDescent="0.25">
      <c r="A106" s="20">
        <f t="shared" ca="1" si="20"/>
        <v>45439</v>
      </c>
      <c r="B106" vm="302">
        <f ca="1"/>
        <v>45443</v>
      </c>
      <c r="C106" vm="303">
        <f ca="1"/>
        <v>62.93</v>
      </c>
      <c r="D106" vm="304">
        <f ca="1"/>
        <v>19816630</v>
      </c>
      <c r="E106">
        <f t="shared" ca="1" si="21"/>
        <v>1247060525.9000001</v>
      </c>
      <c r="F106">
        <f ca="1">SUM($E$2:E106)/SUM($D$2:D106)</f>
        <v>60.48448590252638</v>
      </c>
      <c r="G106">
        <f ca="1">_xlfn.STDEV.P($C$2:C106)</f>
        <v>1.2883222227610081</v>
      </c>
      <c r="H106">
        <f t="shared" ca="1" si="22"/>
        <v>61.772808125287391</v>
      </c>
      <c r="I106">
        <f t="shared" ca="1" si="23"/>
        <v>59.19616367976537</v>
      </c>
      <c r="J106">
        <f t="shared" ca="1" si="32"/>
        <v>62.664000000000009</v>
      </c>
      <c r="K106">
        <f t="shared" ca="1" si="33"/>
        <v>0.54955867461273378</v>
      </c>
      <c r="L106">
        <f t="shared" ca="1" si="34"/>
        <v>63.763117349225475</v>
      </c>
      <c r="M106">
        <f t="shared" ca="1" si="35"/>
        <v>61.564882650774543</v>
      </c>
      <c r="N106">
        <f t="shared" ca="1" si="24"/>
        <v>0.96000000000000085</v>
      </c>
      <c r="O106">
        <f t="shared" ca="1" si="25"/>
        <v>0.96000000000000085</v>
      </c>
      <c r="P106">
        <f t="shared" ca="1" si="26"/>
        <v>0</v>
      </c>
      <c r="Q106">
        <f t="shared" ca="1" si="30"/>
        <v>0.19905510418010755</v>
      </c>
      <c r="R106">
        <f t="shared" ca="1" si="31"/>
        <v>0.13549966105647823</v>
      </c>
      <c r="S106">
        <f t="shared" ca="1" si="28"/>
        <v>1.4690450339734686</v>
      </c>
      <c r="T106">
        <f t="shared" ca="1" si="29"/>
        <v>59.498511115016562</v>
      </c>
      <c r="U106">
        <f>70</f>
        <v>70</v>
      </c>
      <c r="V106">
        <f>30</f>
        <v>30</v>
      </c>
      <c r="W106">
        <f t="shared" ca="1" si="27"/>
        <v>62.387970034250031</v>
      </c>
      <c r="X106">
        <f t="shared" ca="1" si="37"/>
        <v>62.130628090066381</v>
      </c>
      <c r="Y106">
        <f t="shared" ca="1" si="36"/>
        <v>0.28151843561449397</v>
      </c>
      <c r="Z106">
        <f t="shared" ca="1" si="38"/>
        <v>0.39483234564657094</v>
      </c>
      <c r="AA106">
        <f t="shared" ca="1" si="39"/>
        <v>-0.11331391003207697</v>
      </c>
      <c r="AB106">
        <f t="shared" ca="1" si="40"/>
        <v>60.606800000000014</v>
      </c>
    </row>
    <row r="107" spans="1:28" x14ac:dyDescent="0.25">
      <c r="A107" s="20">
        <f t="shared" ca="1" si="20"/>
        <v>45446</v>
      </c>
      <c r="B107" vm="305">
        <f ca="1"/>
        <v>45446</v>
      </c>
      <c r="C107" vm="303">
        <f ca="1"/>
        <v>62.93</v>
      </c>
      <c r="D107" vm="306">
        <f ca="1"/>
        <v>9369046</v>
      </c>
      <c r="E107">
        <f t="shared" ca="1" si="21"/>
        <v>589594064.77999997</v>
      </c>
      <c r="F107">
        <f ca="1">SUM($E$2:E107)/SUM($D$2:D107)</f>
        <v>60.500682754801552</v>
      </c>
      <c r="G107">
        <f ca="1">_xlfn.STDEV.P($C$2:C107)</f>
        <v>1.3023442763330837</v>
      </c>
      <c r="H107">
        <f t="shared" ca="1" si="22"/>
        <v>61.803027031134633</v>
      </c>
      <c r="I107">
        <f t="shared" ca="1" si="23"/>
        <v>59.198338478468472</v>
      </c>
      <c r="J107">
        <f t="shared" ca="1" si="32"/>
        <v>62.702000000000012</v>
      </c>
      <c r="K107">
        <f t="shared" ca="1" si="33"/>
        <v>0.53979138270456362</v>
      </c>
      <c r="L107">
        <f t="shared" ca="1" si="34"/>
        <v>63.781582765409141</v>
      </c>
      <c r="M107">
        <f t="shared" ca="1" si="35"/>
        <v>61.622417234590884</v>
      </c>
      <c r="N107">
        <f t="shared" ca="1" si="24"/>
        <v>0</v>
      </c>
      <c r="O107">
        <f t="shared" ca="1" si="25"/>
        <v>0</v>
      </c>
      <c r="P107">
        <f t="shared" ca="1" si="26"/>
        <v>0</v>
      </c>
      <c r="Q107">
        <f t="shared" ca="1" si="30"/>
        <v>0.18483688245295701</v>
      </c>
      <c r="R107">
        <f t="shared" ca="1" si="31"/>
        <v>0.12582111383815836</v>
      </c>
      <c r="S107">
        <f t="shared" ca="1" si="28"/>
        <v>1.4690450339734686</v>
      </c>
      <c r="T107">
        <f t="shared" ca="1" si="29"/>
        <v>59.498511115016562</v>
      </c>
      <c r="U107">
        <f>70</f>
        <v>70</v>
      </c>
      <c r="V107">
        <f>30</f>
        <v>30</v>
      </c>
      <c r="W107">
        <f t="shared" ca="1" si="27"/>
        <v>62.471359259750031</v>
      </c>
      <c r="X107">
        <f t="shared" ca="1" si="37"/>
        <v>62.189840824135537</v>
      </c>
      <c r="Y107">
        <f t="shared" ca="1" si="36"/>
        <v>0.37782174444932082</v>
      </c>
      <c r="Z107">
        <f t="shared" ca="1" si="38"/>
        <v>0.39143022540712097</v>
      </c>
      <c r="AA107">
        <f t="shared" ca="1" si="39"/>
        <v>-1.3608480957800151E-2</v>
      </c>
      <c r="AB107">
        <f t="shared" ca="1" si="40"/>
        <v>60.636100000000027</v>
      </c>
    </row>
    <row r="108" spans="1:28" x14ac:dyDescent="0.25">
      <c r="A108" s="20">
        <f t="shared" ca="1" si="20"/>
        <v>45446</v>
      </c>
      <c r="B108" vm="307">
        <f ca="1"/>
        <v>45447</v>
      </c>
      <c r="C108" vm="308">
        <f ca="1"/>
        <v>63.94</v>
      </c>
      <c r="D108" vm="309">
        <f ca="1"/>
        <v>11895622</v>
      </c>
      <c r="E108">
        <f t="shared" ca="1" si="21"/>
        <v>760606070.67999995</v>
      </c>
      <c r="F108">
        <f ca="1">SUM($E$2:E108)/SUM($D$2:D108)</f>
        <v>60.52936331917995</v>
      </c>
      <c r="G108">
        <f ca="1">_xlfn.STDEV.P($C$2:C108)</f>
        <v>1.3356362016795456</v>
      </c>
      <c r="H108">
        <f t="shared" ca="1" si="22"/>
        <v>61.864999520859499</v>
      </c>
      <c r="I108">
        <f t="shared" ca="1" si="23"/>
        <v>59.193727117500401</v>
      </c>
      <c r="J108">
        <f t="shared" ca="1" si="32"/>
        <v>62.781500000000015</v>
      </c>
      <c r="K108">
        <f t="shared" ca="1" si="33"/>
        <v>0.59905429856698145</v>
      </c>
      <c r="L108">
        <f t="shared" ca="1" si="34"/>
        <v>63.979608597133975</v>
      </c>
      <c r="M108">
        <f t="shared" ca="1" si="35"/>
        <v>61.583391402866056</v>
      </c>
      <c r="N108">
        <f t="shared" ca="1" si="24"/>
        <v>1.009999999999998</v>
      </c>
      <c r="O108">
        <f t="shared" ca="1" si="25"/>
        <v>1.009999999999998</v>
      </c>
      <c r="P108">
        <f t="shared" ca="1" si="26"/>
        <v>0</v>
      </c>
      <c r="Q108">
        <f t="shared" ca="1" si="30"/>
        <v>0.24377710513488851</v>
      </c>
      <c r="R108">
        <f t="shared" ca="1" si="31"/>
        <v>0.11683389142114706</v>
      </c>
      <c r="S108">
        <f t="shared" ca="1" si="28"/>
        <v>2.0865273095813754</v>
      </c>
      <c r="T108">
        <f t="shared" ca="1" si="29"/>
        <v>67.601129045716121</v>
      </c>
      <c r="U108">
        <f>70</f>
        <v>70</v>
      </c>
      <c r="V108">
        <f>30</f>
        <v>30</v>
      </c>
      <c r="W108">
        <f t="shared" ca="1" si="27"/>
        <v>62.697303989019261</v>
      </c>
      <c r="X108">
        <f t="shared" ca="1" si="37"/>
        <v>62.31948224456994</v>
      </c>
      <c r="Y108">
        <f t="shared" ca="1" si="36"/>
        <v>0.44737195228914572</v>
      </c>
      <c r="Z108">
        <f t="shared" ca="1" si="38"/>
        <v>0.40261857078352592</v>
      </c>
      <c r="AA108">
        <f t="shared" ca="1" si="39"/>
        <v>4.4753381505619805E-2</v>
      </c>
      <c r="AB108">
        <f t="shared" ca="1" si="40"/>
        <v>60.673500000000011</v>
      </c>
    </row>
    <row r="109" spans="1:28" x14ac:dyDescent="0.25">
      <c r="A109" s="20">
        <f t="shared" ca="1" si="20"/>
        <v>45446</v>
      </c>
      <c r="B109" vm="310">
        <f ca="1"/>
        <v>45448</v>
      </c>
      <c r="C109" vm="311">
        <f ca="1"/>
        <v>63.92</v>
      </c>
      <c r="D109" vm="312">
        <f ca="1"/>
        <v>9632525</v>
      </c>
      <c r="E109">
        <f t="shared" ca="1" si="21"/>
        <v>615710998</v>
      </c>
      <c r="F109">
        <f ca="1">SUM($E$2:E109)/SUM($D$2:D109)</f>
        <v>60.552105230343152</v>
      </c>
      <c r="G109">
        <f ca="1">_xlfn.STDEV.P($C$2:C109)</f>
        <v>1.3663843775258766</v>
      </c>
      <c r="H109">
        <f t="shared" ca="1" si="22"/>
        <v>61.918489607869027</v>
      </c>
      <c r="I109">
        <f t="shared" ca="1" si="23"/>
        <v>59.185720852817276</v>
      </c>
      <c r="J109">
        <f t="shared" ca="1" si="32"/>
        <v>62.846500000000013</v>
      </c>
      <c r="K109">
        <f t="shared" ca="1" si="33"/>
        <v>0.64905011565485315</v>
      </c>
      <c r="L109">
        <f t="shared" ca="1" si="34"/>
        <v>64.144600231309724</v>
      </c>
      <c r="M109">
        <f t="shared" ca="1" si="35"/>
        <v>61.548399768690309</v>
      </c>
      <c r="N109">
        <f t="shared" ca="1" si="24"/>
        <v>-1.9999999999996021E-2</v>
      </c>
      <c r="O109">
        <f t="shared" ca="1" si="25"/>
        <v>0</v>
      </c>
      <c r="P109">
        <f t="shared" ca="1" si="26"/>
        <v>1.9999999999996021E-2</v>
      </c>
      <c r="Q109">
        <f t="shared" ca="1" si="30"/>
        <v>0.22636445476811076</v>
      </c>
      <c r="R109">
        <f t="shared" ca="1" si="31"/>
        <v>0.10991718489106483</v>
      </c>
      <c r="S109">
        <f t="shared" ca="1" si="28"/>
        <v>2.0594091360004612</v>
      </c>
      <c r="T109">
        <f t="shared" ca="1" si="29"/>
        <v>67.313949996655523</v>
      </c>
      <c r="U109">
        <f>70</f>
        <v>70</v>
      </c>
      <c r="V109">
        <f>30</f>
        <v>30</v>
      </c>
      <c r="W109">
        <f t="shared" ca="1" si="27"/>
        <v>62.885411067631679</v>
      </c>
      <c r="X109">
        <f t="shared" ca="1" si="37"/>
        <v>62.438039115342534</v>
      </c>
      <c r="Y109">
        <f t="shared" ca="1" si="36"/>
        <v>0.51511217834839584</v>
      </c>
      <c r="Z109">
        <f t="shared" ca="1" si="38"/>
        <v>0.42511729229649992</v>
      </c>
      <c r="AA109">
        <f t="shared" ca="1" si="39"/>
        <v>8.9994886051895928E-2</v>
      </c>
      <c r="AB109">
        <f t="shared" ca="1" si="40"/>
        <v>60.714600000000019</v>
      </c>
    </row>
    <row r="110" spans="1:28" x14ac:dyDescent="0.25">
      <c r="A110" s="20">
        <f t="shared" ca="1" si="20"/>
        <v>45446</v>
      </c>
      <c r="B110" vm="313">
        <f ca="1"/>
        <v>45449</v>
      </c>
      <c r="C110" vm="314">
        <f ca="1"/>
        <v>64.150000000000006</v>
      </c>
      <c r="D110" vm="315">
        <f ca="1"/>
        <v>8658456</v>
      </c>
      <c r="E110">
        <f t="shared" ca="1" si="21"/>
        <v>555439952.4000001</v>
      </c>
      <c r="F110">
        <f ca="1">SUM($E$2:E110)/SUM($D$2:D110)</f>
        <v>60.573666978289651</v>
      </c>
      <c r="G110">
        <f ca="1">_xlfn.STDEV.P($C$2:C110)</f>
        <v>1.4003159250115393</v>
      </c>
      <c r="H110">
        <f t="shared" ca="1" si="22"/>
        <v>61.973982903301192</v>
      </c>
      <c r="I110">
        <f t="shared" ca="1" si="23"/>
        <v>59.173351053278111</v>
      </c>
      <c r="J110">
        <f t="shared" ca="1" si="32"/>
        <v>62.911500000000011</v>
      </c>
      <c r="K110">
        <f t="shared" ca="1" si="33"/>
        <v>0.71150895988736507</v>
      </c>
      <c r="L110">
        <f t="shared" ca="1" si="34"/>
        <v>64.33451791977474</v>
      </c>
      <c r="M110">
        <f t="shared" ca="1" si="35"/>
        <v>61.488482080225282</v>
      </c>
      <c r="N110">
        <f t="shared" ca="1" si="24"/>
        <v>0.23000000000000398</v>
      </c>
      <c r="O110">
        <f t="shared" ca="1" si="25"/>
        <v>0.23000000000000398</v>
      </c>
      <c r="P110">
        <f t="shared" ca="1" si="26"/>
        <v>0</v>
      </c>
      <c r="Q110">
        <f t="shared" ca="1" si="30"/>
        <v>0.22662413657038885</v>
      </c>
      <c r="R110">
        <f t="shared" ca="1" si="31"/>
        <v>0.10206595739884593</v>
      </c>
      <c r="S110">
        <f t="shared" ca="1" si="28"/>
        <v>2.220369478187556</v>
      </c>
      <c r="T110">
        <f t="shared" ca="1" si="29"/>
        <v>68.94766247248107</v>
      </c>
      <c r="U110">
        <f>70</f>
        <v>70</v>
      </c>
      <c r="V110">
        <f>30</f>
        <v>30</v>
      </c>
      <c r="W110">
        <f t="shared" ca="1" si="27"/>
        <v>63.079963211072965</v>
      </c>
      <c r="X110">
        <f t="shared" ca="1" si="37"/>
        <v>62.564851032724569</v>
      </c>
      <c r="Y110">
        <f t="shared" ca="1" si="36"/>
        <v>0.54316948163301504</v>
      </c>
      <c r="Z110">
        <f t="shared" ca="1" si="38"/>
        <v>0.44872773016380296</v>
      </c>
      <c r="AA110">
        <f t="shared" ca="1" si="39"/>
        <v>9.4441751469212076E-2</v>
      </c>
      <c r="AB110">
        <f t="shared" ca="1" si="40"/>
        <v>60.752200000000009</v>
      </c>
    </row>
    <row r="111" spans="1:28" x14ac:dyDescent="0.25">
      <c r="A111" s="20">
        <f t="shared" ca="1" si="20"/>
        <v>45446</v>
      </c>
      <c r="B111" vm="316">
        <f ca="1"/>
        <v>45450</v>
      </c>
      <c r="C111" vm="317">
        <f ca="1"/>
        <v>63.91</v>
      </c>
      <c r="D111" vm="318">
        <f ca="1"/>
        <v>9523089</v>
      </c>
      <c r="E111">
        <f t="shared" ca="1" si="21"/>
        <v>608620617.99000001</v>
      </c>
      <c r="F111">
        <f ca="1">SUM($E$2:E111)/SUM($D$2:D111)</f>
        <v>60.595513842346293</v>
      </c>
      <c r="G111">
        <f ca="1">_xlfn.STDEV.P($C$2:C111)</f>
        <v>1.4270961819010988</v>
      </c>
      <c r="H111">
        <f t="shared" ca="1" si="22"/>
        <v>62.022610024247392</v>
      </c>
      <c r="I111">
        <f t="shared" ca="1" si="23"/>
        <v>59.168417660445193</v>
      </c>
      <c r="J111">
        <f t="shared" ca="1" si="32"/>
        <v>62.963000000000008</v>
      </c>
      <c r="K111">
        <f t="shared" ca="1" si="33"/>
        <v>0.74557007507148831</v>
      </c>
      <c r="L111">
        <f t="shared" ca="1" si="34"/>
        <v>64.45414015014299</v>
      </c>
      <c r="M111">
        <f t="shared" ca="1" si="35"/>
        <v>61.471859849857033</v>
      </c>
      <c r="N111">
        <f t="shared" ca="1" si="24"/>
        <v>-0.24000000000000909</v>
      </c>
      <c r="O111">
        <f t="shared" ca="1" si="25"/>
        <v>0</v>
      </c>
      <c r="P111">
        <f t="shared" ca="1" si="26"/>
        <v>0.24000000000000909</v>
      </c>
      <c r="Q111">
        <f t="shared" ca="1" si="30"/>
        <v>0.21043669824393252</v>
      </c>
      <c r="R111">
        <f t="shared" ca="1" si="31"/>
        <v>0.11191838901321473</v>
      </c>
      <c r="S111">
        <f t="shared" ca="1" si="28"/>
        <v>1.8802691863183025</v>
      </c>
      <c r="T111">
        <f t="shared" ca="1" si="29"/>
        <v>65.281022872787531</v>
      </c>
      <c r="U111">
        <f>70</f>
        <v>70</v>
      </c>
      <c r="V111">
        <f>30</f>
        <v>30</v>
      </c>
      <c r="W111">
        <f t="shared" ca="1" si="27"/>
        <v>63.207661178600205</v>
      </c>
      <c r="X111">
        <f t="shared" ca="1" si="37"/>
        <v>62.66449169696719</v>
      </c>
      <c r="Y111">
        <f t="shared" ca="1" si="36"/>
        <v>0.53343466817642593</v>
      </c>
      <c r="Z111">
        <f t="shared" ca="1" si="38"/>
        <v>0.46566911776632758</v>
      </c>
      <c r="AA111">
        <f t="shared" ca="1" si="39"/>
        <v>6.7765550410098352E-2</v>
      </c>
      <c r="AB111">
        <f t="shared" ca="1" si="40"/>
        <v>60.791400000000003</v>
      </c>
    </row>
    <row r="112" spans="1:28" x14ac:dyDescent="0.25">
      <c r="A112" s="20">
        <f t="shared" ca="1" si="20"/>
        <v>45453</v>
      </c>
      <c r="B112" vm="319">
        <f ca="1"/>
        <v>45453</v>
      </c>
      <c r="C112" vm="320">
        <f ca="1"/>
        <v>63.59</v>
      </c>
      <c r="D112" vm="321">
        <f ca="1"/>
        <v>15687128</v>
      </c>
      <c r="E112">
        <f t="shared" ca="1" si="21"/>
        <v>997544469.5200001</v>
      </c>
      <c r="F112">
        <f ca="1">SUM($E$2:E112)/SUM($D$2:D112)</f>
        <v>60.627469527643782</v>
      </c>
      <c r="G112">
        <f ca="1">_xlfn.STDEV.P($C$2:C112)</f>
        <v>1.4463597959574463</v>
      </c>
      <c r="H112">
        <f t="shared" ca="1" si="22"/>
        <v>62.073829323601231</v>
      </c>
      <c r="I112">
        <f t="shared" ca="1" si="23"/>
        <v>59.181109731686334</v>
      </c>
      <c r="J112">
        <f t="shared" ca="1" si="32"/>
        <v>62.979500000000009</v>
      </c>
      <c r="K112">
        <f t="shared" ca="1" si="33"/>
        <v>0.75606651754152443</v>
      </c>
      <c r="L112">
        <f t="shared" ca="1" si="34"/>
        <v>64.491633035083055</v>
      </c>
      <c r="M112">
        <f t="shared" ca="1" si="35"/>
        <v>61.467366964916963</v>
      </c>
      <c r="N112">
        <f t="shared" ca="1" si="24"/>
        <v>-0.31999999999999318</v>
      </c>
      <c r="O112">
        <f t="shared" ca="1" si="25"/>
        <v>0</v>
      </c>
      <c r="P112">
        <f t="shared" ca="1" si="26"/>
        <v>0.31999999999999318</v>
      </c>
      <c r="Q112">
        <f t="shared" ca="1" si="30"/>
        <v>0.19540550551222305</v>
      </c>
      <c r="R112">
        <f t="shared" ca="1" si="31"/>
        <v>0.12678136122655606</v>
      </c>
      <c r="S112">
        <f t="shared" ca="1" si="28"/>
        <v>1.5412794406193262</v>
      </c>
      <c r="T112">
        <f t="shared" ca="1" si="29"/>
        <v>60.649742644740655</v>
      </c>
      <c r="U112">
        <f>70</f>
        <v>70</v>
      </c>
      <c r="V112">
        <f>30</f>
        <v>30</v>
      </c>
      <c r="W112">
        <f t="shared" ca="1" si="27"/>
        <v>63.266482535738639</v>
      </c>
      <c r="X112">
        <f t="shared" ca="1" si="37"/>
        <v>62.733047867562213</v>
      </c>
      <c r="Y112">
        <f t="shared" ca="1" si="36"/>
        <v>0.51653776682807973</v>
      </c>
      <c r="Z112">
        <f t="shared" ca="1" si="38"/>
        <v>0.47584284757867801</v>
      </c>
      <c r="AA112">
        <f t="shared" ca="1" si="39"/>
        <v>4.0694919249401718E-2</v>
      </c>
      <c r="AB112">
        <f t="shared" ca="1" si="40"/>
        <v>60.827400000000004</v>
      </c>
    </row>
    <row r="113" spans="1:28" x14ac:dyDescent="0.25">
      <c r="A113" s="20">
        <f t="shared" ca="1" si="20"/>
        <v>45453</v>
      </c>
      <c r="B113" vm="322">
        <f ca="1"/>
        <v>45454</v>
      </c>
      <c r="C113" vm="323">
        <f ca="1"/>
        <v>63.55</v>
      </c>
      <c r="D113" vm="324">
        <f ca="1"/>
        <v>8395960</v>
      </c>
      <c r="E113">
        <f t="shared" ca="1" si="21"/>
        <v>533563258</v>
      </c>
      <c r="F113">
        <f ca="1">SUM($E$2:E113)/SUM($D$2:D113)</f>
        <v>60.644066862790055</v>
      </c>
      <c r="G113">
        <f ca="1">_xlfn.STDEV.P($C$2:C113)</f>
        <v>1.4639042158736177</v>
      </c>
      <c r="H113">
        <f t="shared" ca="1" si="22"/>
        <v>62.107971078663674</v>
      </c>
      <c r="I113">
        <f t="shared" ca="1" si="23"/>
        <v>59.180162646916436</v>
      </c>
      <c r="J113">
        <f t="shared" ca="1" si="32"/>
        <v>62.977999999999994</v>
      </c>
      <c r="K113">
        <f t="shared" ca="1" si="33"/>
        <v>0.7548412171827229</v>
      </c>
      <c r="L113">
        <f t="shared" ca="1" si="34"/>
        <v>64.487682434365439</v>
      </c>
      <c r="M113">
        <f t="shared" ca="1" si="35"/>
        <v>61.46831756563455</v>
      </c>
      <c r="N113">
        <f t="shared" ca="1" si="24"/>
        <v>-4.0000000000006253E-2</v>
      </c>
      <c r="O113">
        <f t="shared" ca="1" si="25"/>
        <v>0</v>
      </c>
      <c r="P113">
        <f t="shared" ca="1" si="26"/>
        <v>4.0000000000006253E-2</v>
      </c>
      <c r="Q113">
        <f t="shared" ca="1" si="30"/>
        <v>0.1814479694042071</v>
      </c>
      <c r="R113">
        <f t="shared" ca="1" si="31"/>
        <v>0.12058269256751679</v>
      </c>
      <c r="S113">
        <f t="shared" ca="1" si="28"/>
        <v>1.5047596428700625</v>
      </c>
      <c r="T113">
        <f t="shared" ca="1" si="29"/>
        <v>60.076009574549175</v>
      </c>
      <c r="U113">
        <f>70</f>
        <v>70</v>
      </c>
      <c r="V113">
        <f>30</f>
        <v>30</v>
      </c>
      <c r="W113">
        <f t="shared" ca="1" si="27"/>
        <v>63.310100607163463</v>
      </c>
      <c r="X113">
        <f t="shared" ca="1" si="37"/>
        <v>62.793562840335383</v>
      </c>
      <c r="Y113">
        <f t="shared" ca="1" si="36"/>
        <v>0.44396569008133469</v>
      </c>
      <c r="Z113">
        <f t="shared" ca="1" si="38"/>
        <v>0.46946741607920933</v>
      </c>
      <c r="AA113">
        <f t="shared" ca="1" si="39"/>
        <v>-2.5501725997874647E-2</v>
      </c>
      <c r="AB113">
        <f t="shared" ca="1" si="40"/>
        <v>60.861300000000007</v>
      </c>
    </row>
    <row r="114" spans="1:28" x14ac:dyDescent="0.25">
      <c r="A114" s="20">
        <f t="shared" ca="1" si="20"/>
        <v>45453</v>
      </c>
      <c r="B114" vm="325">
        <f ca="1"/>
        <v>45455</v>
      </c>
      <c r="C114" vm="258">
        <f ca="1"/>
        <v>62.88</v>
      </c>
      <c r="D114" vm="326">
        <f ca="1"/>
        <v>9569550</v>
      </c>
      <c r="E114">
        <f t="shared" ca="1" si="21"/>
        <v>601733304</v>
      </c>
      <c r="F114">
        <f ca="1">SUM($E$2:E114)/SUM($D$2:D114)</f>
        <v>60.658446806539807</v>
      </c>
      <c r="G114">
        <f ca="1">_xlfn.STDEV.P($C$2:C114)</f>
        <v>1.4707766417203048</v>
      </c>
      <c r="H114">
        <f t="shared" ca="1" si="22"/>
        <v>62.129223448260113</v>
      </c>
      <c r="I114">
        <f t="shared" ca="1" si="23"/>
        <v>59.187670164819501</v>
      </c>
      <c r="J114">
        <f t="shared" ca="1" si="32"/>
        <v>62.967000000000006</v>
      </c>
      <c r="K114">
        <f t="shared" ca="1" si="33"/>
        <v>0.75457272677986431</v>
      </c>
      <c r="L114">
        <f t="shared" ca="1" si="34"/>
        <v>64.476145453559738</v>
      </c>
      <c r="M114">
        <f t="shared" ca="1" si="35"/>
        <v>61.457854546440274</v>
      </c>
      <c r="N114">
        <f t="shared" ca="1" si="24"/>
        <v>-0.6699999999999946</v>
      </c>
      <c r="O114">
        <f t="shared" ca="1" si="25"/>
        <v>0</v>
      </c>
      <c r="P114">
        <f t="shared" ca="1" si="26"/>
        <v>0.6699999999999946</v>
      </c>
      <c r="Q114">
        <f t="shared" ca="1" si="30"/>
        <v>0.16848740016104946</v>
      </c>
      <c r="R114">
        <f t="shared" ca="1" si="31"/>
        <v>0.15982678595555092</v>
      </c>
      <c r="S114">
        <f t="shared" ca="1" si="28"/>
        <v>1.0541875015112119</v>
      </c>
      <c r="T114">
        <f t="shared" ca="1" si="29"/>
        <v>51.318952176258193</v>
      </c>
      <c r="U114">
        <f>70</f>
        <v>70</v>
      </c>
      <c r="V114">
        <f>30</f>
        <v>30</v>
      </c>
      <c r="W114">
        <f t="shared" ca="1" si="27"/>
        <v>63.24393128298447</v>
      </c>
      <c r="X114">
        <f t="shared" ca="1" si="37"/>
        <v>62.799965592903135</v>
      </c>
      <c r="Y114">
        <f t="shared" ca="1" si="36"/>
        <v>0.39082271610504193</v>
      </c>
      <c r="Z114">
        <f t="shared" ca="1" si="38"/>
        <v>0.4537384760843759</v>
      </c>
      <c r="AA114">
        <f t="shared" ca="1" si="39"/>
        <v>-6.2915759979333963E-2</v>
      </c>
      <c r="AB114">
        <f t="shared" ca="1" si="40"/>
        <v>60.891800000000011</v>
      </c>
    </row>
    <row r="115" spans="1:28" x14ac:dyDescent="0.25">
      <c r="A115" s="20">
        <f t="shared" ca="1" si="20"/>
        <v>45453</v>
      </c>
      <c r="B115" vm="327">
        <f ca="1"/>
        <v>45456</v>
      </c>
      <c r="C115" vm="328">
        <f ca="1"/>
        <v>62.99</v>
      </c>
      <c r="D115" vm="329">
        <f ca="1"/>
        <v>9668888</v>
      </c>
      <c r="E115">
        <f t="shared" ca="1" si="21"/>
        <v>609043255.12</v>
      </c>
      <c r="F115">
        <f ca="1">SUM($E$2:E115)/SUM($D$2:D115)</f>
        <v>60.673499554038635</v>
      </c>
      <c r="G115">
        <f ca="1">_xlfn.STDEV.P($C$2:C115)</f>
        <v>1.4786574605036937</v>
      </c>
      <c r="H115">
        <f t="shared" ca="1" si="22"/>
        <v>62.152157014542325</v>
      </c>
      <c r="I115">
        <f t="shared" ca="1" si="23"/>
        <v>59.194842093534945</v>
      </c>
      <c r="J115">
        <f t="shared" ca="1" si="32"/>
        <v>62.959999999999994</v>
      </c>
      <c r="K115">
        <f t="shared" ca="1" si="33"/>
        <v>0.75362981279726582</v>
      </c>
      <c r="L115">
        <f t="shared" ca="1" si="34"/>
        <v>64.467259625594522</v>
      </c>
      <c r="M115">
        <f t="shared" ca="1" si="35"/>
        <v>61.452740374405465</v>
      </c>
      <c r="N115">
        <f t="shared" ca="1" si="24"/>
        <v>0.10999999999999943</v>
      </c>
      <c r="O115">
        <f t="shared" ca="1" si="25"/>
        <v>0.10999999999999943</v>
      </c>
      <c r="P115">
        <f t="shared" ca="1" si="26"/>
        <v>0</v>
      </c>
      <c r="Q115">
        <f t="shared" ca="1" si="30"/>
        <v>0.16430972872097446</v>
      </c>
      <c r="R115">
        <f t="shared" ca="1" si="31"/>
        <v>0.14841058695872583</v>
      </c>
      <c r="S115">
        <f t="shared" ca="1" si="28"/>
        <v>1.1071294311818221</v>
      </c>
      <c r="T115">
        <f t="shared" ca="1" si="29"/>
        <v>52.54207049639416</v>
      </c>
      <c r="U115">
        <f>70</f>
        <v>70</v>
      </c>
      <c r="V115">
        <f>30</f>
        <v>30</v>
      </c>
      <c r="W115">
        <f t="shared" ca="1" si="27"/>
        <v>63.204864931756092</v>
      </c>
      <c r="X115">
        <f t="shared" ca="1" si="37"/>
        <v>62.81404221565105</v>
      </c>
      <c r="Y115">
        <f t="shared" ca="1" si="36"/>
        <v>0.30963294770646144</v>
      </c>
      <c r="Z115">
        <f t="shared" ca="1" si="38"/>
        <v>0.42491737040879307</v>
      </c>
      <c r="AA115">
        <f t="shared" ca="1" si="39"/>
        <v>-0.11528442270233163</v>
      </c>
      <c r="AB115">
        <f t="shared" ca="1" si="40"/>
        <v>60.926000000000002</v>
      </c>
    </row>
    <row r="116" spans="1:28" x14ac:dyDescent="0.25">
      <c r="A116" s="20">
        <f t="shared" ca="1" si="20"/>
        <v>45453</v>
      </c>
      <c r="B116" vm="330">
        <f ca="1"/>
        <v>45457</v>
      </c>
      <c r="C116" vm="331">
        <f ca="1"/>
        <v>62.55</v>
      </c>
      <c r="D116" vm="332">
        <f ca="1"/>
        <v>8179239</v>
      </c>
      <c r="E116">
        <f t="shared" ca="1" si="21"/>
        <v>511611399.44999999</v>
      </c>
      <c r="F116">
        <f ca="1">SUM($E$2:E116)/SUM($D$2:D116)</f>
        <v>60.683692273510346</v>
      </c>
      <c r="G116">
        <f ca="1">_xlfn.STDEV.P($C$2:C116)</f>
        <v>1.4810941748016502</v>
      </c>
      <c r="H116">
        <f t="shared" ca="1" si="22"/>
        <v>62.164786448311993</v>
      </c>
      <c r="I116">
        <f t="shared" ca="1" si="23"/>
        <v>59.202598098708698</v>
      </c>
      <c r="J116">
        <f t="shared" ca="1" si="32"/>
        <v>62.921499999999995</v>
      </c>
      <c r="K116">
        <f t="shared" ca="1" si="33"/>
        <v>0.7539389546696873</v>
      </c>
      <c r="L116">
        <f t="shared" ca="1" si="34"/>
        <v>64.429377909339365</v>
      </c>
      <c r="M116">
        <f t="shared" ca="1" si="35"/>
        <v>61.413622090660617</v>
      </c>
      <c r="N116">
        <f t="shared" ca="1" si="24"/>
        <v>-0.44000000000000483</v>
      </c>
      <c r="O116">
        <f t="shared" ca="1" si="25"/>
        <v>0</v>
      </c>
      <c r="P116">
        <f t="shared" ca="1" si="26"/>
        <v>0.44000000000000483</v>
      </c>
      <c r="Q116">
        <f t="shared" ca="1" si="30"/>
        <v>0.15257331952661915</v>
      </c>
      <c r="R116">
        <f t="shared" ca="1" si="31"/>
        <v>0.16923840217596003</v>
      </c>
      <c r="S116">
        <f t="shared" ca="1" si="28"/>
        <v>0.90152895303269343</v>
      </c>
      <c r="T116">
        <f t="shared" ca="1" si="29"/>
        <v>47.410740267450102</v>
      </c>
      <c r="U116">
        <f>70</f>
        <v>70</v>
      </c>
      <c r="V116">
        <f>30</f>
        <v>30</v>
      </c>
      <c r="W116">
        <f t="shared" ca="1" si="27"/>
        <v>63.104116480716691</v>
      </c>
      <c r="X116">
        <f t="shared" ca="1" si="37"/>
        <v>62.794483533010229</v>
      </c>
      <c r="Y116">
        <f t="shared" ca="1" si="36"/>
        <v>0.24807819528357555</v>
      </c>
      <c r="Z116">
        <f t="shared" ca="1" si="38"/>
        <v>0.38954953538374959</v>
      </c>
      <c r="AA116">
        <f t="shared" ca="1" si="39"/>
        <v>-0.14147134010017404</v>
      </c>
      <c r="AB116">
        <f t="shared" ca="1" si="40"/>
        <v>60.95300000000001</v>
      </c>
    </row>
    <row r="117" spans="1:28" x14ac:dyDescent="0.25">
      <c r="A117" s="20">
        <f t="shared" ca="1" si="20"/>
        <v>45460</v>
      </c>
      <c r="B117" vm="333">
        <f ca="1"/>
        <v>45460</v>
      </c>
      <c r="C117" vm="252">
        <f ca="1"/>
        <v>62.62</v>
      </c>
      <c r="D117" vm="334">
        <f ca="1"/>
        <v>10532715</v>
      </c>
      <c r="E117">
        <f t="shared" ca="1" si="21"/>
        <v>659558613.29999995</v>
      </c>
      <c r="F117">
        <f ca="1">SUM($E$2:E117)/SUM($D$2:D117)</f>
        <v>60.697142079797381</v>
      </c>
      <c r="G117">
        <f ca="1">_xlfn.STDEV.P($C$2:C117)</f>
        <v>1.4840451791096274</v>
      </c>
      <c r="H117">
        <f t="shared" ca="1" si="22"/>
        <v>62.181187258907009</v>
      </c>
      <c r="I117">
        <f t="shared" ca="1" si="23"/>
        <v>59.213096900687752</v>
      </c>
      <c r="J117">
        <f t="shared" ca="1" si="32"/>
        <v>62.900999999999989</v>
      </c>
      <c r="K117">
        <f t="shared" ca="1" si="33"/>
        <v>0.75640354030733736</v>
      </c>
      <c r="L117">
        <f t="shared" ca="1" si="34"/>
        <v>64.41380708061466</v>
      </c>
      <c r="M117">
        <f t="shared" ca="1" si="35"/>
        <v>61.388192919385311</v>
      </c>
      <c r="N117">
        <f t="shared" ca="1" si="24"/>
        <v>7.0000000000000284E-2</v>
      </c>
      <c r="O117">
        <f t="shared" ca="1" si="25"/>
        <v>7.0000000000000284E-2</v>
      </c>
      <c r="P117">
        <f t="shared" ca="1" si="26"/>
        <v>0</v>
      </c>
      <c r="Q117">
        <f t="shared" ca="1" si="30"/>
        <v>0.1466752252747178</v>
      </c>
      <c r="R117">
        <f t="shared" ca="1" si="31"/>
        <v>0.15714994487767717</v>
      </c>
      <c r="S117">
        <f t="shared" ca="1" si="28"/>
        <v>0.93334569979574145</v>
      </c>
      <c r="T117">
        <f t="shared" ca="1" si="29"/>
        <v>48.276192917508219</v>
      </c>
      <c r="U117">
        <f>70</f>
        <v>70</v>
      </c>
      <c r="V117">
        <f>30</f>
        <v>30</v>
      </c>
      <c r="W117">
        <f t="shared" ca="1" si="27"/>
        <v>63.029637022144897</v>
      </c>
      <c r="X117">
        <f t="shared" ca="1" si="37"/>
        <v>62.781558826861321</v>
      </c>
      <c r="Y117">
        <f t="shared" ca="1" si="36"/>
        <v>0.19782215625955502</v>
      </c>
      <c r="Z117">
        <f t="shared" ca="1" si="38"/>
        <v>0.35120405955891071</v>
      </c>
      <c r="AA117">
        <f t="shared" ca="1" si="39"/>
        <v>-0.15338190329935569</v>
      </c>
      <c r="AB117">
        <f t="shared" ca="1" si="40"/>
        <v>60.990100000000005</v>
      </c>
    </row>
    <row r="118" spans="1:28" x14ac:dyDescent="0.25">
      <c r="A118" s="20">
        <f t="shared" ca="1" si="20"/>
        <v>45460</v>
      </c>
      <c r="B118" vm="335">
        <f ca="1"/>
        <v>45461</v>
      </c>
      <c r="C118" vm="336">
        <f ca="1"/>
        <v>62.63</v>
      </c>
      <c r="D118" vm="337">
        <f ca="1"/>
        <v>10651661</v>
      </c>
      <c r="E118">
        <f t="shared" ca="1" si="21"/>
        <v>667113528.43000007</v>
      </c>
      <c r="F118">
        <f ca="1">SUM($E$2:E118)/SUM($D$2:D118)</f>
        <v>60.710624831172112</v>
      </c>
      <c r="G118">
        <f ca="1">_xlfn.STDEV.P($C$2:C118)</f>
        <v>1.4868843208412164</v>
      </c>
      <c r="H118">
        <f t="shared" ca="1" si="22"/>
        <v>62.197509152013325</v>
      </c>
      <c r="I118">
        <f t="shared" ca="1" si="23"/>
        <v>59.223740510330899</v>
      </c>
      <c r="J118">
        <f t="shared" ca="1" si="32"/>
        <v>62.903999999999982</v>
      </c>
      <c r="K118">
        <f t="shared" ca="1" si="33"/>
        <v>0.75513958277505489</v>
      </c>
      <c r="L118">
        <f t="shared" ca="1" si="34"/>
        <v>64.414279165550099</v>
      </c>
      <c r="M118">
        <f t="shared" ca="1" si="35"/>
        <v>61.393720834449873</v>
      </c>
      <c r="N118">
        <f t="shared" ca="1" si="24"/>
        <v>1.0000000000005116E-2</v>
      </c>
      <c r="O118">
        <f t="shared" ca="1" si="25"/>
        <v>1.0000000000005116E-2</v>
      </c>
      <c r="P118">
        <f t="shared" ca="1" si="26"/>
        <v>0</v>
      </c>
      <c r="Q118">
        <f t="shared" ca="1" si="30"/>
        <v>0.13691270918366688</v>
      </c>
      <c r="R118">
        <f t="shared" ca="1" si="31"/>
        <v>0.14592494881498594</v>
      </c>
      <c r="S118">
        <f t="shared" ca="1" si="28"/>
        <v>0.93824058391313592</v>
      </c>
      <c r="T118">
        <f t="shared" ca="1" si="29"/>
        <v>48.406817590152372</v>
      </c>
      <c r="U118">
        <f>70</f>
        <v>70</v>
      </c>
      <c r="V118">
        <f>30</f>
        <v>30</v>
      </c>
      <c r="W118">
        <f t="shared" ca="1" si="27"/>
        <v>62.968154403353374</v>
      </c>
      <c r="X118">
        <f t="shared" ca="1" si="37"/>
        <v>62.770332247093819</v>
      </c>
      <c r="Y118">
        <f t="shared" ca="1" si="36"/>
        <v>0.12029594726627124</v>
      </c>
      <c r="Z118">
        <f t="shared" ca="1" si="38"/>
        <v>0.30502243710038285</v>
      </c>
      <c r="AA118">
        <f t="shared" ca="1" si="39"/>
        <v>-0.18472648983411161</v>
      </c>
      <c r="AB118">
        <f t="shared" ca="1" si="40"/>
        <v>61.024799999999999</v>
      </c>
    </row>
    <row r="119" spans="1:28" x14ac:dyDescent="0.25">
      <c r="A119" s="20">
        <f t="shared" ca="1" si="20"/>
        <v>45460</v>
      </c>
      <c r="B119" vm="338">
        <f ca="1"/>
        <v>45463</v>
      </c>
      <c r="C119" vm="339">
        <f ca="1"/>
        <v>62.18</v>
      </c>
      <c r="D119" vm="340">
        <f ca="1"/>
        <v>13306273</v>
      </c>
      <c r="E119">
        <f t="shared" ca="1" si="21"/>
        <v>827384055.13999999</v>
      </c>
      <c r="F119">
        <f ca="1">SUM($E$2:E119)/SUM($D$2:D119)</f>
        <v>60.723318358868418</v>
      </c>
      <c r="G119">
        <f ca="1">_xlfn.STDEV.P($C$2:C119)</f>
        <v>1.485568149304533</v>
      </c>
      <c r="H119">
        <f t="shared" ca="1" si="22"/>
        <v>62.208886508172952</v>
      </c>
      <c r="I119">
        <f t="shared" ca="1" si="23"/>
        <v>59.237750209563885</v>
      </c>
      <c r="J119">
        <f t="shared" ca="1" si="32"/>
        <v>62.867500000000007</v>
      </c>
      <c r="K119">
        <f t="shared" ca="1" si="33"/>
        <v>0.77228216141647688</v>
      </c>
      <c r="L119">
        <f t="shared" ca="1" si="34"/>
        <v>64.412064322832961</v>
      </c>
      <c r="M119">
        <f t="shared" ca="1" si="35"/>
        <v>61.322935677167052</v>
      </c>
      <c r="N119">
        <f t="shared" ca="1" si="24"/>
        <v>-0.45000000000000284</v>
      </c>
      <c r="O119">
        <f t="shared" ca="1" si="25"/>
        <v>0</v>
      </c>
      <c r="P119">
        <f t="shared" ca="1" si="26"/>
        <v>0.45000000000000284</v>
      </c>
      <c r="Q119">
        <f t="shared" ca="1" si="30"/>
        <v>0.12713322995626211</v>
      </c>
      <c r="R119">
        <f t="shared" ca="1" si="31"/>
        <v>0.16764459532820145</v>
      </c>
      <c r="S119">
        <f t="shared" ca="1" si="28"/>
        <v>0.7583497082466073</v>
      </c>
      <c r="T119">
        <f t="shared" ca="1" si="29"/>
        <v>43.128491715269718</v>
      </c>
      <c r="U119">
        <f>70</f>
        <v>70</v>
      </c>
      <c r="V119">
        <f>30</f>
        <v>30</v>
      </c>
      <c r="W119">
        <f t="shared" ca="1" si="27"/>
        <v>62.846899879760549</v>
      </c>
      <c r="X119">
        <f t="shared" ca="1" si="37"/>
        <v>62.726603932494278</v>
      </c>
      <c r="Y119">
        <f t="shared" ca="1" si="36"/>
        <v>0.10525067301493607</v>
      </c>
      <c r="Z119">
        <f t="shared" ca="1" si="38"/>
        <v>0.26506808428329354</v>
      </c>
      <c r="AA119">
        <f t="shared" ca="1" si="39"/>
        <v>-0.15981741126835747</v>
      </c>
      <c r="AB119">
        <f t="shared" ca="1" si="40"/>
        <v>61.052900000000001</v>
      </c>
    </row>
    <row r="120" spans="1:28" x14ac:dyDescent="0.25">
      <c r="A120" s="20">
        <f t="shared" ca="1" si="20"/>
        <v>45460</v>
      </c>
      <c r="B120" vm="341">
        <f ca="1"/>
        <v>45464</v>
      </c>
      <c r="C120" vm="342">
        <f ca="1"/>
        <v>62.77</v>
      </c>
      <c r="D120" vm="343">
        <f ca="1"/>
        <v>28282194</v>
      </c>
      <c r="E120">
        <f t="shared" ca="1" si="21"/>
        <v>1775273317.3800001</v>
      </c>
      <c r="F120">
        <f ca="1">SUM($E$2:E120)/SUM($D$2:D120)</f>
        <v>60.760220763053454</v>
      </c>
      <c r="G120">
        <f ca="1">_xlfn.STDEV.P($C$2:C120)</f>
        <v>1.4895196854824473</v>
      </c>
      <c r="H120">
        <f t="shared" ca="1" si="22"/>
        <v>62.249740448535903</v>
      </c>
      <c r="I120">
        <f t="shared" ca="1" si="23"/>
        <v>59.270701077571005</v>
      </c>
      <c r="J120">
        <f t="shared" ca="1" si="32"/>
        <v>62.856000000000009</v>
      </c>
      <c r="K120">
        <f t="shared" ca="1" si="33"/>
        <v>0.77191763945725655</v>
      </c>
      <c r="L120">
        <f t="shared" ca="1" si="34"/>
        <v>64.399835278914523</v>
      </c>
      <c r="M120">
        <f t="shared" ca="1" si="35"/>
        <v>61.312164721085495</v>
      </c>
      <c r="N120">
        <f t="shared" ca="1" si="24"/>
        <v>0.59000000000000341</v>
      </c>
      <c r="O120">
        <f t="shared" ca="1" si="25"/>
        <v>0.59000000000000341</v>
      </c>
      <c r="P120">
        <f t="shared" ca="1" si="26"/>
        <v>0</v>
      </c>
      <c r="Q120">
        <f t="shared" ca="1" si="30"/>
        <v>0.16019514210224362</v>
      </c>
      <c r="R120">
        <f t="shared" ca="1" si="31"/>
        <v>0.15566998137618707</v>
      </c>
      <c r="S120">
        <f t="shared" ca="1" si="28"/>
        <v>1.0290689360019976</v>
      </c>
      <c r="T120">
        <f t="shared" ca="1" si="29"/>
        <v>50.71631218353955</v>
      </c>
      <c r="U120">
        <f>70</f>
        <v>70</v>
      </c>
      <c r="V120">
        <f>30</f>
        <v>30</v>
      </c>
      <c r="W120">
        <f t="shared" ca="1" si="27"/>
        <v>62.835069129028156</v>
      </c>
      <c r="X120">
        <f t="shared" ca="1" si="37"/>
        <v>62.72981845601322</v>
      </c>
      <c r="Y120">
        <f t="shared" ca="1" si="36"/>
        <v>0.18799012284064531</v>
      </c>
      <c r="Z120">
        <f t="shared" ca="1" si="38"/>
        <v>0.24965249199476391</v>
      </c>
      <c r="AA120">
        <f t="shared" ca="1" si="39"/>
        <v>-6.1662369154118601E-2</v>
      </c>
      <c r="AB120">
        <f t="shared" ca="1" si="40"/>
        <v>61.083300000000008</v>
      </c>
    </row>
    <row r="121" spans="1:28" x14ac:dyDescent="0.25">
      <c r="A121" s="20">
        <f t="shared" ca="1" si="20"/>
        <v>45467</v>
      </c>
      <c r="B121" vm="344">
        <f ca="1"/>
        <v>45467</v>
      </c>
      <c r="C121" vm="345">
        <f ca="1"/>
        <v>63.97</v>
      </c>
      <c r="D121" vm="346">
        <f ca="1"/>
        <v>13212454</v>
      </c>
      <c r="E121">
        <f t="shared" ca="1" si="21"/>
        <v>845200682.38</v>
      </c>
      <c r="F121">
        <f ca="1">SUM($E$2:E121)/SUM($D$2:D121)</f>
        <v>60.787031398853671</v>
      </c>
      <c r="G121">
        <f ca="1">_xlfn.STDEV.P($C$2:C121)</f>
        <v>1.5096793165731883</v>
      </c>
      <c r="H121">
        <f t="shared" ca="1" si="22"/>
        <v>62.296710715426862</v>
      </c>
      <c r="I121">
        <f t="shared" ca="1" si="23"/>
        <v>59.27735208228048</v>
      </c>
      <c r="J121">
        <f t="shared" ca="1" si="32"/>
        <v>62.95</v>
      </c>
      <c r="K121">
        <f t="shared" ca="1" si="33"/>
        <v>0.788028853332294</v>
      </c>
      <c r="L121">
        <f t="shared" ca="1" si="34"/>
        <v>64.526057706664588</v>
      </c>
      <c r="M121">
        <f t="shared" ca="1" si="35"/>
        <v>61.373942293335418</v>
      </c>
      <c r="N121">
        <f t="shared" ca="1" si="24"/>
        <v>1.1999999999999957</v>
      </c>
      <c r="O121">
        <f t="shared" ca="1" si="25"/>
        <v>1.1999999999999957</v>
      </c>
      <c r="P121">
        <f t="shared" ca="1" si="26"/>
        <v>0</v>
      </c>
      <c r="Q121">
        <f t="shared" ca="1" si="30"/>
        <v>0.23446691766636876</v>
      </c>
      <c r="R121">
        <f t="shared" ca="1" si="31"/>
        <v>0.14455069699217371</v>
      </c>
      <c r="S121">
        <f t="shared" ca="1" si="28"/>
        <v>1.6220393436018044</v>
      </c>
      <c r="T121">
        <f t="shared" ca="1" si="29"/>
        <v>61.861746947460567</v>
      </c>
      <c r="U121">
        <f>70</f>
        <v>70</v>
      </c>
      <c r="V121">
        <f>30</f>
        <v>30</v>
      </c>
      <c r="W121">
        <f t="shared" ca="1" si="27"/>
        <v>63.009673878408442</v>
      </c>
      <c r="X121">
        <f t="shared" ca="1" si="37"/>
        <v>62.821683755567797</v>
      </c>
      <c r="Y121">
        <f t="shared" ca="1" si="36"/>
        <v>0.2403017701645993</v>
      </c>
      <c r="Z121">
        <f t="shared" ca="1" si="38"/>
        <v>0.247782347628731</v>
      </c>
      <c r="AA121">
        <f t="shared" ca="1" si="39"/>
        <v>-7.4805774641316936E-3</v>
      </c>
      <c r="AB121">
        <f t="shared" ca="1" si="40"/>
        <v>61.124000000000002</v>
      </c>
    </row>
    <row r="122" spans="1:28" x14ac:dyDescent="0.25">
      <c r="A122" s="20">
        <f t="shared" ca="1" si="20"/>
        <v>45467</v>
      </c>
      <c r="B122" vm="347">
        <f ca="1"/>
        <v>45468</v>
      </c>
      <c r="C122" vm="348">
        <f ca="1"/>
        <v>63.84</v>
      </c>
      <c r="D122" vm="349">
        <f ca="1"/>
        <v>10546793</v>
      </c>
      <c r="E122">
        <f t="shared" ca="1" si="21"/>
        <v>673307265.12</v>
      </c>
      <c r="F122">
        <f ca="1">SUM($E$2:E122)/SUM($D$2:D122)</f>
        <v>60.807252515522258</v>
      </c>
      <c r="G122">
        <f ca="1">_xlfn.STDEV.P($C$2:C122)</f>
        <v>1.5267309645174976</v>
      </c>
      <c r="H122">
        <f t="shared" ca="1" si="22"/>
        <v>62.333983480039755</v>
      </c>
      <c r="I122">
        <f t="shared" ca="1" si="23"/>
        <v>59.28052155100476</v>
      </c>
      <c r="J122">
        <f t="shared" ca="1" si="32"/>
        <v>63.041999999999994</v>
      </c>
      <c r="K122">
        <f t="shared" ca="1" si="33"/>
        <v>0.77863308026580191</v>
      </c>
      <c r="L122">
        <f t="shared" ca="1" si="34"/>
        <v>64.599266160531599</v>
      </c>
      <c r="M122">
        <f t="shared" ca="1" si="35"/>
        <v>61.48473383946839</v>
      </c>
      <c r="N122">
        <f t="shared" ca="1" si="24"/>
        <v>-0.12999999999999545</v>
      </c>
      <c r="O122">
        <f t="shared" ca="1" si="25"/>
        <v>0</v>
      </c>
      <c r="P122">
        <f t="shared" ca="1" si="26"/>
        <v>0.12999999999999545</v>
      </c>
      <c r="Q122">
        <f t="shared" ca="1" si="30"/>
        <v>0.21771928069019955</v>
      </c>
      <c r="R122">
        <f t="shared" ca="1" si="31"/>
        <v>0.14351136149273241</v>
      </c>
      <c r="S122">
        <f t="shared" ca="1" si="28"/>
        <v>1.5170874168121184</v>
      </c>
      <c r="T122">
        <f t="shared" ca="1" si="29"/>
        <v>60.271542683785839</v>
      </c>
      <c r="U122">
        <f>70</f>
        <v>70</v>
      </c>
      <c r="V122">
        <f>30</f>
        <v>30</v>
      </c>
      <c r="W122">
        <f t="shared" ca="1" si="27"/>
        <v>63.137416358653297</v>
      </c>
      <c r="X122">
        <f t="shared" ca="1" si="37"/>
        <v>62.897114588488698</v>
      </c>
      <c r="Y122">
        <f t="shared" ca="1" si="36"/>
        <v>0.29530033407750267</v>
      </c>
      <c r="Z122">
        <f t="shared" ca="1" si="38"/>
        <v>0.25728594491848533</v>
      </c>
      <c r="AA122">
        <f t="shared" ca="1" si="39"/>
        <v>3.8014389159017337E-2</v>
      </c>
      <c r="AB122">
        <f t="shared" ca="1" si="40"/>
        <v>61.167500000000011</v>
      </c>
    </row>
    <row r="123" spans="1:28" x14ac:dyDescent="0.25">
      <c r="A123" s="20">
        <f t="shared" ca="1" si="20"/>
        <v>45467</v>
      </c>
      <c r="B123" vm="350">
        <f ca="1"/>
        <v>45469</v>
      </c>
      <c r="C123" vm="351">
        <f ca="1"/>
        <v>64.05</v>
      </c>
      <c r="D123" vm="352">
        <f ca="1"/>
        <v>9402502</v>
      </c>
      <c r="E123">
        <f t="shared" ca="1" si="21"/>
        <v>602230253.10000002</v>
      </c>
      <c r="F123">
        <f ca="1">SUM($E$2:E123)/SUM($D$2:D123)</f>
        <v>60.826287917672076</v>
      </c>
      <c r="G123">
        <f ca="1">_xlfn.STDEV.P($C$2:C123)</f>
        <v>1.5462806695084368</v>
      </c>
      <c r="H123">
        <f t="shared" ca="1" si="22"/>
        <v>62.37256858718051</v>
      </c>
      <c r="I123">
        <f t="shared" ca="1" si="23"/>
        <v>59.280007248163642</v>
      </c>
      <c r="J123">
        <f t="shared" ca="1" si="32"/>
        <v>63.153499999999994</v>
      </c>
      <c r="K123">
        <f t="shared" ca="1" si="33"/>
        <v>0.75370156735380267</v>
      </c>
      <c r="L123">
        <f t="shared" ca="1" si="34"/>
        <v>64.660903134707596</v>
      </c>
      <c r="M123">
        <f t="shared" ca="1" si="35"/>
        <v>61.646096865292385</v>
      </c>
      <c r="N123">
        <f t="shared" ca="1" si="24"/>
        <v>0.20999999999999375</v>
      </c>
      <c r="O123">
        <f t="shared" ca="1" si="25"/>
        <v>0.20999999999999375</v>
      </c>
      <c r="P123">
        <f t="shared" ca="1" si="26"/>
        <v>0</v>
      </c>
      <c r="Q123">
        <f t="shared" ca="1" si="30"/>
        <v>0.21716790349804199</v>
      </c>
      <c r="R123">
        <f t="shared" ca="1" si="31"/>
        <v>0.13326054995753725</v>
      </c>
      <c r="S123">
        <f t="shared" ca="1" si="28"/>
        <v>1.6296488613264868</v>
      </c>
      <c r="T123">
        <f t="shared" ca="1" si="29"/>
        <v>61.972109101457562</v>
      </c>
      <c r="U123">
        <f>70</f>
        <v>70</v>
      </c>
      <c r="V123">
        <f>30</f>
        <v>30</v>
      </c>
      <c r="W123">
        <f t="shared" ca="1" si="27"/>
        <v>63.277813841937409</v>
      </c>
      <c r="X123">
        <f t="shared" ca="1" si="37"/>
        <v>62.982513507859906</v>
      </c>
      <c r="Y123">
        <f t="shared" ca="1" si="36"/>
        <v>0.32385703988872194</v>
      </c>
      <c r="Z123">
        <f t="shared" ca="1" si="38"/>
        <v>0.27060016391253267</v>
      </c>
      <c r="AA123">
        <f t="shared" ca="1" si="39"/>
        <v>5.3256875976189277E-2</v>
      </c>
      <c r="AB123">
        <f t="shared" ca="1" si="40"/>
        <v>61.198200000000007</v>
      </c>
    </row>
    <row r="124" spans="1:28" x14ac:dyDescent="0.25">
      <c r="A124" s="20">
        <f t="shared" ca="1" si="20"/>
        <v>45467</v>
      </c>
      <c r="B124" vm="353">
        <f ca="1"/>
        <v>45470</v>
      </c>
      <c r="C124" vm="317">
        <f ca="1"/>
        <v>63.91</v>
      </c>
      <c r="D124" vm="354">
        <f ca="1"/>
        <v>8494123</v>
      </c>
      <c r="E124">
        <f t="shared" ca="1" si="21"/>
        <v>542859400.92999995</v>
      </c>
      <c r="F124">
        <f ca="1">SUM($E$2:E124)/SUM($D$2:D124)</f>
        <v>60.842554670491438</v>
      </c>
      <c r="G124">
        <f ca="1">_xlfn.STDEV.P($C$2:C124)</f>
        <v>1.5626821633518044</v>
      </c>
      <c r="H124">
        <f t="shared" ca="1" si="22"/>
        <v>62.40523683384324</v>
      </c>
      <c r="I124">
        <f t="shared" ca="1" si="23"/>
        <v>59.279872507139636</v>
      </c>
      <c r="J124">
        <f t="shared" ca="1" si="32"/>
        <v>63.263999999999989</v>
      </c>
      <c r="K124">
        <f t="shared" ca="1" si="33"/>
        <v>0.68857900972334252</v>
      </c>
      <c r="L124">
        <f t="shared" ca="1" si="34"/>
        <v>64.641158019446678</v>
      </c>
      <c r="M124">
        <f t="shared" ca="1" si="35"/>
        <v>61.886841980553307</v>
      </c>
      <c r="N124">
        <f t="shared" ca="1" si="24"/>
        <v>-0.14000000000000057</v>
      </c>
      <c r="O124">
        <f t="shared" ca="1" si="25"/>
        <v>0</v>
      </c>
      <c r="P124">
        <f t="shared" ca="1" si="26"/>
        <v>0.14000000000000057</v>
      </c>
      <c r="Q124">
        <f t="shared" ca="1" si="30"/>
        <v>0.20165591039103897</v>
      </c>
      <c r="R124">
        <f t="shared" ca="1" si="31"/>
        <v>0.13374193924628464</v>
      </c>
      <c r="S124">
        <f t="shared" ca="1" si="28"/>
        <v>1.5077986122190985</v>
      </c>
      <c r="T124">
        <f t="shared" ca="1" si="29"/>
        <v>60.124389768478224</v>
      </c>
      <c r="U124">
        <f>70</f>
        <v>70</v>
      </c>
      <c r="V124">
        <f>30</f>
        <v>30</v>
      </c>
      <c r="W124">
        <f t="shared" ca="1" si="27"/>
        <v>63.375073250870116</v>
      </c>
      <c r="X124">
        <f t="shared" ca="1" si="37"/>
        <v>63.051216210981394</v>
      </c>
      <c r="Y124">
        <f t="shared" ca="1" si="36"/>
        <v>0.32179910808966383</v>
      </c>
      <c r="Z124">
        <f t="shared" ca="1" si="38"/>
        <v>0.28083995274795892</v>
      </c>
      <c r="AA124">
        <f t="shared" ca="1" si="39"/>
        <v>4.0959155341704911E-2</v>
      </c>
      <c r="AB124">
        <f t="shared" ca="1" si="40"/>
        <v>61.231900000000003</v>
      </c>
    </row>
    <row r="125" spans="1:28" x14ac:dyDescent="0.25">
      <c r="A125" s="20">
        <f t="shared" ca="1" si="20"/>
        <v>45467</v>
      </c>
      <c r="B125" vm="355">
        <f ca="1"/>
        <v>45471</v>
      </c>
      <c r="C125" vm="356">
        <f ca="1"/>
        <v>63.65</v>
      </c>
      <c r="D125" vm="357">
        <f ca="1"/>
        <v>17358827</v>
      </c>
      <c r="E125">
        <f t="shared" ca="1" si="21"/>
        <v>1104889338.55</v>
      </c>
      <c r="F125">
        <f ca="1">SUM($E$2:E125)/SUM($D$2:D125)</f>
        <v>60.872496851696788</v>
      </c>
      <c r="G125">
        <f ca="1">_xlfn.STDEV.P($C$2:C125)</f>
        <v>1.5746000330394594</v>
      </c>
      <c r="H125">
        <f t="shared" ca="1" si="22"/>
        <v>62.447096884736247</v>
      </c>
      <c r="I125">
        <f t="shared" ca="1" si="23"/>
        <v>59.297896818657328</v>
      </c>
      <c r="J125">
        <f t="shared" ca="1" si="32"/>
        <v>63.347999999999999</v>
      </c>
      <c r="K125">
        <f t="shared" ca="1" si="33"/>
        <v>0.62163282443983958</v>
      </c>
      <c r="L125">
        <f t="shared" ca="1" si="34"/>
        <v>64.591265648879684</v>
      </c>
      <c r="M125">
        <f t="shared" ca="1" si="35"/>
        <v>62.104734351120321</v>
      </c>
      <c r="N125">
        <f t="shared" ca="1" si="24"/>
        <v>-0.25999999999999801</v>
      </c>
      <c r="O125">
        <f t="shared" ca="1" si="25"/>
        <v>0</v>
      </c>
      <c r="P125">
        <f t="shared" ca="1" si="26"/>
        <v>0.25999999999999801</v>
      </c>
      <c r="Q125">
        <f t="shared" ca="1" si="30"/>
        <v>0.18725191679167905</v>
      </c>
      <c r="R125">
        <f t="shared" ca="1" si="31"/>
        <v>0.14276037215726417</v>
      </c>
      <c r="S125">
        <f t="shared" ca="1" si="28"/>
        <v>1.3116519238644404</v>
      </c>
      <c r="T125">
        <f t="shared" ca="1" si="29"/>
        <v>56.740892100732985</v>
      </c>
      <c r="U125">
        <f>70</f>
        <v>70</v>
      </c>
      <c r="V125">
        <f>30</f>
        <v>30</v>
      </c>
      <c r="W125">
        <f t="shared" ca="1" si="27"/>
        <v>63.417369673813177</v>
      </c>
      <c r="X125">
        <f t="shared" ca="1" si="37"/>
        <v>63.095570565723513</v>
      </c>
      <c r="Y125">
        <f t="shared" ca="1" si="36"/>
        <v>0.28700387254237114</v>
      </c>
      <c r="Z125">
        <f t="shared" ca="1" si="38"/>
        <v>0.28207273670684141</v>
      </c>
      <c r="AA125">
        <f t="shared" ca="1" si="39"/>
        <v>4.9311358355297319E-3</v>
      </c>
      <c r="AB125">
        <f t="shared" ca="1" si="40"/>
        <v>61.268000000000008</v>
      </c>
    </row>
    <row r="126" spans="1:28" x14ac:dyDescent="0.25">
      <c r="A126" s="20">
        <f t="shared" ca="1" si="20"/>
        <v>45474</v>
      </c>
      <c r="B126" vm="358">
        <f ca="1"/>
        <v>45474</v>
      </c>
      <c r="C126" vm="359">
        <f ca="1"/>
        <v>63.28</v>
      </c>
      <c r="D126" vm="360">
        <f ca="1"/>
        <v>10033361</v>
      </c>
      <c r="E126">
        <f t="shared" ca="1" si="21"/>
        <v>634911084.08000004</v>
      </c>
      <c r="F126">
        <f ca="1">SUM($E$2:E126)/SUM($D$2:D126)</f>
        <v>60.88724698894486</v>
      </c>
      <c r="G126">
        <f ca="1">_xlfn.STDEV.P($C$2:C126)</f>
        <v>1.5813842321207077</v>
      </c>
      <c r="H126">
        <f t="shared" ca="1" si="22"/>
        <v>62.468631221065564</v>
      </c>
      <c r="I126">
        <f t="shared" ca="1" si="23"/>
        <v>59.305862756824155</v>
      </c>
      <c r="J126">
        <f t="shared" ca="1" si="32"/>
        <v>63.365500000000011</v>
      </c>
      <c r="K126">
        <f t="shared" ca="1" si="33"/>
        <v>0.61412732264657655</v>
      </c>
      <c r="L126">
        <f t="shared" ca="1" si="34"/>
        <v>64.59375464529316</v>
      </c>
      <c r="M126">
        <f t="shared" ca="1" si="35"/>
        <v>62.137245354706856</v>
      </c>
      <c r="N126">
        <f t="shared" ca="1" si="24"/>
        <v>-0.36999999999999744</v>
      </c>
      <c r="O126">
        <f t="shared" ca="1" si="25"/>
        <v>0</v>
      </c>
      <c r="P126">
        <f t="shared" ca="1" si="26"/>
        <v>0.36999999999999744</v>
      </c>
      <c r="Q126">
        <f t="shared" ca="1" si="30"/>
        <v>0.17387677987798769</v>
      </c>
      <c r="R126">
        <f t="shared" ca="1" si="31"/>
        <v>0.15899177414603086</v>
      </c>
      <c r="S126">
        <f t="shared" ca="1" si="28"/>
        <v>1.0936212317392298</v>
      </c>
      <c r="T126">
        <f t="shared" ca="1" si="29"/>
        <v>52.235868415927747</v>
      </c>
      <c r="U126">
        <f>70</f>
        <v>70</v>
      </c>
      <c r="V126">
        <f>30</f>
        <v>30</v>
      </c>
      <c r="W126">
        <f t="shared" ca="1" si="27"/>
        <v>63.396235877841917</v>
      </c>
      <c r="X126">
        <f t="shared" ca="1" si="37"/>
        <v>63.109232005299546</v>
      </c>
      <c r="Y126">
        <f t="shared" ca="1" si="36"/>
        <v>0.2461015783381697</v>
      </c>
      <c r="Z126">
        <f t="shared" ca="1" si="38"/>
        <v>0.27487850503310707</v>
      </c>
      <c r="AA126">
        <f t="shared" ca="1" si="39"/>
        <v>-2.8776926694937366E-2</v>
      </c>
      <c r="AB126">
        <f t="shared" ca="1" si="40"/>
        <v>61.301400000000001</v>
      </c>
    </row>
    <row r="127" spans="1:28" x14ac:dyDescent="0.25">
      <c r="A127" s="20">
        <f t="shared" ca="1" si="20"/>
        <v>45474</v>
      </c>
      <c r="B127" vm="361">
        <f ca="1"/>
        <v>45475</v>
      </c>
      <c r="C127" vm="362">
        <f ca="1"/>
        <v>63.15</v>
      </c>
      <c r="D127" vm="363">
        <f ca="1"/>
        <v>8878156</v>
      </c>
      <c r="E127">
        <f t="shared" ca="1" si="21"/>
        <v>560655551.39999998</v>
      </c>
      <c r="F127">
        <f ca="1">SUM($E$2:E127)/SUM($D$2:D127)</f>
        <v>60.899447965418403</v>
      </c>
      <c r="G127">
        <f ca="1">_xlfn.STDEV.P($C$2:C127)</f>
        <v>1.5864113694139346</v>
      </c>
      <c r="H127">
        <f t="shared" ca="1" si="22"/>
        <v>62.485859334832341</v>
      </c>
      <c r="I127">
        <f t="shared" ca="1" si="23"/>
        <v>59.313036596004466</v>
      </c>
      <c r="J127">
        <f t="shared" ca="1" si="32"/>
        <v>63.376500000000007</v>
      </c>
      <c r="K127">
        <f t="shared" ca="1" si="33"/>
        <v>0.60785450994720569</v>
      </c>
      <c r="L127">
        <f t="shared" ca="1" si="34"/>
        <v>64.592209019894412</v>
      </c>
      <c r="M127">
        <f t="shared" ca="1" si="35"/>
        <v>62.160790980105595</v>
      </c>
      <c r="N127">
        <f t="shared" ca="1" si="24"/>
        <v>-0.13000000000000256</v>
      </c>
      <c r="O127">
        <f t="shared" ca="1" si="25"/>
        <v>0</v>
      </c>
      <c r="P127">
        <f t="shared" ca="1" si="26"/>
        <v>0.13000000000000256</v>
      </c>
      <c r="Q127">
        <f t="shared" ca="1" si="30"/>
        <v>0.16145700988670283</v>
      </c>
      <c r="R127">
        <f t="shared" ca="1" si="31"/>
        <v>0.15692093313560027</v>
      </c>
      <c r="S127">
        <f t="shared" ca="1" si="28"/>
        <v>1.0289067663597362</v>
      </c>
      <c r="T127">
        <f t="shared" ca="1" si="29"/>
        <v>50.712372959640739</v>
      </c>
      <c r="U127">
        <f>70</f>
        <v>70</v>
      </c>
      <c r="V127">
        <f>30</f>
        <v>30</v>
      </c>
      <c r="W127">
        <f t="shared" ca="1" si="27"/>
        <v>63.358353435097008</v>
      </c>
      <c r="X127">
        <f t="shared" ca="1" si="37"/>
        <v>63.112251856758839</v>
      </c>
      <c r="Y127">
        <f t="shared" ca="1" si="36"/>
        <v>0.22561001930822044</v>
      </c>
      <c r="Z127">
        <f t="shared" ca="1" si="38"/>
        <v>0.26502480788812977</v>
      </c>
      <c r="AA127">
        <f t="shared" ca="1" si="39"/>
        <v>-3.9414788579909321E-2</v>
      </c>
      <c r="AB127">
        <f t="shared" ca="1" si="40"/>
        <v>61.332999999999991</v>
      </c>
    </row>
    <row r="128" spans="1:28" x14ac:dyDescent="0.25">
      <c r="A128" s="20">
        <f t="shared" ca="1" si="20"/>
        <v>45474</v>
      </c>
      <c r="B128" vm="364">
        <f ca="1"/>
        <v>45476</v>
      </c>
      <c r="C128" vm="365">
        <f ca="1"/>
        <v>63.33</v>
      </c>
      <c r="D128" vm="366">
        <f ca="1"/>
        <v>9154198</v>
      </c>
      <c r="E128">
        <f t="shared" ca="1" si="21"/>
        <v>579735359.34000003</v>
      </c>
      <c r="F128">
        <f ca="1">SUM($E$2:E128)/SUM($D$2:D128)</f>
        <v>60.912886503042245</v>
      </c>
      <c r="G128">
        <f ca="1">_xlfn.STDEV.P($C$2:C128)</f>
        <v>1.593115295021891</v>
      </c>
      <c r="H128">
        <f t="shared" ca="1" si="22"/>
        <v>62.506001798064133</v>
      </c>
      <c r="I128">
        <f t="shared" ca="1" si="23"/>
        <v>59.319771208020356</v>
      </c>
      <c r="J128">
        <f t="shared" ca="1" si="32"/>
        <v>63.345999999999989</v>
      </c>
      <c r="K128">
        <f t="shared" ca="1" si="33"/>
        <v>0.59321958302487832</v>
      </c>
      <c r="L128">
        <f t="shared" ca="1" si="34"/>
        <v>64.532439166049741</v>
      </c>
      <c r="M128">
        <f t="shared" ca="1" si="35"/>
        <v>62.159560833950231</v>
      </c>
      <c r="N128">
        <f t="shared" ca="1" si="24"/>
        <v>0.17999999999999972</v>
      </c>
      <c r="O128">
        <f t="shared" ca="1" si="25"/>
        <v>0.17999999999999972</v>
      </c>
      <c r="P128">
        <f t="shared" ca="1" si="26"/>
        <v>0</v>
      </c>
      <c r="Q128">
        <f t="shared" ca="1" si="30"/>
        <v>0.16278150918050976</v>
      </c>
      <c r="R128">
        <f t="shared" ca="1" si="31"/>
        <v>0.14571229505448596</v>
      </c>
      <c r="S128">
        <f t="shared" ca="1" si="28"/>
        <v>1.1171432659106848</v>
      </c>
      <c r="T128">
        <f t="shared" ca="1" si="29"/>
        <v>52.766540833510767</v>
      </c>
      <c r="U128">
        <f>70</f>
        <v>70</v>
      </c>
      <c r="V128">
        <f>30</f>
        <v>30</v>
      </c>
      <c r="W128">
        <f t="shared" ca="1" si="27"/>
        <v>63.353991368159001</v>
      </c>
      <c r="X128">
        <f t="shared" ca="1" si="37"/>
        <v>63.12838134885078</v>
      </c>
      <c r="Y128">
        <f t="shared" ca="1" si="36"/>
        <v>0.24128631899350239</v>
      </c>
      <c r="Z128">
        <f t="shared" ca="1" si="38"/>
        <v>0.26027711010920429</v>
      </c>
      <c r="AA128">
        <f t="shared" ca="1" si="39"/>
        <v>-1.8990791115701899E-2</v>
      </c>
      <c r="AB128">
        <f t="shared" ca="1" si="40"/>
        <v>61.367999999999995</v>
      </c>
    </row>
    <row r="129" spans="1:28" x14ac:dyDescent="0.25">
      <c r="A129" s="20">
        <f t="shared" ca="1" si="20"/>
        <v>45474</v>
      </c>
      <c r="B129" vm="367">
        <f ca="1"/>
        <v>45478</v>
      </c>
      <c r="C129" vm="368">
        <f ca="1"/>
        <v>63.76</v>
      </c>
      <c r="D129" vm="369">
        <f ca="1"/>
        <v>11735460</v>
      </c>
      <c r="E129">
        <f t="shared" ca="1" si="21"/>
        <v>748252929.60000002</v>
      </c>
      <c r="F129">
        <f ca="1">SUM($E$2:E129)/SUM($D$2:D129)</f>
        <v>60.932924958369142</v>
      </c>
      <c r="G129">
        <f ca="1">_xlfn.STDEV.P($C$2:C129)</f>
        <v>1.6046713557336625</v>
      </c>
      <c r="H129">
        <f t="shared" ca="1" si="22"/>
        <v>62.537596314102807</v>
      </c>
      <c r="I129">
        <f t="shared" ca="1" si="23"/>
        <v>59.328253602635478</v>
      </c>
      <c r="J129">
        <f t="shared" ca="1" si="32"/>
        <v>63.338000000000001</v>
      </c>
      <c r="K129">
        <f t="shared" ca="1" si="33"/>
        <v>0.58610758847088618</v>
      </c>
      <c r="L129">
        <f t="shared" ca="1" si="34"/>
        <v>64.51021517694177</v>
      </c>
      <c r="M129">
        <f t="shared" ca="1" si="35"/>
        <v>62.165784823058232</v>
      </c>
      <c r="N129">
        <f t="shared" ca="1" si="24"/>
        <v>0.42999999999999972</v>
      </c>
      <c r="O129">
        <f t="shared" ca="1" si="25"/>
        <v>0.42999999999999972</v>
      </c>
      <c r="P129">
        <f t="shared" ca="1" si="26"/>
        <v>0</v>
      </c>
      <c r="Q129">
        <f t="shared" ca="1" si="30"/>
        <v>0.18186854423904478</v>
      </c>
      <c r="R129">
        <f t="shared" ca="1" si="31"/>
        <v>0.13530427397916553</v>
      </c>
      <c r="S129">
        <f t="shared" ca="1" si="28"/>
        <v>1.3441448587725271</v>
      </c>
      <c r="T129">
        <f t="shared" ca="1" si="29"/>
        <v>57.340520307109621</v>
      </c>
      <c r="U129">
        <f>70</f>
        <v>70</v>
      </c>
      <c r="V129">
        <f>30</f>
        <v>30</v>
      </c>
      <c r="W129">
        <f t="shared" ca="1" si="27"/>
        <v>63.416454234596074</v>
      </c>
      <c r="X129">
        <f t="shared" ca="1" si="37"/>
        <v>63.175167915602572</v>
      </c>
      <c r="Y129">
        <f t="shared" ca="1" si="36"/>
        <v>0.18700095471281486</v>
      </c>
      <c r="Z129">
        <f t="shared" ca="1" si="38"/>
        <v>0.24562187902992641</v>
      </c>
      <c r="AA129">
        <f t="shared" ca="1" si="39"/>
        <v>-5.862092431711155E-2</v>
      </c>
      <c r="AB129">
        <f t="shared" ca="1" si="40"/>
        <v>61.41</v>
      </c>
    </row>
    <row r="130" spans="1:28" x14ac:dyDescent="0.25">
      <c r="A130" s="20">
        <f t="shared" ca="1" si="20"/>
        <v>45481</v>
      </c>
      <c r="B130" vm="370">
        <f ca="1"/>
        <v>45481</v>
      </c>
      <c r="C130" vm="371">
        <f ca="1"/>
        <v>62.96</v>
      </c>
      <c r="D130" vm="372">
        <f ca="1"/>
        <v>11235135</v>
      </c>
      <c r="E130">
        <f t="shared" ca="1" si="21"/>
        <v>707364099.60000002</v>
      </c>
      <c r="F130">
        <f ca="1">SUM($E$2:E130)/SUM($D$2:D130)</f>
        <v>60.946492181220378</v>
      </c>
      <c r="G130">
        <f ca="1">_xlfn.STDEV.P($C$2:C130)</f>
        <v>1.6069696129855942</v>
      </c>
      <c r="H130">
        <f t="shared" ca="1" si="22"/>
        <v>62.553461794205973</v>
      </c>
      <c r="I130">
        <f t="shared" ca="1" si="23"/>
        <v>59.339522568234784</v>
      </c>
      <c r="J130">
        <f t="shared" ca="1" si="32"/>
        <v>63.278499999999994</v>
      </c>
      <c r="K130">
        <f t="shared" ca="1" si="33"/>
        <v>0.55911843204515332</v>
      </c>
      <c r="L130">
        <f t="shared" ca="1" si="34"/>
        <v>64.3967368640903</v>
      </c>
      <c r="M130">
        <f t="shared" ca="1" si="35"/>
        <v>62.160263135909688</v>
      </c>
      <c r="N130">
        <f t="shared" ca="1" si="24"/>
        <v>-0.79999999999999716</v>
      </c>
      <c r="O130">
        <f t="shared" ca="1" si="25"/>
        <v>0</v>
      </c>
      <c r="P130">
        <f t="shared" ca="1" si="26"/>
        <v>0.79999999999999716</v>
      </c>
      <c r="Q130">
        <f t="shared" ca="1" si="30"/>
        <v>0.16887793393625586</v>
      </c>
      <c r="R130">
        <f t="shared" ca="1" si="31"/>
        <v>0.18278254012351064</v>
      </c>
      <c r="S130">
        <f t="shared" ca="1" si="28"/>
        <v>0.92392814883818175</v>
      </c>
      <c r="T130">
        <f t="shared" ca="1" si="29"/>
        <v>48.023006960843205</v>
      </c>
      <c r="U130">
        <f>70</f>
        <v>70</v>
      </c>
      <c r="V130">
        <f>30</f>
        <v>30</v>
      </c>
      <c r="W130">
        <f t="shared" ca="1" si="27"/>
        <v>63.346230506196676</v>
      </c>
      <c r="X130">
        <f t="shared" ca="1" si="37"/>
        <v>63.159229551483861</v>
      </c>
      <c r="Y130">
        <f t="shared" ca="1" si="36"/>
        <v>0.12080015985229409</v>
      </c>
      <c r="Z130">
        <f t="shared" ca="1" si="38"/>
        <v>0.22065753519439996</v>
      </c>
      <c r="AA130">
        <f t="shared" ca="1" si="39"/>
        <v>-9.985737534210587E-2</v>
      </c>
      <c r="AB130">
        <f t="shared" ca="1" si="40"/>
        <v>61.442600000000013</v>
      </c>
    </row>
    <row r="131" spans="1:28" x14ac:dyDescent="0.25">
      <c r="A131" s="20">
        <f t="shared" ref="A131:A194" ca="1" si="41">B131 - WEEKDAY(B131, 2) + 1</f>
        <v>45481</v>
      </c>
      <c r="B131" vm="373">
        <f ca="1"/>
        <v>45482</v>
      </c>
      <c r="C131" vm="374">
        <f ca="1"/>
        <v>62.69</v>
      </c>
      <c r="D131" vm="375">
        <f ca="1"/>
        <v>11660197</v>
      </c>
      <c r="E131">
        <f t="shared" ref="E131:E194" ca="1" si="42">C131*D131</f>
        <v>730977749.92999995</v>
      </c>
      <c r="F131">
        <f ca="1">SUM($E$2:E131)/SUM($D$2:D131)</f>
        <v>60.958519431459543</v>
      </c>
      <c r="G131">
        <f ca="1">_xlfn.STDEV.P($C$2:C131)</f>
        <v>1.6068748749997073</v>
      </c>
      <c r="H131">
        <f t="shared" ref="H131:H194" ca="1" si="43">F131 + G131</f>
        <v>62.565394306459247</v>
      </c>
      <c r="I131">
        <f t="shared" ref="I131:I194" ca="1" si="44">F131 - G131</f>
        <v>59.351644556459838</v>
      </c>
      <c r="J131">
        <f t="shared" ca="1" si="32"/>
        <v>63.217499999999994</v>
      </c>
      <c r="K131">
        <f t="shared" ca="1" si="33"/>
        <v>0.55311438809326685</v>
      </c>
      <c r="L131">
        <f t="shared" ca="1" si="34"/>
        <v>64.323728776186528</v>
      </c>
      <c r="M131">
        <f t="shared" ca="1" si="35"/>
        <v>62.111271223813461</v>
      </c>
      <c r="N131">
        <f t="shared" ca="1" si="24"/>
        <v>-0.27000000000000313</v>
      </c>
      <c r="O131">
        <f t="shared" ca="1" si="25"/>
        <v>0</v>
      </c>
      <c r="P131">
        <f t="shared" ca="1" si="26"/>
        <v>0.27000000000000313</v>
      </c>
      <c r="Q131">
        <f t="shared" ca="1" si="30"/>
        <v>0.15681522436938042</v>
      </c>
      <c r="R131">
        <f t="shared" ca="1" si="31"/>
        <v>0.18901235868611724</v>
      </c>
      <c r="S131">
        <f t="shared" ca="1" si="28"/>
        <v>0.8296559307521002</v>
      </c>
      <c r="T131">
        <f t="shared" ca="1" si="29"/>
        <v>45.344915227370699</v>
      </c>
      <c r="U131">
        <f>70</f>
        <v>70</v>
      </c>
      <c r="V131">
        <f>30</f>
        <v>30</v>
      </c>
      <c r="W131">
        <f t="shared" ca="1" si="27"/>
        <v>63.2452719667818</v>
      </c>
      <c r="X131">
        <f t="shared" ca="1" si="37"/>
        <v>63.124471806929506</v>
      </c>
      <c r="Y131">
        <f t="shared" ca="1" si="36"/>
        <v>7.872489140201111E-2</v>
      </c>
      <c r="Z131">
        <f t="shared" ca="1" si="38"/>
        <v>0.19227100643592221</v>
      </c>
      <c r="AA131">
        <f t="shared" ca="1" si="39"/>
        <v>-0.1135461150339111</v>
      </c>
      <c r="AB131">
        <f t="shared" ca="1" si="40"/>
        <v>61.476000000000013</v>
      </c>
    </row>
    <row r="132" spans="1:28" x14ac:dyDescent="0.25">
      <c r="A132" s="20">
        <f t="shared" ca="1" si="41"/>
        <v>45481</v>
      </c>
      <c r="B132" vm="376">
        <f ca="1"/>
        <v>45483</v>
      </c>
      <c r="C132" vm="377">
        <f ca="1"/>
        <v>62.83</v>
      </c>
      <c r="D132" vm="378">
        <f ca="1"/>
        <v>11930407</v>
      </c>
      <c r="E132">
        <f t="shared" ca="1" si="42"/>
        <v>749587471.80999994</v>
      </c>
      <c r="F132">
        <f ca="1">SUM($E$2:E132)/SUM($D$2:D132)</f>
        <v>60.971636071083594</v>
      </c>
      <c r="G132">
        <f ca="1">_xlfn.STDEV.P($C$2:C132)</f>
        <v>1.6077837043792911</v>
      </c>
      <c r="H132">
        <f t="shared" ca="1" si="43"/>
        <v>62.579419775462888</v>
      </c>
      <c r="I132">
        <f t="shared" ca="1" si="44"/>
        <v>59.3638523667043</v>
      </c>
      <c r="J132">
        <f t="shared" ca="1" si="32"/>
        <v>63.179499999999997</v>
      </c>
      <c r="K132">
        <f t="shared" ca="1" si="33"/>
        <v>0.55228210754630547</v>
      </c>
      <c r="L132">
        <f t="shared" ca="1" si="34"/>
        <v>64.284064215092613</v>
      </c>
      <c r="M132">
        <f t="shared" ca="1" si="35"/>
        <v>62.074935784907389</v>
      </c>
      <c r="N132">
        <f t="shared" ref="N132:N195" ca="1" si="45">C132-C131</f>
        <v>0.14000000000000057</v>
      </c>
      <c r="O132">
        <f t="shared" ref="O132:O195" ca="1" si="46">MAX(N132,0)</f>
        <v>0.14000000000000057</v>
      </c>
      <c r="P132">
        <f t="shared" ref="P132:P195" ca="1" si="47">MAX(-N132,0)</f>
        <v>0</v>
      </c>
      <c r="Q132">
        <f t="shared" ca="1" si="30"/>
        <v>0.15561413691442469</v>
      </c>
      <c r="R132">
        <f t="shared" ca="1" si="31"/>
        <v>0.17551147592282315</v>
      </c>
      <c r="S132">
        <f t="shared" ca="1" si="28"/>
        <v>0.88663226205705303</v>
      </c>
      <c r="T132">
        <f t="shared" ca="1" si="29"/>
        <v>46.995499859115668</v>
      </c>
      <c r="U132">
        <f>70</f>
        <v>70</v>
      </c>
      <c r="V132">
        <f>30</f>
        <v>30</v>
      </c>
      <c r="W132">
        <f t="shared" ca="1" si="27"/>
        <v>63.181383971892295</v>
      </c>
      <c r="X132">
        <f t="shared" ca="1" si="37"/>
        <v>63.102659080490284</v>
      </c>
      <c r="Y132">
        <f t="shared" ca="1" si="36"/>
        <v>6.6401249266874629E-2</v>
      </c>
      <c r="Z132">
        <f t="shared" ca="1" si="38"/>
        <v>0.16709705500211269</v>
      </c>
      <c r="AA132">
        <f t="shared" ca="1" si="39"/>
        <v>-0.10069580573523806</v>
      </c>
      <c r="AB132">
        <f t="shared" ca="1" si="40"/>
        <v>61.511400000000002</v>
      </c>
    </row>
    <row r="133" spans="1:28" x14ac:dyDescent="0.25">
      <c r="A133" s="20">
        <f t="shared" ca="1" si="41"/>
        <v>45481</v>
      </c>
      <c r="B133" vm="379">
        <f ca="1"/>
        <v>45484</v>
      </c>
      <c r="C133" vm="267">
        <f ca="1"/>
        <v>63.1</v>
      </c>
      <c r="D133" vm="380">
        <f ca="1"/>
        <v>11434422</v>
      </c>
      <c r="E133">
        <f t="shared" ca="1" si="42"/>
        <v>721512028.20000005</v>
      </c>
      <c r="F133">
        <f ca="1">SUM($E$2:E133)/SUM($D$2:D133)</f>
        <v>60.985837582566134</v>
      </c>
      <c r="G133">
        <f ca="1">_xlfn.STDEV.P($C$2:C133)</f>
        <v>1.6109057615483073</v>
      </c>
      <c r="H133">
        <f t="shared" ca="1" si="43"/>
        <v>62.596743344114444</v>
      </c>
      <c r="I133">
        <f t="shared" ca="1" si="44"/>
        <v>59.374931821017825</v>
      </c>
      <c r="J133">
        <f t="shared" ca="1" si="32"/>
        <v>63.156999999999996</v>
      </c>
      <c r="K133">
        <f t="shared" ca="1" si="33"/>
        <v>0.54551858475746628</v>
      </c>
      <c r="L133">
        <f t="shared" ca="1" si="34"/>
        <v>64.24803716951493</v>
      </c>
      <c r="M133">
        <f t="shared" ca="1" si="35"/>
        <v>62.065962830485063</v>
      </c>
      <c r="N133">
        <f t="shared" ca="1" si="45"/>
        <v>0.27000000000000313</v>
      </c>
      <c r="O133">
        <f t="shared" ca="1" si="46"/>
        <v>0.27000000000000313</v>
      </c>
      <c r="P133">
        <f t="shared" ca="1" si="47"/>
        <v>0</v>
      </c>
      <c r="Q133">
        <f t="shared" ca="1" si="30"/>
        <v>0.16378455570625169</v>
      </c>
      <c r="R133">
        <f t="shared" ca="1" si="31"/>
        <v>0.16297494192833578</v>
      </c>
      <c r="S133">
        <f t="shared" ca="1" si="28"/>
        <v>1.0049677193827253</v>
      </c>
      <c r="T133">
        <f t="shared" ca="1" si="29"/>
        <v>50.123885270937301</v>
      </c>
      <c r="U133">
        <f>70</f>
        <v>70</v>
      </c>
      <c r="V133">
        <f>30</f>
        <v>30</v>
      </c>
      <c r="W133">
        <f t="shared" ca="1" si="27"/>
        <v>63.168863360831949</v>
      </c>
      <c r="X133">
        <f t="shared" ca="1" si="37"/>
        <v>63.102462111565075</v>
      </c>
      <c r="Y133">
        <f t="shared" ca="1" si="36"/>
        <v>0.10385251255966921</v>
      </c>
      <c r="Z133">
        <f t="shared" ca="1" si="38"/>
        <v>0.15444814651362401</v>
      </c>
      <c r="AA133">
        <f t="shared" ca="1" si="39"/>
        <v>-5.0595633953954805E-2</v>
      </c>
      <c r="AB133">
        <f t="shared" ca="1" si="40"/>
        <v>61.548400000000001</v>
      </c>
    </row>
    <row r="134" spans="1:28" x14ac:dyDescent="0.25">
      <c r="A134" s="20">
        <f t="shared" ca="1" si="41"/>
        <v>45481</v>
      </c>
      <c r="B134" vm="381">
        <f ca="1"/>
        <v>45485</v>
      </c>
      <c r="C134" vm="382">
        <f ca="1"/>
        <v>63.7</v>
      </c>
      <c r="D134" vm="383">
        <f ca="1"/>
        <v>9201516</v>
      </c>
      <c r="E134">
        <f t="shared" ca="1" si="42"/>
        <v>586136569.20000005</v>
      </c>
      <c r="F134">
        <f ca="1">SUM($E$2:E134)/SUM($D$2:D134)</f>
        <v>61.000333442212437</v>
      </c>
      <c r="G134">
        <f ca="1">_xlfn.STDEV.P($C$2:C134)</f>
        <v>1.6201241290264026</v>
      </c>
      <c r="H134">
        <f t="shared" ca="1" si="43"/>
        <v>62.620457571238838</v>
      </c>
      <c r="I134">
        <f t="shared" ca="1" si="44"/>
        <v>59.380209313186036</v>
      </c>
      <c r="J134">
        <f t="shared" ca="1" si="32"/>
        <v>63.197999999999993</v>
      </c>
      <c r="K134">
        <f t="shared" ca="1" si="33"/>
        <v>0.5543474114953354</v>
      </c>
      <c r="L134">
        <f t="shared" ca="1" si="34"/>
        <v>64.306694822990664</v>
      </c>
      <c r="M134">
        <f t="shared" ca="1" si="35"/>
        <v>62.089305177009322</v>
      </c>
      <c r="N134">
        <f t="shared" ca="1" si="45"/>
        <v>0.60000000000000142</v>
      </c>
      <c r="O134">
        <f t="shared" ca="1" si="46"/>
        <v>0.60000000000000142</v>
      </c>
      <c r="P134">
        <f t="shared" ca="1" si="47"/>
        <v>0</v>
      </c>
      <c r="Q134">
        <f t="shared" ca="1" si="30"/>
        <v>0.19494280172723383</v>
      </c>
      <c r="R134">
        <f t="shared" ca="1" si="31"/>
        <v>0.15133387464774037</v>
      </c>
      <c r="S134">
        <f t="shared" ca="1" si="28"/>
        <v>1.288163685632195</v>
      </c>
      <c r="T134">
        <f t="shared" ca="1" si="29"/>
        <v>56.296832858628697</v>
      </c>
      <c r="U134">
        <f>70</f>
        <v>70</v>
      </c>
      <c r="V134">
        <f>30</f>
        <v>30</v>
      </c>
      <c r="W134">
        <f t="shared" ca="1" si="27"/>
        <v>63.250576689934732</v>
      </c>
      <c r="X134">
        <f t="shared" ca="1" si="37"/>
        <v>63.146724177375063</v>
      </c>
      <c r="Y134">
        <f t="shared" ca="1" si="36"/>
        <v>0.10887726285960042</v>
      </c>
      <c r="Z134">
        <f t="shared" ca="1" si="38"/>
        <v>0.14533396978281932</v>
      </c>
      <c r="AA134">
        <f t="shared" ca="1" si="39"/>
        <v>-3.6456706923218896E-2</v>
      </c>
      <c r="AB134">
        <f t="shared" ca="1" si="40"/>
        <v>61.591500000000003</v>
      </c>
    </row>
    <row r="135" spans="1:28" x14ac:dyDescent="0.25">
      <c r="A135" s="20">
        <f t="shared" ca="1" si="41"/>
        <v>45488</v>
      </c>
      <c r="B135" vm="384">
        <f ca="1"/>
        <v>45488</v>
      </c>
      <c r="C135" vm="385">
        <f ca="1"/>
        <v>63.41</v>
      </c>
      <c r="D135" vm="386">
        <f ca="1"/>
        <v>8207521</v>
      </c>
      <c r="E135">
        <f t="shared" ca="1" si="42"/>
        <v>520438906.60999995</v>
      </c>
      <c r="F135">
        <f ca="1">SUM($E$2:E135)/SUM($D$2:D135)</f>
        <v>61.011758376111771</v>
      </c>
      <c r="G135">
        <f ca="1">_xlfn.STDEV.P($C$2:C135)</f>
        <v>1.6257540704597349</v>
      </c>
      <c r="H135">
        <f t="shared" ca="1" si="43"/>
        <v>62.637512446571506</v>
      </c>
      <c r="I135">
        <f t="shared" ca="1" si="44"/>
        <v>59.386004305652037</v>
      </c>
      <c r="J135">
        <f t="shared" ca="1" si="32"/>
        <v>63.219000000000008</v>
      </c>
      <c r="K135">
        <f t="shared" ca="1" si="33"/>
        <v>0.55400836018772714</v>
      </c>
      <c r="L135">
        <f t="shared" ca="1" si="34"/>
        <v>64.327016720375468</v>
      </c>
      <c r="M135">
        <f t="shared" ca="1" si="35"/>
        <v>62.110983279624556</v>
      </c>
      <c r="N135">
        <f t="shared" ca="1" si="45"/>
        <v>-0.29000000000000625</v>
      </c>
      <c r="O135">
        <f t="shared" ca="1" si="46"/>
        <v>0</v>
      </c>
      <c r="P135">
        <f t="shared" ca="1" si="47"/>
        <v>0.29000000000000625</v>
      </c>
      <c r="Q135">
        <f t="shared" ca="1" si="30"/>
        <v>0.18101831588957426</v>
      </c>
      <c r="R135">
        <f t="shared" ca="1" si="31"/>
        <v>0.16123859788718795</v>
      </c>
      <c r="S135">
        <f t="shared" ca="1" si="28"/>
        <v>1.1226735921892932</v>
      </c>
      <c r="T135">
        <f t="shared" ca="1" si="29"/>
        <v>52.889600941018195</v>
      </c>
      <c r="U135">
        <f>70</f>
        <v>70</v>
      </c>
      <c r="V135">
        <f>30</f>
        <v>30</v>
      </c>
      <c r="W135">
        <f t="shared" ca="1" si="27"/>
        <v>63.275103353021692</v>
      </c>
      <c r="X135">
        <f t="shared" ca="1" si="37"/>
        <v>63.166226090162091</v>
      </c>
      <c r="Y135">
        <f t="shared" ca="1" si="36"/>
        <v>0.18017725511329274</v>
      </c>
      <c r="Z135">
        <f t="shared" ca="1" si="38"/>
        <v>0.15230262684891399</v>
      </c>
      <c r="AA135">
        <f t="shared" ca="1" si="39"/>
        <v>2.7874628264378754E-2</v>
      </c>
      <c r="AB135">
        <f t="shared" ca="1" si="40"/>
        <v>61.618600000000008</v>
      </c>
    </row>
    <row r="136" spans="1:28" x14ac:dyDescent="0.25">
      <c r="A136" s="20">
        <f t="shared" ca="1" si="41"/>
        <v>45488</v>
      </c>
      <c r="B136" vm="387">
        <f ca="1"/>
        <v>45489</v>
      </c>
      <c r="C136" vm="388">
        <f ca="1"/>
        <v>64.27</v>
      </c>
      <c r="D136" vm="389">
        <f ca="1"/>
        <v>9025066</v>
      </c>
      <c r="E136">
        <f t="shared" ca="1" si="42"/>
        <v>580040991.81999993</v>
      </c>
      <c r="F136">
        <f ca="1">SUM($E$2:E136)/SUM($D$2:D136)</f>
        <v>61.028657339877377</v>
      </c>
      <c r="G136">
        <f ca="1">_xlfn.STDEV.P($C$2:C136)</f>
        <v>1.6414443838567678</v>
      </c>
      <c r="H136">
        <f t="shared" ca="1" si="43"/>
        <v>62.670101723734142</v>
      </c>
      <c r="I136">
        <f t="shared" ca="1" si="44"/>
        <v>59.387212956020612</v>
      </c>
      <c r="J136">
        <f t="shared" ca="1" si="32"/>
        <v>63.305000000000007</v>
      </c>
      <c r="K136">
        <f t="shared" ca="1" si="33"/>
        <v>0.57768594636842097</v>
      </c>
      <c r="L136">
        <f t="shared" ca="1" si="34"/>
        <v>64.460371892736845</v>
      </c>
      <c r="M136">
        <f t="shared" ca="1" si="35"/>
        <v>62.149628107263162</v>
      </c>
      <c r="N136">
        <f t="shared" ca="1" si="45"/>
        <v>0.85999999999999943</v>
      </c>
      <c r="O136">
        <f t="shared" ca="1" si="46"/>
        <v>0.85999999999999943</v>
      </c>
      <c r="P136">
        <f t="shared" ca="1" si="47"/>
        <v>0</v>
      </c>
      <c r="Q136">
        <f t="shared" ca="1" si="30"/>
        <v>0.22951700761174748</v>
      </c>
      <c r="R136">
        <f t="shared" ca="1" si="31"/>
        <v>0.14972155518096025</v>
      </c>
      <c r="S136">
        <f t="shared" ca="1" si="28"/>
        <v>1.5329590140467271</v>
      </c>
      <c r="T136">
        <f t="shared" ca="1" si="29"/>
        <v>60.520482390183979</v>
      </c>
      <c r="U136">
        <f>70</f>
        <v>70</v>
      </c>
      <c r="V136">
        <f>30</f>
        <v>30</v>
      </c>
      <c r="W136">
        <f t="shared" ca="1" si="27"/>
        <v>63.428164375633742</v>
      </c>
      <c r="X136">
        <f t="shared" ca="1" si="37"/>
        <v>63.247987120520449</v>
      </c>
      <c r="Y136">
        <f t="shared" ca="1" si="36"/>
        <v>0.30897152533924555</v>
      </c>
      <c r="Z136">
        <f t="shared" ca="1" si="38"/>
        <v>0.18363640654698032</v>
      </c>
      <c r="AA136">
        <f t="shared" ca="1" si="39"/>
        <v>0.12533511879226522</v>
      </c>
      <c r="AB136">
        <f t="shared" ca="1" si="40"/>
        <v>61.648900000000012</v>
      </c>
    </row>
    <row r="137" spans="1:28" x14ac:dyDescent="0.25">
      <c r="A137" s="20">
        <f t="shared" ca="1" si="41"/>
        <v>45488</v>
      </c>
      <c r="B137" vm="390">
        <f ca="1"/>
        <v>45490</v>
      </c>
      <c r="C137" vm="391">
        <f ca="1"/>
        <v>65.209999999999994</v>
      </c>
      <c r="D137" vm="392">
        <f ca="1"/>
        <v>12508215</v>
      </c>
      <c r="E137">
        <f t="shared" ca="1" si="42"/>
        <v>815660700.14999998</v>
      </c>
      <c r="F137">
        <f ca="1">SUM($E$2:E137)/SUM($D$2:D137)</f>
        <v>61.058499266440847</v>
      </c>
      <c r="G137">
        <f ca="1">_xlfn.STDEV.P($C$2:C137)</f>
        <v>1.6710900499426418</v>
      </c>
      <c r="H137">
        <f t="shared" ca="1" si="43"/>
        <v>62.729589316383489</v>
      </c>
      <c r="I137">
        <f t="shared" ca="1" si="44"/>
        <v>59.387409216498206</v>
      </c>
      <c r="J137">
        <f t="shared" ca="1" si="32"/>
        <v>63.434500000000014</v>
      </c>
      <c r="K137">
        <f t="shared" ca="1" si="33"/>
        <v>0.6945310799760005</v>
      </c>
      <c r="L137">
        <f t="shared" ca="1" si="34"/>
        <v>64.823562159952019</v>
      </c>
      <c r="M137">
        <f t="shared" ca="1" si="35"/>
        <v>62.04543784004801</v>
      </c>
      <c r="N137">
        <f t="shared" ca="1" si="45"/>
        <v>0.93999999999999773</v>
      </c>
      <c r="O137">
        <f t="shared" ca="1" si="46"/>
        <v>0.93999999999999773</v>
      </c>
      <c r="P137">
        <f t="shared" ca="1" si="47"/>
        <v>0</v>
      </c>
      <c r="Q137">
        <f t="shared" ca="1" si="30"/>
        <v>0.28026579278233676</v>
      </c>
      <c r="R137">
        <f t="shared" ca="1" si="31"/>
        <v>0.13902715838232024</v>
      </c>
      <c r="S137">
        <f t="shared" ca="1" si="28"/>
        <v>2.015906791474618</v>
      </c>
      <c r="T137">
        <f t="shared" ca="1" si="29"/>
        <v>66.842476603494333</v>
      </c>
      <c r="U137">
        <f>70</f>
        <v>70</v>
      </c>
      <c r="V137">
        <f>30</f>
        <v>30</v>
      </c>
      <c r="W137">
        <f t="shared" ca="1" si="27"/>
        <v>63.702292933228549</v>
      </c>
      <c r="X137">
        <f t="shared" ca="1" si="37"/>
        <v>63.393321407889303</v>
      </c>
      <c r="Y137">
        <f t="shared" ca="1" si="36"/>
        <v>0.40476223249246601</v>
      </c>
      <c r="Z137">
        <f t="shared" ca="1" si="38"/>
        <v>0.22786157173607746</v>
      </c>
      <c r="AA137">
        <f t="shared" ca="1" si="39"/>
        <v>0.17690066075638855</v>
      </c>
      <c r="AB137">
        <f t="shared" ca="1" si="40"/>
        <v>61.68950000000001</v>
      </c>
    </row>
    <row r="138" spans="1:28" x14ac:dyDescent="0.25">
      <c r="A138" s="20">
        <f t="shared" ca="1" si="41"/>
        <v>45488</v>
      </c>
      <c r="B138" vm="393">
        <f ca="1"/>
        <v>45491</v>
      </c>
      <c r="C138" vm="394">
        <f ca="1"/>
        <v>65.19</v>
      </c>
      <c r="D138" vm="395">
        <f ca="1"/>
        <v>11128203</v>
      </c>
      <c r="E138">
        <f t="shared" ca="1" si="42"/>
        <v>725447553.56999993</v>
      </c>
      <c r="F138">
        <f ca="1">SUM($E$2:E138)/SUM($D$2:D138)</f>
        <v>61.084566790966001</v>
      </c>
      <c r="G138">
        <f ca="1">_xlfn.STDEV.P($C$2:C138)</f>
        <v>1.6989545007599245</v>
      </c>
      <c r="H138">
        <f t="shared" ca="1" si="43"/>
        <v>62.783521291725926</v>
      </c>
      <c r="I138">
        <f t="shared" ca="1" si="44"/>
        <v>59.385612290206076</v>
      </c>
      <c r="J138">
        <f t="shared" ca="1" si="32"/>
        <v>63.562500000000014</v>
      </c>
      <c r="K138">
        <f t="shared" ca="1" si="33"/>
        <v>0.77023492656803172</v>
      </c>
      <c r="L138">
        <f t="shared" ca="1" si="34"/>
        <v>65.102969853136074</v>
      </c>
      <c r="M138">
        <f t="shared" ca="1" si="35"/>
        <v>62.022030146863948</v>
      </c>
      <c r="N138">
        <f t="shared" ca="1" si="45"/>
        <v>-1.9999999999996021E-2</v>
      </c>
      <c r="O138">
        <f t="shared" ca="1" si="46"/>
        <v>0</v>
      </c>
      <c r="P138">
        <f t="shared" ca="1" si="47"/>
        <v>1.9999999999996021E-2</v>
      </c>
      <c r="Q138">
        <f t="shared" ca="1" si="30"/>
        <v>0.26024680758359842</v>
      </c>
      <c r="R138">
        <f t="shared" ca="1" si="31"/>
        <v>0.13052521849786852</v>
      </c>
      <c r="S138">
        <f t="shared" ca="1" si="28"/>
        <v>1.9938431100029015</v>
      </c>
      <c r="T138">
        <f t="shared" ca="1" si="29"/>
        <v>66.598116091693569</v>
      </c>
      <c r="U138">
        <f>70</f>
        <v>70</v>
      </c>
      <c r="V138">
        <f>30</f>
        <v>30</v>
      </c>
      <c r="W138">
        <f t="shared" ca="1" si="27"/>
        <v>63.93117094350108</v>
      </c>
      <c r="X138">
        <f t="shared" ca="1" si="37"/>
        <v>63.526408711008614</v>
      </c>
      <c r="Y138">
        <f t="shared" ca="1" si="36"/>
        <v>0.48317646479208776</v>
      </c>
      <c r="Z138">
        <f t="shared" ca="1" si="38"/>
        <v>0.27892455034727953</v>
      </c>
      <c r="AA138">
        <f t="shared" ca="1" si="39"/>
        <v>0.20425191444480822</v>
      </c>
      <c r="AB138">
        <f t="shared" ca="1" si="40"/>
        <v>61.729399999999998</v>
      </c>
    </row>
    <row r="139" spans="1:28" x14ac:dyDescent="0.25">
      <c r="A139" s="20">
        <f t="shared" ca="1" si="41"/>
        <v>45488</v>
      </c>
      <c r="B139" vm="396">
        <f ca="1"/>
        <v>45492</v>
      </c>
      <c r="C139" vm="397">
        <f ca="1"/>
        <v>65.290000000000006</v>
      </c>
      <c r="D139" vm="398">
        <f ca="1"/>
        <v>13775672</v>
      </c>
      <c r="E139">
        <f t="shared" ca="1" si="42"/>
        <v>899413624.88000011</v>
      </c>
      <c r="F139">
        <f ca="1">SUM($E$2:E139)/SUM($D$2:D139)</f>
        <v>61.117158832501531</v>
      </c>
      <c r="G139">
        <f ca="1">_xlfn.STDEV.P($C$2:C139)</f>
        <v>1.727162364709373</v>
      </c>
      <c r="H139">
        <f t="shared" ca="1" si="43"/>
        <v>62.844321197210903</v>
      </c>
      <c r="I139">
        <f t="shared" ca="1" si="44"/>
        <v>59.389996467792159</v>
      </c>
      <c r="J139">
        <f t="shared" ca="1" si="32"/>
        <v>63.718000000000004</v>
      </c>
      <c r="K139">
        <f t="shared" ca="1" si="33"/>
        <v>0.7901139158374566</v>
      </c>
      <c r="L139">
        <f t="shared" ca="1" si="34"/>
        <v>65.298227831674922</v>
      </c>
      <c r="M139">
        <f t="shared" ca="1" si="35"/>
        <v>62.137772168325093</v>
      </c>
      <c r="N139">
        <f t="shared" ca="1" si="45"/>
        <v>0.10000000000000853</v>
      </c>
      <c r="O139">
        <f t="shared" ca="1" si="46"/>
        <v>0.10000000000000853</v>
      </c>
      <c r="P139">
        <f t="shared" ca="1" si="47"/>
        <v>0</v>
      </c>
      <c r="Q139">
        <f t="shared" ca="1" si="30"/>
        <v>0.24880060704191345</v>
      </c>
      <c r="R139">
        <f t="shared" ca="1" si="31"/>
        <v>0.12120198860516362</v>
      </c>
      <c r="S139">
        <f t="shared" ca="1" si="28"/>
        <v>2.0527766079187391</v>
      </c>
      <c r="T139">
        <f t="shared" ca="1" si="29"/>
        <v>67.242935581789595</v>
      </c>
      <c r="U139">
        <f>70</f>
        <v>70</v>
      </c>
      <c r="V139">
        <f>30</f>
        <v>30</v>
      </c>
      <c r="W139">
        <f t="shared" ca="1" si="27"/>
        <v>64.140221567577839</v>
      </c>
      <c r="X139">
        <f t="shared" ca="1" si="37"/>
        <v>63.657045102785752</v>
      </c>
      <c r="Y139">
        <f t="shared" ca="1" si="36"/>
        <v>0.4976243508981355</v>
      </c>
      <c r="Z139">
        <f t="shared" ca="1" si="38"/>
        <v>0.3226645104574507</v>
      </c>
      <c r="AA139">
        <f t="shared" ca="1" si="39"/>
        <v>0.1749598404406848</v>
      </c>
      <c r="AB139">
        <f t="shared" ca="1" si="40"/>
        <v>61.775199999999998</v>
      </c>
    </row>
    <row r="140" spans="1:28" x14ac:dyDescent="0.25">
      <c r="A140" s="20">
        <f t="shared" ca="1" si="41"/>
        <v>45495</v>
      </c>
      <c r="B140" vm="399">
        <f ca="1"/>
        <v>45495</v>
      </c>
      <c r="C140" vm="400">
        <f ca="1"/>
        <v>64.77</v>
      </c>
      <c r="D140" vm="401">
        <f ca="1"/>
        <v>11794212</v>
      </c>
      <c r="E140">
        <f t="shared" ca="1" si="42"/>
        <v>763911111.24000001</v>
      </c>
      <c r="F140">
        <f ca="1">SUM($E$2:E140)/SUM($D$2:D140)</f>
        <v>61.141236566824013</v>
      </c>
      <c r="G140">
        <f ca="1">_xlfn.STDEV.P($C$2:C140)</f>
        <v>1.7460767442147382</v>
      </c>
      <c r="H140">
        <f t="shared" ca="1" si="43"/>
        <v>62.887313311038753</v>
      </c>
      <c r="I140">
        <f t="shared" ca="1" si="44"/>
        <v>59.395159822609273</v>
      </c>
      <c r="J140">
        <f t="shared" ca="1" si="32"/>
        <v>63.818000000000005</v>
      </c>
      <c r="K140">
        <f t="shared" ca="1" si="33"/>
        <v>0.7903803215108397</v>
      </c>
      <c r="L140">
        <f t="shared" ca="1" si="34"/>
        <v>65.398760643021689</v>
      </c>
      <c r="M140">
        <f t="shared" ca="1" si="35"/>
        <v>62.237239356978328</v>
      </c>
      <c r="N140">
        <f t="shared" ca="1" si="45"/>
        <v>-0.52000000000001023</v>
      </c>
      <c r="O140">
        <f t="shared" ca="1" si="46"/>
        <v>0</v>
      </c>
      <c r="P140">
        <f t="shared" ca="1" si="47"/>
        <v>0.52000000000001023</v>
      </c>
      <c r="Q140">
        <f t="shared" ca="1" si="30"/>
        <v>0.2310291351103482</v>
      </c>
      <c r="R140">
        <f t="shared" ca="1" si="31"/>
        <v>0.14968756084765267</v>
      </c>
      <c r="S140">
        <f t="shared" ca="1" si="28"/>
        <v>1.5434090434908112</v>
      </c>
      <c r="T140">
        <f t="shared" ca="1" si="29"/>
        <v>60.682690715469548</v>
      </c>
      <c r="U140">
        <f>70</f>
        <v>70</v>
      </c>
      <c r="V140">
        <f>30</f>
        <v>30</v>
      </c>
      <c r="W140">
        <f t="shared" ca="1" si="27"/>
        <v>64.237110557181239</v>
      </c>
      <c r="X140">
        <f t="shared" ca="1" si="37"/>
        <v>63.739486206283104</v>
      </c>
      <c r="Y140">
        <f t="shared" ca="1" si="36"/>
        <v>0.51842968216757868</v>
      </c>
      <c r="Z140">
        <f t="shared" ca="1" si="38"/>
        <v>0.36181754479947631</v>
      </c>
      <c r="AA140">
        <f t="shared" ca="1" si="39"/>
        <v>0.15661213736810237</v>
      </c>
      <c r="AB140">
        <f t="shared" ca="1" si="40"/>
        <v>61.819499999999998</v>
      </c>
    </row>
    <row r="141" spans="1:28" x14ac:dyDescent="0.25">
      <c r="A141" s="20">
        <f t="shared" ca="1" si="41"/>
        <v>45495</v>
      </c>
      <c r="B141" vm="402">
        <f ca="1"/>
        <v>45496</v>
      </c>
      <c r="C141" vm="403">
        <f ca="1"/>
        <v>64.959999999999994</v>
      </c>
      <c r="D141" vm="404">
        <f ca="1"/>
        <v>11810262</v>
      </c>
      <c r="E141">
        <f t="shared" ca="1" si="42"/>
        <v>767194619.51999998</v>
      </c>
      <c r="F141">
        <f ca="1">SUM($E$2:E141)/SUM($D$2:D141)</f>
        <v>61.166276954845884</v>
      </c>
      <c r="G141">
        <f ca="1">_xlfn.STDEV.P($C$2:C141)</f>
        <v>1.7668914981759718</v>
      </c>
      <c r="H141">
        <f t="shared" ca="1" si="43"/>
        <v>62.933168453021857</v>
      </c>
      <c r="I141">
        <f t="shared" ca="1" si="44"/>
        <v>59.399385456669911</v>
      </c>
      <c r="J141">
        <f t="shared" ca="1" si="32"/>
        <v>63.867499999999993</v>
      </c>
      <c r="K141">
        <f t="shared" ca="1" si="33"/>
        <v>0.83038909712951903</v>
      </c>
      <c r="L141">
        <f t="shared" ca="1" si="34"/>
        <v>65.52827819425903</v>
      </c>
      <c r="M141">
        <f t="shared" ca="1" si="35"/>
        <v>62.206721805740955</v>
      </c>
      <c r="N141">
        <f t="shared" ca="1" si="45"/>
        <v>0.18999999999999773</v>
      </c>
      <c r="O141">
        <f t="shared" ca="1" si="46"/>
        <v>0.18999999999999773</v>
      </c>
      <c r="P141">
        <f t="shared" ca="1" si="47"/>
        <v>0</v>
      </c>
      <c r="Q141">
        <f t="shared" ca="1" si="30"/>
        <v>0.22809848260246604</v>
      </c>
      <c r="R141">
        <f t="shared" ca="1" si="31"/>
        <v>0.13899559221567748</v>
      </c>
      <c r="S141">
        <f t="shared" ca="1" si="28"/>
        <v>1.6410483164712797</v>
      </c>
      <c r="T141">
        <f t="shared" ca="1" si="29"/>
        <v>62.13624742253463</v>
      </c>
      <c r="U141">
        <f>70</f>
        <v>70</v>
      </c>
      <c r="V141">
        <f>30</f>
        <v>30</v>
      </c>
      <c r="W141">
        <f t="shared" ca="1" si="27"/>
        <v>64.348324317614896</v>
      </c>
      <c r="X141">
        <f t="shared" ca="1" si="37"/>
        <v>63.829894635447317</v>
      </c>
      <c r="Y141">
        <f t="shared" ca="1" si="36"/>
        <v>0.59662839262463052</v>
      </c>
      <c r="Z141">
        <f t="shared" ca="1" si="38"/>
        <v>0.40877971436450716</v>
      </c>
      <c r="AA141">
        <f t="shared" ca="1" si="39"/>
        <v>0.18784867826012336</v>
      </c>
      <c r="AB141">
        <f t="shared" ca="1" si="40"/>
        <v>61.865100000000005</v>
      </c>
    </row>
    <row r="142" spans="1:28" x14ac:dyDescent="0.25">
      <c r="A142" s="20">
        <f t="shared" ca="1" si="41"/>
        <v>45495</v>
      </c>
      <c r="B142" vm="405">
        <f ca="1"/>
        <v>45497</v>
      </c>
      <c r="C142" vm="406">
        <f ca="1"/>
        <v>65.81</v>
      </c>
      <c r="D142" vm="407">
        <f ca="1"/>
        <v>13244568</v>
      </c>
      <c r="E142">
        <f t="shared" ca="1" si="42"/>
        <v>871625020.08000004</v>
      </c>
      <c r="F142">
        <f ca="1">SUM($E$2:E142)/SUM($D$2:D142)</f>
        <v>61.200175491968892</v>
      </c>
      <c r="G142">
        <f ca="1">_xlfn.STDEV.P($C$2:C142)</f>
        <v>1.8003388120118711</v>
      </c>
      <c r="H142">
        <f t="shared" ca="1" si="43"/>
        <v>63.000514303980765</v>
      </c>
      <c r="I142">
        <f t="shared" ca="1" si="44"/>
        <v>59.399836679957019</v>
      </c>
      <c r="J142">
        <f t="shared" ca="1" si="32"/>
        <v>63.965999999999994</v>
      </c>
      <c r="K142">
        <f t="shared" ca="1" si="33"/>
        <v>0.93695700064230869</v>
      </c>
      <c r="L142">
        <f t="shared" ca="1" si="34"/>
        <v>65.839914001284612</v>
      </c>
      <c r="M142">
        <f t="shared" ca="1" si="35"/>
        <v>62.092085998715376</v>
      </c>
      <c r="N142">
        <f t="shared" ca="1" si="45"/>
        <v>0.85000000000000853</v>
      </c>
      <c r="O142">
        <f t="shared" ca="1" si="46"/>
        <v>0.85000000000000853</v>
      </c>
      <c r="P142">
        <f t="shared" ca="1" si="47"/>
        <v>0</v>
      </c>
      <c r="Q142">
        <f t="shared" ca="1" si="30"/>
        <v>0.27252001955943339</v>
      </c>
      <c r="R142">
        <f t="shared" ca="1" si="31"/>
        <v>0.12906733562884337</v>
      </c>
      <c r="S142">
        <f t="shared" ca="1" si="28"/>
        <v>2.1114561498589723</v>
      </c>
      <c r="T142">
        <f t="shared" ca="1" si="29"/>
        <v>67.86070727542392</v>
      </c>
      <c r="U142">
        <f>70</f>
        <v>70</v>
      </c>
      <c r="V142">
        <f>30</f>
        <v>30</v>
      </c>
      <c r="W142">
        <f t="shared" ca="1" si="27"/>
        <v>64.57319749952029</v>
      </c>
      <c r="X142">
        <f t="shared" ca="1" si="37"/>
        <v>63.97656910689566</v>
      </c>
      <c r="Y142">
        <f t="shared" ca="1" si="36"/>
        <v>0.6718367453459706</v>
      </c>
      <c r="Z142">
        <f t="shared" ca="1" si="38"/>
        <v>0.46139112056079989</v>
      </c>
      <c r="AA142">
        <f t="shared" ca="1" si="39"/>
        <v>0.2104456247851707</v>
      </c>
      <c r="AB142">
        <f t="shared" ca="1" si="40"/>
        <v>61.923000000000009</v>
      </c>
    </row>
    <row r="143" spans="1:28" x14ac:dyDescent="0.25">
      <c r="A143" s="20">
        <f t="shared" ca="1" si="41"/>
        <v>45495</v>
      </c>
      <c r="B143" vm="408">
        <f ca="1"/>
        <v>45498</v>
      </c>
      <c r="C143" vm="409">
        <f ca="1"/>
        <v>66.069999999999993</v>
      </c>
      <c r="D143" vm="410">
        <f ca="1"/>
        <v>16328583</v>
      </c>
      <c r="E143">
        <f t="shared" ca="1" si="42"/>
        <v>1078829478.8099999</v>
      </c>
      <c r="F143">
        <f ca="1">SUM($E$2:E143)/SUM($D$2:D143)</f>
        <v>61.243611274007435</v>
      </c>
      <c r="G143">
        <f ca="1">_xlfn.STDEV.P($C$2:C143)</f>
        <v>1.8367170611138746</v>
      </c>
      <c r="H143">
        <f t="shared" ca="1" si="43"/>
        <v>63.080328335121308</v>
      </c>
      <c r="I143">
        <f t="shared" ca="1" si="44"/>
        <v>59.406894212893562</v>
      </c>
      <c r="J143">
        <f t="shared" ca="1" si="32"/>
        <v>64.066999999999993</v>
      </c>
      <c r="K143">
        <f t="shared" ca="1" si="33"/>
        <v>1.0486989433027045</v>
      </c>
      <c r="L143">
        <f t="shared" ca="1" si="34"/>
        <v>66.1643978866054</v>
      </c>
      <c r="M143">
        <f t="shared" ca="1" si="35"/>
        <v>61.969602113394586</v>
      </c>
      <c r="N143">
        <f t="shared" ca="1" si="45"/>
        <v>0.25999999999999091</v>
      </c>
      <c r="O143">
        <f t="shared" ca="1" si="46"/>
        <v>0.25999999999999091</v>
      </c>
      <c r="P143">
        <f t="shared" ca="1" si="47"/>
        <v>0</v>
      </c>
      <c r="Q143">
        <f t="shared" ca="1" si="30"/>
        <v>0.27162573244804461</v>
      </c>
      <c r="R143">
        <f t="shared" ca="1" si="31"/>
        <v>0.11984824022678313</v>
      </c>
      <c r="S143">
        <f t="shared" ca="1" si="28"/>
        <v>2.2664140243866755</v>
      </c>
      <c r="T143">
        <f t="shared" ca="1" si="29"/>
        <v>69.385387384020703</v>
      </c>
      <c r="U143">
        <f>70</f>
        <v>70</v>
      </c>
      <c r="V143">
        <f>30</f>
        <v>30</v>
      </c>
      <c r="W143">
        <f t="shared" ref="W143:W206" ca="1" si="48">C143*(2/(12+1)) + W142*(1-(2/(12+1)))</f>
        <v>64.803474807286392</v>
      </c>
      <c r="X143">
        <f t="shared" ca="1" si="37"/>
        <v>64.131638061940421</v>
      </c>
      <c r="Y143">
        <f t="shared" ca="1" si="36"/>
        <v>0.80128104738867023</v>
      </c>
      <c r="Z143">
        <f t="shared" ca="1" si="38"/>
        <v>0.52936910592637398</v>
      </c>
      <c r="AA143">
        <f t="shared" ca="1" si="39"/>
        <v>0.27191194146229625</v>
      </c>
      <c r="AB143">
        <f t="shared" ca="1" si="40"/>
        <v>61.988400000000013</v>
      </c>
    </row>
    <row r="144" spans="1:28" x14ac:dyDescent="0.25">
      <c r="A144" s="20">
        <f t="shared" ca="1" si="41"/>
        <v>45495</v>
      </c>
      <c r="B144" vm="411">
        <f ca="1"/>
        <v>45499</v>
      </c>
      <c r="C144" vm="412">
        <f ca="1"/>
        <v>67.05</v>
      </c>
      <c r="D144" vm="413">
        <f ca="1"/>
        <v>13530071</v>
      </c>
      <c r="E144">
        <f t="shared" ca="1" si="42"/>
        <v>907191260.54999995</v>
      </c>
      <c r="F144">
        <f ca="1">SUM($E$2:E144)/SUM($D$2:D144)</f>
        <v>61.28620975171598</v>
      </c>
      <c r="G144">
        <f ca="1">_xlfn.STDEV.P($C$2:C144)</f>
        <v>1.8900156188671653</v>
      </c>
      <c r="H144">
        <f t="shared" ca="1" si="43"/>
        <v>63.176225370583147</v>
      </c>
      <c r="I144">
        <f t="shared" ca="1" si="44"/>
        <v>59.396194132848812</v>
      </c>
      <c r="J144">
        <f t="shared" ca="1" si="32"/>
        <v>64.22399999999999</v>
      </c>
      <c r="K144">
        <f t="shared" ca="1" si="33"/>
        <v>1.2413125481139959</v>
      </c>
      <c r="L144">
        <f t="shared" ca="1" si="34"/>
        <v>66.706625096227981</v>
      </c>
      <c r="M144">
        <f t="shared" ca="1" si="35"/>
        <v>61.741374903771998</v>
      </c>
      <c r="N144">
        <f t="shared" ca="1" si="45"/>
        <v>0.98000000000000398</v>
      </c>
      <c r="O144">
        <f t="shared" ca="1" si="46"/>
        <v>0.98000000000000398</v>
      </c>
      <c r="P144">
        <f t="shared" ca="1" si="47"/>
        <v>0</v>
      </c>
      <c r="Q144">
        <f t="shared" ca="1" si="30"/>
        <v>0.32222389441604171</v>
      </c>
      <c r="R144">
        <f t="shared" ca="1" si="31"/>
        <v>0.11128765163915576</v>
      </c>
      <c r="S144">
        <f t="shared" ref="S144:S207" ca="1" si="49">IF(R144=0,NA(),Q144/R144)</f>
        <v>2.8954146274991532</v>
      </c>
      <c r="T144">
        <f t="shared" ref="T144:T207" ca="1" si="50">100-(100/(1+S144))</f>
        <v>74.328791781479822</v>
      </c>
      <c r="U144">
        <f>70</f>
        <v>70</v>
      </c>
      <c r="V144">
        <f>30</f>
        <v>30</v>
      </c>
      <c r="W144">
        <f t="shared" ca="1" si="48"/>
        <v>65.149094067703871</v>
      </c>
      <c r="X144">
        <f t="shared" ca="1" si="37"/>
        <v>64.347813020315201</v>
      </c>
      <c r="Y144">
        <f t="shared" ca="1" si="36"/>
        <v>0.87601625785073622</v>
      </c>
      <c r="Z144">
        <f t="shared" ca="1" si="38"/>
        <v>0.59869853631124648</v>
      </c>
      <c r="AA144">
        <f t="shared" ca="1" si="39"/>
        <v>0.27731772153948975</v>
      </c>
      <c r="AB144">
        <f t="shared" ca="1" si="40"/>
        <v>62.060800000000008</v>
      </c>
    </row>
    <row r="145" spans="1:28" x14ac:dyDescent="0.25">
      <c r="A145" s="20">
        <f t="shared" ca="1" si="41"/>
        <v>45502</v>
      </c>
      <c r="B145" vm="414">
        <f ca="1"/>
        <v>45502</v>
      </c>
      <c r="C145" vm="415">
        <f ca="1"/>
        <v>66.83</v>
      </c>
      <c r="D145" vm="416">
        <f ca="1"/>
        <v>12140153</v>
      </c>
      <c r="E145">
        <f t="shared" ca="1" si="42"/>
        <v>811326424.99000001</v>
      </c>
      <c r="F145">
        <f ca="1">SUM($E$2:E145)/SUM($D$2:D145)</f>
        <v>61.322464870500518</v>
      </c>
      <c r="G145">
        <f ca="1">_xlfn.STDEV.P($C$2:C145)</f>
        <v>1.9360406678062552</v>
      </c>
      <c r="H145">
        <f t="shared" ca="1" si="43"/>
        <v>63.258505538306771</v>
      </c>
      <c r="I145">
        <f t="shared" ca="1" si="44"/>
        <v>59.386424202694265</v>
      </c>
      <c r="J145">
        <f t="shared" ca="1" si="32"/>
        <v>64.382999999999981</v>
      </c>
      <c r="K145">
        <f t="shared" ca="1" si="33"/>
        <v>1.3617407590054871</v>
      </c>
      <c r="L145">
        <f t="shared" ca="1" si="34"/>
        <v>67.106481518010952</v>
      </c>
      <c r="M145">
        <f t="shared" ca="1" si="35"/>
        <v>61.659518481989011</v>
      </c>
      <c r="N145">
        <f t="shared" ca="1" si="45"/>
        <v>-0.21999999999999886</v>
      </c>
      <c r="O145">
        <f t="shared" ca="1" si="46"/>
        <v>0</v>
      </c>
      <c r="P145">
        <f t="shared" ca="1" si="47"/>
        <v>0.21999999999999886</v>
      </c>
      <c r="Q145">
        <f t="shared" ref="Q145:Q208" ca="1" si="51">(Q144*13+O145)/14</f>
        <v>0.29920790195775299</v>
      </c>
      <c r="R145">
        <f t="shared" ref="R145:R208" ca="1" si="52">(R144*13+P145)/14</f>
        <v>0.11905281937921598</v>
      </c>
      <c r="S145">
        <f t="shared" ca="1" si="49"/>
        <v>2.5132365912704135</v>
      </c>
      <c r="T145">
        <f t="shared" ca="1" si="50"/>
        <v>71.536218127615697</v>
      </c>
      <c r="U145">
        <f>70</f>
        <v>70</v>
      </c>
      <c r="V145">
        <f>30</f>
        <v>30</v>
      </c>
      <c r="W145">
        <f t="shared" ca="1" si="48"/>
        <v>65.407694980364809</v>
      </c>
      <c r="X145">
        <f t="shared" ca="1" si="37"/>
        <v>64.531678722514073</v>
      </c>
      <c r="Y145">
        <f t="shared" ca="1" si="36"/>
        <v>0.99239266196944698</v>
      </c>
      <c r="Z145">
        <f t="shared" ca="1" si="38"/>
        <v>0.67743736144288658</v>
      </c>
      <c r="AA145">
        <f t="shared" ca="1" si="39"/>
        <v>0.3149553005265604</v>
      </c>
      <c r="AB145">
        <f t="shared" ca="1" si="40"/>
        <v>62.133900000000004</v>
      </c>
    </row>
    <row r="146" spans="1:28" x14ac:dyDescent="0.25">
      <c r="A146" s="20">
        <f t="shared" ca="1" si="41"/>
        <v>45502</v>
      </c>
      <c r="B146" vm="417">
        <f ca="1"/>
        <v>45503</v>
      </c>
      <c r="C146" vm="418">
        <f ca="1"/>
        <v>67.680000000000007</v>
      </c>
      <c r="D146" vm="419">
        <f ca="1"/>
        <v>13257960</v>
      </c>
      <c r="E146">
        <f t="shared" ca="1" si="42"/>
        <v>897298732.80000007</v>
      </c>
      <c r="F146">
        <f ca="1">SUM($E$2:E146)/SUM($D$2:D146)</f>
        <v>61.367547909268907</v>
      </c>
      <c r="G146">
        <f ca="1">_xlfn.STDEV.P($C$2:C146)</f>
        <v>1.9966278182152193</v>
      </c>
      <c r="H146">
        <f t="shared" ca="1" si="43"/>
        <v>63.364175727484124</v>
      </c>
      <c r="I146">
        <f t="shared" ca="1" si="44"/>
        <v>59.370920091053691</v>
      </c>
      <c r="J146">
        <f t="shared" ca="1" si="32"/>
        <v>64.60299999999998</v>
      </c>
      <c r="K146">
        <f t="shared" ca="1" si="33"/>
        <v>1.5203534907521035</v>
      </c>
      <c r="L146">
        <f t="shared" ca="1" si="34"/>
        <v>67.643706981504181</v>
      </c>
      <c r="M146">
        <f t="shared" ca="1" si="35"/>
        <v>61.562293018495772</v>
      </c>
      <c r="N146">
        <f t="shared" ca="1" si="45"/>
        <v>0.85000000000000853</v>
      </c>
      <c r="O146">
        <f t="shared" ca="1" si="46"/>
        <v>0.85000000000000853</v>
      </c>
      <c r="P146">
        <f t="shared" ca="1" si="47"/>
        <v>0</v>
      </c>
      <c r="Q146">
        <f t="shared" ca="1" si="51"/>
        <v>0.33855019467505698</v>
      </c>
      <c r="R146">
        <f t="shared" ca="1" si="52"/>
        <v>0.11054904656641484</v>
      </c>
      <c r="S146">
        <f t="shared" ca="1" si="49"/>
        <v>3.0624433696193418</v>
      </c>
      <c r="T146">
        <f t="shared" ca="1" si="50"/>
        <v>75.384272246638062</v>
      </c>
      <c r="U146">
        <f>70</f>
        <v>70</v>
      </c>
      <c r="V146">
        <f>30</f>
        <v>30</v>
      </c>
      <c r="W146">
        <f t="shared" ca="1" si="48"/>
        <v>65.757280368000991</v>
      </c>
      <c r="X146">
        <f t="shared" ca="1" si="37"/>
        <v>64.764887706031544</v>
      </c>
      <c r="Y146">
        <f t="shared" ca="1" si="36"/>
        <v>0.99727568329356586</v>
      </c>
      <c r="Z146">
        <f t="shared" ca="1" si="38"/>
        <v>0.74140502581302248</v>
      </c>
      <c r="AA146">
        <f t="shared" ca="1" si="39"/>
        <v>0.25587065748054338</v>
      </c>
      <c r="AB146">
        <f t="shared" ca="1" si="40"/>
        <v>62.215200000000003</v>
      </c>
    </row>
    <row r="147" spans="1:28" x14ac:dyDescent="0.25">
      <c r="A147" s="20">
        <f t="shared" ca="1" si="41"/>
        <v>45502</v>
      </c>
      <c r="B147" vm="420">
        <f ca="1"/>
        <v>45504</v>
      </c>
      <c r="C147" vm="421">
        <f ca="1"/>
        <v>66.739999999999995</v>
      </c>
      <c r="D147" vm="422">
        <f ca="1"/>
        <v>15576846</v>
      </c>
      <c r="E147">
        <f t="shared" ca="1" si="42"/>
        <v>1039598702.04</v>
      </c>
      <c r="F147">
        <f ca="1">SUM($E$2:E147)/SUM($D$2:D147)</f>
        <v>61.411939061522069</v>
      </c>
      <c r="G147">
        <f ca="1">_xlfn.STDEV.P($C$2:C147)</f>
        <v>2.0359462354295523</v>
      </c>
      <c r="H147">
        <f t="shared" ca="1" si="43"/>
        <v>63.447885296951625</v>
      </c>
      <c r="I147">
        <f t="shared" ca="1" si="44"/>
        <v>59.375992826092514</v>
      </c>
      <c r="J147">
        <f t="shared" ca="1" si="32"/>
        <v>64.782499999999999</v>
      </c>
      <c r="K147">
        <f t="shared" ca="1" si="33"/>
        <v>1.5513860526028094</v>
      </c>
      <c r="L147">
        <f t="shared" ca="1" si="34"/>
        <v>67.885272105205615</v>
      </c>
      <c r="M147">
        <f t="shared" ca="1" si="35"/>
        <v>61.679727894794382</v>
      </c>
      <c r="N147">
        <f t="shared" ca="1" si="45"/>
        <v>-0.94000000000001194</v>
      </c>
      <c r="O147">
        <f t="shared" ca="1" si="46"/>
        <v>0</v>
      </c>
      <c r="P147">
        <f t="shared" ca="1" si="47"/>
        <v>0.94000000000001194</v>
      </c>
      <c r="Q147">
        <f t="shared" ca="1" si="51"/>
        <v>0.31436803791255291</v>
      </c>
      <c r="R147">
        <f t="shared" ca="1" si="52"/>
        <v>0.16979554324024321</v>
      </c>
      <c r="S147">
        <f t="shared" ca="1" si="49"/>
        <v>1.8514504675058197</v>
      </c>
      <c r="T147">
        <f t="shared" ca="1" si="50"/>
        <v>64.930129020452313</v>
      </c>
      <c r="U147">
        <f>70</f>
        <v>70</v>
      </c>
      <c r="V147">
        <f>30</f>
        <v>30</v>
      </c>
      <c r="W147">
        <f t="shared" ca="1" si="48"/>
        <v>65.908468003693145</v>
      </c>
      <c r="X147">
        <f t="shared" ca="1" si="37"/>
        <v>64.911192320399579</v>
      </c>
      <c r="Y147">
        <f t="shared" ca="1" si="36"/>
        <v>1.0870583845213702</v>
      </c>
      <c r="Z147">
        <f t="shared" ca="1" si="38"/>
        <v>0.81053569755469201</v>
      </c>
      <c r="AA147">
        <f t="shared" ca="1" si="39"/>
        <v>0.27652268696667814</v>
      </c>
      <c r="AB147">
        <f t="shared" ca="1" si="40"/>
        <v>62.288200000000003</v>
      </c>
    </row>
    <row r="148" spans="1:28" x14ac:dyDescent="0.25">
      <c r="A148" s="20">
        <f t="shared" ca="1" si="41"/>
        <v>45502</v>
      </c>
      <c r="B148" vm="423">
        <f ca="1"/>
        <v>45505</v>
      </c>
      <c r="C148" vm="424">
        <f ca="1"/>
        <v>67.959999999999994</v>
      </c>
      <c r="D148" vm="425">
        <f ca="1"/>
        <v>16495907</v>
      </c>
      <c r="E148">
        <f t="shared" ca="1" si="42"/>
        <v>1121061839.7199998</v>
      </c>
      <c r="F148">
        <f ca="1">SUM($E$2:E148)/SUM($D$2:D148)</f>
        <v>61.468739226399705</v>
      </c>
      <c r="G148">
        <f ca="1">_xlfn.STDEV.P($C$2:C148)</f>
        <v>2.0963304732551702</v>
      </c>
      <c r="H148">
        <f t="shared" ca="1" si="43"/>
        <v>63.565069699654877</v>
      </c>
      <c r="I148">
        <f t="shared" ca="1" si="44"/>
        <v>59.372408753144533</v>
      </c>
      <c r="J148">
        <f t="shared" ca="1" si="32"/>
        <v>65.013999999999996</v>
      </c>
      <c r="K148">
        <f t="shared" ca="1" si="33"/>
        <v>1.6645543105082448</v>
      </c>
      <c r="L148">
        <f t="shared" ca="1" si="34"/>
        <v>68.343108621016484</v>
      </c>
      <c r="M148">
        <f t="shared" ca="1" si="35"/>
        <v>61.684891378983508</v>
      </c>
      <c r="N148">
        <f t="shared" ca="1" si="45"/>
        <v>1.2199999999999989</v>
      </c>
      <c r="O148">
        <f t="shared" ca="1" si="46"/>
        <v>1.2199999999999989</v>
      </c>
      <c r="P148">
        <f t="shared" ca="1" si="47"/>
        <v>0</v>
      </c>
      <c r="Q148">
        <f t="shared" ca="1" si="51"/>
        <v>0.37905603520451336</v>
      </c>
      <c r="R148">
        <f t="shared" ca="1" si="52"/>
        <v>0.15766729015165443</v>
      </c>
      <c r="S148">
        <f t="shared" ca="1" si="49"/>
        <v>2.4041513927201588</v>
      </c>
      <c r="T148">
        <f t="shared" ca="1" si="50"/>
        <v>70.624103201211369</v>
      </c>
      <c r="U148">
        <f>70</f>
        <v>70</v>
      </c>
      <c r="V148">
        <f>30</f>
        <v>30</v>
      </c>
      <c r="W148">
        <f t="shared" ca="1" si="48"/>
        <v>66.22408831081728</v>
      </c>
      <c r="X148">
        <f t="shared" ca="1" si="37"/>
        <v>65.137029926295909</v>
      </c>
      <c r="Y148">
        <f t="shared" ca="1" si="36"/>
        <v>1.2543005762580037</v>
      </c>
      <c r="Z148">
        <f t="shared" ca="1" si="38"/>
        <v>0.89928867329535445</v>
      </c>
      <c r="AA148">
        <f t="shared" ca="1" si="39"/>
        <v>0.35501190296264928</v>
      </c>
      <c r="AB148">
        <f t="shared" ca="1" si="40"/>
        <v>62.372600000000013</v>
      </c>
    </row>
    <row r="149" spans="1:28" x14ac:dyDescent="0.25">
      <c r="A149" s="20">
        <f t="shared" ca="1" si="41"/>
        <v>45502</v>
      </c>
      <c r="B149" vm="426">
        <f ca="1"/>
        <v>45506</v>
      </c>
      <c r="C149" vm="427">
        <f ca="1"/>
        <v>69.33</v>
      </c>
      <c r="D149" vm="428">
        <f ca="1"/>
        <v>22514775</v>
      </c>
      <c r="E149">
        <f t="shared" ca="1" si="42"/>
        <v>1560949350.75</v>
      </c>
      <c r="F149">
        <f ca="1">SUM($E$2:E149)/SUM($D$2:D149)</f>
        <v>61.560722514166017</v>
      </c>
      <c r="G149">
        <f ca="1">_xlfn.STDEV.P($C$2:C149)</f>
        <v>2.1832805648463149</v>
      </c>
      <c r="H149">
        <f t="shared" ca="1" si="43"/>
        <v>63.74400307901233</v>
      </c>
      <c r="I149">
        <f t="shared" ca="1" si="44"/>
        <v>59.377441949319703</v>
      </c>
      <c r="J149">
        <f t="shared" ca="1" si="32"/>
        <v>65.29249999999999</v>
      </c>
      <c r="K149">
        <f t="shared" ca="1" si="33"/>
        <v>1.8938706536169723</v>
      </c>
      <c r="L149">
        <f t="shared" ca="1" si="34"/>
        <v>69.080241307233933</v>
      </c>
      <c r="M149">
        <f t="shared" ca="1" si="35"/>
        <v>61.504758692766046</v>
      </c>
      <c r="N149">
        <f t="shared" ca="1" si="45"/>
        <v>1.3700000000000045</v>
      </c>
      <c r="O149">
        <f t="shared" ca="1" si="46"/>
        <v>1.3700000000000045</v>
      </c>
      <c r="P149">
        <f t="shared" ca="1" si="47"/>
        <v>0</v>
      </c>
      <c r="Q149">
        <f t="shared" ca="1" si="51"/>
        <v>0.4498377469756199</v>
      </c>
      <c r="R149">
        <f t="shared" ca="1" si="52"/>
        <v>0.14640534085510767</v>
      </c>
      <c r="S149">
        <f t="shared" ca="1" si="49"/>
        <v>3.0725501156464561</v>
      </c>
      <c r="T149">
        <f t="shared" ca="1" si="50"/>
        <v>75.445360484133289</v>
      </c>
      <c r="U149">
        <f>70</f>
        <v>70</v>
      </c>
      <c r="V149">
        <f>30</f>
        <v>30</v>
      </c>
      <c r="W149">
        <f t="shared" ca="1" si="48"/>
        <v>66.701920878383845</v>
      </c>
      <c r="X149">
        <f t="shared" ca="1" si="37"/>
        <v>65.447620302125841</v>
      </c>
      <c r="Y149">
        <f t="shared" ca="1" si="36"/>
        <v>1.2729171016783596</v>
      </c>
      <c r="Z149">
        <f t="shared" ca="1" si="38"/>
        <v>0.97401435897195554</v>
      </c>
      <c r="AA149">
        <f t="shared" ca="1" si="39"/>
        <v>0.29890274270640405</v>
      </c>
      <c r="AB149">
        <f t="shared" ca="1" si="40"/>
        <v>62.463500000000003</v>
      </c>
    </row>
    <row r="150" spans="1:28" x14ac:dyDescent="0.25">
      <c r="A150" s="20">
        <f t="shared" ca="1" si="41"/>
        <v>45509</v>
      </c>
      <c r="B150" vm="429">
        <f ca="1"/>
        <v>45509</v>
      </c>
      <c r="C150" vm="430">
        <f ca="1"/>
        <v>68.099999999999994</v>
      </c>
      <c r="D150" vm="431">
        <f ca="1"/>
        <v>25484273</v>
      </c>
      <c r="E150">
        <f t="shared" ca="1" si="42"/>
        <v>1735478991.3</v>
      </c>
      <c r="F150">
        <f ca="1">SUM($E$2:E150)/SUM($D$2:D150)</f>
        <v>61.646197110868457</v>
      </c>
      <c r="G150">
        <f ca="1">_xlfn.STDEV.P($C$2:C150)</f>
        <v>2.2388669459276707</v>
      </c>
      <c r="H150">
        <f t="shared" ca="1" si="43"/>
        <v>63.885064056796125</v>
      </c>
      <c r="I150">
        <f t="shared" ca="1" si="44"/>
        <v>59.407330164940788</v>
      </c>
      <c r="J150">
        <f t="shared" ref="J150:J213" ca="1" si="53">AVERAGE(C131:C150)</f>
        <v>65.549499999999995</v>
      </c>
      <c r="K150">
        <f t="shared" ref="K150:K213" ca="1" si="54">_xlfn.STDEV.S(C131:C150)</f>
        <v>1.9093770684371598</v>
      </c>
      <c r="L150">
        <f t="shared" ref="L150:L213" ca="1" si="55">J150 + 2*K150</f>
        <v>69.368254136874313</v>
      </c>
      <c r="M150">
        <f t="shared" ref="M150:M213" ca="1" si="56">J150-2*K150</f>
        <v>61.730745863125676</v>
      </c>
      <c r="N150">
        <f t="shared" ca="1" si="45"/>
        <v>-1.230000000000004</v>
      </c>
      <c r="O150">
        <f t="shared" ca="1" si="46"/>
        <v>0</v>
      </c>
      <c r="P150">
        <f t="shared" ca="1" si="47"/>
        <v>1.230000000000004</v>
      </c>
      <c r="Q150">
        <f t="shared" ca="1" si="51"/>
        <v>0.41770647933450417</v>
      </c>
      <c r="R150">
        <f t="shared" ca="1" si="52"/>
        <v>0.22380495936545741</v>
      </c>
      <c r="S150">
        <f t="shared" ca="1" si="49"/>
        <v>1.8663861628393119</v>
      </c>
      <c r="T150">
        <f t="shared" ca="1" si="50"/>
        <v>65.112865357630483</v>
      </c>
      <c r="U150">
        <f>70</f>
        <v>70</v>
      </c>
      <c r="V150">
        <f>30</f>
        <v>30</v>
      </c>
      <c r="W150">
        <f t="shared" ca="1" si="48"/>
        <v>66.917009974017091</v>
      </c>
      <c r="X150">
        <f t="shared" ca="1" si="37"/>
        <v>65.644092872338732</v>
      </c>
      <c r="Y150">
        <f t="shared" ca="1" si="36"/>
        <v>1.2690079167321642</v>
      </c>
      <c r="Z150">
        <f t="shared" ca="1" si="38"/>
        <v>1.0330130705239973</v>
      </c>
      <c r="AA150">
        <f t="shared" ca="1" si="39"/>
        <v>0.23599484620816691</v>
      </c>
      <c r="AB150">
        <f t="shared" ca="1" si="40"/>
        <v>62.539500000000018</v>
      </c>
    </row>
    <row r="151" spans="1:28" x14ac:dyDescent="0.25">
      <c r="A151" s="20">
        <f t="shared" ca="1" si="41"/>
        <v>45509</v>
      </c>
      <c r="B151" vm="432">
        <f ca="1"/>
        <v>45510</v>
      </c>
      <c r="C151" vm="433">
        <f ca="1"/>
        <v>68.05</v>
      </c>
      <c r="D151" vm="434">
        <f ca="1"/>
        <v>12969099</v>
      </c>
      <c r="E151">
        <f t="shared" ca="1" si="42"/>
        <v>882547186.94999993</v>
      </c>
      <c r="F151">
        <f ca="1">SUM($E$2:E151)/SUM($D$2:D151)</f>
        <v>61.688513002314863</v>
      </c>
      <c r="G151">
        <f ca="1">_xlfn.STDEV.P($C$2:C151)</f>
        <v>2.2906658178112509</v>
      </c>
      <c r="H151">
        <f t="shared" ca="1" si="43"/>
        <v>63.979178820126116</v>
      </c>
      <c r="I151">
        <f t="shared" ca="1" si="44"/>
        <v>59.397847184503611</v>
      </c>
      <c r="J151">
        <f t="shared" ca="1" si="53"/>
        <v>65.817499999999981</v>
      </c>
      <c r="K151">
        <f t="shared" ca="1" si="54"/>
        <v>1.8624824266214386</v>
      </c>
      <c r="L151">
        <f t="shared" ca="1" si="55"/>
        <v>69.542464853242862</v>
      </c>
      <c r="M151">
        <f t="shared" ca="1" si="56"/>
        <v>62.092535146757101</v>
      </c>
      <c r="N151">
        <f t="shared" ca="1" si="45"/>
        <v>-4.9999999999997158E-2</v>
      </c>
      <c r="O151">
        <f t="shared" ca="1" si="46"/>
        <v>0</v>
      </c>
      <c r="P151">
        <f t="shared" ca="1" si="47"/>
        <v>4.9999999999997158E-2</v>
      </c>
      <c r="Q151">
        <f t="shared" ca="1" si="51"/>
        <v>0.38787030223918245</v>
      </c>
      <c r="R151">
        <f t="shared" ca="1" si="52"/>
        <v>0.21139031941078171</v>
      </c>
      <c r="S151">
        <f t="shared" ca="1" si="49"/>
        <v>1.8348536646347466</v>
      </c>
      <c r="T151">
        <f t="shared" ca="1" si="50"/>
        <v>64.724810579284565</v>
      </c>
      <c r="U151">
        <f>70</f>
        <v>70</v>
      </c>
      <c r="V151">
        <f>30</f>
        <v>30</v>
      </c>
      <c r="W151">
        <f t="shared" ca="1" si="48"/>
        <v>67.091316131860623</v>
      </c>
      <c r="X151">
        <f t="shared" ca="1" si="37"/>
        <v>65.822308215128459</v>
      </c>
      <c r="Y151">
        <f t="shared" ca="1" si="36"/>
        <v>1.2841900890195319</v>
      </c>
      <c r="Z151">
        <f t="shared" ca="1" si="38"/>
        <v>1.0832484742231043</v>
      </c>
      <c r="AA151">
        <f t="shared" ca="1" si="39"/>
        <v>0.20094161479642758</v>
      </c>
      <c r="AB151">
        <f t="shared" ca="1" si="40"/>
        <v>62.608800000000016</v>
      </c>
    </row>
    <row r="152" spans="1:28" x14ac:dyDescent="0.25">
      <c r="A152" s="20">
        <f t="shared" ca="1" si="41"/>
        <v>45509</v>
      </c>
      <c r="B152" vm="435">
        <f ca="1"/>
        <v>45511</v>
      </c>
      <c r="C152" vm="436">
        <f ca="1"/>
        <v>68.459999999999994</v>
      </c>
      <c r="D152" vm="437">
        <f ca="1"/>
        <v>13365270</v>
      </c>
      <c r="E152">
        <f t="shared" ca="1" si="42"/>
        <v>914986384.19999993</v>
      </c>
      <c r="F152">
        <f ca="1">SUM($E$2:E152)/SUM($D$2:D152)</f>
        <v>61.734313488740888</v>
      </c>
      <c r="G152">
        <f ca="1">_xlfn.STDEV.P($C$2:C152)</f>
        <v>2.3474108232078739</v>
      </c>
      <c r="H152">
        <f t="shared" ca="1" si="43"/>
        <v>64.081724311948761</v>
      </c>
      <c r="I152">
        <f t="shared" ca="1" si="44"/>
        <v>59.386902665533015</v>
      </c>
      <c r="J152">
        <f t="shared" ca="1" si="53"/>
        <v>66.09899999999999</v>
      </c>
      <c r="K152">
        <f t="shared" ca="1" si="54"/>
        <v>1.8119599739973336</v>
      </c>
      <c r="L152">
        <f t="shared" ca="1" si="55"/>
        <v>69.722919947994654</v>
      </c>
      <c r="M152">
        <f t="shared" ca="1" si="56"/>
        <v>62.475080052005325</v>
      </c>
      <c r="N152">
        <f t="shared" ca="1" si="45"/>
        <v>0.40999999999999659</v>
      </c>
      <c r="O152">
        <f t="shared" ca="1" si="46"/>
        <v>0.40999999999999659</v>
      </c>
      <c r="P152">
        <f t="shared" ca="1" si="47"/>
        <v>0</v>
      </c>
      <c r="Q152">
        <f t="shared" ca="1" si="51"/>
        <v>0.38945099493638347</v>
      </c>
      <c r="R152">
        <f t="shared" ca="1" si="52"/>
        <v>0.19629101088144016</v>
      </c>
      <c r="S152">
        <f t="shared" ca="1" si="49"/>
        <v>1.9840490564879305</v>
      </c>
      <c r="T152">
        <f t="shared" ca="1" si="50"/>
        <v>66.488486580815547</v>
      </c>
      <c r="U152">
        <f>70</f>
        <v>70</v>
      </c>
      <c r="V152">
        <f>30</f>
        <v>30</v>
      </c>
      <c r="W152">
        <f t="shared" ca="1" si="48"/>
        <v>67.301882880805138</v>
      </c>
      <c r="X152">
        <f t="shared" ca="1" si="37"/>
        <v>66.017692791785606</v>
      </c>
      <c r="Y152">
        <f t="shared" ca="1" si="36"/>
        <v>1.3029887699966025</v>
      </c>
      <c r="Z152">
        <f t="shared" ca="1" si="38"/>
        <v>1.127196533377804</v>
      </c>
      <c r="AA152">
        <f t="shared" ca="1" si="39"/>
        <v>0.1757922366187985</v>
      </c>
      <c r="AB152">
        <f t="shared" ca="1" si="40"/>
        <v>62.688400000000023</v>
      </c>
    </row>
    <row r="153" spans="1:28" x14ac:dyDescent="0.25">
      <c r="A153" s="20">
        <f t="shared" ca="1" si="41"/>
        <v>45509</v>
      </c>
      <c r="B153" vm="438">
        <f ca="1"/>
        <v>45512</v>
      </c>
      <c r="C153" vm="439">
        <f ca="1"/>
        <v>68.73</v>
      </c>
      <c r="D153" vm="440">
        <f ca="1"/>
        <v>15240914</v>
      </c>
      <c r="E153">
        <f t="shared" ca="1" si="42"/>
        <v>1047508019.22</v>
      </c>
      <c r="F153">
        <f ca="1">SUM($E$2:E153)/SUM($D$2:D153)</f>
        <v>61.787857737135532</v>
      </c>
      <c r="G153">
        <f ca="1">_xlfn.STDEV.P($C$2:C153)</f>
        <v>2.4062912801797816</v>
      </c>
      <c r="H153">
        <f t="shared" ca="1" si="43"/>
        <v>64.194149017315311</v>
      </c>
      <c r="I153">
        <f t="shared" ca="1" si="44"/>
        <v>59.381566456955753</v>
      </c>
      <c r="J153">
        <f t="shared" ca="1" si="53"/>
        <v>66.380499999999984</v>
      </c>
      <c r="K153">
        <f t="shared" ca="1" si="54"/>
        <v>1.7580505800759154</v>
      </c>
      <c r="L153">
        <f t="shared" ca="1" si="55"/>
        <v>69.896601160151818</v>
      </c>
      <c r="M153">
        <f t="shared" ca="1" si="56"/>
        <v>62.86439883984815</v>
      </c>
      <c r="N153">
        <f t="shared" ca="1" si="45"/>
        <v>0.27000000000001023</v>
      </c>
      <c r="O153">
        <f t="shared" ca="1" si="46"/>
        <v>0.27000000000001023</v>
      </c>
      <c r="P153">
        <f t="shared" ca="1" si="47"/>
        <v>0</v>
      </c>
      <c r="Q153">
        <f t="shared" ca="1" si="51"/>
        <v>0.38091878101235682</v>
      </c>
      <c r="R153">
        <f t="shared" ca="1" si="52"/>
        <v>0.18227022438990872</v>
      </c>
      <c r="S153">
        <f t="shared" ca="1" si="49"/>
        <v>2.0898574206915068</v>
      </c>
      <c r="T153">
        <f t="shared" ca="1" si="50"/>
        <v>67.636047110024862</v>
      </c>
      <c r="U153">
        <f>70</f>
        <v>70</v>
      </c>
      <c r="V153">
        <f>30</f>
        <v>30</v>
      </c>
      <c r="W153">
        <f t="shared" ca="1" si="48"/>
        <v>67.521593206835121</v>
      </c>
      <c r="X153">
        <f t="shared" ca="1" si="37"/>
        <v>66.218604436838518</v>
      </c>
      <c r="Y153">
        <f t="shared" ca="1" si="36"/>
        <v>1.2988796024430656</v>
      </c>
      <c r="Z153">
        <f t="shared" ca="1" si="38"/>
        <v>1.1615331471908563</v>
      </c>
      <c r="AA153">
        <f t="shared" ca="1" si="39"/>
        <v>0.13734645525220923</v>
      </c>
      <c r="AB153">
        <f t="shared" ca="1" si="40"/>
        <v>62.776900000000005</v>
      </c>
    </row>
    <row r="154" spans="1:28" x14ac:dyDescent="0.25">
      <c r="A154" s="20">
        <f t="shared" ca="1" si="41"/>
        <v>45509</v>
      </c>
      <c r="B154" vm="441">
        <f ca="1"/>
        <v>45513</v>
      </c>
      <c r="C154" vm="442">
        <f ca="1"/>
        <v>68.680000000000007</v>
      </c>
      <c r="D154" vm="443">
        <f ca="1"/>
        <v>12080420</v>
      </c>
      <c r="E154">
        <f t="shared" ca="1" si="42"/>
        <v>829683245.60000002</v>
      </c>
      <c r="F154">
        <f ca="1">SUM($E$2:E154)/SUM($D$2:D154)</f>
        <v>61.829418256010783</v>
      </c>
      <c r="G154">
        <f ca="1">_xlfn.STDEV.P($C$2:C154)</f>
        <v>2.4612808029723774</v>
      </c>
      <c r="H154">
        <f t="shared" ca="1" si="43"/>
        <v>64.290699058983165</v>
      </c>
      <c r="I154">
        <f t="shared" ca="1" si="44"/>
        <v>59.368137453038408</v>
      </c>
      <c r="J154">
        <f t="shared" ca="1" si="53"/>
        <v>66.629500000000007</v>
      </c>
      <c r="K154">
        <f t="shared" ca="1" si="54"/>
        <v>1.7104430789464447</v>
      </c>
      <c r="L154">
        <f t="shared" ca="1" si="55"/>
        <v>70.050386157892902</v>
      </c>
      <c r="M154">
        <f t="shared" ca="1" si="56"/>
        <v>63.20861384210712</v>
      </c>
      <c r="N154">
        <f t="shared" ca="1" si="45"/>
        <v>-4.9999999999997158E-2</v>
      </c>
      <c r="O154">
        <f t="shared" ca="1" si="46"/>
        <v>0</v>
      </c>
      <c r="P154">
        <f t="shared" ca="1" si="47"/>
        <v>4.9999999999997158E-2</v>
      </c>
      <c r="Q154">
        <f t="shared" ca="1" si="51"/>
        <v>0.35371029665433135</v>
      </c>
      <c r="R154">
        <f t="shared" ca="1" si="52"/>
        <v>0.17282235121920078</v>
      </c>
      <c r="S154">
        <f t="shared" ca="1" si="49"/>
        <v>2.0466698558318983</v>
      </c>
      <c r="T154">
        <f t="shared" ca="1" si="50"/>
        <v>67.177277246308392</v>
      </c>
      <c r="U154">
        <f>70</f>
        <v>70</v>
      </c>
      <c r="V154">
        <f>30</f>
        <v>30</v>
      </c>
      <c r="W154">
        <f t="shared" ca="1" si="48"/>
        <v>67.6998096365528</v>
      </c>
      <c r="X154">
        <f t="shared" ca="1" si="37"/>
        <v>66.400930034109734</v>
      </c>
      <c r="Y154">
        <f t="shared" ca="1" si="36"/>
        <v>1.2401743617393777</v>
      </c>
      <c r="Z154">
        <f t="shared" ca="1" si="38"/>
        <v>1.1772613901005606</v>
      </c>
      <c r="AA154">
        <f t="shared" ca="1" si="39"/>
        <v>6.2912971638817039E-2</v>
      </c>
      <c r="AB154">
        <f t="shared" ca="1" si="40"/>
        <v>62.862400000000008</v>
      </c>
    </row>
    <row r="155" spans="1:28" x14ac:dyDescent="0.25">
      <c r="A155" s="20">
        <f t="shared" ca="1" si="41"/>
        <v>45516</v>
      </c>
      <c r="B155" vm="444">
        <f ca="1"/>
        <v>45516</v>
      </c>
      <c r="C155" vm="445">
        <f ca="1"/>
        <v>68.17</v>
      </c>
      <c r="D155" vm="446">
        <f ca="1"/>
        <v>11012318</v>
      </c>
      <c r="E155">
        <f t="shared" ca="1" si="42"/>
        <v>750709718.06000006</v>
      </c>
      <c r="F155">
        <f ca="1">SUM($E$2:E155)/SUM($D$2:D155)</f>
        <v>61.864081705380954</v>
      </c>
      <c r="G155">
        <f ca="1">_xlfn.STDEV.P($C$2:C155)</f>
        <v>2.5049923344288523</v>
      </c>
      <c r="H155">
        <f t="shared" ca="1" si="43"/>
        <v>64.369074039809803</v>
      </c>
      <c r="I155">
        <f t="shared" ca="1" si="44"/>
        <v>59.359089370952105</v>
      </c>
      <c r="J155">
        <f t="shared" ca="1" si="53"/>
        <v>66.867500000000007</v>
      </c>
      <c r="K155">
        <f t="shared" ca="1" si="54"/>
        <v>1.5637635943285584</v>
      </c>
      <c r="L155">
        <f t="shared" ca="1" si="55"/>
        <v>69.995027188657119</v>
      </c>
      <c r="M155">
        <f t="shared" ca="1" si="56"/>
        <v>63.739972811342888</v>
      </c>
      <c r="N155">
        <f t="shared" ca="1" si="45"/>
        <v>-0.51000000000000512</v>
      </c>
      <c r="O155">
        <f t="shared" ca="1" si="46"/>
        <v>0</v>
      </c>
      <c r="P155">
        <f t="shared" ca="1" si="47"/>
        <v>0.51000000000000512</v>
      </c>
      <c r="Q155">
        <f t="shared" ca="1" si="51"/>
        <v>0.32844527546473623</v>
      </c>
      <c r="R155">
        <f t="shared" ca="1" si="52"/>
        <v>0.19690646898925826</v>
      </c>
      <c r="S155">
        <f t="shared" ca="1" si="49"/>
        <v>1.6680268411224912</v>
      </c>
      <c r="T155">
        <f t="shared" ca="1" si="50"/>
        <v>62.519117702006305</v>
      </c>
      <c r="U155">
        <f>70</f>
        <v>70</v>
      </c>
      <c r="V155">
        <f>30</f>
        <v>30</v>
      </c>
      <c r="W155">
        <f t="shared" ca="1" si="48"/>
        <v>67.772146615544685</v>
      </c>
      <c r="X155">
        <f t="shared" ca="1" si="37"/>
        <v>66.531972253805307</v>
      </c>
      <c r="Y155">
        <f t="shared" ca="1" si="36"/>
        <v>1.2031810892593882</v>
      </c>
      <c r="Z155">
        <f t="shared" ca="1" si="38"/>
        <v>1.1824453299323263</v>
      </c>
      <c r="AA155">
        <f t="shared" ca="1" si="39"/>
        <v>2.0735759327061842E-2</v>
      </c>
      <c r="AB155">
        <f t="shared" ca="1" si="40"/>
        <v>62.941800000000001</v>
      </c>
    </row>
    <row r="156" spans="1:28" x14ac:dyDescent="0.25">
      <c r="A156" s="20">
        <f t="shared" ca="1" si="41"/>
        <v>45516</v>
      </c>
      <c r="B156" vm="447">
        <f ca="1"/>
        <v>45517</v>
      </c>
      <c r="C156" vm="436">
        <f ca="1"/>
        <v>68.459999999999994</v>
      </c>
      <c r="D156" vm="448">
        <f ca="1"/>
        <v>9877569</v>
      </c>
      <c r="E156">
        <f t="shared" ca="1" si="42"/>
        <v>676218373.73999989</v>
      </c>
      <c r="F156">
        <f ca="1">SUM($E$2:E156)/SUM($D$2:D156)</f>
        <v>61.896267547001173</v>
      </c>
      <c r="G156">
        <f ca="1">_xlfn.STDEV.P($C$2:C156)</f>
        <v>2.5514324148065732</v>
      </c>
      <c r="H156">
        <f t="shared" ca="1" si="43"/>
        <v>64.447699961807743</v>
      </c>
      <c r="I156">
        <f t="shared" ca="1" si="44"/>
        <v>59.344835132194603</v>
      </c>
      <c r="J156">
        <f t="shared" ca="1" si="53"/>
        <v>67.077000000000012</v>
      </c>
      <c r="K156">
        <f t="shared" ca="1" si="54"/>
        <v>1.4756447297439361</v>
      </c>
      <c r="L156">
        <f t="shared" ca="1" si="55"/>
        <v>70.02828945948788</v>
      </c>
      <c r="M156">
        <f t="shared" ca="1" si="56"/>
        <v>64.125710540512145</v>
      </c>
      <c r="N156">
        <f t="shared" ca="1" si="45"/>
        <v>0.28999999999999204</v>
      </c>
      <c r="O156">
        <f t="shared" ca="1" si="46"/>
        <v>0.28999999999999204</v>
      </c>
      <c r="P156">
        <f t="shared" ca="1" si="47"/>
        <v>0</v>
      </c>
      <c r="Q156">
        <f t="shared" ca="1" si="51"/>
        <v>0.32569918436011164</v>
      </c>
      <c r="R156">
        <f t="shared" ca="1" si="52"/>
        <v>0.18284172120431125</v>
      </c>
      <c r="S156">
        <f t="shared" ca="1" si="49"/>
        <v>1.7813176457476487</v>
      </c>
      <c r="T156">
        <f t="shared" ca="1" si="50"/>
        <v>64.045818300225505</v>
      </c>
      <c r="U156">
        <f>70</f>
        <v>70</v>
      </c>
      <c r="V156">
        <f>30</f>
        <v>30</v>
      </c>
      <c r="W156">
        <f t="shared" ca="1" si="48"/>
        <v>67.877970213153191</v>
      </c>
      <c r="X156">
        <f t="shared" ca="1" si="37"/>
        <v>66.674789123893802</v>
      </c>
      <c r="Y156">
        <f t="shared" ref="Y156:Y219" ca="1" si="57">W157-X157</f>
        <v>1.1700589402877881</v>
      </c>
      <c r="Z156">
        <f t="shared" ca="1" si="38"/>
        <v>1.1799680520034186</v>
      </c>
      <c r="AA156">
        <f t="shared" ca="1" si="39"/>
        <v>-9.9091117156304698E-3</v>
      </c>
      <c r="AB156">
        <f t="shared" ca="1" si="40"/>
        <v>63.018900000000002</v>
      </c>
    </row>
    <row r="157" spans="1:28" x14ac:dyDescent="0.25">
      <c r="A157" s="20">
        <f t="shared" ca="1" si="41"/>
        <v>45516</v>
      </c>
      <c r="B157" vm="449">
        <f ca="1"/>
        <v>45518</v>
      </c>
      <c r="C157" vm="450">
        <f ca="1"/>
        <v>68.58</v>
      </c>
      <c r="D157" vm="451">
        <f ca="1"/>
        <v>14328033</v>
      </c>
      <c r="E157">
        <f t="shared" ca="1" si="42"/>
        <v>982616503.13999999</v>
      </c>
      <c r="F157">
        <f ca="1">SUM($E$2:E157)/SUM($D$2:D157)</f>
        <v>61.943244186116274</v>
      </c>
      <c r="G157">
        <f ca="1">_xlfn.STDEV.P($C$2:C157)</f>
        <v>2.5977212259753673</v>
      </c>
      <c r="H157">
        <f t="shared" ca="1" si="43"/>
        <v>64.540965412091637</v>
      </c>
      <c r="I157">
        <f t="shared" ca="1" si="44"/>
        <v>59.345522960140904</v>
      </c>
      <c r="J157">
        <f t="shared" ca="1" si="53"/>
        <v>67.245500000000021</v>
      </c>
      <c r="K157">
        <f t="shared" ca="1" si="54"/>
        <v>1.4432874572345344</v>
      </c>
      <c r="L157">
        <f t="shared" ca="1" si="55"/>
        <v>70.132074914469086</v>
      </c>
      <c r="M157">
        <f t="shared" ca="1" si="56"/>
        <v>64.358925085530956</v>
      </c>
      <c r="N157">
        <f t="shared" ca="1" si="45"/>
        <v>0.12000000000000455</v>
      </c>
      <c r="O157">
        <f t="shared" ca="1" si="46"/>
        <v>0.12000000000000455</v>
      </c>
      <c r="P157">
        <f t="shared" ca="1" si="47"/>
        <v>0</v>
      </c>
      <c r="Q157">
        <f t="shared" ca="1" si="51"/>
        <v>0.31100638547724685</v>
      </c>
      <c r="R157">
        <f t="shared" ca="1" si="52"/>
        <v>0.16978159826114617</v>
      </c>
      <c r="S157">
        <f t="shared" ca="1" si="49"/>
        <v>1.831802672742417</v>
      </c>
      <c r="T157">
        <f t="shared" ca="1" si="50"/>
        <v>64.686804994376075</v>
      </c>
      <c r="U157">
        <f>70</f>
        <v>70</v>
      </c>
      <c r="V157">
        <f>30</f>
        <v>30</v>
      </c>
      <c r="W157">
        <f t="shared" ca="1" si="48"/>
        <v>67.985974795745008</v>
      </c>
      <c r="X157">
        <f t="shared" ref="X157:X220" ca="1" si="58">C157*(2/(26+1)) + X156*(1-(2/(26+1)))</f>
        <v>66.81591585545722</v>
      </c>
      <c r="Y157">
        <f t="shared" ca="1" si="57"/>
        <v>1.1363585792383759</v>
      </c>
      <c r="Z157">
        <f t="shared" ca="1" si="38"/>
        <v>1.1712461574504101</v>
      </c>
      <c r="AA157">
        <f t="shared" ca="1" si="39"/>
        <v>-3.4887578212034143E-2</v>
      </c>
      <c r="AB157">
        <f t="shared" ca="1" si="40"/>
        <v>63.1</v>
      </c>
    </row>
    <row r="158" spans="1:28" x14ac:dyDescent="0.25">
      <c r="A158" s="20">
        <f t="shared" ca="1" si="41"/>
        <v>45516</v>
      </c>
      <c r="B158" vm="452">
        <f ca="1"/>
        <v>45519</v>
      </c>
      <c r="C158" vm="453">
        <f ca="1"/>
        <v>68.650000000000006</v>
      </c>
      <c r="D158" vm="454">
        <f ca="1"/>
        <v>11285120</v>
      </c>
      <c r="E158">
        <f t="shared" ca="1" si="42"/>
        <v>774723488.00000012</v>
      </c>
      <c r="F158">
        <f ca="1">SUM($E$2:E158)/SUM($D$2:D158)</f>
        <v>61.980167225151881</v>
      </c>
      <c r="G158">
        <f ca="1">_xlfn.STDEV.P($C$2:C158)</f>
        <v>2.6430647509163703</v>
      </c>
      <c r="H158">
        <f t="shared" ca="1" si="43"/>
        <v>64.623231976068254</v>
      </c>
      <c r="I158">
        <f t="shared" ca="1" si="44"/>
        <v>59.337102474235508</v>
      </c>
      <c r="J158">
        <f t="shared" ca="1" si="53"/>
        <v>67.418500000000023</v>
      </c>
      <c r="K158">
        <f t="shared" ca="1" si="54"/>
        <v>1.3903323154441976</v>
      </c>
      <c r="L158">
        <f t="shared" ca="1" si="55"/>
        <v>70.199164630888419</v>
      </c>
      <c r="M158">
        <f t="shared" ca="1" si="56"/>
        <v>64.637835369111627</v>
      </c>
      <c r="N158">
        <f t="shared" ca="1" si="45"/>
        <v>7.000000000000739E-2</v>
      </c>
      <c r="O158">
        <f t="shared" ca="1" si="46"/>
        <v>7.000000000000739E-2</v>
      </c>
      <c r="P158">
        <f t="shared" ca="1" si="47"/>
        <v>0</v>
      </c>
      <c r="Q158">
        <f t="shared" ca="1" si="51"/>
        <v>0.29379164365744403</v>
      </c>
      <c r="R158">
        <f t="shared" ca="1" si="52"/>
        <v>0.15765434124249286</v>
      </c>
      <c r="S158">
        <f t="shared" ca="1" si="49"/>
        <v>1.8635176255981072</v>
      </c>
      <c r="T158">
        <f t="shared" ca="1" si="50"/>
        <v>65.077917067434555</v>
      </c>
      <c r="U158">
        <f>70</f>
        <v>70</v>
      </c>
      <c r="V158">
        <f>30</f>
        <v>30</v>
      </c>
      <c r="W158">
        <f t="shared" ca="1" si="48"/>
        <v>68.088132519476545</v>
      </c>
      <c r="X158">
        <f t="shared" ca="1" si="58"/>
        <v>66.951773940238169</v>
      </c>
      <c r="Y158">
        <f t="shared" ca="1" si="57"/>
        <v>1.139284409422018</v>
      </c>
      <c r="Z158">
        <f t="shared" ca="1" si="38"/>
        <v>1.1648538078447317</v>
      </c>
      <c r="AA158">
        <f t="shared" ca="1" si="39"/>
        <v>-2.5569398422713663E-2</v>
      </c>
      <c r="AB158">
        <f t="shared" ca="1" si="40"/>
        <v>63.181599999999996</v>
      </c>
    </row>
    <row r="159" spans="1:28" x14ac:dyDescent="0.25">
      <c r="A159" s="20">
        <f t="shared" ca="1" si="41"/>
        <v>45516</v>
      </c>
      <c r="B159" vm="455">
        <f ca="1"/>
        <v>45520</v>
      </c>
      <c r="C159" vm="456">
        <f ca="1"/>
        <v>69.180000000000007</v>
      </c>
      <c r="D159" vm="457">
        <f ca="1"/>
        <v>12651230</v>
      </c>
      <c r="E159">
        <f t="shared" ca="1" si="42"/>
        <v>875212091.4000001</v>
      </c>
      <c r="F159">
        <f ca="1">SUM($E$2:E159)/SUM($D$2:D159)</f>
        <v>62.02433055236412</v>
      </c>
      <c r="G159">
        <f ca="1">_xlfn.STDEV.P($C$2:C159)</f>
        <v>2.6949514390973897</v>
      </c>
      <c r="H159">
        <f t="shared" ca="1" si="43"/>
        <v>64.719281991461514</v>
      </c>
      <c r="I159">
        <f t="shared" ca="1" si="44"/>
        <v>59.329379113266732</v>
      </c>
      <c r="J159">
        <f t="shared" ca="1" si="53"/>
        <v>67.613000000000014</v>
      </c>
      <c r="K159">
        <f t="shared" ca="1" si="54"/>
        <v>1.3483561141354017</v>
      </c>
      <c r="L159">
        <f t="shared" ca="1" si="55"/>
        <v>70.309712228270811</v>
      </c>
      <c r="M159">
        <f t="shared" ca="1" si="56"/>
        <v>64.916287771729216</v>
      </c>
      <c r="N159">
        <f t="shared" ca="1" si="45"/>
        <v>0.53000000000000114</v>
      </c>
      <c r="O159">
        <f t="shared" ca="1" si="46"/>
        <v>0.53000000000000114</v>
      </c>
      <c r="P159">
        <f t="shared" ca="1" si="47"/>
        <v>0</v>
      </c>
      <c r="Q159">
        <f t="shared" ca="1" si="51"/>
        <v>0.31066366911048382</v>
      </c>
      <c r="R159">
        <f t="shared" ca="1" si="52"/>
        <v>0.14639331686802909</v>
      </c>
      <c r="S159">
        <f t="shared" ca="1" si="49"/>
        <v>2.1221164719598606</v>
      </c>
      <c r="T159">
        <f t="shared" ca="1" si="50"/>
        <v>67.970445401985103</v>
      </c>
      <c r="U159">
        <f>70</f>
        <v>70</v>
      </c>
      <c r="V159">
        <f>30</f>
        <v>30</v>
      </c>
      <c r="W159">
        <f t="shared" ca="1" si="48"/>
        <v>68.256112131864768</v>
      </c>
      <c r="X159">
        <f t="shared" ca="1" si="58"/>
        <v>67.11682772244275</v>
      </c>
      <c r="Y159">
        <f t="shared" ca="1" si="57"/>
        <v>1.1126390124499892</v>
      </c>
      <c r="Z159">
        <f t="shared" ca="1" si="38"/>
        <v>1.1544108487657834</v>
      </c>
      <c r="AA159">
        <f t="shared" ca="1" si="39"/>
        <v>-4.1771836315794175E-2</v>
      </c>
      <c r="AB159">
        <f t="shared" ca="1" si="40"/>
        <v>63.269400000000005</v>
      </c>
    </row>
    <row r="160" spans="1:28" x14ac:dyDescent="0.25">
      <c r="A160" s="20">
        <f t="shared" ca="1" si="41"/>
        <v>45523</v>
      </c>
      <c r="B160" vm="458">
        <f ca="1"/>
        <v>45523</v>
      </c>
      <c r="C160" vm="459">
        <f ca="1"/>
        <v>68.98</v>
      </c>
      <c r="D160" vm="460">
        <f ca="1"/>
        <v>9843861</v>
      </c>
      <c r="E160">
        <f t="shared" ca="1" si="42"/>
        <v>679029531.78000009</v>
      </c>
      <c r="F160">
        <f ca="1">SUM($E$2:E160)/SUM($D$2:D160)</f>
        <v>62.057370790400959</v>
      </c>
      <c r="G160">
        <f ca="1">_xlfn.STDEV.P($C$2:C160)</f>
        <v>2.7413016062195736</v>
      </c>
      <c r="H160">
        <f t="shared" ca="1" si="43"/>
        <v>64.798672396620532</v>
      </c>
      <c r="I160">
        <f t="shared" ca="1" si="44"/>
        <v>59.316069184181387</v>
      </c>
      <c r="J160">
        <f t="shared" ca="1" si="53"/>
        <v>67.823499999999996</v>
      </c>
      <c r="K160">
        <f t="shared" ca="1" si="54"/>
        <v>1.2018200014101439</v>
      </c>
      <c r="L160">
        <f t="shared" ca="1" si="55"/>
        <v>70.227140002820278</v>
      </c>
      <c r="M160">
        <f t="shared" ca="1" si="56"/>
        <v>65.419859997179714</v>
      </c>
      <c r="N160">
        <f t="shared" ca="1" si="45"/>
        <v>-0.20000000000000284</v>
      </c>
      <c r="O160">
        <f t="shared" ca="1" si="46"/>
        <v>0</v>
      </c>
      <c r="P160">
        <f t="shared" ca="1" si="47"/>
        <v>0.20000000000000284</v>
      </c>
      <c r="Q160">
        <f t="shared" ca="1" si="51"/>
        <v>0.28847340703116359</v>
      </c>
      <c r="R160">
        <f t="shared" ca="1" si="52"/>
        <v>0.15022236566317007</v>
      </c>
      <c r="S160">
        <f t="shared" ca="1" si="49"/>
        <v>1.9203093078562032</v>
      </c>
      <c r="T160">
        <f t="shared" ca="1" si="50"/>
        <v>65.757051922212327</v>
      </c>
      <c r="U160">
        <f>70</f>
        <v>70</v>
      </c>
      <c r="V160">
        <f>30</f>
        <v>30</v>
      </c>
      <c r="W160">
        <f t="shared" ca="1" si="48"/>
        <v>68.367479496193269</v>
      </c>
      <c r="X160">
        <f t="shared" ca="1" si="58"/>
        <v>67.25484048374328</v>
      </c>
      <c r="Y160">
        <f t="shared" ca="1" si="57"/>
        <v>1.1109921742245916</v>
      </c>
      <c r="Z160">
        <f t="shared" ca="1" si="38"/>
        <v>1.1457271138575451</v>
      </c>
      <c r="AA160">
        <f t="shared" ca="1" si="39"/>
        <v>-3.4734939632953488E-2</v>
      </c>
      <c r="AB160">
        <f t="shared" ca="1" si="40"/>
        <v>63.353800000000007</v>
      </c>
    </row>
    <row r="161" spans="1:28" x14ac:dyDescent="0.25">
      <c r="A161" s="20">
        <f t="shared" ca="1" si="41"/>
        <v>45523</v>
      </c>
      <c r="B161" vm="461">
        <f ca="1"/>
        <v>45524</v>
      </c>
      <c r="C161" vm="462">
        <f ca="1"/>
        <v>69.38</v>
      </c>
      <c r="D161" vm="463">
        <f ca="1"/>
        <v>11957372</v>
      </c>
      <c r="E161">
        <f t="shared" ca="1" si="42"/>
        <v>829602469.3599999</v>
      </c>
      <c r="F161">
        <f ca="1">SUM($E$2:E161)/SUM($D$2:D161)</f>
        <v>62.099379841741495</v>
      </c>
      <c r="G161">
        <f ca="1">_xlfn.STDEV.P($C$2:C161)</f>
        <v>2.7919396231607516</v>
      </c>
      <c r="H161">
        <f t="shared" ca="1" si="43"/>
        <v>64.891319464902253</v>
      </c>
      <c r="I161">
        <f t="shared" ca="1" si="44"/>
        <v>59.307440218580744</v>
      </c>
      <c r="J161">
        <f t="shared" ca="1" si="53"/>
        <v>68.044500000000014</v>
      </c>
      <c r="K161">
        <f t="shared" ca="1" si="54"/>
        <v>1.0435086310893156</v>
      </c>
      <c r="L161">
        <f t="shared" ca="1" si="55"/>
        <v>70.131517262178647</v>
      </c>
      <c r="M161">
        <f t="shared" ca="1" si="56"/>
        <v>65.95748273782138</v>
      </c>
      <c r="N161">
        <f t="shared" ca="1" si="45"/>
        <v>0.39999999999999147</v>
      </c>
      <c r="O161">
        <f t="shared" ca="1" si="46"/>
        <v>0.39999999999999147</v>
      </c>
      <c r="P161">
        <f t="shared" ca="1" si="47"/>
        <v>0</v>
      </c>
      <c r="Q161">
        <f t="shared" ca="1" si="51"/>
        <v>0.29643959224322269</v>
      </c>
      <c r="R161">
        <f t="shared" ca="1" si="52"/>
        <v>0.13949219668722937</v>
      </c>
      <c r="S161">
        <f t="shared" ca="1" si="49"/>
        <v>2.1251338733155243</v>
      </c>
      <c r="T161">
        <f t="shared" ca="1" si="50"/>
        <v>68.001370804026465</v>
      </c>
      <c r="U161">
        <f>70</f>
        <v>70</v>
      </c>
      <c r="V161">
        <f>30</f>
        <v>30</v>
      </c>
      <c r="W161">
        <f t="shared" ca="1" si="48"/>
        <v>68.523251881394302</v>
      </c>
      <c r="X161">
        <f t="shared" ca="1" si="58"/>
        <v>67.41225970716971</v>
      </c>
      <c r="Y161">
        <f t="shared" ca="1" si="57"/>
        <v>1.1121977320340477</v>
      </c>
      <c r="Z161">
        <f t="shared" ca="1" si="38"/>
        <v>1.1390212374928457</v>
      </c>
      <c r="AA161">
        <f t="shared" ca="1" si="39"/>
        <v>-2.6823505458797969E-2</v>
      </c>
      <c r="AB161">
        <f t="shared" ca="1" si="40"/>
        <v>63.437300000000015</v>
      </c>
    </row>
    <row r="162" spans="1:28" x14ac:dyDescent="0.25">
      <c r="A162" s="20">
        <f t="shared" ca="1" si="41"/>
        <v>45523</v>
      </c>
      <c r="B162" vm="464">
        <f ca="1"/>
        <v>45525</v>
      </c>
      <c r="C162" vm="465">
        <f ca="1"/>
        <v>69.569999999999993</v>
      </c>
      <c r="D162" vm="466">
        <f ca="1"/>
        <v>8792397</v>
      </c>
      <c r="E162">
        <f t="shared" ca="1" si="42"/>
        <v>611687059.28999996</v>
      </c>
      <c r="F162">
        <f ca="1">SUM($E$2:E162)/SUM($D$2:D162)</f>
        <v>62.130761498062206</v>
      </c>
      <c r="G162">
        <f ca="1">_xlfn.STDEV.P($C$2:C162)</f>
        <v>2.8433676894022488</v>
      </c>
      <c r="H162">
        <f t="shared" ca="1" si="43"/>
        <v>64.974129187464456</v>
      </c>
      <c r="I162">
        <f t="shared" ca="1" si="44"/>
        <v>59.287393808659957</v>
      </c>
      <c r="J162">
        <f t="shared" ca="1" si="53"/>
        <v>68.232500000000016</v>
      </c>
      <c r="K162">
        <f t="shared" ca="1" si="54"/>
        <v>0.9546720296575828</v>
      </c>
      <c r="L162">
        <f t="shared" ca="1" si="55"/>
        <v>70.141844059315176</v>
      </c>
      <c r="M162">
        <f t="shared" ca="1" si="56"/>
        <v>66.323155940684856</v>
      </c>
      <c r="N162">
        <f t="shared" ca="1" si="45"/>
        <v>0.18999999999999773</v>
      </c>
      <c r="O162">
        <f t="shared" ca="1" si="46"/>
        <v>0.18999999999999773</v>
      </c>
      <c r="P162">
        <f t="shared" ca="1" si="47"/>
        <v>0</v>
      </c>
      <c r="Q162">
        <f t="shared" ca="1" si="51"/>
        <v>0.28883676422584947</v>
      </c>
      <c r="R162">
        <f t="shared" ca="1" si="52"/>
        <v>0.12952846835242729</v>
      </c>
      <c r="S162">
        <f t="shared" ca="1" si="49"/>
        <v>2.2299095164158702</v>
      </c>
      <c r="T162">
        <f t="shared" ca="1" si="50"/>
        <v>69.039380362900417</v>
      </c>
      <c r="U162">
        <f>70</f>
        <v>70</v>
      </c>
      <c r="V162">
        <f>30</f>
        <v>30</v>
      </c>
      <c r="W162">
        <f t="shared" ca="1" si="48"/>
        <v>68.684290053487487</v>
      </c>
      <c r="X162">
        <f t="shared" ca="1" si="58"/>
        <v>67.572092321453439</v>
      </c>
      <c r="Y162">
        <f t="shared" ca="1" si="57"/>
        <v>1.0813223402091552</v>
      </c>
      <c r="Z162">
        <f t="shared" ca="1" si="38"/>
        <v>1.1274814580361077</v>
      </c>
      <c r="AA162">
        <f t="shared" ca="1" si="39"/>
        <v>-4.6159117826952478E-2</v>
      </c>
      <c r="AB162">
        <f t="shared" ca="1" si="40"/>
        <v>63.5212</v>
      </c>
    </row>
    <row r="163" spans="1:28" x14ac:dyDescent="0.25">
      <c r="A163" s="20">
        <f t="shared" ca="1" si="41"/>
        <v>45523</v>
      </c>
      <c r="B163" vm="467">
        <f ca="1"/>
        <v>45526</v>
      </c>
      <c r="C163" vm="427">
        <f ca="1"/>
        <v>69.33</v>
      </c>
      <c r="D163" vm="468">
        <f ca="1"/>
        <v>12509202</v>
      </c>
      <c r="E163">
        <f t="shared" ca="1" si="42"/>
        <v>867262974.65999997</v>
      </c>
      <c r="F163">
        <f ca="1">SUM($E$2:E163)/SUM($D$2:D163)</f>
        <v>62.173531599540652</v>
      </c>
      <c r="G163">
        <f ca="1">_xlfn.STDEV.P($C$2:C163)</f>
        <v>2.8888606968129511</v>
      </c>
      <c r="H163">
        <f t="shared" ca="1" si="43"/>
        <v>65.062392296353607</v>
      </c>
      <c r="I163">
        <f t="shared" ca="1" si="44"/>
        <v>59.284670902727704</v>
      </c>
      <c r="J163">
        <f t="shared" ca="1" si="53"/>
        <v>68.395499999999984</v>
      </c>
      <c r="K163">
        <f t="shared" ca="1" si="54"/>
        <v>0.83707809482873607</v>
      </c>
      <c r="L163">
        <f t="shared" ca="1" si="55"/>
        <v>70.069656189657451</v>
      </c>
      <c r="M163">
        <f t="shared" ca="1" si="56"/>
        <v>66.721343810342518</v>
      </c>
      <c r="N163">
        <f t="shared" ca="1" si="45"/>
        <v>-0.23999999999999488</v>
      </c>
      <c r="O163">
        <f t="shared" ca="1" si="46"/>
        <v>0</v>
      </c>
      <c r="P163">
        <f t="shared" ca="1" si="47"/>
        <v>0.23999999999999488</v>
      </c>
      <c r="Q163">
        <f t="shared" ca="1" si="51"/>
        <v>0.26820556678114593</v>
      </c>
      <c r="R163">
        <f t="shared" ca="1" si="52"/>
        <v>0.13741929204153927</v>
      </c>
      <c r="S163">
        <f t="shared" ca="1" si="49"/>
        <v>1.9517315421772981</v>
      </c>
      <c r="T163">
        <f t="shared" ca="1" si="50"/>
        <v>66.121580309354087</v>
      </c>
      <c r="U163">
        <f>70</f>
        <v>70</v>
      </c>
      <c r="V163">
        <f>30</f>
        <v>30</v>
      </c>
      <c r="W163">
        <f t="shared" ca="1" si="48"/>
        <v>68.783630045258633</v>
      </c>
      <c r="X163">
        <f t="shared" ca="1" si="58"/>
        <v>67.702307705049478</v>
      </c>
      <c r="Y163">
        <f t="shared" ca="1" si="57"/>
        <v>1.0815046133924113</v>
      </c>
      <c r="Z163">
        <f t="shared" ca="1" si="38"/>
        <v>1.1182860891073685</v>
      </c>
      <c r="AA163">
        <f t="shared" ca="1" si="39"/>
        <v>-3.6781475714957157E-2</v>
      </c>
      <c r="AB163">
        <f t="shared" ca="1" si="40"/>
        <v>63.607699999999994</v>
      </c>
    </row>
    <row r="164" spans="1:28" x14ac:dyDescent="0.25">
      <c r="A164" s="20">
        <f t="shared" ca="1" si="41"/>
        <v>45523</v>
      </c>
      <c r="B164" vm="469">
        <f ca="1"/>
        <v>45527</v>
      </c>
      <c r="C164" vm="470">
        <f ca="1"/>
        <v>69.790000000000006</v>
      </c>
      <c r="D164" vm="471">
        <f ca="1"/>
        <v>11834745</v>
      </c>
      <c r="E164">
        <f t="shared" ca="1" si="42"/>
        <v>825946853.55000007</v>
      </c>
      <c r="F164">
        <f ca="1">SUM($E$2:E164)/SUM($D$2:D164)</f>
        <v>62.216101486784147</v>
      </c>
      <c r="G164">
        <f ca="1">_xlfn.STDEV.P($C$2:C164)</f>
        <v>2.9394332089789939</v>
      </c>
      <c r="H164">
        <f t="shared" ca="1" si="43"/>
        <v>65.155534695763137</v>
      </c>
      <c r="I164">
        <f t="shared" ca="1" si="44"/>
        <v>59.27666827780515</v>
      </c>
      <c r="J164">
        <f t="shared" ca="1" si="53"/>
        <v>68.532499999999999</v>
      </c>
      <c r="K164">
        <f t="shared" ca="1" si="54"/>
        <v>0.8294632062522832</v>
      </c>
      <c r="L164">
        <f t="shared" ca="1" si="55"/>
        <v>70.191426412504569</v>
      </c>
      <c r="M164">
        <f t="shared" ca="1" si="56"/>
        <v>66.873573587495429</v>
      </c>
      <c r="N164">
        <f t="shared" ca="1" si="45"/>
        <v>0.46000000000000796</v>
      </c>
      <c r="O164">
        <f t="shared" ca="1" si="46"/>
        <v>0.46000000000000796</v>
      </c>
      <c r="P164">
        <f t="shared" ca="1" si="47"/>
        <v>0</v>
      </c>
      <c r="Q164">
        <f t="shared" ca="1" si="51"/>
        <v>0.28190516915392178</v>
      </c>
      <c r="R164">
        <f t="shared" ca="1" si="52"/>
        <v>0.12760362832428646</v>
      </c>
      <c r="S164">
        <f t="shared" ca="1" si="49"/>
        <v>2.2092253398743482</v>
      </c>
      <c r="T164">
        <f t="shared" ca="1" si="50"/>
        <v>68.839832230691741</v>
      </c>
      <c r="U164">
        <f>70</f>
        <v>70</v>
      </c>
      <c r="V164">
        <f>30</f>
        <v>30</v>
      </c>
      <c r="W164">
        <f t="shared" ca="1" si="48"/>
        <v>68.938456192141928</v>
      </c>
      <c r="X164">
        <f t="shared" ca="1" si="58"/>
        <v>67.856951578749516</v>
      </c>
      <c r="Y164">
        <f t="shared" ca="1" si="57"/>
        <v>1.1530832648791005</v>
      </c>
      <c r="Z164">
        <f t="shared" ca="1" si="38"/>
        <v>1.125245524261715</v>
      </c>
      <c r="AA164">
        <f t="shared" ca="1" si="39"/>
        <v>2.7837740617385531E-2</v>
      </c>
      <c r="AB164">
        <f t="shared" ca="1" si="40"/>
        <v>63.704099999999997</v>
      </c>
    </row>
    <row r="165" spans="1:28" x14ac:dyDescent="0.25">
      <c r="A165" s="20">
        <f t="shared" ca="1" si="41"/>
        <v>45530</v>
      </c>
      <c r="B165" vm="472">
        <f ca="1"/>
        <v>45530</v>
      </c>
      <c r="C165" vm="473">
        <f ca="1"/>
        <v>70.84</v>
      </c>
      <c r="D165" vm="474">
        <f ca="1"/>
        <v>12912248</v>
      </c>
      <c r="E165">
        <f t="shared" ca="1" si="42"/>
        <v>914703648.32000005</v>
      </c>
      <c r="F165">
        <f ca="1">SUM($E$2:E165)/SUM($D$2:D165)</f>
        <v>62.268371803796562</v>
      </c>
      <c r="G165">
        <f ca="1">_xlfn.STDEV.P($C$2:C165)</f>
        <v>3.0048608962479642</v>
      </c>
      <c r="H165">
        <f t="shared" ca="1" si="43"/>
        <v>65.273232700044531</v>
      </c>
      <c r="I165">
        <f t="shared" ca="1" si="44"/>
        <v>59.2635109075486</v>
      </c>
      <c r="J165">
        <f t="shared" ca="1" si="53"/>
        <v>68.73299999999999</v>
      </c>
      <c r="K165">
        <f t="shared" ca="1" si="54"/>
        <v>0.87942026358277781</v>
      </c>
      <c r="L165">
        <f t="shared" ca="1" si="55"/>
        <v>70.49184052716555</v>
      </c>
      <c r="M165">
        <f t="shared" ca="1" si="56"/>
        <v>66.97415947283443</v>
      </c>
      <c r="N165">
        <f t="shared" ca="1" si="45"/>
        <v>1.0499999999999972</v>
      </c>
      <c r="O165">
        <f t="shared" ca="1" si="46"/>
        <v>1.0499999999999972</v>
      </c>
      <c r="P165">
        <f t="shared" ca="1" si="47"/>
        <v>0</v>
      </c>
      <c r="Q165">
        <f t="shared" ca="1" si="51"/>
        <v>0.33676908564292718</v>
      </c>
      <c r="R165">
        <f t="shared" ca="1" si="52"/>
        <v>0.11848908344398028</v>
      </c>
      <c r="S165">
        <f t="shared" ca="1" si="49"/>
        <v>2.8421950432433394</v>
      </c>
      <c r="T165">
        <f t="shared" ca="1" si="50"/>
        <v>73.973210918624716</v>
      </c>
      <c r="U165">
        <f>70</f>
        <v>70</v>
      </c>
      <c r="V165">
        <f>30</f>
        <v>30</v>
      </c>
      <c r="W165">
        <f t="shared" ca="1" si="48"/>
        <v>69.231001393350866</v>
      </c>
      <c r="X165">
        <f t="shared" ca="1" si="58"/>
        <v>68.077918128471765</v>
      </c>
      <c r="Y165">
        <f t="shared" ca="1" si="57"/>
        <v>1.2486724275552348</v>
      </c>
      <c r="Z165">
        <f t="shared" ca="1" si="38"/>
        <v>1.1499309049204189</v>
      </c>
      <c r="AA165">
        <f t="shared" ca="1" si="39"/>
        <v>9.8741522634815837E-2</v>
      </c>
      <c r="AB165">
        <f t="shared" ca="1" si="40"/>
        <v>63.8142</v>
      </c>
    </row>
    <row r="166" spans="1:28" x14ac:dyDescent="0.25">
      <c r="A166" s="20">
        <f t="shared" ca="1" si="41"/>
        <v>45530</v>
      </c>
      <c r="B166" vm="475">
        <f ca="1"/>
        <v>45531</v>
      </c>
      <c r="C166" vm="476">
        <f ca="1"/>
        <v>71.5</v>
      </c>
      <c r="D166" vm="477">
        <f ca="1"/>
        <v>16988408</v>
      </c>
      <c r="E166">
        <f t="shared" ca="1" si="42"/>
        <v>1214671172</v>
      </c>
      <c r="F166">
        <f ca="1">SUM($E$2:E166)/SUM($D$2:D166)</f>
        <v>62.341406813192826</v>
      </c>
      <c r="G166">
        <f ca="1">_xlfn.STDEV.P($C$2:C166)</f>
        <v>3.0786623990177628</v>
      </c>
      <c r="H166">
        <f t="shared" ca="1" si="43"/>
        <v>65.420069212210592</v>
      </c>
      <c r="I166">
        <f t="shared" ca="1" si="44"/>
        <v>59.26274441417506</v>
      </c>
      <c r="J166">
        <f t="shared" ca="1" si="53"/>
        <v>68.923999999999978</v>
      </c>
      <c r="K166">
        <f t="shared" ca="1" si="54"/>
        <v>1.0390299119345605</v>
      </c>
      <c r="L166">
        <f t="shared" ca="1" si="55"/>
        <v>71.002059823869104</v>
      </c>
      <c r="M166">
        <f t="shared" ca="1" si="56"/>
        <v>66.845940176130853</v>
      </c>
      <c r="N166">
        <f t="shared" ca="1" si="45"/>
        <v>0.65999999999999659</v>
      </c>
      <c r="O166">
        <f t="shared" ca="1" si="46"/>
        <v>0.65999999999999659</v>
      </c>
      <c r="P166">
        <f t="shared" ca="1" si="47"/>
        <v>0</v>
      </c>
      <c r="Q166">
        <f t="shared" ca="1" si="51"/>
        <v>0.35985700809700355</v>
      </c>
      <c r="R166">
        <f t="shared" ca="1" si="52"/>
        <v>0.11002557748369597</v>
      </c>
      <c r="S166">
        <f t="shared" ca="1" si="49"/>
        <v>3.2706668424469627</v>
      </c>
      <c r="T166">
        <f t="shared" ca="1" si="50"/>
        <v>76.584453039960607</v>
      </c>
      <c r="U166">
        <f>70</f>
        <v>70</v>
      </c>
      <c r="V166">
        <f>30</f>
        <v>30</v>
      </c>
      <c r="W166">
        <f t="shared" ca="1" si="48"/>
        <v>69.580078102066125</v>
      </c>
      <c r="X166">
        <f t="shared" ca="1" si="58"/>
        <v>68.33140567451089</v>
      </c>
      <c r="Y166">
        <f t="shared" ca="1" si="57"/>
        <v>1.3292773564034235</v>
      </c>
      <c r="Z166">
        <f t="shared" ref="Z166:Z229" ca="1" si="59">Y166*(2/(9+1)) + Z165*(1-(2/(9+1)))</f>
        <v>1.1858001952170198</v>
      </c>
      <c r="AA166">
        <f t="shared" ref="AA166:AA229" ca="1" si="60">Y166-Z166</f>
        <v>0.14347716118640363</v>
      </c>
      <c r="AB166">
        <f t="shared" ref="AB166:AB229" ca="1" si="61">AVERAGE(C67:C166)</f>
        <v>63.936200000000007</v>
      </c>
    </row>
    <row r="167" spans="1:28" x14ac:dyDescent="0.25">
      <c r="A167" s="20">
        <f t="shared" ca="1" si="41"/>
        <v>45530</v>
      </c>
      <c r="B167" vm="478">
        <f ca="1"/>
        <v>45532</v>
      </c>
      <c r="C167" vm="479">
        <f ca="1"/>
        <v>71.75</v>
      </c>
      <c r="D167" vm="480">
        <f ca="1"/>
        <v>13272584</v>
      </c>
      <c r="E167">
        <f t="shared" ca="1" si="42"/>
        <v>952307902</v>
      </c>
      <c r="F167">
        <f ca="1">SUM($E$2:E167)/SUM($D$2:D167)</f>
        <v>62.399203664919234</v>
      </c>
      <c r="G167">
        <f ca="1">_xlfn.STDEV.P($C$2:C167)</f>
        <v>3.153296551334654</v>
      </c>
      <c r="H167">
        <f t="shared" ca="1" si="43"/>
        <v>65.55250021625389</v>
      </c>
      <c r="I167">
        <f t="shared" ca="1" si="44"/>
        <v>59.245907113584579</v>
      </c>
      <c r="J167">
        <f t="shared" ca="1" si="53"/>
        <v>69.174499999999995</v>
      </c>
      <c r="K167">
        <f t="shared" ca="1" si="54"/>
        <v>1.0875732280245738</v>
      </c>
      <c r="L167">
        <f t="shared" ca="1" si="55"/>
        <v>71.349646456049143</v>
      </c>
      <c r="M167">
        <f t="shared" ca="1" si="56"/>
        <v>66.999353543950846</v>
      </c>
      <c r="N167">
        <f t="shared" ca="1" si="45"/>
        <v>0.25</v>
      </c>
      <c r="O167">
        <f t="shared" ca="1" si="46"/>
        <v>0.25</v>
      </c>
      <c r="P167">
        <f t="shared" ca="1" si="47"/>
        <v>0</v>
      </c>
      <c r="Q167">
        <f t="shared" ca="1" si="51"/>
        <v>0.35201007894721759</v>
      </c>
      <c r="R167">
        <f t="shared" ca="1" si="52"/>
        <v>0.10216660766343198</v>
      </c>
      <c r="S167">
        <f t="shared" ca="1" si="49"/>
        <v>3.445451375921635</v>
      </c>
      <c r="T167">
        <f t="shared" ca="1" si="50"/>
        <v>77.505096435956872</v>
      </c>
      <c r="U167">
        <f>70</f>
        <v>70</v>
      </c>
      <c r="V167">
        <f>30</f>
        <v>30</v>
      </c>
      <c r="W167">
        <f t="shared" ca="1" si="48"/>
        <v>69.913912240209797</v>
      </c>
      <c r="X167">
        <f t="shared" ca="1" si="58"/>
        <v>68.584634883806373</v>
      </c>
      <c r="Y167">
        <f t="shared" ca="1" si="57"/>
        <v>1.4012125302143517</v>
      </c>
      <c r="Z167">
        <f t="shared" ca="1" si="59"/>
        <v>1.2288826622164863</v>
      </c>
      <c r="AA167">
        <f t="shared" ca="1" si="60"/>
        <v>0.17232986799786532</v>
      </c>
      <c r="AB167">
        <f t="shared" ca="1" si="61"/>
        <v>64.058600000000013</v>
      </c>
    </row>
    <row r="168" spans="1:28" x14ac:dyDescent="0.25">
      <c r="A168" s="20">
        <f t="shared" ca="1" si="41"/>
        <v>45530</v>
      </c>
      <c r="B168" vm="481">
        <f ca="1"/>
        <v>45533</v>
      </c>
      <c r="C168" vm="482">
        <f ca="1"/>
        <v>72.05</v>
      </c>
      <c r="D168" vm="483">
        <f ca="1"/>
        <v>17201677</v>
      </c>
      <c r="E168">
        <f t="shared" ca="1" si="42"/>
        <v>1239380827.8499999</v>
      </c>
      <c r="F168">
        <f ca="1">SUM($E$2:E168)/SUM($D$2:D168)</f>
        <v>62.475431573588004</v>
      </c>
      <c r="G168">
        <f ca="1">_xlfn.STDEV.P($C$2:C168)</f>
        <v>3.2295968225573239</v>
      </c>
      <c r="H168">
        <f t="shared" ca="1" si="43"/>
        <v>65.705028396145323</v>
      </c>
      <c r="I168">
        <f t="shared" ca="1" si="44"/>
        <v>59.245834751030678</v>
      </c>
      <c r="J168">
        <f t="shared" ca="1" si="53"/>
        <v>69.378999999999991</v>
      </c>
      <c r="K168">
        <f t="shared" ca="1" si="54"/>
        <v>1.2232523516386447</v>
      </c>
      <c r="L168">
        <f t="shared" ca="1" si="55"/>
        <v>71.825504703277275</v>
      </c>
      <c r="M168">
        <f t="shared" ca="1" si="56"/>
        <v>66.932495296722706</v>
      </c>
      <c r="N168">
        <f t="shared" ca="1" si="45"/>
        <v>0.29999999999999716</v>
      </c>
      <c r="O168">
        <f t="shared" ca="1" si="46"/>
        <v>0.29999999999999716</v>
      </c>
      <c r="P168">
        <f t="shared" ca="1" si="47"/>
        <v>0</v>
      </c>
      <c r="Q168">
        <f t="shared" ca="1" si="51"/>
        <v>0.34829507330813042</v>
      </c>
      <c r="R168">
        <f t="shared" ca="1" si="52"/>
        <v>9.4868992830329693E-2</v>
      </c>
      <c r="S168">
        <f t="shared" ca="1" si="49"/>
        <v>3.6713267730273635</v>
      </c>
      <c r="T168">
        <f t="shared" ca="1" si="50"/>
        <v>78.592805671954167</v>
      </c>
      <c r="U168">
        <f>70</f>
        <v>70</v>
      </c>
      <c r="V168">
        <f>30</f>
        <v>30</v>
      </c>
      <c r="W168">
        <f t="shared" ca="1" si="48"/>
        <v>70.242541126331361</v>
      </c>
      <c r="X168">
        <f t="shared" ca="1" si="58"/>
        <v>68.841328596117009</v>
      </c>
      <c r="Y168">
        <f t="shared" ca="1" si="57"/>
        <v>1.4751080364170406</v>
      </c>
      <c r="Z168">
        <f t="shared" ca="1" si="59"/>
        <v>1.2781277370565973</v>
      </c>
      <c r="AA168">
        <f t="shared" ca="1" si="60"/>
        <v>0.19698029936044326</v>
      </c>
      <c r="AB168">
        <f t="shared" ca="1" si="61"/>
        <v>64.186400000000006</v>
      </c>
    </row>
    <row r="169" spans="1:28" x14ac:dyDescent="0.25">
      <c r="A169" s="20">
        <f t="shared" ca="1" si="41"/>
        <v>45530</v>
      </c>
      <c r="B169" vm="484">
        <f ca="1"/>
        <v>45534</v>
      </c>
      <c r="C169" vm="485">
        <f ca="1"/>
        <v>72.47</v>
      </c>
      <c r="D169" vm="486">
        <f ca="1"/>
        <v>18624227</v>
      </c>
      <c r="E169">
        <f t="shared" ca="1" si="42"/>
        <v>1349697730.6900001</v>
      </c>
      <c r="F169">
        <f ca="1">SUM($E$2:E169)/SUM($D$2:D169)</f>
        <v>62.560178538265824</v>
      </c>
      <c r="G169">
        <f ca="1">_xlfn.STDEV.P($C$2:C169)</f>
        <v>3.3095970187175134</v>
      </c>
      <c r="H169">
        <f t="shared" ca="1" si="43"/>
        <v>65.869775556983342</v>
      </c>
      <c r="I169">
        <f t="shared" ca="1" si="44"/>
        <v>59.250581519548312</v>
      </c>
      <c r="J169">
        <f t="shared" ca="1" si="53"/>
        <v>69.536000000000001</v>
      </c>
      <c r="K169">
        <f t="shared" ca="1" si="54"/>
        <v>1.4046816458955353</v>
      </c>
      <c r="L169">
        <f t="shared" ca="1" si="55"/>
        <v>72.345363291791074</v>
      </c>
      <c r="M169">
        <f t="shared" ca="1" si="56"/>
        <v>66.726636708208929</v>
      </c>
      <c r="N169">
        <f t="shared" ca="1" si="45"/>
        <v>0.42000000000000171</v>
      </c>
      <c r="O169">
        <f t="shared" ca="1" si="46"/>
        <v>0.42000000000000171</v>
      </c>
      <c r="P169">
        <f t="shared" ca="1" si="47"/>
        <v>0</v>
      </c>
      <c r="Q169">
        <f t="shared" ca="1" si="51"/>
        <v>0.3534168537861212</v>
      </c>
      <c r="R169">
        <f t="shared" ca="1" si="52"/>
        <v>8.8092636199591859E-2</v>
      </c>
      <c r="S169">
        <f t="shared" ca="1" si="49"/>
        <v>4.0118773717406198</v>
      </c>
      <c r="T169">
        <f t="shared" ca="1" si="50"/>
        <v>80.047396896849833</v>
      </c>
      <c r="U169">
        <f>70</f>
        <v>70</v>
      </c>
      <c r="V169">
        <f>30</f>
        <v>30</v>
      </c>
      <c r="W169">
        <f t="shared" ca="1" si="48"/>
        <v>70.585227106895758</v>
      </c>
      <c r="X169">
        <f t="shared" ca="1" si="58"/>
        <v>69.110119070478717</v>
      </c>
      <c r="Y169">
        <f t="shared" ca="1" si="57"/>
        <v>1.559269951118111</v>
      </c>
      <c r="Z169">
        <f t="shared" ca="1" si="59"/>
        <v>1.3343561798689001</v>
      </c>
      <c r="AA169">
        <f t="shared" ca="1" si="60"/>
        <v>0.22491377124921086</v>
      </c>
      <c r="AB169">
        <f t="shared" ca="1" si="61"/>
        <v>64.313900000000004</v>
      </c>
    </row>
    <row r="170" spans="1:28" x14ac:dyDescent="0.25">
      <c r="A170" s="20">
        <f t="shared" ca="1" si="41"/>
        <v>45537</v>
      </c>
      <c r="B170" vm="487">
        <f ca="1"/>
        <v>45538</v>
      </c>
      <c r="C170" vm="488">
        <f ca="1"/>
        <v>73.010000000000005</v>
      </c>
      <c r="D170" vm="489">
        <f ca="1"/>
        <v>14755752</v>
      </c>
      <c r="E170">
        <f t="shared" ca="1" si="42"/>
        <v>1077317453.52</v>
      </c>
      <c r="F170">
        <f ca="1">SUM($E$2:E170)/SUM($D$2:D170)</f>
        <v>62.629912479757394</v>
      </c>
      <c r="G170">
        <f ca="1">_xlfn.STDEV.P($C$2:C170)</f>
        <v>3.3952925404409324</v>
      </c>
      <c r="H170">
        <f t="shared" ca="1" si="43"/>
        <v>66.025205020198328</v>
      </c>
      <c r="I170">
        <f t="shared" ca="1" si="44"/>
        <v>59.23461993931646</v>
      </c>
      <c r="J170">
        <f t="shared" ca="1" si="53"/>
        <v>69.781500000000008</v>
      </c>
      <c r="K170">
        <f t="shared" ca="1" si="54"/>
        <v>1.5608812456935652</v>
      </c>
      <c r="L170">
        <f t="shared" ca="1" si="55"/>
        <v>72.903262491387139</v>
      </c>
      <c r="M170">
        <f t="shared" ca="1" si="56"/>
        <v>66.659737508612878</v>
      </c>
      <c r="N170">
        <f t="shared" ca="1" si="45"/>
        <v>0.54000000000000625</v>
      </c>
      <c r="O170">
        <f t="shared" ca="1" si="46"/>
        <v>0.54000000000000625</v>
      </c>
      <c r="P170">
        <f t="shared" ca="1" si="47"/>
        <v>0</v>
      </c>
      <c r="Q170">
        <f t="shared" ca="1" si="51"/>
        <v>0.36674422137282731</v>
      </c>
      <c r="R170">
        <f t="shared" ca="1" si="52"/>
        <v>8.180030504247815E-2</v>
      </c>
      <c r="S170">
        <f t="shared" ca="1" si="49"/>
        <v>4.4834089699589796</v>
      </c>
      <c r="T170">
        <f t="shared" ca="1" si="50"/>
        <v>81.763169490393111</v>
      </c>
      <c r="U170">
        <f>70</f>
        <v>70</v>
      </c>
      <c r="V170">
        <f>30</f>
        <v>30</v>
      </c>
      <c r="W170">
        <f t="shared" ca="1" si="48"/>
        <v>70.958269090450258</v>
      </c>
      <c r="X170">
        <f t="shared" ca="1" si="58"/>
        <v>69.398999139332147</v>
      </c>
      <c r="Y170">
        <f t="shared" ca="1" si="57"/>
        <v>1.5715418791475315</v>
      </c>
      <c r="Z170">
        <f t="shared" ca="1" si="59"/>
        <v>1.3817933197246264</v>
      </c>
      <c r="AA170">
        <f t="shared" ca="1" si="60"/>
        <v>0.18974855942290514</v>
      </c>
      <c r="AB170">
        <f t="shared" ca="1" si="61"/>
        <v>64.454800000000006</v>
      </c>
    </row>
    <row r="171" spans="1:28" x14ac:dyDescent="0.25">
      <c r="A171" s="20">
        <f t="shared" ca="1" si="41"/>
        <v>45537</v>
      </c>
      <c r="B171" vm="490">
        <f ca="1"/>
        <v>45539</v>
      </c>
      <c r="C171" vm="491">
        <f ca="1"/>
        <v>72.56</v>
      </c>
      <c r="D171" vm="492">
        <f ca="1"/>
        <v>18140831</v>
      </c>
      <c r="E171">
        <f t="shared" ca="1" si="42"/>
        <v>1316298697.3600001</v>
      </c>
      <c r="F171">
        <f ca="1">SUM($E$2:E171)/SUM($D$2:D171)</f>
        <v>62.710717024496773</v>
      </c>
      <c r="G171">
        <f ca="1">_xlfn.STDEV.P($C$2:C171)</f>
        <v>3.4691483099659761</v>
      </c>
      <c r="H171">
        <f t="shared" ca="1" si="43"/>
        <v>66.179865334462747</v>
      </c>
      <c r="I171">
        <f t="shared" ca="1" si="44"/>
        <v>59.2415687145308</v>
      </c>
      <c r="J171">
        <f t="shared" ca="1" si="53"/>
        <v>70.007000000000005</v>
      </c>
      <c r="K171">
        <f t="shared" ca="1" si="54"/>
        <v>1.6221431567690416</v>
      </c>
      <c r="L171">
        <f t="shared" ca="1" si="55"/>
        <v>73.251286313538088</v>
      </c>
      <c r="M171">
        <f t="shared" ca="1" si="56"/>
        <v>66.762713686461922</v>
      </c>
      <c r="N171">
        <f t="shared" ca="1" si="45"/>
        <v>-0.45000000000000284</v>
      </c>
      <c r="O171">
        <f t="shared" ca="1" si="46"/>
        <v>0</v>
      </c>
      <c r="P171">
        <f t="shared" ca="1" si="47"/>
        <v>0.45000000000000284</v>
      </c>
      <c r="Q171">
        <f t="shared" ca="1" si="51"/>
        <v>0.34054820556048249</v>
      </c>
      <c r="R171">
        <f t="shared" ca="1" si="52"/>
        <v>0.10810028325372992</v>
      </c>
      <c r="S171">
        <f t="shared" ca="1" si="49"/>
        <v>3.1502989197646909</v>
      </c>
      <c r="T171">
        <f t="shared" ca="1" si="50"/>
        <v>75.905349967980214</v>
      </c>
      <c r="U171">
        <f>70</f>
        <v>70</v>
      </c>
      <c r="V171">
        <f>30</f>
        <v>30</v>
      </c>
      <c r="W171">
        <f t="shared" ca="1" si="48"/>
        <v>71.204689230380993</v>
      </c>
      <c r="X171">
        <f t="shared" ca="1" si="58"/>
        <v>69.633147351233461</v>
      </c>
      <c r="Y171">
        <f t="shared" ca="1" si="57"/>
        <v>1.4523641375278658</v>
      </c>
      <c r="Z171">
        <f t="shared" ca="1" si="59"/>
        <v>1.3959074832852745</v>
      </c>
      <c r="AA171">
        <f t="shared" ca="1" si="60"/>
        <v>5.6456654242591275E-2</v>
      </c>
      <c r="AB171">
        <f t="shared" ca="1" si="61"/>
        <v>64.5899</v>
      </c>
    </row>
    <row r="172" spans="1:28" x14ac:dyDescent="0.25">
      <c r="A172" s="20">
        <f t="shared" ca="1" si="41"/>
        <v>45537</v>
      </c>
      <c r="B172" vm="493">
        <f ca="1"/>
        <v>45540</v>
      </c>
      <c r="C172" vm="494">
        <f ca="1"/>
        <v>71.17</v>
      </c>
      <c r="D172" vm="495">
        <f ca="1"/>
        <v>23866125</v>
      </c>
      <c r="E172">
        <f t="shared" ca="1" si="42"/>
        <v>1698552116.25</v>
      </c>
      <c r="F172">
        <f ca="1">SUM($E$2:E172)/SUM($D$2:D172)</f>
        <v>62.800318748066047</v>
      </c>
      <c r="G172">
        <f ca="1">_xlfn.STDEV.P($C$2:C172)</f>
        <v>3.5187063378834083</v>
      </c>
      <c r="H172">
        <f t="shared" ca="1" si="43"/>
        <v>66.319025085949448</v>
      </c>
      <c r="I172">
        <f t="shared" ca="1" si="44"/>
        <v>59.281612410182639</v>
      </c>
      <c r="J172">
        <f t="shared" ca="1" si="53"/>
        <v>70.142499999999998</v>
      </c>
      <c r="K172">
        <f t="shared" ca="1" si="54"/>
        <v>1.5991408054919596</v>
      </c>
      <c r="L172">
        <f t="shared" ca="1" si="55"/>
        <v>73.340781610983925</v>
      </c>
      <c r="M172">
        <f t="shared" ca="1" si="56"/>
        <v>66.944218389016072</v>
      </c>
      <c r="N172">
        <f t="shared" ca="1" si="45"/>
        <v>-1.3900000000000006</v>
      </c>
      <c r="O172">
        <f t="shared" ca="1" si="46"/>
        <v>0</v>
      </c>
      <c r="P172">
        <f t="shared" ca="1" si="47"/>
        <v>1.3900000000000006</v>
      </c>
      <c r="Q172">
        <f t="shared" ca="1" si="51"/>
        <v>0.31622333373473371</v>
      </c>
      <c r="R172">
        <f t="shared" ca="1" si="52"/>
        <v>0.19966454873560638</v>
      </c>
      <c r="S172">
        <f t="shared" ca="1" si="49"/>
        <v>1.5837730620545625</v>
      </c>
      <c r="T172">
        <f t="shared" ca="1" si="50"/>
        <v>61.296910526467798</v>
      </c>
      <c r="U172">
        <f>70</f>
        <v>70</v>
      </c>
      <c r="V172">
        <f>30</f>
        <v>30</v>
      </c>
      <c r="W172">
        <f t="shared" ca="1" si="48"/>
        <v>71.199352425706991</v>
      </c>
      <c r="X172">
        <f t="shared" ca="1" si="58"/>
        <v>69.746988288179125</v>
      </c>
      <c r="Y172">
        <f t="shared" ca="1" si="57"/>
        <v>1.3400469423839212</v>
      </c>
      <c r="Z172">
        <f t="shared" ca="1" si="59"/>
        <v>1.3847353751050038</v>
      </c>
      <c r="AA172">
        <f t="shared" ca="1" si="60"/>
        <v>-4.4688432721082583E-2</v>
      </c>
      <c r="AB172">
        <f t="shared" ca="1" si="61"/>
        <v>64.718800000000016</v>
      </c>
    </row>
    <row r="173" spans="1:28" x14ac:dyDescent="0.25">
      <c r="A173" s="20">
        <f t="shared" ca="1" si="41"/>
        <v>45537</v>
      </c>
      <c r="B173" vm="496">
        <f ca="1"/>
        <v>45541</v>
      </c>
      <c r="C173" vm="497">
        <f ca="1"/>
        <v>71.14</v>
      </c>
      <c r="D173" vm="498">
        <f ca="1"/>
        <v>17485707</v>
      </c>
      <c r="E173">
        <f t="shared" ca="1" si="42"/>
        <v>1243933195.98</v>
      </c>
      <c r="F173">
        <f ca="1">SUM($E$2:E173)/SUM($D$2:D173)</f>
        <v>62.864539629204884</v>
      </c>
      <c r="G173">
        <f ca="1">_xlfn.STDEV.P($C$2:C173)</f>
        <v>3.5659278039942262</v>
      </c>
      <c r="H173">
        <f t="shared" ca="1" si="43"/>
        <v>66.430467433199112</v>
      </c>
      <c r="I173">
        <f t="shared" ca="1" si="44"/>
        <v>59.298611825210656</v>
      </c>
      <c r="J173">
        <f t="shared" ca="1" si="53"/>
        <v>70.263000000000005</v>
      </c>
      <c r="K173">
        <f t="shared" ca="1" si="54"/>
        <v>1.5777602379389122</v>
      </c>
      <c r="L173">
        <f t="shared" ca="1" si="55"/>
        <v>73.418520475877827</v>
      </c>
      <c r="M173">
        <f t="shared" ca="1" si="56"/>
        <v>67.107479524122184</v>
      </c>
      <c r="N173">
        <f t="shared" ca="1" si="45"/>
        <v>-3.0000000000001137E-2</v>
      </c>
      <c r="O173">
        <f t="shared" ca="1" si="46"/>
        <v>0</v>
      </c>
      <c r="P173">
        <f t="shared" ca="1" si="47"/>
        <v>3.0000000000001137E-2</v>
      </c>
      <c r="Q173">
        <f t="shared" ca="1" si="51"/>
        <v>0.29363595275368132</v>
      </c>
      <c r="R173">
        <f t="shared" ca="1" si="52"/>
        <v>0.18754565239734886</v>
      </c>
      <c r="S173">
        <f t="shared" ca="1" si="49"/>
        <v>1.5656772044577247</v>
      </c>
      <c r="T173">
        <f t="shared" ca="1" si="50"/>
        <v>61.023935580728768</v>
      </c>
      <c r="U173">
        <f>70</f>
        <v>70</v>
      </c>
      <c r="V173">
        <f>30</f>
        <v>30</v>
      </c>
      <c r="W173">
        <f t="shared" ca="1" si="48"/>
        <v>71.190221283290526</v>
      </c>
      <c r="X173">
        <f t="shared" ca="1" si="58"/>
        <v>69.850174340906605</v>
      </c>
      <c r="Y173">
        <f t="shared" ca="1" si="57"/>
        <v>1.2934161263323176</v>
      </c>
      <c r="Z173">
        <f t="shared" ca="1" si="59"/>
        <v>1.3664715253504665</v>
      </c>
      <c r="AA173">
        <f t="shared" ca="1" si="60"/>
        <v>-7.3055399018148837E-2</v>
      </c>
      <c r="AB173">
        <f t="shared" ca="1" si="61"/>
        <v>64.848800000000026</v>
      </c>
    </row>
    <row r="174" spans="1:28" x14ac:dyDescent="0.25">
      <c r="A174" s="20">
        <f t="shared" ca="1" si="41"/>
        <v>45544</v>
      </c>
      <c r="B174" vm="499">
        <f ca="1"/>
        <v>45544</v>
      </c>
      <c r="C174" vm="500">
        <f ca="1"/>
        <v>71.849999999999994</v>
      </c>
      <c r="D174" vm="501">
        <f ca="1"/>
        <v>12939256</v>
      </c>
      <c r="E174">
        <f t="shared" ca="1" si="42"/>
        <v>929685543.5999999</v>
      </c>
      <c r="F174">
        <f ca="1">SUM($E$2:E174)/SUM($D$2:D174)</f>
        <v>62.915452254347422</v>
      </c>
      <c r="G174">
        <f ca="1">_xlfn.STDEV.P($C$2:C174)</f>
        <v>3.6211580402509624</v>
      </c>
      <c r="H174">
        <f t="shared" ca="1" si="43"/>
        <v>66.53661029459839</v>
      </c>
      <c r="I174">
        <f t="shared" ca="1" si="44"/>
        <v>59.29429421409646</v>
      </c>
      <c r="J174">
        <f t="shared" ca="1" si="53"/>
        <v>70.421500000000009</v>
      </c>
      <c r="K174">
        <f t="shared" ca="1" si="54"/>
        <v>1.5695700886414392</v>
      </c>
      <c r="L174">
        <f t="shared" ca="1" si="55"/>
        <v>73.560640177282892</v>
      </c>
      <c r="M174">
        <f t="shared" ca="1" si="56"/>
        <v>67.282359822717126</v>
      </c>
      <c r="N174">
        <f t="shared" ca="1" si="45"/>
        <v>0.70999999999999375</v>
      </c>
      <c r="O174">
        <f t="shared" ca="1" si="46"/>
        <v>0.70999999999999375</v>
      </c>
      <c r="P174">
        <f t="shared" ca="1" si="47"/>
        <v>0</v>
      </c>
      <c r="Q174">
        <f t="shared" ca="1" si="51"/>
        <v>0.32337624184270364</v>
      </c>
      <c r="R174">
        <f t="shared" ca="1" si="52"/>
        <v>0.1741495343689668</v>
      </c>
      <c r="S174">
        <f t="shared" ca="1" si="49"/>
        <v>1.8568883518090464</v>
      </c>
      <c r="T174">
        <f t="shared" ca="1" si="50"/>
        <v>64.996882031921984</v>
      </c>
      <c r="U174">
        <f>70</f>
        <v>70</v>
      </c>
      <c r="V174">
        <f>30</f>
        <v>30</v>
      </c>
      <c r="W174">
        <f t="shared" ca="1" si="48"/>
        <v>71.291725701245838</v>
      </c>
      <c r="X174">
        <f t="shared" ca="1" si="58"/>
        <v>69.99830957491352</v>
      </c>
      <c r="Y174">
        <f t="shared" ca="1" si="57"/>
        <v>1.2182106023450672</v>
      </c>
      <c r="Z174">
        <f t="shared" ca="1" si="59"/>
        <v>1.3368193407493867</v>
      </c>
      <c r="AA174">
        <f t="shared" ca="1" si="60"/>
        <v>-0.11860873840431951</v>
      </c>
      <c r="AB174">
        <f t="shared" ca="1" si="61"/>
        <v>64.986700000000027</v>
      </c>
    </row>
    <row r="175" spans="1:28" x14ac:dyDescent="0.25">
      <c r="A175" s="20">
        <f t="shared" ca="1" si="41"/>
        <v>45544</v>
      </c>
      <c r="B175" vm="502">
        <f ca="1"/>
        <v>45545</v>
      </c>
      <c r="C175" vm="503">
        <f ca="1"/>
        <v>71.55</v>
      </c>
      <c r="D175" vm="504">
        <f ca="1"/>
        <v>10277585</v>
      </c>
      <c r="E175">
        <f t="shared" ca="1" si="42"/>
        <v>735361206.75</v>
      </c>
      <c r="F175">
        <f ca="1">SUM($E$2:E175)/SUM($D$2:D175)</f>
        <v>62.954138478141481</v>
      </c>
      <c r="G175">
        <f ca="1">_xlfn.STDEV.P($C$2:C175)</f>
        <v>3.6700769839392597</v>
      </c>
      <c r="H175">
        <f t="shared" ca="1" si="43"/>
        <v>66.624215462080741</v>
      </c>
      <c r="I175">
        <f t="shared" ca="1" si="44"/>
        <v>59.28406149420222</v>
      </c>
      <c r="J175">
        <f t="shared" ca="1" si="53"/>
        <v>70.590499999999992</v>
      </c>
      <c r="K175">
        <f t="shared" ca="1" si="54"/>
        <v>1.4945602239983156</v>
      </c>
      <c r="L175">
        <f t="shared" ca="1" si="55"/>
        <v>73.579620447996618</v>
      </c>
      <c r="M175">
        <f t="shared" ca="1" si="56"/>
        <v>67.601379552003365</v>
      </c>
      <c r="N175">
        <f t="shared" ca="1" si="45"/>
        <v>-0.29999999999999716</v>
      </c>
      <c r="O175">
        <f t="shared" ca="1" si="46"/>
        <v>0</v>
      </c>
      <c r="P175">
        <f t="shared" ca="1" si="47"/>
        <v>0.29999999999999716</v>
      </c>
      <c r="Q175">
        <f t="shared" ca="1" si="51"/>
        <v>0.30027793885393905</v>
      </c>
      <c r="R175">
        <f t="shared" ca="1" si="52"/>
        <v>0.18313885334261185</v>
      </c>
      <c r="S175">
        <f t="shared" ca="1" si="49"/>
        <v>1.6396189742008822</v>
      </c>
      <c r="T175">
        <f t="shared" ca="1" si="50"/>
        <v>62.115744364099378</v>
      </c>
      <c r="U175">
        <f>70</f>
        <v>70</v>
      </c>
      <c r="V175">
        <f>30</f>
        <v>30</v>
      </c>
      <c r="W175">
        <f t="shared" ca="1" si="48"/>
        <v>71.331460208746478</v>
      </c>
      <c r="X175">
        <f t="shared" ca="1" si="58"/>
        <v>70.113249606401411</v>
      </c>
      <c r="Y175">
        <f t="shared" ca="1" si="57"/>
        <v>1.1079132761175003</v>
      </c>
      <c r="Z175">
        <f t="shared" ca="1" si="59"/>
        <v>1.2910381278230094</v>
      </c>
      <c r="AA175">
        <f t="shared" ca="1" si="60"/>
        <v>-0.18312485170550907</v>
      </c>
      <c r="AB175">
        <f t="shared" ca="1" si="61"/>
        <v>65.117100000000022</v>
      </c>
    </row>
    <row r="176" spans="1:28" x14ac:dyDescent="0.25">
      <c r="A176" s="20">
        <f t="shared" ca="1" si="41"/>
        <v>45544</v>
      </c>
      <c r="B176" vm="505">
        <f ca="1"/>
        <v>45546</v>
      </c>
      <c r="C176" vm="506">
        <f ca="1"/>
        <v>71.08</v>
      </c>
      <c r="D176" vm="507">
        <f ca="1"/>
        <v>11418234</v>
      </c>
      <c r="E176">
        <f t="shared" ca="1" si="42"/>
        <v>811608072.72000003</v>
      </c>
      <c r="F176">
        <f ca="1">SUM($E$2:E176)/SUM($D$2:D176)</f>
        <v>62.994385858539538</v>
      </c>
      <c r="G176">
        <f ca="1">_xlfn.STDEV.P($C$2:C176)</f>
        <v>3.7110970251121054</v>
      </c>
      <c r="H176">
        <f t="shared" ca="1" si="43"/>
        <v>66.705482883651641</v>
      </c>
      <c r="I176">
        <f t="shared" ca="1" si="44"/>
        <v>59.283288833427434</v>
      </c>
      <c r="J176">
        <f t="shared" ca="1" si="53"/>
        <v>70.721500000000006</v>
      </c>
      <c r="K176">
        <f t="shared" ca="1" si="54"/>
        <v>1.410447017606008</v>
      </c>
      <c r="L176">
        <f t="shared" ca="1" si="55"/>
        <v>73.542394035212027</v>
      </c>
      <c r="M176">
        <f t="shared" ca="1" si="56"/>
        <v>67.900605964787985</v>
      </c>
      <c r="N176">
        <f t="shared" ca="1" si="45"/>
        <v>-0.46999999999999886</v>
      </c>
      <c r="O176">
        <f t="shared" ca="1" si="46"/>
        <v>0</v>
      </c>
      <c r="P176">
        <f t="shared" ca="1" si="47"/>
        <v>0.46999999999999886</v>
      </c>
      <c r="Q176">
        <f t="shared" ca="1" si="51"/>
        <v>0.27882951465008626</v>
      </c>
      <c r="R176">
        <f t="shared" ca="1" si="52"/>
        <v>0.20362893524671091</v>
      </c>
      <c r="S176">
        <f t="shared" ca="1" si="49"/>
        <v>1.3693020312278532</v>
      </c>
      <c r="T176">
        <f t="shared" ca="1" si="50"/>
        <v>57.793477284879302</v>
      </c>
      <c r="U176">
        <f>70</f>
        <v>70</v>
      </c>
      <c r="V176">
        <f>30</f>
        <v>30</v>
      </c>
      <c r="W176">
        <f t="shared" ca="1" si="48"/>
        <v>71.29277402278548</v>
      </c>
      <c r="X176">
        <f t="shared" ca="1" si="58"/>
        <v>70.184860746667979</v>
      </c>
      <c r="Y176">
        <f t="shared" ca="1" si="57"/>
        <v>1.0208380116814624</v>
      </c>
      <c r="Z176">
        <f t="shared" ca="1" si="59"/>
        <v>1.2369981045947003</v>
      </c>
      <c r="AA176">
        <f t="shared" ca="1" si="60"/>
        <v>-0.2161600929132379</v>
      </c>
      <c r="AB176">
        <f t="shared" ca="1" si="61"/>
        <v>65.238800000000026</v>
      </c>
    </row>
    <row r="177" spans="1:28" x14ac:dyDescent="0.25">
      <c r="A177" s="20">
        <f t="shared" ca="1" si="41"/>
        <v>45544</v>
      </c>
      <c r="B177" vm="508">
        <f ca="1"/>
        <v>45547</v>
      </c>
      <c r="C177" vm="509">
        <f ca="1"/>
        <v>71.23</v>
      </c>
      <c r="D177" vm="510">
        <f ca="1"/>
        <v>12340779</v>
      </c>
      <c r="E177">
        <f t="shared" ca="1" si="42"/>
        <v>879033688.17000008</v>
      </c>
      <c r="F177">
        <f ca="1">SUM($E$2:E177)/SUM($D$2:D177)</f>
        <v>63.038237834996288</v>
      </c>
      <c r="G177">
        <f ca="1">_xlfn.STDEV.P($C$2:C177)</f>
        <v>3.7524911590343808</v>
      </c>
      <c r="H177">
        <f t="shared" ca="1" si="43"/>
        <v>66.790728994030673</v>
      </c>
      <c r="I177">
        <f t="shared" ca="1" si="44"/>
        <v>59.28574667596191</v>
      </c>
      <c r="J177">
        <f t="shared" ca="1" si="53"/>
        <v>70.853999999999999</v>
      </c>
      <c r="K177">
        <f t="shared" ca="1" si="54"/>
        <v>1.3202726991042413</v>
      </c>
      <c r="L177">
        <f t="shared" ca="1" si="55"/>
        <v>73.494545398208487</v>
      </c>
      <c r="M177">
        <f t="shared" ca="1" si="56"/>
        <v>68.213454601791511</v>
      </c>
      <c r="N177">
        <f t="shared" ca="1" si="45"/>
        <v>0.15000000000000568</v>
      </c>
      <c r="O177">
        <f t="shared" ca="1" si="46"/>
        <v>0.15000000000000568</v>
      </c>
      <c r="P177">
        <f t="shared" ca="1" si="47"/>
        <v>0</v>
      </c>
      <c r="Q177">
        <f t="shared" ca="1" si="51"/>
        <v>0.26962740646079481</v>
      </c>
      <c r="R177">
        <f t="shared" ca="1" si="52"/>
        <v>0.18908401130051727</v>
      </c>
      <c r="S177">
        <f t="shared" ca="1" si="49"/>
        <v>1.4259661861746065</v>
      </c>
      <c r="T177">
        <f t="shared" ca="1" si="50"/>
        <v>58.779310045666641</v>
      </c>
      <c r="U177">
        <f>70</f>
        <v>70</v>
      </c>
      <c r="V177">
        <f>30</f>
        <v>30</v>
      </c>
      <c r="W177">
        <f t="shared" ca="1" si="48"/>
        <v>71.283116480818478</v>
      </c>
      <c r="X177">
        <f t="shared" ca="1" si="58"/>
        <v>70.262278469137016</v>
      </c>
      <c r="Y177">
        <f t="shared" ca="1" si="57"/>
        <v>0.95534214340044343</v>
      </c>
      <c r="Z177">
        <f t="shared" ca="1" si="59"/>
        <v>1.1806669123558491</v>
      </c>
      <c r="AA177">
        <f t="shared" ca="1" si="60"/>
        <v>-0.22532476895540565</v>
      </c>
      <c r="AB177">
        <f t="shared" ca="1" si="61"/>
        <v>65.349400000000017</v>
      </c>
    </row>
    <row r="178" spans="1:28" x14ac:dyDescent="0.25">
      <c r="A178" s="20">
        <f t="shared" ca="1" si="41"/>
        <v>45544</v>
      </c>
      <c r="B178" vm="511">
        <f ca="1"/>
        <v>45548</v>
      </c>
      <c r="C178" vm="512">
        <f ca="1"/>
        <v>71.41</v>
      </c>
      <c r="D178" vm="513">
        <f ca="1"/>
        <v>11073849</v>
      </c>
      <c r="E178">
        <f t="shared" ca="1" si="42"/>
        <v>790783557.08999991</v>
      </c>
      <c r="F178">
        <f ca="1">SUM($E$2:E178)/SUM($D$2:D178)</f>
        <v>63.078048181147658</v>
      </c>
      <c r="G178">
        <f ca="1">_xlfn.STDEV.P($C$2:C178)</f>
        <v>3.7946181702507804</v>
      </c>
      <c r="H178">
        <f t="shared" ca="1" si="43"/>
        <v>66.872666351398436</v>
      </c>
      <c r="I178">
        <f t="shared" ca="1" si="44"/>
        <v>59.283430010896879</v>
      </c>
      <c r="J178">
        <f t="shared" ca="1" si="53"/>
        <v>70.99199999999999</v>
      </c>
      <c r="K178">
        <f t="shared" ca="1" si="54"/>
        <v>1.2180640377254388</v>
      </c>
      <c r="L178">
        <f t="shared" ca="1" si="55"/>
        <v>73.428128075450871</v>
      </c>
      <c r="M178">
        <f t="shared" ca="1" si="56"/>
        <v>68.555871924549109</v>
      </c>
      <c r="N178">
        <f t="shared" ca="1" si="45"/>
        <v>0.17999999999999261</v>
      </c>
      <c r="O178">
        <f t="shared" ca="1" si="46"/>
        <v>0.17999999999999261</v>
      </c>
      <c r="P178">
        <f t="shared" ca="1" si="47"/>
        <v>0</v>
      </c>
      <c r="Q178">
        <f t="shared" ca="1" si="51"/>
        <v>0.26322544885645177</v>
      </c>
      <c r="R178">
        <f t="shared" ca="1" si="52"/>
        <v>0.17557801049333749</v>
      </c>
      <c r="S178">
        <f t="shared" ca="1" si="49"/>
        <v>1.4991937094904044</v>
      </c>
      <c r="T178">
        <f t="shared" ca="1" si="50"/>
        <v>59.987095189836083</v>
      </c>
      <c r="U178">
        <f>70</f>
        <v>70</v>
      </c>
      <c r="V178">
        <f>30</f>
        <v>30</v>
      </c>
      <c r="W178">
        <f t="shared" ca="1" si="48"/>
        <v>71.302637022231011</v>
      </c>
      <c r="X178">
        <f t="shared" ca="1" si="58"/>
        <v>70.347294878830567</v>
      </c>
      <c r="Y178">
        <f t="shared" ca="1" si="57"/>
        <v>0.94818336177399942</v>
      </c>
      <c r="Z178">
        <f t="shared" ca="1" si="59"/>
        <v>1.1341702022394793</v>
      </c>
      <c r="AA178">
        <f t="shared" ca="1" si="60"/>
        <v>-0.18598684046547986</v>
      </c>
      <c r="AB178">
        <f t="shared" ca="1" si="61"/>
        <v>65.458000000000027</v>
      </c>
    </row>
    <row r="179" spans="1:28" x14ac:dyDescent="0.25">
      <c r="A179" s="20">
        <f t="shared" ca="1" si="41"/>
        <v>45551</v>
      </c>
      <c r="B179" vm="514">
        <f ca="1"/>
        <v>45551</v>
      </c>
      <c r="C179" vm="515">
        <f ca="1"/>
        <v>72.099999999999994</v>
      </c>
      <c r="D179" vm="516">
        <f ca="1"/>
        <v>10786531</v>
      </c>
      <c r="E179">
        <f t="shared" ca="1" si="42"/>
        <v>777708885.0999999</v>
      </c>
      <c r="F179">
        <f ca="1">SUM($E$2:E179)/SUM($D$2:D179)</f>
        <v>63.119644585913058</v>
      </c>
      <c r="G179">
        <f ca="1">_xlfn.STDEV.P($C$2:C179)</f>
        <v>3.8439812213179079</v>
      </c>
      <c r="H179">
        <f t="shared" ca="1" si="43"/>
        <v>66.963625807230969</v>
      </c>
      <c r="I179">
        <f t="shared" ca="1" si="44"/>
        <v>59.275663364595147</v>
      </c>
      <c r="J179">
        <f t="shared" ca="1" si="53"/>
        <v>71.137999999999991</v>
      </c>
      <c r="K179">
        <f t="shared" ca="1" si="54"/>
        <v>1.1632060956909707</v>
      </c>
      <c r="L179">
        <f t="shared" ca="1" si="55"/>
        <v>73.464412191381939</v>
      </c>
      <c r="M179">
        <f t="shared" ca="1" si="56"/>
        <v>68.811587808618043</v>
      </c>
      <c r="N179">
        <f t="shared" ca="1" si="45"/>
        <v>0.68999999999999773</v>
      </c>
      <c r="O179">
        <f t="shared" ca="1" si="46"/>
        <v>0.68999999999999773</v>
      </c>
      <c r="P179">
        <f t="shared" ca="1" si="47"/>
        <v>0</v>
      </c>
      <c r="Q179">
        <f t="shared" ca="1" si="51"/>
        <v>0.29370934536670507</v>
      </c>
      <c r="R179">
        <f t="shared" ca="1" si="52"/>
        <v>0.16303672402952765</v>
      </c>
      <c r="S179">
        <f t="shared" ca="1" si="49"/>
        <v>1.8014919467684547</v>
      </c>
      <c r="T179">
        <f t="shared" ca="1" si="50"/>
        <v>64.304734084511338</v>
      </c>
      <c r="U179">
        <f>70</f>
        <v>70</v>
      </c>
      <c r="V179">
        <f>30</f>
        <v>30</v>
      </c>
      <c r="W179">
        <f t="shared" ca="1" si="48"/>
        <v>71.425308249580084</v>
      </c>
      <c r="X179">
        <f t="shared" ca="1" si="58"/>
        <v>70.477124887806085</v>
      </c>
      <c r="Y179">
        <f t="shared" ca="1" si="57"/>
        <v>0.90783749740258202</v>
      </c>
      <c r="Z179">
        <f t="shared" ca="1" si="59"/>
        <v>1.0889036612720999</v>
      </c>
      <c r="AA179">
        <f t="shared" ca="1" si="60"/>
        <v>-0.1810661638695179</v>
      </c>
      <c r="AB179">
        <f t="shared" ca="1" si="61"/>
        <v>65.572600000000023</v>
      </c>
    </row>
    <row r="180" spans="1:28" x14ac:dyDescent="0.25">
      <c r="A180" s="20">
        <f t="shared" ca="1" si="41"/>
        <v>45551</v>
      </c>
      <c r="B180" vm="517">
        <f ca="1"/>
        <v>45552</v>
      </c>
      <c r="C180" vm="518">
        <f ca="1"/>
        <v>71.8</v>
      </c>
      <c r="D180" vm="519">
        <f ca="1"/>
        <v>12974382</v>
      </c>
      <c r="E180">
        <f t="shared" ca="1" si="42"/>
        <v>931560627.5999999</v>
      </c>
      <c r="F180">
        <f ca="1">SUM($E$2:E180)/SUM($D$2:D180)</f>
        <v>63.16751815982672</v>
      </c>
      <c r="G180">
        <f ca="1">_xlfn.STDEV.P($C$2:C180)</f>
        <v>3.8877300549124478</v>
      </c>
      <c r="H180">
        <f t="shared" ca="1" si="43"/>
        <v>67.055248214739166</v>
      </c>
      <c r="I180">
        <f t="shared" ca="1" si="44"/>
        <v>59.279788104914275</v>
      </c>
      <c r="J180">
        <f t="shared" ca="1" si="53"/>
        <v>71.278999999999996</v>
      </c>
      <c r="K180">
        <f t="shared" ca="1" si="54"/>
        <v>1.0536048395365019</v>
      </c>
      <c r="L180">
        <f t="shared" ca="1" si="55"/>
        <v>73.386209679073005</v>
      </c>
      <c r="M180">
        <f t="shared" ca="1" si="56"/>
        <v>69.171790320926988</v>
      </c>
      <c r="N180">
        <f t="shared" ca="1" si="45"/>
        <v>-0.29999999999999716</v>
      </c>
      <c r="O180">
        <f t="shared" ca="1" si="46"/>
        <v>0</v>
      </c>
      <c r="P180">
        <f t="shared" ca="1" si="47"/>
        <v>0.29999999999999716</v>
      </c>
      <c r="Q180">
        <f t="shared" ca="1" si="51"/>
        <v>0.2727301064119404</v>
      </c>
      <c r="R180">
        <f t="shared" ca="1" si="52"/>
        <v>0.17281981517027548</v>
      </c>
      <c r="S180">
        <f t="shared" ca="1" si="49"/>
        <v>1.5781182623255647</v>
      </c>
      <c r="T180">
        <f t="shared" ca="1" si="50"/>
        <v>61.212019843575355</v>
      </c>
      <c r="U180">
        <f>70</f>
        <v>70</v>
      </c>
      <c r="V180">
        <f>30</f>
        <v>30</v>
      </c>
      <c r="W180">
        <f t="shared" ca="1" si="48"/>
        <v>71.482953134260072</v>
      </c>
      <c r="X180">
        <f t="shared" ca="1" si="58"/>
        <v>70.57511563685749</v>
      </c>
      <c r="Y180">
        <f t="shared" ca="1" si="57"/>
        <v>0.86189315924944765</v>
      </c>
      <c r="Z180">
        <f t="shared" ca="1" si="59"/>
        <v>1.0435015608675695</v>
      </c>
      <c r="AA180">
        <f t="shared" ca="1" si="60"/>
        <v>-0.18160840161812186</v>
      </c>
      <c r="AB180">
        <f t="shared" ca="1" si="61"/>
        <v>65.675100000000029</v>
      </c>
    </row>
    <row r="181" spans="1:28" x14ac:dyDescent="0.25">
      <c r="A181" s="20">
        <f t="shared" ca="1" si="41"/>
        <v>45551</v>
      </c>
      <c r="B181" vm="520">
        <f ca="1"/>
        <v>45553</v>
      </c>
      <c r="C181" vm="479">
        <f ca="1"/>
        <v>71.75</v>
      </c>
      <c r="D181" vm="521">
        <f ca="1"/>
        <v>10719713</v>
      </c>
      <c r="E181">
        <f t="shared" ca="1" si="42"/>
        <v>769139407.75</v>
      </c>
      <c r="F181">
        <f ca="1">SUM($E$2:E181)/SUM($D$2:D181)</f>
        <v>63.206448951810692</v>
      </c>
      <c r="G181">
        <f ca="1">_xlfn.STDEV.P($C$2:C181)</f>
        <v>3.9293158119448739</v>
      </c>
      <c r="H181">
        <f t="shared" ca="1" si="43"/>
        <v>67.13576476375556</v>
      </c>
      <c r="I181">
        <f t="shared" ca="1" si="44"/>
        <v>59.277133139865818</v>
      </c>
      <c r="J181">
        <f t="shared" ca="1" si="53"/>
        <v>71.397499999999994</v>
      </c>
      <c r="K181">
        <f t="shared" ca="1" si="54"/>
        <v>0.95769391330369613</v>
      </c>
      <c r="L181">
        <f t="shared" ca="1" si="55"/>
        <v>73.31288782660738</v>
      </c>
      <c r="M181">
        <f t="shared" ca="1" si="56"/>
        <v>69.482112173392608</v>
      </c>
      <c r="N181">
        <f t="shared" ca="1" si="45"/>
        <v>-4.9999999999997158E-2</v>
      </c>
      <c r="O181">
        <f t="shared" ca="1" si="46"/>
        <v>0</v>
      </c>
      <c r="P181">
        <f t="shared" ca="1" si="47"/>
        <v>4.9999999999997158E-2</v>
      </c>
      <c r="Q181">
        <f t="shared" ca="1" si="51"/>
        <v>0.25324938452537321</v>
      </c>
      <c r="R181">
        <f t="shared" ca="1" si="52"/>
        <v>0.16404697122954132</v>
      </c>
      <c r="S181">
        <f t="shared" ca="1" si="49"/>
        <v>1.5437614155705208</v>
      </c>
      <c r="T181">
        <f t="shared" ca="1" si="50"/>
        <v>60.68813710755505</v>
      </c>
      <c r="U181">
        <f>70</f>
        <v>70</v>
      </c>
      <c r="V181">
        <f>30</f>
        <v>30</v>
      </c>
      <c r="W181">
        <f t="shared" ca="1" si="48"/>
        <v>71.524037267450822</v>
      </c>
      <c r="X181">
        <f t="shared" ca="1" si="58"/>
        <v>70.662144108201375</v>
      </c>
      <c r="Y181">
        <f t="shared" ca="1" si="57"/>
        <v>0.72593228851125957</v>
      </c>
      <c r="Z181">
        <f t="shared" ca="1" si="59"/>
        <v>0.97998770639630761</v>
      </c>
      <c r="AA181">
        <f t="shared" ca="1" si="60"/>
        <v>-0.25405541788504804</v>
      </c>
      <c r="AB181">
        <f t="shared" ca="1" si="61"/>
        <v>65.775200000000027</v>
      </c>
    </row>
    <row r="182" spans="1:28" x14ac:dyDescent="0.25">
      <c r="A182" s="20">
        <f t="shared" ca="1" si="41"/>
        <v>45551</v>
      </c>
      <c r="B182" vm="522">
        <f ca="1"/>
        <v>45554</v>
      </c>
      <c r="C182" vm="523">
        <f ca="1"/>
        <v>70.62</v>
      </c>
      <c r="D182" vm="524">
        <f ca="1"/>
        <v>13635646</v>
      </c>
      <c r="E182">
        <f t="shared" ca="1" si="42"/>
        <v>962949320.5200001</v>
      </c>
      <c r="F182">
        <f ca="1">SUM($E$2:E182)/SUM($D$2:D182)</f>
        <v>63.24897945559254</v>
      </c>
      <c r="G182">
        <f ca="1">_xlfn.STDEV.P($C$2:C182)</f>
        <v>3.9569277725155483</v>
      </c>
      <c r="H182">
        <f t="shared" ca="1" si="43"/>
        <v>67.205907228108089</v>
      </c>
      <c r="I182">
        <f t="shared" ca="1" si="44"/>
        <v>59.292051683076991</v>
      </c>
      <c r="J182">
        <f t="shared" ca="1" si="53"/>
        <v>71.45</v>
      </c>
      <c r="K182">
        <f t="shared" ca="1" si="54"/>
        <v>0.87767635804645128</v>
      </c>
      <c r="L182">
        <f t="shared" ca="1" si="55"/>
        <v>73.205352716092904</v>
      </c>
      <c r="M182">
        <f t="shared" ca="1" si="56"/>
        <v>69.694647283907102</v>
      </c>
      <c r="N182">
        <f t="shared" ca="1" si="45"/>
        <v>-1.1299999999999955</v>
      </c>
      <c r="O182">
        <f t="shared" ca="1" si="46"/>
        <v>0</v>
      </c>
      <c r="P182">
        <f t="shared" ca="1" si="47"/>
        <v>1.1299999999999955</v>
      </c>
      <c r="Q182">
        <f t="shared" ca="1" si="51"/>
        <v>0.23516014277356084</v>
      </c>
      <c r="R182">
        <f t="shared" ca="1" si="52"/>
        <v>0.23304361614171662</v>
      </c>
      <c r="S182">
        <f t="shared" ca="1" si="49"/>
        <v>1.0090821051736389</v>
      </c>
      <c r="T182">
        <f t="shared" ca="1" si="50"/>
        <v>50.226026232333943</v>
      </c>
      <c r="U182">
        <f>70</f>
        <v>70</v>
      </c>
      <c r="V182">
        <f>30</f>
        <v>30</v>
      </c>
      <c r="W182">
        <f t="shared" ca="1" si="48"/>
        <v>71.384954610919934</v>
      </c>
      <c r="X182">
        <f t="shared" ca="1" si="58"/>
        <v>70.659022322408674</v>
      </c>
      <c r="Y182">
        <f t="shared" ca="1" si="57"/>
        <v>0.69250502752250043</v>
      </c>
      <c r="Z182">
        <f t="shared" ca="1" si="59"/>
        <v>0.92249117062154617</v>
      </c>
      <c r="AA182">
        <f t="shared" ca="1" si="60"/>
        <v>-0.22998614309904575</v>
      </c>
      <c r="AB182">
        <f t="shared" ca="1" si="61"/>
        <v>65.864000000000019</v>
      </c>
    </row>
    <row r="183" spans="1:28" x14ac:dyDescent="0.25">
      <c r="A183" s="20">
        <f t="shared" ca="1" si="41"/>
        <v>45551</v>
      </c>
      <c r="B183" vm="525">
        <f ca="1"/>
        <v>45555</v>
      </c>
      <c r="C183" vm="526">
        <f ca="1"/>
        <v>71.64</v>
      </c>
      <c r="D183" vm="527">
        <f ca="1"/>
        <v>48578480</v>
      </c>
      <c r="E183">
        <f t="shared" ca="1" si="42"/>
        <v>3480162307.1999998</v>
      </c>
      <c r="F183">
        <f ca="1">SUM($E$2:E183)/SUM($D$2:D183)</f>
        <v>63.417041843136992</v>
      </c>
      <c r="G183">
        <f ca="1">_xlfn.STDEV.P($C$2:C183)</f>
        <v>3.9946643486861837</v>
      </c>
      <c r="H183">
        <f t="shared" ca="1" si="43"/>
        <v>67.411706191823171</v>
      </c>
      <c r="I183">
        <f t="shared" ca="1" si="44"/>
        <v>59.422377494450807</v>
      </c>
      <c r="J183">
        <f t="shared" ca="1" si="53"/>
        <v>71.565500000000014</v>
      </c>
      <c r="K183">
        <f t="shared" ca="1" si="54"/>
        <v>0.72223683970812314</v>
      </c>
      <c r="L183">
        <f t="shared" ca="1" si="55"/>
        <v>73.009973679416262</v>
      </c>
      <c r="M183">
        <f t="shared" ca="1" si="56"/>
        <v>70.121026320583766</v>
      </c>
      <c r="N183">
        <f t="shared" ca="1" si="45"/>
        <v>1.019999999999996</v>
      </c>
      <c r="O183">
        <f t="shared" ca="1" si="46"/>
        <v>1.019999999999996</v>
      </c>
      <c r="P183">
        <f t="shared" ca="1" si="47"/>
        <v>0</v>
      </c>
      <c r="Q183">
        <f t="shared" ca="1" si="51"/>
        <v>0.29122013257544904</v>
      </c>
      <c r="R183">
        <f t="shared" ca="1" si="52"/>
        <v>0.21639764356016541</v>
      </c>
      <c r="S183">
        <f t="shared" ca="1" si="49"/>
        <v>1.3457638807165688</v>
      </c>
      <c r="T183">
        <f t="shared" ca="1" si="50"/>
        <v>57.369963438326693</v>
      </c>
      <c r="U183">
        <f>70</f>
        <v>70</v>
      </c>
      <c r="V183">
        <f>30</f>
        <v>30</v>
      </c>
      <c r="W183">
        <f t="shared" ca="1" si="48"/>
        <v>71.424192363086092</v>
      </c>
      <c r="X183">
        <f t="shared" ca="1" si="58"/>
        <v>70.731687335563592</v>
      </c>
      <c r="Y183">
        <f t="shared" ca="1" si="57"/>
        <v>0.6656032700239507</v>
      </c>
      <c r="Z183">
        <f t="shared" ca="1" si="59"/>
        <v>0.87111359050202708</v>
      </c>
      <c r="AA183">
        <f t="shared" ca="1" si="60"/>
        <v>-0.20551032047807638</v>
      </c>
      <c r="AB183">
        <f t="shared" ca="1" si="61"/>
        <v>65.960000000000022</v>
      </c>
    </row>
    <row r="184" spans="1:28" x14ac:dyDescent="0.25">
      <c r="A184" s="20">
        <f t="shared" ca="1" si="41"/>
        <v>45558</v>
      </c>
      <c r="B184" vm="528">
        <f ca="1"/>
        <v>45558</v>
      </c>
      <c r="C184" vm="529">
        <f ca="1"/>
        <v>71.73</v>
      </c>
      <c r="D184" vm="530">
        <f ca="1"/>
        <v>11613022</v>
      </c>
      <c r="E184">
        <f t="shared" ca="1" si="42"/>
        <v>833002068.06000006</v>
      </c>
      <c r="F184">
        <f ca="1">SUM($E$2:E184)/SUM($D$2:D184)</f>
        <v>63.456654886773151</v>
      </c>
      <c r="G184">
        <f ca="1">_xlfn.STDEV.P($C$2:C184)</f>
        <v>4.0321402275979796</v>
      </c>
      <c r="H184">
        <f t="shared" ca="1" si="43"/>
        <v>67.488795114371129</v>
      </c>
      <c r="I184">
        <f t="shared" ca="1" si="44"/>
        <v>59.424514659175173</v>
      </c>
      <c r="J184">
        <f t="shared" ca="1" si="53"/>
        <v>71.662500000000009</v>
      </c>
      <c r="K184">
        <f t="shared" ca="1" si="54"/>
        <v>0.58926247390945763</v>
      </c>
      <c r="L184">
        <f t="shared" ca="1" si="55"/>
        <v>72.841024947818923</v>
      </c>
      <c r="M184">
        <f t="shared" ca="1" si="56"/>
        <v>70.483975052181094</v>
      </c>
      <c r="N184">
        <f t="shared" ca="1" si="45"/>
        <v>9.0000000000003411E-2</v>
      </c>
      <c r="O184">
        <f t="shared" ca="1" si="46"/>
        <v>9.0000000000003411E-2</v>
      </c>
      <c r="P184">
        <f t="shared" ca="1" si="47"/>
        <v>0</v>
      </c>
      <c r="Q184">
        <f t="shared" ca="1" si="51"/>
        <v>0.2768472659629172</v>
      </c>
      <c r="R184">
        <f t="shared" ca="1" si="52"/>
        <v>0.20094066902015359</v>
      </c>
      <c r="S184">
        <f t="shared" ca="1" si="49"/>
        <v>1.3777562666278893</v>
      </c>
      <c r="T184">
        <f t="shared" ca="1" si="50"/>
        <v>57.943544759606915</v>
      </c>
      <c r="U184">
        <f>70</f>
        <v>70</v>
      </c>
      <c r="V184">
        <f>30</f>
        <v>30</v>
      </c>
      <c r="W184">
        <f t="shared" ca="1" si="48"/>
        <v>71.471239691842086</v>
      </c>
      <c r="X184">
        <f t="shared" ca="1" si="58"/>
        <v>70.805636421818136</v>
      </c>
      <c r="Y184">
        <f t="shared" ca="1" si="57"/>
        <v>0.6050323401316291</v>
      </c>
      <c r="Z184">
        <f t="shared" ca="1" si="59"/>
        <v>0.81789734042794759</v>
      </c>
      <c r="AA184">
        <f t="shared" ca="1" si="60"/>
        <v>-0.2128650002963185</v>
      </c>
      <c r="AB184">
        <f t="shared" ca="1" si="61"/>
        <v>66.059600000000017</v>
      </c>
    </row>
    <row r="185" spans="1:28" x14ac:dyDescent="0.25">
      <c r="A185" s="20">
        <f t="shared" ca="1" si="41"/>
        <v>45558</v>
      </c>
      <c r="B185" vm="531">
        <f ca="1"/>
        <v>45559</v>
      </c>
      <c r="C185" vm="532">
        <f ca="1"/>
        <v>71.33</v>
      </c>
      <c r="D185" vm="533">
        <f ca="1"/>
        <v>13330638</v>
      </c>
      <c r="E185">
        <f t="shared" ca="1" si="42"/>
        <v>950874408.53999996</v>
      </c>
      <c r="F185">
        <f ca="1">SUM($E$2:E185)/SUM($D$2:D185)</f>
        <v>63.499487884487031</v>
      </c>
      <c r="G185">
        <f ca="1">_xlfn.STDEV.P($C$2:C185)</f>
        <v>4.0639917324465786</v>
      </c>
      <c r="H185">
        <f t="shared" ca="1" si="43"/>
        <v>67.563479616933606</v>
      </c>
      <c r="I185">
        <f t="shared" ca="1" si="44"/>
        <v>59.43549615204045</v>
      </c>
      <c r="J185">
        <f t="shared" ca="1" si="53"/>
        <v>71.686999999999998</v>
      </c>
      <c r="K185">
        <f t="shared" ca="1" si="54"/>
        <v>0.56286017708429892</v>
      </c>
      <c r="L185">
        <f t="shared" ca="1" si="55"/>
        <v>72.81272035416859</v>
      </c>
      <c r="M185">
        <f t="shared" ca="1" si="56"/>
        <v>70.561279645831405</v>
      </c>
      <c r="N185">
        <f t="shared" ca="1" si="45"/>
        <v>-0.40000000000000568</v>
      </c>
      <c r="O185">
        <f t="shared" ca="1" si="46"/>
        <v>0</v>
      </c>
      <c r="P185">
        <f t="shared" ca="1" si="47"/>
        <v>0.40000000000000568</v>
      </c>
      <c r="Q185">
        <f t="shared" ca="1" si="51"/>
        <v>0.25707246125128025</v>
      </c>
      <c r="R185">
        <f t="shared" ca="1" si="52"/>
        <v>0.2151591926615716</v>
      </c>
      <c r="S185">
        <f t="shared" ca="1" si="49"/>
        <v>1.1948011984579014</v>
      </c>
      <c r="T185">
        <f t="shared" ca="1" si="50"/>
        <v>54.437786861852722</v>
      </c>
      <c r="U185">
        <f>70</f>
        <v>70</v>
      </c>
      <c r="V185">
        <f>30</f>
        <v>30</v>
      </c>
      <c r="W185">
        <f t="shared" ca="1" si="48"/>
        <v>71.449510508481765</v>
      </c>
      <c r="X185">
        <f t="shared" ca="1" si="58"/>
        <v>70.844478168350136</v>
      </c>
      <c r="Y185">
        <f t="shared" ca="1" si="57"/>
        <v>0.56025417750794304</v>
      </c>
      <c r="Z185">
        <f t="shared" ca="1" si="59"/>
        <v>0.76636870784394673</v>
      </c>
      <c r="AA185">
        <f t="shared" ca="1" si="60"/>
        <v>-0.20611453033600369</v>
      </c>
      <c r="AB185">
        <f t="shared" ca="1" si="61"/>
        <v>66.153600000000012</v>
      </c>
    </row>
    <row r="186" spans="1:28" x14ac:dyDescent="0.25">
      <c r="A186" s="20">
        <f t="shared" ca="1" si="41"/>
        <v>45558</v>
      </c>
      <c r="B186" vm="534">
        <f ca="1"/>
        <v>45560</v>
      </c>
      <c r="C186" vm="535">
        <f ca="1"/>
        <v>71.45</v>
      </c>
      <c r="D186" vm="536">
        <f ca="1"/>
        <v>12329127</v>
      </c>
      <c r="E186">
        <f t="shared" ca="1" si="42"/>
        <v>880916124.14999998</v>
      </c>
      <c r="F186">
        <f ca="1">SUM($E$2:E186)/SUM($D$2:D186)</f>
        <v>63.539290901042662</v>
      </c>
      <c r="G186">
        <f ca="1">_xlfn.STDEV.P($C$2:C186)</f>
        <v>4.0960639818208655</v>
      </c>
      <c r="H186">
        <f t="shared" ca="1" si="43"/>
        <v>67.635354882863524</v>
      </c>
      <c r="I186">
        <f t="shared" ca="1" si="44"/>
        <v>59.4432269192218</v>
      </c>
      <c r="J186">
        <f t="shared" ca="1" si="53"/>
        <v>71.6845</v>
      </c>
      <c r="K186">
        <f t="shared" ca="1" si="54"/>
        <v>0.56384465012420215</v>
      </c>
      <c r="L186">
        <f t="shared" ca="1" si="55"/>
        <v>72.812189300248406</v>
      </c>
      <c r="M186">
        <f t="shared" ca="1" si="56"/>
        <v>70.556810699751594</v>
      </c>
      <c r="N186">
        <f t="shared" ca="1" si="45"/>
        <v>0.12000000000000455</v>
      </c>
      <c r="O186">
        <f t="shared" ca="1" si="46"/>
        <v>0.12000000000000455</v>
      </c>
      <c r="P186">
        <f t="shared" ca="1" si="47"/>
        <v>0</v>
      </c>
      <c r="Q186">
        <f t="shared" ca="1" si="51"/>
        <v>0.24728157116190341</v>
      </c>
      <c r="R186">
        <f t="shared" ca="1" si="52"/>
        <v>0.19979067890003077</v>
      </c>
      <c r="S186">
        <f t="shared" ca="1" si="49"/>
        <v>1.2377032428306409</v>
      </c>
      <c r="T186">
        <f t="shared" ca="1" si="50"/>
        <v>55.311321856287606</v>
      </c>
      <c r="U186">
        <f>70</f>
        <v>70</v>
      </c>
      <c r="V186">
        <f>30</f>
        <v>30</v>
      </c>
      <c r="W186">
        <f t="shared" ca="1" si="48"/>
        <v>71.449585814869181</v>
      </c>
      <c r="X186">
        <f t="shared" ca="1" si="58"/>
        <v>70.889331637361238</v>
      </c>
      <c r="Y186">
        <f t="shared" ca="1" si="57"/>
        <v>0.5147983044835911</v>
      </c>
      <c r="Z186">
        <f t="shared" ca="1" si="59"/>
        <v>0.71605462717187573</v>
      </c>
      <c r="AA186">
        <f t="shared" ca="1" si="60"/>
        <v>-0.20125632268828464</v>
      </c>
      <c r="AB186">
        <f t="shared" ca="1" si="61"/>
        <v>66.248200000000011</v>
      </c>
    </row>
    <row r="187" spans="1:28" x14ac:dyDescent="0.25">
      <c r="A187" s="20">
        <f t="shared" ca="1" si="41"/>
        <v>45558</v>
      </c>
      <c r="B187" vm="537">
        <f ca="1"/>
        <v>45561</v>
      </c>
      <c r="C187" vm="538">
        <f ca="1"/>
        <v>71.400000000000006</v>
      </c>
      <c r="D187" vm="539">
        <f ca="1"/>
        <v>10815219</v>
      </c>
      <c r="E187">
        <f t="shared" ca="1" si="42"/>
        <v>772206636.60000002</v>
      </c>
      <c r="F187">
        <f ca="1">SUM($E$2:E187)/SUM($D$2:D187)</f>
        <v>63.573661137759082</v>
      </c>
      <c r="G187">
        <f ca="1">_xlfn.STDEV.P($C$2:C187)</f>
        <v>4.1265723841436568</v>
      </c>
      <c r="H187">
        <f t="shared" ca="1" si="43"/>
        <v>67.700233521902732</v>
      </c>
      <c r="I187">
        <f t="shared" ca="1" si="44"/>
        <v>59.447088753615425</v>
      </c>
      <c r="J187">
        <f t="shared" ca="1" si="53"/>
        <v>71.667000000000002</v>
      </c>
      <c r="K187">
        <f t="shared" ca="1" si="54"/>
        <v>0.56712664509697219</v>
      </c>
      <c r="L187">
        <f t="shared" ca="1" si="55"/>
        <v>72.801253290193941</v>
      </c>
      <c r="M187">
        <f t="shared" ca="1" si="56"/>
        <v>70.532746709806062</v>
      </c>
      <c r="N187">
        <f t="shared" ca="1" si="45"/>
        <v>-4.9999999999997158E-2</v>
      </c>
      <c r="O187">
        <f t="shared" ca="1" si="46"/>
        <v>0</v>
      </c>
      <c r="P187">
        <f t="shared" ca="1" si="47"/>
        <v>4.9999999999997158E-2</v>
      </c>
      <c r="Q187">
        <f t="shared" ca="1" si="51"/>
        <v>0.22961860179319604</v>
      </c>
      <c r="R187">
        <f t="shared" ca="1" si="52"/>
        <v>0.18909134469288549</v>
      </c>
      <c r="S187">
        <f t="shared" ca="1" si="49"/>
        <v>1.2143263466983816</v>
      </c>
      <c r="T187">
        <f t="shared" ca="1" si="50"/>
        <v>54.839538377392927</v>
      </c>
      <c r="U187">
        <f>70</f>
        <v>70</v>
      </c>
      <c r="V187">
        <f>30</f>
        <v>30</v>
      </c>
      <c r="W187">
        <f t="shared" ca="1" si="48"/>
        <v>71.441957227966228</v>
      </c>
      <c r="X187">
        <f t="shared" ca="1" si="58"/>
        <v>70.927158923482637</v>
      </c>
      <c r="Y187">
        <f t="shared" ca="1" si="57"/>
        <v>0.50442919251884177</v>
      </c>
      <c r="Z187">
        <f t="shared" ca="1" si="59"/>
        <v>0.67372954024126908</v>
      </c>
      <c r="AA187">
        <f t="shared" ca="1" si="60"/>
        <v>-0.1693003477224273</v>
      </c>
      <c r="AB187">
        <f t="shared" ca="1" si="61"/>
        <v>66.340500000000006</v>
      </c>
    </row>
    <row r="188" spans="1:28" x14ac:dyDescent="0.25">
      <c r="A188" s="20">
        <f t="shared" ca="1" si="41"/>
        <v>45558</v>
      </c>
      <c r="B188" vm="540">
        <f ca="1"/>
        <v>45562</v>
      </c>
      <c r="C188" vm="541">
        <f ca="1"/>
        <v>71.790000000000006</v>
      </c>
      <c r="D188" vm="542">
        <f ca="1"/>
        <v>11175706</v>
      </c>
      <c r="E188">
        <f t="shared" ca="1" si="42"/>
        <v>802303933.74000013</v>
      </c>
      <c r="F188">
        <f ca="1">SUM($E$2:E188)/SUM($D$2:D188)</f>
        <v>63.610616801253421</v>
      </c>
      <c r="G188">
        <f ca="1">_xlfn.STDEV.P($C$2:C188)</f>
        <v>4.1601577363093893</v>
      </c>
      <c r="H188">
        <f t="shared" ca="1" si="43"/>
        <v>67.770774537562815</v>
      </c>
      <c r="I188">
        <f t="shared" ca="1" si="44"/>
        <v>59.450459064944035</v>
      </c>
      <c r="J188">
        <f t="shared" ca="1" si="53"/>
        <v>71.654000000000011</v>
      </c>
      <c r="K188">
        <f t="shared" ca="1" si="54"/>
        <v>0.56083021166462599</v>
      </c>
      <c r="L188">
        <f t="shared" ca="1" si="55"/>
        <v>72.775660423329256</v>
      </c>
      <c r="M188">
        <f t="shared" ca="1" si="56"/>
        <v>70.532339576670765</v>
      </c>
      <c r="N188">
        <f t="shared" ca="1" si="45"/>
        <v>0.39000000000000057</v>
      </c>
      <c r="O188">
        <f t="shared" ca="1" si="46"/>
        <v>0.39000000000000057</v>
      </c>
      <c r="P188">
        <f t="shared" ca="1" si="47"/>
        <v>0</v>
      </c>
      <c r="Q188">
        <f t="shared" ca="1" si="51"/>
        <v>0.24107441595082493</v>
      </c>
      <c r="R188">
        <f t="shared" ca="1" si="52"/>
        <v>0.1755848200719651</v>
      </c>
      <c r="S188">
        <f t="shared" ca="1" si="49"/>
        <v>1.3729798273678686</v>
      </c>
      <c r="T188">
        <f t="shared" ca="1" si="50"/>
        <v>57.858891657363586</v>
      </c>
      <c r="U188">
        <f>70</f>
        <v>70</v>
      </c>
      <c r="V188">
        <f>30</f>
        <v>30</v>
      </c>
      <c r="W188">
        <f t="shared" ca="1" si="48"/>
        <v>71.495502269817578</v>
      </c>
      <c r="X188">
        <f t="shared" ca="1" si="58"/>
        <v>70.991073077298736</v>
      </c>
      <c r="Y188">
        <f t="shared" ca="1" si="57"/>
        <v>0.49614080915593206</v>
      </c>
      <c r="Z188">
        <f t="shared" ca="1" si="59"/>
        <v>0.6382117940242017</v>
      </c>
      <c r="AA188">
        <f t="shared" ca="1" si="60"/>
        <v>-0.14207098486826963</v>
      </c>
      <c r="AB188">
        <f t="shared" ca="1" si="61"/>
        <v>66.434900000000013</v>
      </c>
    </row>
    <row r="189" spans="1:28" x14ac:dyDescent="0.25">
      <c r="A189" s="20">
        <f t="shared" ca="1" si="41"/>
        <v>45565</v>
      </c>
      <c r="B189" vm="543">
        <f ca="1"/>
        <v>45565</v>
      </c>
      <c r="C189" vm="544">
        <f ca="1"/>
        <v>71.86</v>
      </c>
      <c r="D189" vm="545">
        <f ca="1"/>
        <v>18016013</v>
      </c>
      <c r="E189">
        <f t="shared" ca="1" si="42"/>
        <v>1294630694.1800001</v>
      </c>
      <c r="F189">
        <f ca="1">SUM($E$2:E189)/SUM($D$2:D189)</f>
        <v>63.670000908716226</v>
      </c>
      <c r="G189">
        <f ca="1">_xlfn.STDEV.P($C$2:C189)</f>
        <v>4.1933901953375505</v>
      </c>
      <c r="H189">
        <f t="shared" ca="1" si="43"/>
        <v>67.863391104053775</v>
      </c>
      <c r="I189">
        <f t="shared" ca="1" si="44"/>
        <v>59.476610713378676</v>
      </c>
      <c r="J189">
        <f t="shared" ca="1" si="53"/>
        <v>71.623499999999993</v>
      </c>
      <c r="K189">
        <f t="shared" ca="1" si="54"/>
        <v>0.52984878677043812</v>
      </c>
      <c r="L189">
        <f t="shared" ca="1" si="55"/>
        <v>72.683197573540866</v>
      </c>
      <c r="M189">
        <f t="shared" ca="1" si="56"/>
        <v>70.563802426459119</v>
      </c>
      <c r="N189">
        <f t="shared" ca="1" si="45"/>
        <v>6.9999999999993179E-2</v>
      </c>
      <c r="O189">
        <f t="shared" ca="1" si="46"/>
        <v>6.9999999999993179E-2</v>
      </c>
      <c r="P189">
        <f t="shared" ca="1" si="47"/>
        <v>0</v>
      </c>
      <c r="Q189">
        <f t="shared" ca="1" si="51"/>
        <v>0.22885481481147979</v>
      </c>
      <c r="R189">
        <f t="shared" ca="1" si="52"/>
        <v>0.16304304720968191</v>
      </c>
      <c r="S189">
        <f t="shared" ca="1" si="49"/>
        <v>1.4036465751106852</v>
      </c>
      <c r="T189">
        <f t="shared" ca="1" si="50"/>
        <v>58.396545883458302</v>
      </c>
      <c r="U189">
        <f>70</f>
        <v>70</v>
      </c>
      <c r="V189">
        <f>30</f>
        <v>30</v>
      </c>
      <c r="W189">
        <f t="shared" ca="1" si="48"/>
        <v>71.5515788436918</v>
      </c>
      <c r="X189">
        <f t="shared" ca="1" si="58"/>
        <v>71.055438034535868</v>
      </c>
      <c r="Y189">
        <f t="shared" ca="1" si="57"/>
        <v>0.47202722322593615</v>
      </c>
      <c r="Z189">
        <f t="shared" ca="1" si="59"/>
        <v>0.60497487986454868</v>
      </c>
      <c r="AA189">
        <f t="shared" ca="1" si="60"/>
        <v>-0.13294765663861252</v>
      </c>
      <c r="AB189">
        <f t="shared" ca="1" si="61"/>
        <v>66.527300000000011</v>
      </c>
    </row>
    <row r="190" spans="1:28" x14ac:dyDescent="0.25">
      <c r="A190" s="20">
        <f t="shared" ca="1" si="41"/>
        <v>45565</v>
      </c>
      <c r="B190" vm="546">
        <f ca="1"/>
        <v>45566</v>
      </c>
      <c r="C190" vm="547">
        <f ca="1"/>
        <v>71.709999999999994</v>
      </c>
      <c r="D190" vm="548">
        <f ca="1"/>
        <v>13294498</v>
      </c>
      <c r="E190">
        <f t="shared" ca="1" si="42"/>
        <v>953348451.57999992</v>
      </c>
      <c r="F190">
        <f ca="1">SUM($E$2:E190)/SUM($D$2:D190)</f>
        <v>63.712484099156107</v>
      </c>
      <c r="G190">
        <f ca="1">_xlfn.STDEV.P($C$2:C190)</f>
        <v>4.2240137803072741</v>
      </c>
      <c r="H190">
        <f t="shared" ca="1" si="43"/>
        <v>67.936497879463388</v>
      </c>
      <c r="I190">
        <f t="shared" ca="1" si="44"/>
        <v>59.488470318848833</v>
      </c>
      <c r="J190">
        <f t="shared" ca="1" si="53"/>
        <v>71.558500000000009</v>
      </c>
      <c r="K190">
        <f t="shared" ca="1" si="54"/>
        <v>0.41893693784952407</v>
      </c>
      <c r="L190">
        <f t="shared" ca="1" si="55"/>
        <v>72.396373875699055</v>
      </c>
      <c r="M190">
        <f t="shared" ca="1" si="56"/>
        <v>70.720626124300964</v>
      </c>
      <c r="N190">
        <f t="shared" ca="1" si="45"/>
        <v>-0.15000000000000568</v>
      </c>
      <c r="O190">
        <f t="shared" ca="1" si="46"/>
        <v>0</v>
      </c>
      <c r="P190">
        <f t="shared" ca="1" si="47"/>
        <v>0.15000000000000568</v>
      </c>
      <c r="Q190">
        <f t="shared" ca="1" si="51"/>
        <v>0.21250804232494552</v>
      </c>
      <c r="R190">
        <f t="shared" ca="1" si="52"/>
        <v>0.16211140098041935</v>
      </c>
      <c r="S190">
        <f t="shared" ca="1" si="49"/>
        <v>1.3108766011504234</v>
      </c>
      <c r="T190">
        <f t="shared" ca="1" si="50"/>
        <v>56.726378227977634</v>
      </c>
      <c r="U190">
        <f>70</f>
        <v>70</v>
      </c>
      <c r="V190">
        <f>30</f>
        <v>30</v>
      </c>
      <c r="W190">
        <f t="shared" ca="1" si="48"/>
        <v>71.575951329277672</v>
      </c>
      <c r="X190">
        <f t="shared" ca="1" si="58"/>
        <v>71.103924106051736</v>
      </c>
      <c r="Y190">
        <f t="shared" ca="1" si="57"/>
        <v>0.39191512914145221</v>
      </c>
      <c r="Z190">
        <f t="shared" ca="1" si="59"/>
        <v>0.56236292971992941</v>
      </c>
      <c r="AA190">
        <f t="shared" ca="1" si="60"/>
        <v>-0.17044780057847719</v>
      </c>
      <c r="AB190">
        <f t="shared" ca="1" si="61"/>
        <v>66.615899999999996</v>
      </c>
    </row>
    <row r="191" spans="1:28" x14ac:dyDescent="0.25">
      <c r="A191" s="20">
        <f t="shared" ca="1" si="41"/>
        <v>45565</v>
      </c>
      <c r="B191" vm="549">
        <f ca="1"/>
        <v>45567</v>
      </c>
      <c r="C191" vm="550">
        <f ca="1"/>
        <v>71.010000000000005</v>
      </c>
      <c r="D191" vm="551">
        <f ca="1"/>
        <v>11155480</v>
      </c>
      <c r="E191">
        <f t="shared" ca="1" si="42"/>
        <v>792150634.80000007</v>
      </c>
      <c r="F191">
        <f ca="1">SUM($E$2:E191)/SUM($D$2:D191)</f>
        <v>63.744697098885531</v>
      </c>
      <c r="G191">
        <f ca="1">_xlfn.STDEV.P($C$2:C191)</f>
        <v>4.2469656657019215</v>
      </c>
      <c r="H191">
        <f t="shared" ca="1" si="43"/>
        <v>67.99166276458746</v>
      </c>
      <c r="I191">
        <f t="shared" ca="1" si="44"/>
        <v>59.49773143318361</v>
      </c>
      <c r="J191">
        <f t="shared" ca="1" si="53"/>
        <v>71.480999999999995</v>
      </c>
      <c r="K191">
        <f t="shared" ca="1" si="54"/>
        <v>0.36363515550038356</v>
      </c>
      <c r="L191">
        <f t="shared" ca="1" si="55"/>
        <v>72.20827031100076</v>
      </c>
      <c r="M191">
        <f t="shared" ca="1" si="56"/>
        <v>70.753729688999229</v>
      </c>
      <c r="N191">
        <f t="shared" ca="1" si="45"/>
        <v>-0.69999999999998863</v>
      </c>
      <c r="O191">
        <f t="shared" ca="1" si="46"/>
        <v>0</v>
      </c>
      <c r="P191">
        <f t="shared" ca="1" si="47"/>
        <v>0.69999999999998863</v>
      </c>
      <c r="Q191">
        <f t="shared" ca="1" si="51"/>
        <v>0.19732889644459228</v>
      </c>
      <c r="R191">
        <f t="shared" ca="1" si="52"/>
        <v>0.20053201519610289</v>
      </c>
      <c r="S191">
        <f t="shared" ca="1" si="49"/>
        <v>0.98402689591296311</v>
      </c>
      <c r="T191">
        <f t="shared" ca="1" si="50"/>
        <v>49.597457470966219</v>
      </c>
      <c r="U191">
        <f>70</f>
        <v>70</v>
      </c>
      <c r="V191">
        <f>30</f>
        <v>30</v>
      </c>
      <c r="W191">
        <f t="shared" ca="1" si="48"/>
        <v>71.48888189400418</v>
      </c>
      <c r="X191">
        <f t="shared" ca="1" si="58"/>
        <v>71.096966764862728</v>
      </c>
      <c r="Y191">
        <f t="shared" ca="1" si="57"/>
        <v>0.2855946550964461</v>
      </c>
      <c r="Z191">
        <f t="shared" ca="1" si="59"/>
        <v>0.50700927479523283</v>
      </c>
      <c r="AA191">
        <f t="shared" ca="1" si="60"/>
        <v>-0.22141461969878673</v>
      </c>
      <c r="AB191">
        <f t="shared" ca="1" si="61"/>
        <v>66.697200000000009</v>
      </c>
    </row>
    <row r="192" spans="1:28" x14ac:dyDescent="0.25">
      <c r="A192" s="20">
        <f t="shared" ca="1" si="41"/>
        <v>45565</v>
      </c>
      <c r="B192" vm="552">
        <f ca="1"/>
        <v>45568</v>
      </c>
      <c r="C192" vm="553">
        <f ca="1"/>
        <v>70.52</v>
      </c>
      <c r="D192" vm="554">
        <f ca="1"/>
        <v>9374794</v>
      </c>
      <c r="E192">
        <f t="shared" ca="1" si="42"/>
        <v>661110472.88</v>
      </c>
      <c r="F192">
        <f ca="1">SUM($E$2:E192)/SUM($D$2:D192)</f>
        <v>63.769738015327015</v>
      </c>
      <c r="G192">
        <f ca="1">_xlfn.STDEV.P($C$2:C192)</f>
        <v>4.2649355646645981</v>
      </c>
      <c r="H192">
        <f t="shared" ca="1" si="43"/>
        <v>68.034673579991619</v>
      </c>
      <c r="I192">
        <f t="shared" ca="1" si="44"/>
        <v>59.504802450662417</v>
      </c>
      <c r="J192">
        <f t="shared" ca="1" si="53"/>
        <v>71.448499999999996</v>
      </c>
      <c r="K192">
        <f t="shared" ca="1" si="54"/>
        <v>0.41789289738425761</v>
      </c>
      <c r="L192">
        <f t="shared" ca="1" si="55"/>
        <v>72.284285794768508</v>
      </c>
      <c r="M192">
        <f t="shared" ca="1" si="56"/>
        <v>70.612714205231484</v>
      </c>
      <c r="N192">
        <f t="shared" ca="1" si="45"/>
        <v>-0.49000000000000909</v>
      </c>
      <c r="O192">
        <f t="shared" ca="1" si="46"/>
        <v>0</v>
      </c>
      <c r="P192">
        <f t="shared" ca="1" si="47"/>
        <v>0.49000000000000909</v>
      </c>
      <c r="Q192">
        <f t="shared" ca="1" si="51"/>
        <v>0.18323397526997853</v>
      </c>
      <c r="R192">
        <f t="shared" ca="1" si="52"/>
        <v>0.22120829982495335</v>
      </c>
      <c r="S192">
        <f t="shared" ca="1" si="49"/>
        <v>0.82833227964310252</v>
      </c>
      <c r="T192">
        <f t="shared" ca="1" si="50"/>
        <v>45.305346783288002</v>
      </c>
      <c r="U192">
        <f>70</f>
        <v>70</v>
      </c>
      <c r="V192">
        <f>30</f>
        <v>30</v>
      </c>
      <c r="W192">
        <f t="shared" ca="1" si="48"/>
        <v>71.339823141080458</v>
      </c>
      <c r="X192">
        <f t="shared" ca="1" si="58"/>
        <v>71.054228485984012</v>
      </c>
      <c r="Y192">
        <f t="shared" ca="1" si="57"/>
        <v>0.17112027053018153</v>
      </c>
      <c r="Z192">
        <f t="shared" ca="1" si="59"/>
        <v>0.43983147394222261</v>
      </c>
      <c r="AA192">
        <f t="shared" ca="1" si="60"/>
        <v>-0.26871120341204108</v>
      </c>
      <c r="AB192">
        <f t="shared" ca="1" si="61"/>
        <v>66.769800000000004</v>
      </c>
    </row>
    <row r="193" spans="1:28" x14ac:dyDescent="0.25">
      <c r="A193" s="20">
        <f t="shared" ca="1" si="41"/>
        <v>45565</v>
      </c>
      <c r="B193" vm="555">
        <f ca="1"/>
        <v>45569</v>
      </c>
      <c r="C193" vm="556">
        <f ca="1"/>
        <v>70.17</v>
      </c>
      <c r="D193" vm="557">
        <f ca="1"/>
        <v>12687289</v>
      </c>
      <c r="E193">
        <f t="shared" ca="1" si="42"/>
        <v>890267069.13</v>
      </c>
      <c r="F193">
        <f ca="1">SUM($E$2:E193)/SUM($D$2:D193)</f>
        <v>63.801591687270822</v>
      </c>
      <c r="G193">
        <f ca="1">_xlfn.STDEV.P($C$2:C193)</f>
        <v>4.2795146523551253</v>
      </c>
      <c r="H193">
        <f t="shared" ca="1" si="43"/>
        <v>68.081106339625947</v>
      </c>
      <c r="I193">
        <f t="shared" ca="1" si="44"/>
        <v>59.522077034915696</v>
      </c>
      <c r="J193">
        <f t="shared" ca="1" si="53"/>
        <v>71.400000000000006</v>
      </c>
      <c r="K193">
        <f t="shared" ca="1" si="54"/>
        <v>0.50316890540694181</v>
      </c>
      <c r="L193">
        <f t="shared" ca="1" si="55"/>
        <v>72.406337810813895</v>
      </c>
      <c r="M193">
        <f t="shared" ca="1" si="56"/>
        <v>70.393662189186117</v>
      </c>
      <c r="N193">
        <f t="shared" ca="1" si="45"/>
        <v>-0.34999999999999432</v>
      </c>
      <c r="O193">
        <f t="shared" ca="1" si="46"/>
        <v>0</v>
      </c>
      <c r="P193">
        <f t="shared" ca="1" si="47"/>
        <v>0.34999999999999432</v>
      </c>
      <c r="Q193">
        <f t="shared" ca="1" si="51"/>
        <v>0.17014583417926579</v>
      </c>
      <c r="R193">
        <f t="shared" ca="1" si="52"/>
        <v>0.23040770698031343</v>
      </c>
      <c r="S193">
        <f t="shared" ca="1" si="49"/>
        <v>0.73845548141236195</v>
      </c>
      <c r="T193">
        <f t="shared" ca="1" si="50"/>
        <v>42.477675690172028</v>
      </c>
      <c r="U193">
        <f>70</f>
        <v>70</v>
      </c>
      <c r="V193">
        <f>30</f>
        <v>30</v>
      </c>
      <c r="W193">
        <f t="shared" ca="1" si="48"/>
        <v>71.159850350145007</v>
      </c>
      <c r="X193">
        <f t="shared" ca="1" si="58"/>
        <v>70.988730079614825</v>
      </c>
      <c r="Y193">
        <f t="shared" ca="1" si="57"/>
        <v>-1.3053338694447802E-2</v>
      </c>
      <c r="Z193">
        <f t="shared" ca="1" si="59"/>
        <v>0.34925451141488856</v>
      </c>
      <c r="AA193">
        <f t="shared" ca="1" si="60"/>
        <v>-0.36230785010933636</v>
      </c>
      <c r="AB193">
        <f t="shared" ca="1" si="61"/>
        <v>66.835700000000003</v>
      </c>
    </row>
    <row r="194" spans="1:28" x14ac:dyDescent="0.25">
      <c r="A194" s="20">
        <f t="shared" ca="1" si="41"/>
        <v>45572</v>
      </c>
      <c r="B194" vm="558">
        <f ca="1"/>
        <v>45572</v>
      </c>
      <c r="C194" vm="559">
        <f ca="1"/>
        <v>69.010000000000005</v>
      </c>
      <c r="D194" vm="560">
        <f ca="1"/>
        <v>14511962</v>
      </c>
      <c r="E194">
        <f t="shared" ca="1" si="42"/>
        <v>1001470497.6200001</v>
      </c>
      <c r="F194">
        <f ca="1">SUM($E$2:E194)/SUM($D$2:D194)</f>
        <v>63.831073811559889</v>
      </c>
      <c r="G194">
        <f ca="1">_xlfn.STDEV.P($C$2:C194)</f>
        <v>4.2854176086638818</v>
      </c>
      <c r="H194">
        <f t="shared" ca="1" si="43"/>
        <v>68.116491420223767</v>
      </c>
      <c r="I194">
        <f t="shared" ca="1" si="44"/>
        <v>59.545656202896005</v>
      </c>
      <c r="J194">
        <f t="shared" ca="1" si="53"/>
        <v>71.25800000000001</v>
      </c>
      <c r="K194">
        <f t="shared" ca="1" si="54"/>
        <v>0.72244905119942227</v>
      </c>
      <c r="L194">
        <f t="shared" ca="1" si="55"/>
        <v>72.702898102398848</v>
      </c>
      <c r="M194">
        <f t="shared" ca="1" si="56"/>
        <v>69.813101897601172</v>
      </c>
      <c r="N194">
        <f t="shared" ca="1" si="45"/>
        <v>-1.1599999999999966</v>
      </c>
      <c r="O194">
        <f t="shared" ca="1" si="46"/>
        <v>0</v>
      </c>
      <c r="P194">
        <f t="shared" ca="1" si="47"/>
        <v>1.1599999999999966</v>
      </c>
      <c r="Q194">
        <f t="shared" ca="1" si="51"/>
        <v>0.15799256030931824</v>
      </c>
      <c r="R194">
        <f t="shared" ca="1" si="52"/>
        <v>0.2968071564817194</v>
      </c>
      <c r="S194">
        <f t="shared" ca="1" si="49"/>
        <v>0.53230711207278159</v>
      </c>
      <c r="T194">
        <f t="shared" ca="1" si="50"/>
        <v>34.738931111056417</v>
      </c>
      <c r="U194">
        <f>70</f>
        <v>70</v>
      </c>
      <c r="V194">
        <f>30</f>
        <v>30</v>
      </c>
      <c r="W194">
        <f t="shared" ca="1" si="48"/>
        <v>70.829104142430396</v>
      </c>
      <c r="X194">
        <f t="shared" ca="1" si="58"/>
        <v>70.842157481124843</v>
      </c>
      <c r="Y194">
        <f t="shared" ca="1" si="57"/>
        <v>-0.14363889191950818</v>
      </c>
      <c r="Z194">
        <f t="shared" ca="1" si="59"/>
        <v>0.25067583074800925</v>
      </c>
      <c r="AA194">
        <f t="shared" ca="1" si="60"/>
        <v>-0.39431472266751744</v>
      </c>
      <c r="AB194">
        <f t="shared" ca="1" si="61"/>
        <v>66.894800000000018</v>
      </c>
    </row>
    <row r="195" spans="1:28" x14ac:dyDescent="0.25">
      <c r="A195" s="20">
        <f t="shared" ref="A195:A258" ca="1" si="62">B195 - WEEKDAY(B195, 2) + 1</f>
        <v>45572</v>
      </c>
      <c r="B195" vm="561">
        <f ca="1"/>
        <v>45573</v>
      </c>
      <c r="C195" vm="456">
        <f ca="1"/>
        <v>69.180000000000007</v>
      </c>
      <c r="D195" vm="562">
        <f ca="1"/>
        <v>13549702</v>
      </c>
      <c r="E195">
        <f t="shared" ref="E195:E258" ca="1" si="63">C195*D195</f>
        <v>937368384.36000013</v>
      </c>
      <c r="F195">
        <f ca="1">SUM($E$2:E195)/SUM($D$2:D195)</f>
        <v>63.859195066537048</v>
      </c>
      <c r="G195">
        <f ca="1">_xlfn.STDEV.P($C$2:C195)</f>
        <v>4.2921686332997098</v>
      </c>
      <c r="H195">
        <f t="shared" ref="H195:H258" ca="1" si="64">F195 + G195</f>
        <v>68.151363699836764</v>
      </c>
      <c r="I195">
        <f t="shared" ref="I195:I258" ca="1" si="65">F195 - G195</f>
        <v>59.567026433237338</v>
      </c>
      <c r="J195">
        <f t="shared" ca="1" si="53"/>
        <v>71.139500000000012</v>
      </c>
      <c r="K195">
        <f t="shared" ca="1" si="54"/>
        <v>0.85436017919228346</v>
      </c>
      <c r="L195">
        <f t="shared" ca="1" si="55"/>
        <v>72.84822035838458</v>
      </c>
      <c r="M195">
        <f t="shared" ca="1" si="56"/>
        <v>69.430779641615445</v>
      </c>
      <c r="N195">
        <f t="shared" ca="1" si="45"/>
        <v>0.17000000000000171</v>
      </c>
      <c r="O195">
        <f t="shared" ca="1" si="46"/>
        <v>0.17000000000000171</v>
      </c>
      <c r="P195">
        <f t="shared" ca="1" si="47"/>
        <v>0</v>
      </c>
      <c r="Q195">
        <f t="shared" ca="1" si="51"/>
        <v>0.15885023457293851</v>
      </c>
      <c r="R195">
        <f t="shared" ca="1" si="52"/>
        <v>0.27560664530445372</v>
      </c>
      <c r="S195">
        <f t="shared" ca="1" si="49"/>
        <v>0.57636576359565572</v>
      </c>
      <c r="T195">
        <f t="shared" ca="1" si="50"/>
        <v>36.562946043751801</v>
      </c>
      <c r="U195">
        <f>70</f>
        <v>70</v>
      </c>
      <c r="V195">
        <f>30</f>
        <v>30</v>
      </c>
      <c r="W195">
        <f t="shared" ca="1" si="48"/>
        <v>70.575395812825718</v>
      </c>
      <c r="X195">
        <f t="shared" ca="1" si="58"/>
        <v>70.719034704745226</v>
      </c>
      <c r="Y195">
        <f t="shared" ca="1" si="57"/>
        <v>-0.21320148898279001</v>
      </c>
      <c r="Z195">
        <f t="shared" ca="1" si="59"/>
        <v>0.15790036680184941</v>
      </c>
      <c r="AA195">
        <f t="shared" ca="1" si="60"/>
        <v>-0.37110185578463939</v>
      </c>
      <c r="AB195">
        <f t="shared" ca="1" si="61"/>
        <v>66.955300000000022</v>
      </c>
    </row>
    <row r="196" spans="1:28" x14ac:dyDescent="0.25">
      <c r="A196" s="20">
        <f t="shared" ca="1" si="62"/>
        <v>45572</v>
      </c>
      <c r="B196" vm="563">
        <f ca="1"/>
        <v>45574</v>
      </c>
      <c r="C196" vm="465">
        <f ca="1"/>
        <v>69.569999999999993</v>
      </c>
      <c r="D196" vm="564">
        <f ca="1"/>
        <v>9037735</v>
      </c>
      <c r="E196">
        <f t="shared" ca="1" si="63"/>
        <v>628755223.94999993</v>
      </c>
      <c r="F196">
        <f ca="1">SUM($E$2:E196)/SUM($D$2:D196)</f>
        <v>63.879151135878075</v>
      </c>
      <c r="G196">
        <f ca="1">_xlfn.STDEV.P($C$2:C196)</f>
        <v>4.3012601410271563</v>
      </c>
      <c r="H196">
        <f t="shared" ca="1" si="64"/>
        <v>68.180411276905232</v>
      </c>
      <c r="I196">
        <f t="shared" ca="1" si="65"/>
        <v>59.577890994850918</v>
      </c>
      <c r="J196">
        <f t="shared" ca="1" si="53"/>
        <v>71.064000000000007</v>
      </c>
      <c r="K196">
        <f t="shared" ca="1" si="54"/>
        <v>0.92379309599635151</v>
      </c>
      <c r="L196">
        <f t="shared" ca="1" si="55"/>
        <v>72.911586191992711</v>
      </c>
      <c r="M196">
        <f t="shared" ca="1" si="56"/>
        <v>69.216413808007303</v>
      </c>
      <c r="N196">
        <f t="shared" ref="N196:N259" ca="1" si="66">C196-C195</f>
        <v>0.38999999999998636</v>
      </c>
      <c r="O196">
        <f t="shared" ref="O196:O259" ca="1" si="67">MAX(N196,0)</f>
        <v>0.38999999999998636</v>
      </c>
      <c r="P196">
        <f t="shared" ref="P196:P259" ca="1" si="68">MAX(-N196,0)</f>
        <v>0</v>
      </c>
      <c r="Q196">
        <f t="shared" ca="1" si="51"/>
        <v>0.17536093210344192</v>
      </c>
      <c r="R196">
        <f t="shared" ca="1" si="52"/>
        <v>0.25592045635413563</v>
      </c>
      <c r="S196">
        <f t="shared" ca="1" si="49"/>
        <v>0.68521654971098644</v>
      </c>
      <c r="T196">
        <f t="shared" ca="1" si="50"/>
        <v>40.660445082176572</v>
      </c>
      <c r="U196">
        <f>70</f>
        <v>70</v>
      </c>
      <c r="V196">
        <f>30</f>
        <v>30</v>
      </c>
      <c r="W196">
        <f t="shared" ca="1" si="48"/>
        <v>70.420719533929457</v>
      </c>
      <c r="X196">
        <f t="shared" ca="1" si="58"/>
        <v>70.633921022912247</v>
      </c>
      <c r="Y196">
        <f t="shared" ca="1" si="57"/>
        <v>-0.29079951814652816</v>
      </c>
      <c r="Z196">
        <f t="shared" ca="1" si="59"/>
        <v>6.8160389812173885E-2</v>
      </c>
      <c r="AA196">
        <f t="shared" ca="1" si="60"/>
        <v>-0.35895990795870203</v>
      </c>
      <c r="AB196">
        <f t="shared" ca="1" si="61"/>
        <v>67.017800000000008</v>
      </c>
    </row>
    <row r="197" spans="1:28" x14ac:dyDescent="0.25">
      <c r="A197" s="20">
        <f t="shared" ca="1" si="62"/>
        <v>45572</v>
      </c>
      <c r="B197" vm="565">
        <f ca="1"/>
        <v>45575</v>
      </c>
      <c r="C197" vm="566">
        <f ca="1"/>
        <v>69.25</v>
      </c>
      <c r="D197" vm="567">
        <f ca="1"/>
        <v>8635150</v>
      </c>
      <c r="E197">
        <f t="shared" ca="1" si="63"/>
        <v>597984137.5</v>
      </c>
      <c r="F197">
        <f ca="1">SUM($E$2:E197)/SUM($D$2:D197)</f>
        <v>63.897023553080984</v>
      </c>
      <c r="G197">
        <f ca="1">_xlfn.STDEV.P($C$2:C197)</f>
        <v>4.3079156977345781</v>
      </c>
      <c r="H197">
        <f t="shared" ca="1" si="64"/>
        <v>68.204939250815556</v>
      </c>
      <c r="I197">
        <f t="shared" ca="1" si="65"/>
        <v>59.589107855346406</v>
      </c>
      <c r="J197">
        <f t="shared" ca="1" si="53"/>
        <v>70.965000000000003</v>
      </c>
      <c r="K197">
        <f t="shared" ca="1" si="54"/>
        <v>1.007380657682925</v>
      </c>
      <c r="L197">
        <f t="shared" ca="1" si="55"/>
        <v>72.979761315365849</v>
      </c>
      <c r="M197">
        <f t="shared" ca="1" si="56"/>
        <v>68.950238684634158</v>
      </c>
      <c r="N197">
        <f t="shared" ca="1" si="66"/>
        <v>-0.31999999999999318</v>
      </c>
      <c r="O197">
        <f t="shared" ca="1" si="67"/>
        <v>0</v>
      </c>
      <c r="P197">
        <f t="shared" ca="1" si="68"/>
        <v>0.31999999999999318</v>
      </c>
      <c r="Q197">
        <f t="shared" ca="1" si="51"/>
        <v>0.16283515123891035</v>
      </c>
      <c r="R197">
        <f t="shared" ca="1" si="52"/>
        <v>0.26049756661455403</v>
      </c>
      <c r="S197">
        <f t="shared" ca="1" si="49"/>
        <v>0.62509279205609569</v>
      </c>
      <c r="T197">
        <f t="shared" ca="1" si="50"/>
        <v>38.465052279581982</v>
      </c>
      <c r="U197">
        <f>70</f>
        <v>70</v>
      </c>
      <c r="V197">
        <f>30</f>
        <v>30</v>
      </c>
      <c r="W197">
        <f t="shared" ca="1" si="48"/>
        <v>70.240608836401847</v>
      </c>
      <c r="X197">
        <f t="shared" ca="1" si="58"/>
        <v>70.531408354548375</v>
      </c>
      <c r="Y197">
        <f t="shared" ca="1" si="57"/>
        <v>-0.32275467469195007</v>
      </c>
      <c r="Z197">
        <f t="shared" ca="1" si="59"/>
        <v>-1.0022623088650914E-2</v>
      </c>
      <c r="AA197">
        <f t="shared" ca="1" si="60"/>
        <v>-0.31273205160329914</v>
      </c>
      <c r="AB197">
        <f t="shared" ca="1" si="61"/>
        <v>67.080000000000013</v>
      </c>
    </row>
    <row r="198" spans="1:28" x14ac:dyDescent="0.25">
      <c r="A198" s="20">
        <f t="shared" ca="1" si="62"/>
        <v>45572</v>
      </c>
      <c r="B198" vm="568">
        <f ca="1"/>
        <v>45576</v>
      </c>
      <c r="C198" vm="465">
        <f ca="1"/>
        <v>69.569999999999993</v>
      </c>
      <c r="D198" vm="569">
        <f ca="1"/>
        <v>8786318</v>
      </c>
      <c r="E198">
        <f t="shared" ca="1" si="63"/>
        <v>611264143.25999999</v>
      </c>
      <c r="F198">
        <f ca="1">SUM($E$2:E198)/SUM($D$2:D198)</f>
        <v>63.916167010179414</v>
      </c>
      <c r="G198">
        <f ca="1">_xlfn.STDEV.P($C$2:C198)</f>
        <v>4.3164127503828817</v>
      </c>
      <c r="H198">
        <f t="shared" ca="1" si="64"/>
        <v>68.232579760562302</v>
      </c>
      <c r="I198">
        <f t="shared" ca="1" si="65"/>
        <v>59.599754259796534</v>
      </c>
      <c r="J198">
        <f t="shared" ca="1" si="53"/>
        <v>70.87299999999999</v>
      </c>
      <c r="K198">
        <f t="shared" ca="1" si="54"/>
        <v>1.0478102479883813</v>
      </c>
      <c r="L198">
        <f t="shared" ca="1" si="55"/>
        <v>72.968620495976751</v>
      </c>
      <c r="M198">
        <f t="shared" ca="1" si="56"/>
        <v>68.77737950402323</v>
      </c>
      <c r="N198">
        <f t="shared" ca="1" si="66"/>
        <v>0.31999999999999318</v>
      </c>
      <c r="O198">
        <f t="shared" ca="1" si="67"/>
        <v>0.31999999999999318</v>
      </c>
      <c r="P198">
        <f t="shared" ca="1" si="68"/>
        <v>0</v>
      </c>
      <c r="Q198">
        <f t="shared" ca="1" si="51"/>
        <v>0.174061211864702</v>
      </c>
      <c r="R198">
        <f t="shared" ca="1" si="52"/>
        <v>0.24189059757065731</v>
      </c>
      <c r="S198">
        <f t="shared" ca="1" si="49"/>
        <v>0.71958651395640938</v>
      </c>
      <c r="T198">
        <f t="shared" ca="1" si="50"/>
        <v>41.846485077438246</v>
      </c>
      <c r="U198">
        <f>70</f>
        <v>70</v>
      </c>
      <c r="V198">
        <f>30</f>
        <v>30</v>
      </c>
      <c r="W198">
        <f t="shared" ca="1" si="48"/>
        <v>70.137438246186179</v>
      </c>
      <c r="X198">
        <f t="shared" ca="1" si="58"/>
        <v>70.460192920878129</v>
      </c>
      <c r="Y198">
        <f t="shared" ca="1" si="57"/>
        <v>-0.28268814862705938</v>
      </c>
      <c r="Z198">
        <f t="shared" ca="1" si="59"/>
        <v>-6.455572819633261E-2</v>
      </c>
      <c r="AA198">
        <f t="shared" ca="1" si="60"/>
        <v>-0.21813242043072678</v>
      </c>
      <c r="AB198">
        <f t="shared" ca="1" si="61"/>
        <v>67.150000000000006</v>
      </c>
    </row>
    <row r="199" spans="1:28" x14ac:dyDescent="0.25">
      <c r="A199" s="20">
        <f t="shared" ca="1" si="62"/>
        <v>45579</v>
      </c>
      <c r="B199" vm="570">
        <f ca="1"/>
        <v>45579</v>
      </c>
      <c r="C199" vm="571">
        <f ca="1"/>
        <v>70.34</v>
      </c>
      <c r="D199" vm="572">
        <f ca="1"/>
        <v>7659318</v>
      </c>
      <c r="E199">
        <f t="shared" ca="1" si="63"/>
        <v>538756428.12</v>
      </c>
      <c r="F199">
        <f ca="1">SUM($E$2:E199)/SUM($D$2:D199)</f>
        <v>63.935008322217975</v>
      </c>
      <c r="G199">
        <f ca="1">_xlfn.STDEV.P($C$2:C199)</f>
        <v>4.3300801308282901</v>
      </c>
      <c r="H199">
        <f t="shared" ca="1" si="64"/>
        <v>68.26508845304626</v>
      </c>
      <c r="I199">
        <f t="shared" ca="1" si="65"/>
        <v>59.604928191389682</v>
      </c>
      <c r="J199">
        <f t="shared" ca="1" si="53"/>
        <v>70.784999999999997</v>
      </c>
      <c r="K199">
        <f t="shared" ca="1" si="54"/>
        <v>1.0126541468105641</v>
      </c>
      <c r="L199">
        <f t="shared" ca="1" si="55"/>
        <v>72.810308293621119</v>
      </c>
      <c r="M199">
        <f t="shared" ca="1" si="56"/>
        <v>68.759691706378874</v>
      </c>
      <c r="N199">
        <f t="shared" ca="1" si="66"/>
        <v>0.77000000000001023</v>
      </c>
      <c r="O199">
        <f t="shared" ca="1" si="67"/>
        <v>0.77000000000001023</v>
      </c>
      <c r="P199">
        <f t="shared" ca="1" si="68"/>
        <v>0</v>
      </c>
      <c r="Q199">
        <f t="shared" ca="1" si="51"/>
        <v>0.21662826816008116</v>
      </c>
      <c r="R199">
        <f t="shared" ca="1" si="52"/>
        <v>0.2246126977441818</v>
      </c>
      <c r="S199">
        <f t="shared" ca="1" si="49"/>
        <v>0.96445245676540359</v>
      </c>
      <c r="T199">
        <f t="shared" ca="1" si="50"/>
        <v>49.095230248200366</v>
      </c>
      <c r="U199">
        <f>70</f>
        <v>70</v>
      </c>
      <c r="V199">
        <f>30</f>
        <v>30</v>
      </c>
      <c r="W199">
        <f t="shared" ca="1" si="48"/>
        <v>70.168601592926763</v>
      </c>
      <c r="X199">
        <f t="shared" ca="1" si="58"/>
        <v>70.451289741553822</v>
      </c>
      <c r="Y199">
        <f t="shared" ca="1" si="57"/>
        <v>-0.24807547836394406</v>
      </c>
      <c r="Z199">
        <f t="shared" ca="1" si="59"/>
        <v>-0.1012596782298549</v>
      </c>
      <c r="AA199">
        <f t="shared" ca="1" si="60"/>
        <v>-0.14681580013408915</v>
      </c>
      <c r="AB199">
        <f t="shared" ca="1" si="61"/>
        <v>67.224300000000028</v>
      </c>
    </row>
    <row r="200" spans="1:28" x14ac:dyDescent="0.25">
      <c r="A200" s="20">
        <f t="shared" ca="1" si="62"/>
        <v>45579</v>
      </c>
      <c r="B200" vm="573">
        <f ca="1"/>
        <v>45580</v>
      </c>
      <c r="C200" vm="571">
        <f ca="1"/>
        <v>70.34</v>
      </c>
      <c r="D200" vm="574">
        <f ca="1"/>
        <v>10358734</v>
      </c>
      <c r="E200">
        <f t="shared" ca="1" si="63"/>
        <v>728633349.56000006</v>
      </c>
      <c r="F200">
        <f ca="1">SUM($E$2:E200)/SUM($D$2:D200)</f>
        <v>63.960314859608232</v>
      </c>
      <c r="G200">
        <f ca="1">_xlfn.STDEV.P($C$2:C200)</f>
        <v>4.3433234375730798</v>
      </c>
      <c r="H200">
        <f t="shared" ca="1" si="64"/>
        <v>68.303638297181308</v>
      </c>
      <c r="I200">
        <f t="shared" ca="1" si="65"/>
        <v>59.616991422035156</v>
      </c>
      <c r="J200">
        <f t="shared" ca="1" si="53"/>
        <v>70.711999999999975</v>
      </c>
      <c r="K200">
        <f t="shared" ca="1" si="54"/>
        <v>0.98795695623261903</v>
      </c>
      <c r="L200">
        <f t="shared" ca="1" si="55"/>
        <v>72.68791391246522</v>
      </c>
      <c r="M200">
        <f t="shared" ca="1" si="56"/>
        <v>68.73608608753473</v>
      </c>
      <c r="N200">
        <f t="shared" ca="1" si="66"/>
        <v>0</v>
      </c>
      <c r="O200">
        <f t="shared" ca="1" si="67"/>
        <v>0</v>
      </c>
      <c r="P200">
        <f t="shared" ca="1" si="68"/>
        <v>0</v>
      </c>
      <c r="Q200">
        <f t="shared" ca="1" si="51"/>
        <v>0.20115482043436109</v>
      </c>
      <c r="R200">
        <f t="shared" ca="1" si="52"/>
        <v>0.20856893361959741</v>
      </c>
      <c r="S200">
        <f t="shared" ca="1" si="49"/>
        <v>0.96445245676540348</v>
      </c>
      <c r="T200">
        <f t="shared" ca="1" si="50"/>
        <v>49.095230248200359</v>
      </c>
      <c r="U200">
        <f>70</f>
        <v>70</v>
      </c>
      <c r="V200">
        <f>30</f>
        <v>30</v>
      </c>
      <c r="W200">
        <f t="shared" ca="1" si="48"/>
        <v>70.194970578630333</v>
      </c>
      <c r="X200">
        <f t="shared" ca="1" si="58"/>
        <v>70.443046056994277</v>
      </c>
      <c r="Y200">
        <f t="shared" ca="1" si="57"/>
        <v>-0.19978264008527447</v>
      </c>
      <c r="Z200">
        <f t="shared" ca="1" si="59"/>
        <v>-0.12096427060093884</v>
      </c>
      <c r="AA200">
        <f t="shared" ca="1" si="60"/>
        <v>-7.8818369484335626E-2</v>
      </c>
      <c r="AB200">
        <f t="shared" ca="1" si="61"/>
        <v>67.29770000000002</v>
      </c>
    </row>
    <row r="201" spans="1:28" x14ac:dyDescent="0.25">
      <c r="A201" s="20">
        <f t="shared" ca="1" si="62"/>
        <v>45579</v>
      </c>
      <c r="B201" vm="575">
        <f ca="1"/>
        <v>45581</v>
      </c>
      <c r="C201" vm="576">
        <f ca="1"/>
        <v>70.569999999999993</v>
      </c>
      <c r="D201" vm="577">
        <f ca="1"/>
        <v>7937347</v>
      </c>
      <c r="E201">
        <f t="shared" ca="1" si="63"/>
        <v>560138577.78999996</v>
      </c>
      <c r="F201">
        <f ca="1">SUM($E$2:E201)/SUM($D$2:D201)</f>
        <v>63.980265221492076</v>
      </c>
      <c r="G201">
        <f ca="1">_xlfn.STDEV.P($C$2:C201)</f>
        <v>4.3578758331898362</v>
      </c>
      <c r="H201">
        <f t="shared" ca="1" si="64"/>
        <v>68.338141054681913</v>
      </c>
      <c r="I201">
        <f t="shared" ca="1" si="65"/>
        <v>59.622389388302238</v>
      </c>
      <c r="J201">
        <f t="shared" ca="1" si="53"/>
        <v>70.652999999999977</v>
      </c>
      <c r="K201">
        <f t="shared" ca="1" si="54"/>
        <v>0.9574698016400478</v>
      </c>
      <c r="L201">
        <f t="shared" ca="1" si="55"/>
        <v>72.567939603280067</v>
      </c>
      <c r="M201">
        <f t="shared" ca="1" si="56"/>
        <v>68.738060396719888</v>
      </c>
      <c r="N201">
        <f t="shared" ca="1" si="66"/>
        <v>0.22999999999998977</v>
      </c>
      <c r="O201">
        <f t="shared" ca="1" si="67"/>
        <v>0.22999999999998977</v>
      </c>
      <c r="P201">
        <f t="shared" ca="1" si="68"/>
        <v>0</v>
      </c>
      <c r="Q201">
        <f t="shared" ca="1" si="51"/>
        <v>0.20321519040333458</v>
      </c>
      <c r="R201">
        <f t="shared" ca="1" si="52"/>
        <v>0.19367115264676901</v>
      </c>
      <c r="S201">
        <f t="shared" ca="1" si="49"/>
        <v>1.0492796042473742</v>
      </c>
      <c r="T201">
        <f t="shared" ca="1" si="50"/>
        <v>51.20236409285576</v>
      </c>
      <c r="U201">
        <f>70</f>
        <v>70</v>
      </c>
      <c r="V201">
        <f>30</f>
        <v>30</v>
      </c>
      <c r="W201">
        <f t="shared" ca="1" si="48"/>
        <v>70.252667412687202</v>
      </c>
      <c r="X201">
        <f t="shared" ca="1" si="58"/>
        <v>70.452450052772477</v>
      </c>
      <c r="Y201">
        <f t="shared" ca="1" si="57"/>
        <v>-0.21311693898276474</v>
      </c>
      <c r="Z201">
        <f t="shared" ca="1" si="59"/>
        <v>-0.13939480427730402</v>
      </c>
      <c r="AA201">
        <f t="shared" ca="1" si="60"/>
        <v>-7.3722134705460712E-2</v>
      </c>
      <c r="AB201">
        <f t="shared" ca="1" si="61"/>
        <v>67.382500000000022</v>
      </c>
    </row>
    <row r="202" spans="1:28" x14ac:dyDescent="0.25">
      <c r="A202" s="20">
        <f t="shared" ca="1" si="62"/>
        <v>45579</v>
      </c>
      <c r="B202" vm="578">
        <f ca="1"/>
        <v>45582</v>
      </c>
      <c r="C202" vm="579">
        <f ca="1"/>
        <v>69.900000000000006</v>
      </c>
      <c r="D202" vm="580">
        <f ca="1"/>
        <v>14674631</v>
      </c>
      <c r="E202">
        <f t="shared" ca="1" si="63"/>
        <v>1025756706.9000001</v>
      </c>
      <c r="F202">
        <f ca="1">SUM($E$2:E202)/SUM($D$2:D202)</f>
        <v>64.013116123417191</v>
      </c>
      <c r="G202">
        <f ca="1">_xlfn.STDEV.P($C$2:C202)</f>
        <v>4.3672066697925782</v>
      </c>
      <c r="H202">
        <f t="shared" ca="1" si="64"/>
        <v>68.380322793209771</v>
      </c>
      <c r="I202">
        <f t="shared" ca="1" si="65"/>
        <v>59.645909453624611</v>
      </c>
      <c r="J202">
        <f t="shared" ca="1" si="53"/>
        <v>70.61699999999999</v>
      </c>
      <c r="K202">
        <f t="shared" ca="1" si="54"/>
        <v>0.97219826871076598</v>
      </c>
      <c r="L202">
        <f t="shared" ca="1" si="55"/>
        <v>72.561396537421516</v>
      </c>
      <c r="M202">
        <f t="shared" ca="1" si="56"/>
        <v>68.672603462578465</v>
      </c>
      <c r="N202">
        <f t="shared" ca="1" si="66"/>
        <v>-0.66999999999998749</v>
      </c>
      <c r="O202">
        <f t="shared" ca="1" si="67"/>
        <v>0</v>
      </c>
      <c r="P202">
        <f t="shared" ca="1" si="68"/>
        <v>0.66999999999998749</v>
      </c>
      <c r="Q202">
        <f t="shared" ca="1" si="51"/>
        <v>0.18869981966023924</v>
      </c>
      <c r="R202">
        <f t="shared" ca="1" si="52"/>
        <v>0.22769464174342749</v>
      </c>
      <c r="S202">
        <f t="shared" ca="1" si="49"/>
        <v>0.82874071262893978</v>
      </c>
      <c r="T202">
        <f t="shared" ca="1" si="50"/>
        <v>45.317562348003307</v>
      </c>
      <c r="U202">
        <f>70</f>
        <v>70</v>
      </c>
      <c r="V202">
        <f>30</f>
        <v>30</v>
      </c>
      <c r="W202">
        <f t="shared" ca="1" si="48"/>
        <v>70.198410887658412</v>
      </c>
      <c r="X202">
        <f t="shared" ca="1" si="58"/>
        <v>70.411527826641176</v>
      </c>
      <c r="Y202">
        <f t="shared" ca="1" si="57"/>
        <v>-0.17805843311634817</v>
      </c>
      <c r="Z202">
        <f t="shared" ca="1" si="59"/>
        <v>-0.14712753004511286</v>
      </c>
      <c r="AA202">
        <f t="shared" ca="1" si="60"/>
        <v>-3.0930903071235305E-2</v>
      </c>
      <c r="AB202">
        <f t="shared" ca="1" si="61"/>
        <v>67.461500000000001</v>
      </c>
    </row>
    <row r="203" spans="1:28" x14ac:dyDescent="0.25">
      <c r="A203" s="20">
        <f t="shared" ca="1" si="62"/>
        <v>45579</v>
      </c>
      <c r="B203" vm="581">
        <f ca="1"/>
        <v>45583</v>
      </c>
      <c r="C203" vm="582">
        <f ca="1"/>
        <v>70.44</v>
      </c>
      <c r="D203" vm="583">
        <f ca="1"/>
        <v>15087519</v>
      </c>
      <c r="E203">
        <f t="shared" ca="1" si="63"/>
        <v>1062764838.36</v>
      </c>
      <c r="F203">
        <f ca="1">SUM($E$2:E203)/SUM($D$2:D203)</f>
        <v>64.049576848846641</v>
      </c>
      <c r="G203">
        <f ca="1">_xlfn.STDEV.P($C$2:C203)</f>
        <v>4.3799952286078119</v>
      </c>
      <c r="H203">
        <f t="shared" ca="1" si="64"/>
        <v>68.429572077454452</v>
      </c>
      <c r="I203">
        <f t="shared" ca="1" si="65"/>
        <v>59.66958162023883</v>
      </c>
      <c r="J203">
        <f t="shared" ca="1" si="53"/>
        <v>70.556999999999988</v>
      </c>
      <c r="K203">
        <f t="shared" ca="1" si="54"/>
        <v>0.94231015119897321</v>
      </c>
      <c r="L203">
        <f t="shared" ca="1" si="55"/>
        <v>72.441620302397936</v>
      </c>
      <c r="M203">
        <f t="shared" ca="1" si="56"/>
        <v>68.67237969760204</v>
      </c>
      <c r="N203">
        <f t="shared" ca="1" si="66"/>
        <v>0.53999999999999204</v>
      </c>
      <c r="O203">
        <f t="shared" ca="1" si="67"/>
        <v>0.53999999999999204</v>
      </c>
      <c r="P203">
        <f t="shared" ca="1" si="68"/>
        <v>0</v>
      </c>
      <c r="Q203">
        <f t="shared" ca="1" si="51"/>
        <v>0.21379268968450729</v>
      </c>
      <c r="R203">
        <f t="shared" ca="1" si="52"/>
        <v>0.21143073876175408</v>
      </c>
      <c r="S203">
        <f t="shared" ca="1" si="49"/>
        <v>1.0111712749838835</v>
      </c>
      <c r="T203">
        <f t="shared" ca="1" si="50"/>
        <v>50.277730572299795</v>
      </c>
      <c r="U203">
        <f>70</f>
        <v>70</v>
      </c>
      <c r="V203">
        <f>30</f>
        <v>30</v>
      </c>
      <c r="W203">
        <f t="shared" ca="1" si="48"/>
        <v>70.23557844340327</v>
      </c>
      <c r="X203">
        <f t="shared" ca="1" si="58"/>
        <v>70.413636876519618</v>
      </c>
      <c r="Y203">
        <f t="shared" ca="1" si="57"/>
        <v>-0.22753614580656745</v>
      </c>
      <c r="Z203">
        <f t="shared" ca="1" si="59"/>
        <v>-0.16320925319740379</v>
      </c>
      <c r="AA203">
        <f t="shared" ca="1" si="60"/>
        <v>-6.4326892609163661E-2</v>
      </c>
      <c r="AB203">
        <f t="shared" ca="1" si="61"/>
        <v>67.54770000000002</v>
      </c>
    </row>
    <row r="204" spans="1:28" x14ac:dyDescent="0.25">
      <c r="A204" s="20">
        <f t="shared" ca="1" si="62"/>
        <v>45586</v>
      </c>
      <c r="B204" vm="584">
        <f ca="1"/>
        <v>45586</v>
      </c>
      <c r="C204" vm="585">
        <f ca="1"/>
        <v>69.45</v>
      </c>
      <c r="D204" vm="586">
        <f ca="1"/>
        <v>11981163</v>
      </c>
      <c r="E204">
        <f t="shared" ca="1" si="63"/>
        <v>832091770.35000002</v>
      </c>
      <c r="F204">
        <f ca="1">SUM($E$2:E204)/SUM($D$2:D204)</f>
        <v>64.073797266967588</v>
      </c>
      <c r="G204">
        <f ca="1">_xlfn.STDEV.P($C$2:C204)</f>
        <v>4.3858187342353485</v>
      </c>
      <c r="H204">
        <f t="shared" ca="1" si="64"/>
        <v>68.459616001202932</v>
      </c>
      <c r="I204">
        <f t="shared" ca="1" si="65"/>
        <v>59.687978532732238</v>
      </c>
      <c r="J204">
        <f t="shared" ca="1" si="53"/>
        <v>70.442999999999998</v>
      </c>
      <c r="K204">
        <f t="shared" ca="1" si="54"/>
        <v>0.93077839524380424</v>
      </c>
      <c r="L204">
        <f t="shared" ca="1" si="55"/>
        <v>72.304556790487609</v>
      </c>
      <c r="M204">
        <f t="shared" ca="1" si="56"/>
        <v>68.581443209512386</v>
      </c>
      <c r="N204">
        <f t="shared" ca="1" si="66"/>
        <v>-0.98999999999999488</v>
      </c>
      <c r="O204">
        <f t="shared" ca="1" si="67"/>
        <v>0</v>
      </c>
      <c r="P204">
        <f t="shared" ca="1" si="68"/>
        <v>0.98999999999999488</v>
      </c>
      <c r="Q204">
        <f t="shared" ca="1" si="51"/>
        <v>0.19852178327847106</v>
      </c>
      <c r="R204">
        <f t="shared" ca="1" si="52"/>
        <v>0.26704282885019986</v>
      </c>
      <c r="S204">
        <f t="shared" ca="1" si="49"/>
        <v>0.74340802984016352</v>
      </c>
      <c r="T204">
        <f t="shared" ca="1" si="50"/>
        <v>42.641080981387901</v>
      </c>
      <c r="U204">
        <f>70</f>
        <v>70</v>
      </c>
      <c r="V204">
        <f>30</f>
        <v>30</v>
      </c>
      <c r="W204">
        <f t="shared" ca="1" si="48"/>
        <v>70.11472022134123</v>
      </c>
      <c r="X204">
        <f t="shared" ca="1" si="58"/>
        <v>70.342256367147797</v>
      </c>
      <c r="Y204">
        <f t="shared" ca="1" si="57"/>
        <v>-0.26370773101049849</v>
      </c>
      <c r="Z204">
        <f t="shared" ca="1" si="59"/>
        <v>-0.18330894876002274</v>
      </c>
      <c r="AA204">
        <f t="shared" ca="1" si="60"/>
        <v>-8.0398782250475753E-2</v>
      </c>
      <c r="AB204">
        <f t="shared" ca="1" si="61"/>
        <v>67.625200000000007</v>
      </c>
    </row>
    <row r="205" spans="1:28" x14ac:dyDescent="0.25">
      <c r="A205" s="20">
        <f t="shared" ca="1" si="62"/>
        <v>45586</v>
      </c>
      <c r="B205" vm="587">
        <f ca="1"/>
        <v>45587</v>
      </c>
      <c r="C205" vm="585">
        <f ca="1"/>
        <v>69.45</v>
      </c>
      <c r="D205" vm="588">
        <f ca="1"/>
        <v>18603251</v>
      </c>
      <c r="E205">
        <f t="shared" ca="1" si="63"/>
        <v>1291995781.95</v>
      </c>
      <c r="F205">
        <f ca="1">SUM($E$2:E205)/SUM($D$2:D205)</f>
        <v>64.11097693535352</v>
      </c>
      <c r="G205">
        <f ca="1">_xlfn.STDEV.P($C$2:C205)</f>
        <v>4.3914158631211375</v>
      </c>
      <c r="H205">
        <f t="shared" ca="1" si="64"/>
        <v>68.502392798474659</v>
      </c>
      <c r="I205">
        <f t="shared" ca="1" si="65"/>
        <v>59.719561072232381</v>
      </c>
      <c r="J205">
        <f t="shared" ca="1" si="53"/>
        <v>70.349000000000004</v>
      </c>
      <c r="K205">
        <f t="shared" ca="1" si="54"/>
        <v>0.93141601310782929</v>
      </c>
      <c r="L205">
        <f t="shared" ca="1" si="55"/>
        <v>72.21183202621566</v>
      </c>
      <c r="M205">
        <f t="shared" ca="1" si="56"/>
        <v>68.486167973784347</v>
      </c>
      <c r="N205">
        <f t="shared" ca="1" si="66"/>
        <v>0</v>
      </c>
      <c r="O205">
        <f t="shared" ca="1" si="67"/>
        <v>0</v>
      </c>
      <c r="P205">
        <f t="shared" ca="1" si="68"/>
        <v>0</v>
      </c>
      <c r="Q205">
        <f t="shared" ca="1" si="51"/>
        <v>0.18434165590143742</v>
      </c>
      <c r="R205">
        <f t="shared" ca="1" si="52"/>
        <v>0.24796834107518559</v>
      </c>
      <c r="S205">
        <f t="shared" ca="1" si="49"/>
        <v>0.74340802984016352</v>
      </c>
      <c r="T205">
        <f t="shared" ca="1" si="50"/>
        <v>42.641080981387901</v>
      </c>
      <c r="U205">
        <f>70</f>
        <v>70</v>
      </c>
      <c r="V205">
        <f>30</f>
        <v>30</v>
      </c>
      <c r="W205">
        <f t="shared" ca="1" si="48"/>
        <v>70.012455571904127</v>
      </c>
      <c r="X205">
        <f t="shared" ca="1" si="58"/>
        <v>70.276163302914625</v>
      </c>
      <c r="Y205">
        <f t="shared" ca="1" si="57"/>
        <v>-0.4039138706317118</v>
      </c>
      <c r="Z205">
        <f t="shared" ca="1" si="59"/>
        <v>-0.22742993313436055</v>
      </c>
      <c r="AA205">
        <f t="shared" ca="1" si="60"/>
        <v>-0.17648393749735125</v>
      </c>
      <c r="AB205">
        <f t="shared" ca="1" si="61"/>
        <v>67.7</v>
      </c>
    </row>
    <row r="206" spans="1:28" x14ac:dyDescent="0.25">
      <c r="A206" s="20">
        <f t="shared" ca="1" si="62"/>
        <v>45586</v>
      </c>
      <c r="B206" vm="589">
        <f ca="1"/>
        <v>45588</v>
      </c>
      <c r="C206" vm="590">
        <f ca="1"/>
        <v>68.010000000000005</v>
      </c>
      <c r="D206" vm="591">
        <f ca="1"/>
        <v>24655203</v>
      </c>
      <c r="E206">
        <f t="shared" ca="1" si="63"/>
        <v>1676800356.0300002</v>
      </c>
      <c r="F206">
        <f ca="1">SUM($E$2:E206)/SUM($D$2:D206)</f>
        <v>64.146388333983026</v>
      </c>
      <c r="G206">
        <f ca="1">_xlfn.STDEV.P($C$2:C206)</f>
        <v>4.3893531389020515</v>
      </c>
      <c r="H206">
        <f t="shared" ca="1" si="64"/>
        <v>68.535741472885078</v>
      </c>
      <c r="I206">
        <f t="shared" ca="1" si="65"/>
        <v>59.757035195080974</v>
      </c>
      <c r="J206">
        <f t="shared" ca="1" si="53"/>
        <v>70.177000000000007</v>
      </c>
      <c r="K206">
        <f t="shared" ca="1" si="54"/>
        <v>1.0298242057442817</v>
      </c>
      <c r="L206">
        <f t="shared" ca="1" si="55"/>
        <v>72.236648411488574</v>
      </c>
      <c r="M206">
        <f t="shared" ca="1" si="56"/>
        <v>68.11735158851144</v>
      </c>
      <c r="N206">
        <f t="shared" ca="1" si="66"/>
        <v>-1.4399999999999977</v>
      </c>
      <c r="O206">
        <f t="shared" ca="1" si="67"/>
        <v>0</v>
      </c>
      <c r="P206">
        <f t="shared" ca="1" si="68"/>
        <v>1.4399999999999977</v>
      </c>
      <c r="Q206">
        <f t="shared" ca="1" si="51"/>
        <v>0.17117439476562044</v>
      </c>
      <c r="R206">
        <f t="shared" ca="1" si="52"/>
        <v>0.33311345956981503</v>
      </c>
      <c r="S206">
        <f t="shared" ca="1" si="49"/>
        <v>0.51386213870396047</v>
      </c>
      <c r="T206">
        <f t="shared" ca="1" si="50"/>
        <v>33.943786925266878</v>
      </c>
      <c r="U206">
        <f>70</f>
        <v>70</v>
      </c>
      <c r="V206">
        <f>30</f>
        <v>30</v>
      </c>
      <c r="W206">
        <f t="shared" ca="1" si="48"/>
        <v>69.70438548391887</v>
      </c>
      <c r="X206">
        <f t="shared" ca="1" si="58"/>
        <v>70.108299354550581</v>
      </c>
      <c r="Y206">
        <f t="shared" ca="1" si="57"/>
        <v>-0.56579715528499719</v>
      </c>
      <c r="Z206">
        <f t="shared" ca="1" si="59"/>
        <v>-0.2951033775644879</v>
      </c>
      <c r="AA206">
        <f t="shared" ca="1" si="60"/>
        <v>-0.27069377772050929</v>
      </c>
      <c r="AB206">
        <f t="shared" ca="1" si="61"/>
        <v>67.750800000000012</v>
      </c>
    </row>
    <row r="207" spans="1:28" x14ac:dyDescent="0.25">
      <c r="A207" s="20">
        <f t="shared" ca="1" si="62"/>
        <v>45586</v>
      </c>
      <c r="B207" vm="592">
        <f ca="1"/>
        <v>45589</v>
      </c>
      <c r="C207" vm="593">
        <f ca="1"/>
        <v>67.3</v>
      </c>
      <c r="D207" vm="594">
        <f ca="1"/>
        <v>17568831</v>
      </c>
      <c r="E207">
        <f t="shared" ca="1" si="63"/>
        <v>1182382326.3</v>
      </c>
      <c r="F207">
        <f ca="1">SUM($E$2:E207)/SUM($D$2:D207)</f>
        <v>64.166666477093827</v>
      </c>
      <c r="G207">
        <f ca="1">_xlfn.STDEV.P($C$2:C207)</f>
        <v>4.3844250354960161</v>
      </c>
      <c r="H207">
        <f t="shared" ca="1" si="64"/>
        <v>68.551091512589849</v>
      </c>
      <c r="I207">
        <f t="shared" ca="1" si="65"/>
        <v>59.782241441597812</v>
      </c>
      <c r="J207">
        <f t="shared" ca="1" si="53"/>
        <v>69.972000000000008</v>
      </c>
      <c r="K207">
        <f t="shared" ca="1" si="54"/>
        <v>1.1718433522042364</v>
      </c>
      <c r="L207">
        <f t="shared" ca="1" si="55"/>
        <v>72.315686704408478</v>
      </c>
      <c r="M207">
        <f t="shared" ca="1" si="56"/>
        <v>67.628313295591539</v>
      </c>
      <c r="N207">
        <f t="shared" ca="1" si="66"/>
        <v>-0.71000000000000796</v>
      </c>
      <c r="O207">
        <f t="shared" ca="1" si="67"/>
        <v>0</v>
      </c>
      <c r="P207">
        <f t="shared" ca="1" si="68"/>
        <v>0.71000000000000796</v>
      </c>
      <c r="Q207">
        <f t="shared" ca="1" si="51"/>
        <v>0.15894765228236182</v>
      </c>
      <c r="R207">
        <f t="shared" ca="1" si="52"/>
        <v>0.36003392674340023</v>
      </c>
      <c r="S207">
        <f t="shared" ca="1" si="49"/>
        <v>0.44147965087647251</v>
      </c>
      <c r="T207">
        <f t="shared" ca="1" si="50"/>
        <v>30.626838929570511</v>
      </c>
      <c r="U207">
        <f>70</f>
        <v>70</v>
      </c>
      <c r="V207">
        <f>30</f>
        <v>30</v>
      </c>
      <c r="W207">
        <f t="shared" ref="W207:W270" ca="1" si="69">C207*(2/(12+1)) + W206*(1-(2/(12+1)))</f>
        <v>69.334480024854429</v>
      </c>
      <c r="X207">
        <f t="shared" ca="1" si="58"/>
        <v>69.900277180139426</v>
      </c>
      <c r="Y207">
        <f t="shared" ca="1" si="57"/>
        <v>-0.71649434804430712</v>
      </c>
      <c r="Z207">
        <f t="shared" ca="1" si="59"/>
        <v>-0.37938157166045172</v>
      </c>
      <c r="AA207">
        <f t="shared" ca="1" si="60"/>
        <v>-0.33711277638385539</v>
      </c>
      <c r="AB207">
        <f t="shared" ca="1" si="61"/>
        <v>67.794500000000014</v>
      </c>
    </row>
    <row r="208" spans="1:28" x14ac:dyDescent="0.25">
      <c r="A208" s="20">
        <f t="shared" ca="1" si="62"/>
        <v>45586</v>
      </c>
      <c r="B208" vm="595">
        <f ca="1"/>
        <v>45590</v>
      </c>
      <c r="C208" vm="596">
        <f ca="1"/>
        <v>66.92</v>
      </c>
      <c r="D208" vm="597">
        <f ca="1"/>
        <v>11138127</v>
      </c>
      <c r="E208">
        <f t="shared" ca="1" si="63"/>
        <v>745363458.84000003</v>
      </c>
      <c r="F208">
        <f ca="1">SUM($E$2:E208)/SUM($D$2:D208)</f>
        <v>64.177844919224768</v>
      </c>
      <c r="G208">
        <f ca="1">_xlfn.STDEV.P($C$2:C208)</f>
        <v>4.3782235941017893</v>
      </c>
      <c r="H208">
        <f t="shared" ca="1" si="64"/>
        <v>68.556068513326551</v>
      </c>
      <c r="I208">
        <f t="shared" ca="1" si="65"/>
        <v>59.799621325122978</v>
      </c>
      <c r="J208">
        <f t="shared" ca="1" si="53"/>
        <v>69.728499999999997</v>
      </c>
      <c r="K208">
        <f t="shared" ca="1" si="54"/>
        <v>1.2755773718512511</v>
      </c>
      <c r="L208">
        <f t="shared" ca="1" si="55"/>
        <v>72.279654743702494</v>
      </c>
      <c r="M208">
        <f t="shared" ca="1" si="56"/>
        <v>67.1773452562975</v>
      </c>
      <c r="N208">
        <f t="shared" ca="1" si="66"/>
        <v>-0.37999999999999545</v>
      </c>
      <c r="O208">
        <f t="shared" ca="1" si="67"/>
        <v>0</v>
      </c>
      <c r="P208">
        <f t="shared" ca="1" si="68"/>
        <v>0.37999999999999545</v>
      </c>
      <c r="Q208">
        <f t="shared" ca="1" si="51"/>
        <v>0.1475942485479074</v>
      </c>
      <c r="R208">
        <f t="shared" ca="1" si="52"/>
        <v>0.36146007483315706</v>
      </c>
      <c r="S208">
        <f t="shared" ref="S208:S271" ca="1" si="70">IF(R208=0,NA(),Q208/R208)</f>
        <v>0.40832794221058588</v>
      </c>
      <c r="T208">
        <f t="shared" ref="T208:T271" ca="1" si="71">100-(100/(1+S208))</f>
        <v>28.993811027398408</v>
      </c>
      <c r="U208">
        <f>70</f>
        <v>70</v>
      </c>
      <c r="V208">
        <f>30</f>
        <v>30</v>
      </c>
      <c r="W208">
        <f t="shared" ca="1" si="69"/>
        <v>68.963021559492205</v>
      </c>
      <c r="X208">
        <f t="shared" ca="1" si="58"/>
        <v>69.679515907536512</v>
      </c>
      <c r="Y208">
        <f t="shared" ca="1" si="57"/>
        <v>-0.84633979139653093</v>
      </c>
      <c r="Z208">
        <f t="shared" ca="1" si="59"/>
        <v>-0.47277321560766761</v>
      </c>
      <c r="AA208">
        <f t="shared" ca="1" si="60"/>
        <v>-0.37356657578886332</v>
      </c>
      <c r="AB208">
        <f t="shared" ca="1" si="61"/>
        <v>67.824300000000008</v>
      </c>
    </row>
    <row r="209" spans="1:28" x14ac:dyDescent="0.25">
      <c r="A209" s="20">
        <f t="shared" ca="1" si="62"/>
        <v>45593</v>
      </c>
      <c r="B209" vm="598">
        <f ca="1"/>
        <v>45593</v>
      </c>
      <c r="C209" vm="599">
        <f ca="1"/>
        <v>66.67</v>
      </c>
      <c r="D209" vm="600">
        <f ca="1"/>
        <v>10761416</v>
      </c>
      <c r="E209">
        <f t="shared" ca="1" si="63"/>
        <v>717463604.72000003</v>
      </c>
      <c r="F209">
        <f ca="1">SUM($E$2:E209)/SUM($D$2:D209)</f>
        <v>64.187582577406658</v>
      </c>
      <c r="G209">
        <f ca="1">_xlfn.STDEV.P($C$2:C209)</f>
        <v>4.3712943581154731</v>
      </c>
      <c r="H209">
        <f t="shared" ca="1" si="64"/>
        <v>68.558876935522136</v>
      </c>
      <c r="I209">
        <f t="shared" ca="1" si="65"/>
        <v>59.816288219291188</v>
      </c>
      <c r="J209">
        <f t="shared" ca="1" si="53"/>
        <v>69.469000000000008</v>
      </c>
      <c r="K209">
        <f t="shared" ca="1" si="54"/>
        <v>1.3451507448296591</v>
      </c>
      <c r="L209">
        <f t="shared" ca="1" si="55"/>
        <v>72.159301489659327</v>
      </c>
      <c r="M209">
        <f t="shared" ca="1" si="56"/>
        <v>66.778698510340689</v>
      </c>
      <c r="N209">
        <f t="shared" ca="1" si="66"/>
        <v>-0.25</v>
      </c>
      <c r="O209">
        <f t="shared" ca="1" si="67"/>
        <v>0</v>
      </c>
      <c r="P209">
        <f t="shared" ca="1" si="68"/>
        <v>0.25</v>
      </c>
      <c r="Q209">
        <f t="shared" ref="Q209:Q272" ca="1" si="72">(Q208*13+O209)/14</f>
        <v>0.13705180222305688</v>
      </c>
      <c r="R209">
        <f t="shared" ref="R209:R272" ca="1" si="73">(R208*13+P209)/14</f>
        <v>0.35349864091650302</v>
      </c>
      <c r="S209">
        <f t="shared" ca="1" si="70"/>
        <v>0.38770107253518055</v>
      </c>
      <c r="T209">
        <f t="shared" ca="1" si="71"/>
        <v>27.938370893299989</v>
      </c>
      <c r="U209">
        <f>70</f>
        <v>70</v>
      </c>
      <c r="V209">
        <f>30</f>
        <v>30</v>
      </c>
      <c r="W209">
        <f t="shared" ca="1" si="69"/>
        <v>68.610249011878025</v>
      </c>
      <c r="X209">
        <f t="shared" ca="1" si="58"/>
        <v>69.456588803274556</v>
      </c>
      <c r="Y209">
        <f t="shared" ca="1" si="57"/>
        <v>-1.0269726624970303</v>
      </c>
      <c r="Z209">
        <f t="shared" ca="1" si="59"/>
        <v>-0.5836131049855402</v>
      </c>
      <c r="AA209">
        <f t="shared" ca="1" si="60"/>
        <v>-0.44335955751149014</v>
      </c>
      <c r="AB209">
        <f t="shared" ca="1" si="61"/>
        <v>67.851799999999997</v>
      </c>
    </row>
    <row r="210" spans="1:28" x14ac:dyDescent="0.25">
      <c r="A210" s="20">
        <f t="shared" ca="1" si="62"/>
        <v>45593</v>
      </c>
      <c r="B210" vm="601">
        <f ca="1"/>
        <v>45594</v>
      </c>
      <c r="C210" vm="602">
        <f ca="1"/>
        <v>65.56</v>
      </c>
      <c r="D210" vm="603">
        <f ca="1"/>
        <v>16525917</v>
      </c>
      <c r="E210">
        <f t="shared" ca="1" si="63"/>
        <v>1083439118.52</v>
      </c>
      <c r="F210">
        <f ca="1">SUM($E$2:E210)/SUM($D$2:D210)</f>
        <v>64.195768425960125</v>
      </c>
      <c r="G210">
        <f ca="1">_xlfn.STDEV.P($C$2:C210)</f>
        <v>4.3619636567794187</v>
      </c>
      <c r="H210">
        <f t="shared" ca="1" si="64"/>
        <v>68.557732082739548</v>
      </c>
      <c r="I210">
        <f t="shared" ca="1" si="65"/>
        <v>59.833804769180709</v>
      </c>
      <c r="J210">
        <f t="shared" ca="1" si="53"/>
        <v>69.161500000000004</v>
      </c>
      <c r="K210">
        <f t="shared" ca="1" si="54"/>
        <v>1.4999342968066436</v>
      </c>
      <c r="L210">
        <f t="shared" ca="1" si="55"/>
        <v>72.16136859361329</v>
      </c>
      <c r="M210">
        <f t="shared" ca="1" si="56"/>
        <v>66.161631406386718</v>
      </c>
      <c r="N210">
        <f t="shared" ca="1" si="66"/>
        <v>-1.1099999999999994</v>
      </c>
      <c r="O210">
        <f t="shared" ca="1" si="67"/>
        <v>0</v>
      </c>
      <c r="P210">
        <f t="shared" ca="1" si="68"/>
        <v>1.1099999999999994</v>
      </c>
      <c r="Q210">
        <f t="shared" ca="1" si="72"/>
        <v>0.12726238777855281</v>
      </c>
      <c r="R210">
        <f t="shared" ca="1" si="73"/>
        <v>0.40753445227960988</v>
      </c>
      <c r="S210">
        <f t="shared" ca="1" si="70"/>
        <v>0.31227393675967774</v>
      </c>
      <c r="T210">
        <f t="shared" ca="1" si="71"/>
        <v>23.796398603385938</v>
      </c>
      <c r="U210">
        <f>70</f>
        <v>70</v>
      </c>
      <c r="V210">
        <f>30</f>
        <v>30</v>
      </c>
      <c r="W210">
        <f t="shared" ca="1" si="69"/>
        <v>68.140979933127554</v>
      </c>
      <c r="X210">
        <f t="shared" ca="1" si="58"/>
        <v>69.167952595624584</v>
      </c>
      <c r="Y210">
        <f t="shared" ca="1" si="57"/>
        <v>-1.1280728018208066</v>
      </c>
      <c r="Z210">
        <f t="shared" ca="1" si="59"/>
        <v>-0.69250504435259352</v>
      </c>
      <c r="AA210">
        <f t="shared" ca="1" si="60"/>
        <v>-0.43556775746821308</v>
      </c>
      <c r="AB210">
        <f t="shared" ca="1" si="61"/>
        <v>67.865899999999996</v>
      </c>
    </row>
    <row r="211" spans="1:28" x14ac:dyDescent="0.25">
      <c r="A211" s="20">
        <f t="shared" ca="1" si="62"/>
        <v>45593</v>
      </c>
      <c r="B211" vm="604">
        <f ca="1"/>
        <v>45595</v>
      </c>
      <c r="C211" vm="605">
        <f ca="1"/>
        <v>65.92</v>
      </c>
      <c r="D211" vm="606">
        <f ca="1"/>
        <v>14177766</v>
      </c>
      <c r="E211">
        <f t="shared" ca="1" si="63"/>
        <v>934598334.72000003</v>
      </c>
      <c r="F211">
        <f ca="1">SUM($E$2:E211)/SUM($D$2:D211)</f>
        <v>64.204546488546228</v>
      </c>
      <c r="G211">
        <f ca="1">_xlfn.STDEV.P($C$2:C211)</f>
        <v>4.3533253807575996</v>
      </c>
      <c r="H211">
        <f t="shared" ca="1" si="64"/>
        <v>68.557871869303824</v>
      </c>
      <c r="I211">
        <f t="shared" ca="1" si="65"/>
        <v>59.851221107788632</v>
      </c>
      <c r="J211">
        <f t="shared" ca="1" si="53"/>
        <v>68.907000000000011</v>
      </c>
      <c r="K211">
        <f t="shared" ca="1" si="54"/>
        <v>1.5983745032474637</v>
      </c>
      <c r="L211">
        <f t="shared" ca="1" si="55"/>
        <v>72.103749006494937</v>
      </c>
      <c r="M211">
        <f t="shared" ca="1" si="56"/>
        <v>65.710250993505085</v>
      </c>
      <c r="N211">
        <f t="shared" ca="1" si="66"/>
        <v>0.35999999999999943</v>
      </c>
      <c r="O211">
        <f t="shared" ca="1" si="67"/>
        <v>0.35999999999999943</v>
      </c>
      <c r="P211">
        <f t="shared" ca="1" si="68"/>
        <v>0</v>
      </c>
      <c r="Q211">
        <f t="shared" ca="1" si="72"/>
        <v>0.14388650293722757</v>
      </c>
      <c r="R211">
        <f t="shared" ca="1" si="73"/>
        <v>0.37842484854535202</v>
      </c>
      <c r="S211">
        <f t="shared" ca="1" si="70"/>
        <v>0.38022477511802083</v>
      </c>
      <c r="T211">
        <f t="shared" ca="1" si="71"/>
        <v>27.548032898156634</v>
      </c>
      <c r="U211">
        <f>70</f>
        <v>70</v>
      </c>
      <c r="V211">
        <f>30</f>
        <v>30</v>
      </c>
      <c r="W211">
        <f t="shared" ca="1" si="69"/>
        <v>67.799290712646396</v>
      </c>
      <c r="X211">
        <f t="shared" ca="1" si="58"/>
        <v>68.927363514467203</v>
      </c>
      <c r="Y211">
        <f t="shared" ca="1" si="57"/>
        <v>-1.2430877508429035</v>
      </c>
      <c r="Z211">
        <f t="shared" ca="1" si="59"/>
        <v>-0.80262158565065556</v>
      </c>
      <c r="AA211">
        <f t="shared" ca="1" si="60"/>
        <v>-0.4404661651922479</v>
      </c>
      <c r="AB211">
        <f t="shared" ca="1" si="61"/>
        <v>67.885999999999996</v>
      </c>
    </row>
    <row r="212" spans="1:28" x14ac:dyDescent="0.25">
      <c r="A212" s="20">
        <f t="shared" ca="1" si="62"/>
        <v>45593</v>
      </c>
      <c r="B212" vm="607">
        <f ca="1"/>
        <v>45596</v>
      </c>
      <c r="C212" vm="608">
        <f ca="1"/>
        <v>65.31</v>
      </c>
      <c r="D212" vm="609">
        <f ca="1"/>
        <v>13383717</v>
      </c>
      <c r="E212">
        <f t="shared" ca="1" si="63"/>
        <v>874090557.26999998</v>
      </c>
      <c r="F212">
        <f ca="1">SUM($E$2:E212)/SUM($D$2:D212)</f>
        <v>64.209833744562729</v>
      </c>
      <c r="G212">
        <f ca="1">_xlfn.STDEV.P($C$2:C212)</f>
        <v>4.3437523454732263</v>
      </c>
      <c r="H212">
        <f t="shared" ca="1" si="64"/>
        <v>68.553586090035949</v>
      </c>
      <c r="I212">
        <f t="shared" ca="1" si="65"/>
        <v>59.866081399089502</v>
      </c>
      <c r="J212">
        <f t="shared" ca="1" si="53"/>
        <v>68.646500000000003</v>
      </c>
      <c r="K212">
        <f t="shared" ca="1" si="54"/>
        <v>1.7399433596346865</v>
      </c>
      <c r="L212">
        <f t="shared" ca="1" si="55"/>
        <v>72.126386719269377</v>
      </c>
      <c r="M212">
        <f t="shared" ca="1" si="56"/>
        <v>65.16661328073063</v>
      </c>
      <c r="N212">
        <f t="shared" ca="1" si="66"/>
        <v>-0.60999999999999943</v>
      </c>
      <c r="O212">
        <f t="shared" ca="1" si="67"/>
        <v>0</v>
      </c>
      <c r="P212">
        <f t="shared" ca="1" si="68"/>
        <v>0.60999999999999943</v>
      </c>
      <c r="Q212">
        <f t="shared" ca="1" si="72"/>
        <v>0.13360889558456845</v>
      </c>
      <c r="R212">
        <f t="shared" ca="1" si="73"/>
        <v>0.39496593079211256</v>
      </c>
      <c r="S212">
        <f t="shared" ca="1" si="70"/>
        <v>0.33827954557146989</v>
      </c>
      <c r="T212">
        <f t="shared" ca="1" si="71"/>
        <v>25.27719613520793</v>
      </c>
      <c r="U212">
        <f>70</f>
        <v>70</v>
      </c>
      <c r="V212">
        <f>30</f>
        <v>30</v>
      </c>
      <c r="W212">
        <f t="shared" ca="1" si="69"/>
        <v>67.416322910700799</v>
      </c>
      <c r="X212">
        <f t="shared" ca="1" si="58"/>
        <v>68.659410661543703</v>
      </c>
      <c r="Y212">
        <f t="shared" ca="1" si="57"/>
        <v>-1.3429645598962026</v>
      </c>
      <c r="Z212">
        <f t="shared" ca="1" si="59"/>
        <v>-0.91069018049976502</v>
      </c>
      <c r="AA212">
        <f t="shared" ca="1" si="60"/>
        <v>-0.43227437939643754</v>
      </c>
      <c r="AB212">
        <f t="shared" ca="1" si="61"/>
        <v>67.903199999999998</v>
      </c>
    </row>
    <row r="213" spans="1:28" x14ac:dyDescent="0.25">
      <c r="A213" s="20">
        <f t="shared" ca="1" si="62"/>
        <v>45593</v>
      </c>
      <c r="B213" vm="610">
        <f ca="1"/>
        <v>45597</v>
      </c>
      <c r="C213" vm="611">
        <f ca="1"/>
        <v>65.010000000000005</v>
      </c>
      <c r="D213" vm="612">
        <f ca="1"/>
        <v>12163094</v>
      </c>
      <c r="E213">
        <f t="shared" ca="1" si="63"/>
        <v>790722740.94000006</v>
      </c>
      <c r="F213">
        <f ca="1">SUM($E$2:E213)/SUM($D$2:D213)</f>
        <v>64.213296754685302</v>
      </c>
      <c r="G213">
        <f ca="1">_xlfn.STDEV.P($C$2:C213)</f>
        <v>4.3339090060366878</v>
      </c>
      <c r="H213">
        <f t="shared" ca="1" si="64"/>
        <v>68.547205760721994</v>
      </c>
      <c r="I213">
        <f t="shared" ca="1" si="65"/>
        <v>59.879387748648611</v>
      </c>
      <c r="J213">
        <f t="shared" ca="1" si="53"/>
        <v>68.388499999999993</v>
      </c>
      <c r="K213">
        <f t="shared" ca="1" si="54"/>
        <v>1.8791439120262341</v>
      </c>
      <c r="L213">
        <f t="shared" ca="1" si="55"/>
        <v>72.146787824052467</v>
      </c>
      <c r="M213">
        <f t="shared" ca="1" si="56"/>
        <v>64.63021217594752</v>
      </c>
      <c r="N213">
        <f t="shared" ca="1" si="66"/>
        <v>-0.29999999999999716</v>
      </c>
      <c r="O213">
        <f t="shared" ca="1" si="67"/>
        <v>0</v>
      </c>
      <c r="P213">
        <f t="shared" ca="1" si="68"/>
        <v>0.29999999999999716</v>
      </c>
      <c r="Q213">
        <f t="shared" ca="1" si="72"/>
        <v>0.12406540304281356</v>
      </c>
      <c r="R213">
        <f t="shared" ca="1" si="73"/>
        <v>0.38818265002124719</v>
      </c>
      <c r="S213">
        <f t="shared" ca="1" si="70"/>
        <v>0.31960573981352036</v>
      </c>
      <c r="T213">
        <f t="shared" ca="1" si="71"/>
        <v>24.219790060831755</v>
      </c>
      <c r="U213">
        <f>70</f>
        <v>70</v>
      </c>
      <c r="V213">
        <f>30</f>
        <v>30</v>
      </c>
      <c r="W213">
        <f t="shared" ca="1" si="69"/>
        <v>67.046119385977605</v>
      </c>
      <c r="X213">
        <f t="shared" ca="1" si="58"/>
        <v>68.389083945873807</v>
      </c>
      <c r="Y213">
        <f t="shared" ca="1" si="57"/>
        <v>-1.3979339737140748</v>
      </c>
      <c r="Z213">
        <f t="shared" ca="1" si="59"/>
        <v>-1.008138939142627</v>
      </c>
      <c r="AA213">
        <f t="shared" ca="1" si="60"/>
        <v>-0.38979503457144782</v>
      </c>
      <c r="AB213">
        <f t="shared" ca="1" si="61"/>
        <v>67.9178</v>
      </c>
    </row>
    <row r="214" spans="1:28" x14ac:dyDescent="0.25">
      <c r="A214" s="20">
        <f t="shared" ca="1" si="62"/>
        <v>45600</v>
      </c>
      <c r="B214" vm="613">
        <f ca="1"/>
        <v>45600</v>
      </c>
      <c r="C214" vm="614">
        <f ca="1"/>
        <v>65.11</v>
      </c>
      <c r="D214" vm="615">
        <f ca="1"/>
        <v>10984502</v>
      </c>
      <c r="E214">
        <f t="shared" ca="1" si="63"/>
        <v>715200925.22000003</v>
      </c>
      <c r="F214">
        <f ca="1">SUM($E$2:E214)/SUM($D$2:D214)</f>
        <v>64.21678787204857</v>
      </c>
      <c r="G214">
        <f ca="1">_xlfn.STDEV.P($C$2:C214)</f>
        <v>4.3242314983233898</v>
      </c>
      <c r="H214">
        <f t="shared" ca="1" si="64"/>
        <v>68.541019370371956</v>
      </c>
      <c r="I214">
        <f t="shared" ca="1" si="65"/>
        <v>59.892556373725178</v>
      </c>
      <c r="J214">
        <f t="shared" ref="J214:J277" ca="1" si="74">AVERAGE(C195:C214)</f>
        <v>68.1935</v>
      </c>
      <c r="K214">
        <f t="shared" ref="K214:K277" ca="1" si="75">_xlfn.STDEV.S(C195:C214)</f>
        <v>2.00911416719959</v>
      </c>
      <c r="L214">
        <f t="shared" ref="L214:L277" ca="1" si="76">J214 + 2*K214</f>
        <v>72.211728334399183</v>
      </c>
      <c r="M214">
        <f t="shared" ref="M214:M277" ca="1" si="77">J214-2*K214</f>
        <v>64.175271665600818</v>
      </c>
      <c r="N214">
        <f t="shared" ca="1" si="66"/>
        <v>9.9999999999994316E-2</v>
      </c>
      <c r="O214">
        <f t="shared" ca="1" si="67"/>
        <v>9.9999999999994316E-2</v>
      </c>
      <c r="P214">
        <f t="shared" ca="1" si="68"/>
        <v>0</v>
      </c>
      <c r="Q214">
        <f t="shared" ca="1" si="72"/>
        <v>0.12234644568261219</v>
      </c>
      <c r="R214">
        <f t="shared" ca="1" si="73"/>
        <v>0.36045531787687241</v>
      </c>
      <c r="S214">
        <f t="shared" ca="1" si="70"/>
        <v>0.33942194667358022</v>
      </c>
      <c r="T214">
        <f t="shared" ca="1" si="71"/>
        <v>25.340927667829078</v>
      </c>
      <c r="U214">
        <f>70</f>
        <v>70</v>
      </c>
      <c r="V214">
        <f>30</f>
        <v>30</v>
      </c>
      <c r="W214">
        <f t="shared" ca="1" si="69"/>
        <v>66.748254865057973</v>
      </c>
      <c r="X214">
        <f t="shared" ca="1" si="58"/>
        <v>68.146188838772048</v>
      </c>
      <c r="Y214">
        <f t="shared" ca="1" si="57"/>
        <v>-1.4043295660361679</v>
      </c>
      <c r="Z214">
        <f t="shared" ca="1" si="59"/>
        <v>-1.0873770645213352</v>
      </c>
      <c r="AA214">
        <f t="shared" ca="1" si="60"/>
        <v>-0.31695250151483267</v>
      </c>
      <c r="AB214">
        <f t="shared" ca="1" si="61"/>
        <v>67.940099999999987</v>
      </c>
    </row>
    <row r="215" spans="1:28" x14ac:dyDescent="0.25">
      <c r="A215" s="20">
        <f t="shared" ca="1" si="62"/>
        <v>45600</v>
      </c>
      <c r="B215" vm="616">
        <f ca="1"/>
        <v>45601</v>
      </c>
      <c r="C215" vm="617">
        <f ca="1"/>
        <v>65.37</v>
      </c>
      <c r="D215" vm="618">
        <f ca="1"/>
        <v>8780220</v>
      </c>
      <c r="E215">
        <f t="shared" ca="1" si="63"/>
        <v>573962981.4000001</v>
      </c>
      <c r="F215">
        <f ca="1">SUM($E$2:E215)/SUM($D$2:D215)</f>
        <v>64.220365543906397</v>
      </c>
      <c r="G215">
        <f ca="1">_xlfn.STDEV.P($C$2:C215)</f>
        <v>4.3149251923101488</v>
      </c>
      <c r="H215">
        <f t="shared" ca="1" si="64"/>
        <v>68.535290736216552</v>
      </c>
      <c r="I215">
        <f t="shared" ca="1" si="65"/>
        <v>59.905440351596248</v>
      </c>
      <c r="J215">
        <f t="shared" ca="1" si="74"/>
        <v>68.003</v>
      </c>
      <c r="K215">
        <f t="shared" ca="1" si="75"/>
        <v>2.0896665561255148</v>
      </c>
      <c r="L215">
        <f t="shared" ca="1" si="76"/>
        <v>72.18233311225103</v>
      </c>
      <c r="M215">
        <f t="shared" ca="1" si="77"/>
        <v>63.823666887748971</v>
      </c>
      <c r="N215">
        <f t="shared" ca="1" si="66"/>
        <v>0.26000000000000512</v>
      </c>
      <c r="O215">
        <f t="shared" ca="1" si="67"/>
        <v>0.26000000000000512</v>
      </c>
      <c r="P215">
        <f t="shared" ca="1" si="68"/>
        <v>0</v>
      </c>
      <c r="Q215">
        <f t="shared" ca="1" si="72"/>
        <v>0.13217884241956881</v>
      </c>
      <c r="R215">
        <f t="shared" ca="1" si="73"/>
        <v>0.33470850945709579</v>
      </c>
      <c r="S215">
        <f t="shared" ca="1" si="70"/>
        <v>0.39490732588175204</v>
      </c>
      <c r="T215">
        <f t="shared" ca="1" si="71"/>
        <v>28.310649643489569</v>
      </c>
      <c r="U215">
        <f>70</f>
        <v>70</v>
      </c>
      <c r="V215">
        <f>30</f>
        <v>30</v>
      </c>
      <c r="W215">
        <f t="shared" ca="1" si="69"/>
        <v>66.536215655049062</v>
      </c>
      <c r="X215">
        <f t="shared" ca="1" si="58"/>
        <v>67.94054522108523</v>
      </c>
      <c r="Y215">
        <f t="shared" ca="1" si="57"/>
        <v>-1.5265559752225784</v>
      </c>
      <c r="Z215">
        <f t="shared" ca="1" si="59"/>
        <v>-1.1752128466615839</v>
      </c>
      <c r="AA215">
        <f t="shared" ca="1" si="60"/>
        <v>-0.35134312856099448</v>
      </c>
      <c r="AB215">
        <f t="shared" ca="1" si="61"/>
        <v>67.96390000000001</v>
      </c>
    </row>
    <row r="216" spans="1:28" x14ac:dyDescent="0.25">
      <c r="A216" s="20">
        <f t="shared" ca="1" si="62"/>
        <v>45600</v>
      </c>
      <c r="B216" vm="619">
        <f ca="1"/>
        <v>45602</v>
      </c>
      <c r="C216" vm="382">
        <f ca="1"/>
        <v>63.7</v>
      </c>
      <c r="D216" vm="620">
        <f ca="1"/>
        <v>22899263</v>
      </c>
      <c r="E216">
        <f t="shared" ca="1" si="63"/>
        <v>1458683053.1000001</v>
      </c>
      <c r="F216">
        <f ca="1">SUM($E$2:E216)/SUM($D$2:D216)</f>
        <v>64.216189008537555</v>
      </c>
      <c r="G216">
        <f ca="1">_xlfn.STDEV.P($C$2:C216)</f>
        <v>4.304988010892929</v>
      </c>
      <c r="H216">
        <f t="shared" ca="1" si="64"/>
        <v>68.521177019430482</v>
      </c>
      <c r="I216">
        <f t="shared" ca="1" si="65"/>
        <v>59.911200997644627</v>
      </c>
      <c r="J216">
        <f t="shared" ca="1" si="74"/>
        <v>67.709499999999991</v>
      </c>
      <c r="K216">
        <f t="shared" ca="1" si="75"/>
        <v>2.2630312112646367</v>
      </c>
      <c r="L216">
        <f t="shared" ca="1" si="76"/>
        <v>72.23556242252927</v>
      </c>
      <c r="M216">
        <f t="shared" ca="1" si="77"/>
        <v>63.18343757747072</v>
      </c>
      <c r="N216">
        <f t="shared" ca="1" si="66"/>
        <v>-1.6700000000000017</v>
      </c>
      <c r="O216">
        <f t="shared" ca="1" si="67"/>
        <v>0</v>
      </c>
      <c r="P216">
        <f t="shared" ca="1" si="68"/>
        <v>1.6700000000000017</v>
      </c>
      <c r="Q216">
        <f t="shared" ca="1" si="72"/>
        <v>0.12273749653245676</v>
      </c>
      <c r="R216">
        <f t="shared" ca="1" si="73"/>
        <v>0.43008647306730335</v>
      </c>
      <c r="S216">
        <f t="shared" ca="1" si="70"/>
        <v>0.2853786487566416</v>
      </c>
      <c r="T216">
        <f t="shared" ca="1" si="71"/>
        <v>22.201912956364339</v>
      </c>
      <c r="U216">
        <f>70</f>
        <v>70</v>
      </c>
      <c r="V216">
        <f>30</f>
        <v>30</v>
      </c>
      <c r="W216">
        <f t="shared" ca="1" si="69"/>
        <v>66.099874785041521</v>
      </c>
      <c r="X216">
        <f t="shared" ca="1" si="58"/>
        <v>67.6264307602641</v>
      </c>
      <c r="Y216">
        <f t="shared" ca="1" si="57"/>
        <v>-1.6081116408219316</v>
      </c>
      <c r="Z216">
        <f t="shared" ca="1" si="59"/>
        <v>-1.2617926054936535</v>
      </c>
      <c r="AA216">
        <f t="shared" ca="1" si="60"/>
        <v>-0.34631903532827812</v>
      </c>
      <c r="AB216">
        <f t="shared" ca="1" si="61"/>
        <v>67.975399999999993</v>
      </c>
    </row>
    <row r="217" spans="1:28" x14ac:dyDescent="0.25">
      <c r="A217" s="20">
        <f t="shared" ca="1" si="62"/>
        <v>45600</v>
      </c>
      <c r="B217" vm="621">
        <f ca="1"/>
        <v>45603</v>
      </c>
      <c r="C217" vm="622">
        <f ca="1"/>
        <v>63.66</v>
      </c>
      <c r="D217" vm="623">
        <f ca="1"/>
        <v>14856051</v>
      </c>
      <c r="E217">
        <f t="shared" ca="1" si="63"/>
        <v>945736206.65999997</v>
      </c>
      <c r="F217">
        <f ca="1">SUM($E$2:E217)/SUM($D$2:D217)</f>
        <v>64.213307921383873</v>
      </c>
      <c r="G217">
        <f ca="1">_xlfn.STDEV.P($C$2:C217)</f>
        <v>4.2951392696387947</v>
      </c>
      <c r="H217">
        <f t="shared" ca="1" si="64"/>
        <v>68.508447191022668</v>
      </c>
      <c r="I217">
        <f t="shared" ca="1" si="65"/>
        <v>59.918168651745077</v>
      </c>
      <c r="J217">
        <f t="shared" ca="1" si="74"/>
        <v>67.429999999999993</v>
      </c>
      <c r="K217">
        <f t="shared" ca="1" si="75"/>
        <v>2.4035916108147291</v>
      </c>
      <c r="L217">
        <f t="shared" ca="1" si="76"/>
        <v>72.237183221629451</v>
      </c>
      <c r="M217">
        <f t="shared" ca="1" si="77"/>
        <v>62.622816778370535</v>
      </c>
      <c r="N217">
        <f t="shared" ca="1" si="66"/>
        <v>-4.0000000000006253E-2</v>
      </c>
      <c r="O217">
        <f t="shared" ca="1" si="67"/>
        <v>0</v>
      </c>
      <c r="P217">
        <f t="shared" ca="1" si="68"/>
        <v>4.0000000000006253E-2</v>
      </c>
      <c r="Q217">
        <f t="shared" ca="1" si="72"/>
        <v>0.11397053249442414</v>
      </c>
      <c r="R217">
        <f t="shared" ca="1" si="73"/>
        <v>0.40222315356249638</v>
      </c>
      <c r="S217">
        <f t="shared" ca="1" si="70"/>
        <v>0.28335149651377711</v>
      </c>
      <c r="T217">
        <f t="shared" ca="1" si="71"/>
        <v>22.079024903426784</v>
      </c>
      <c r="U217">
        <f>70</f>
        <v>70</v>
      </c>
      <c r="V217">
        <f>30</f>
        <v>30</v>
      </c>
      <c r="W217">
        <f t="shared" ca="1" si="69"/>
        <v>65.724509433496678</v>
      </c>
      <c r="X217">
        <f t="shared" ca="1" si="58"/>
        <v>67.33262107431861</v>
      </c>
      <c r="Y217">
        <f t="shared" ca="1" si="57"/>
        <v>-1.632941730498672</v>
      </c>
      <c r="Z217">
        <f t="shared" ca="1" si="59"/>
        <v>-1.3360224304946571</v>
      </c>
      <c r="AA217">
        <f t="shared" ca="1" si="60"/>
        <v>-0.2969193000040149</v>
      </c>
      <c r="AB217">
        <f t="shared" ca="1" si="61"/>
        <v>67.985800000000012</v>
      </c>
    </row>
    <row r="218" spans="1:28" x14ac:dyDescent="0.25">
      <c r="A218" s="20">
        <f t="shared" ca="1" si="62"/>
        <v>45600</v>
      </c>
      <c r="B218" vm="624">
        <f ca="1"/>
        <v>45604</v>
      </c>
      <c r="C218" vm="311">
        <f ca="1"/>
        <v>63.92</v>
      </c>
      <c r="D218" vm="625">
        <f ca="1"/>
        <v>14719308</v>
      </c>
      <c r="E218">
        <f t="shared" ca="1" si="63"/>
        <v>940858167.36000001</v>
      </c>
      <c r="F218">
        <f ca="1">SUM($E$2:E218)/SUM($D$2:D218)</f>
        <v>64.211810243082653</v>
      </c>
      <c r="G218">
        <f ca="1">_xlfn.STDEV.P($C$2:C218)</f>
        <v>4.285258626983679</v>
      </c>
      <c r="H218">
        <f t="shared" ca="1" si="64"/>
        <v>68.497068870066329</v>
      </c>
      <c r="I218">
        <f t="shared" ca="1" si="65"/>
        <v>59.926551616098976</v>
      </c>
      <c r="J218">
        <f t="shared" ca="1" si="74"/>
        <v>67.147499999999994</v>
      </c>
      <c r="K218">
        <f t="shared" ca="1" si="75"/>
        <v>2.4699475276761822</v>
      </c>
      <c r="L218">
        <f t="shared" ca="1" si="76"/>
        <v>72.08739505535236</v>
      </c>
      <c r="M218">
        <f t="shared" ca="1" si="77"/>
        <v>62.207604944647628</v>
      </c>
      <c r="N218">
        <f t="shared" ca="1" si="66"/>
        <v>0.26000000000000512</v>
      </c>
      <c r="O218">
        <f t="shared" ca="1" si="67"/>
        <v>0.26000000000000512</v>
      </c>
      <c r="P218">
        <f t="shared" ca="1" si="68"/>
        <v>0</v>
      </c>
      <c r="Q218">
        <f t="shared" ca="1" si="72"/>
        <v>0.12440120874482277</v>
      </c>
      <c r="R218">
        <f t="shared" ca="1" si="73"/>
        <v>0.37349292830803238</v>
      </c>
      <c r="S218">
        <f t="shared" ca="1" si="70"/>
        <v>0.33307513828541579</v>
      </c>
      <c r="T218">
        <f t="shared" ca="1" si="71"/>
        <v>24.985473715593614</v>
      </c>
      <c r="U218">
        <f>70</f>
        <v>70</v>
      </c>
      <c r="V218">
        <f>30</f>
        <v>30</v>
      </c>
      <c r="W218">
        <f t="shared" ca="1" si="69"/>
        <v>65.44689259757412</v>
      </c>
      <c r="X218">
        <f t="shared" ca="1" si="58"/>
        <v>67.079834328072792</v>
      </c>
      <c r="Y218">
        <f t="shared" ca="1" si="57"/>
        <v>-1.6784588465645101</v>
      </c>
      <c r="Z218">
        <f t="shared" ca="1" si="59"/>
        <v>-1.4045097137086278</v>
      </c>
      <c r="AA218">
        <f t="shared" ca="1" si="60"/>
        <v>-0.27394913285588229</v>
      </c>
      <c r="AB218">
        <f t="shared" ca="1" si="61"/>
        <v>67.998699999999999</v>
      </c>
    </row>
    <row r="219" spans="1:28" x14ac:dyDescent="0.25">
      <c r="A219" s="20">
        <f t="shared" ca="1" si="62"/>
        <v>45607</v>
      </c>
      <c r="B219" vm="626">
        <f ca="1"/>
        <v>45607</v>
      </c>
      <c r="C219" vm="627">
        <f ca="1"/>
        <v>63.36</v>
      </c>
      <c r="D219" vm="628">
        <f ca="1"/>
        <v>13980873</v>
      </c>
      <c r="E219">
        <f t="shared" ca="1" si="63"/>
        <v>885828113.27999997</v>
      </c>
      <c r="F219">
        <f ca="1">SUM($E$2:E219)/SUM($D$2:D219)</f>
        <v>64.207698904299889</v>
      </c>
      <c r="G219">
        <f ca="1">_xlfn.STDEV.P($C$2:C219)</f>
        <v>4.2757480551684557</v>
      </c>
      <c r="H219">
        <f t="shared" ca="1" si="64"/>
        <v>68.483446959468338</v>
      </c>
      <c r="I219">
        <f t="shared" ca="1" si="65"/>
        <v>59.931950849131432</v>
      </c>
      <c r="J219">
        <f t="shared" ca="1" si="74"/>
        <v>66.798500000000004</v>
      </c>
      <c r="K219">
        <f t="shared" ca="1" si="75"/>
        <v>2.4881747167457173</v>
      </c>
      <c r="L219">
        <f t="shared" ca="1" si="76"/>
        <v>71.77484943349144</v>
      </c>
      <c r="M219">
        <f t="shared" ca="1" si="77"/>
        <v>61.822150566508569</v>
      </c>
      <c r="N219">
        <f t="shared" ca="1" si="66"/>
        <v>-0.56000000000000227</v>
      </c>
      <c r="O219">
        <f t="shared" ca="1" si="67"/>
        <v>0</v>
      </c>
      <c r="P219">
        <f t="shared" ca="1" si="68"/>
        <v>0.56000000000000227</v>
      </c>
      <c r="Q219">
        <f t="shared" ca="1" si="72"/>
        <v>0.11551540812019258</v>
      </c>
      <c r="R219">
        <f t="shared" ca="1" si="73"/>
        <v>0.3868148620003159</v>
      </c>
      <c r="S219">
        <f t="shared" ca="1" si="70"/>
        <v>0.29863229019390225</v>
      </c>
      <c r="T219">
        <f t="shared" ca="1" si="71"/>
        <v>22.995908268175953</v>
      </c>
      <c r="U219">
        <f>70</f>
        <v>70</v>
      </c>
      <c r="V219">
        <f>30</f>
        <v>30</v>
      </c>
      <c r="W219">
        <f t="shared" ca="1" si="69"/>
        <v>65.125832197947332</v>
      </c>
      <c r="X219">
        <f t="shared" ca="1" si="58"/>
        <v>66.804291044511842</v>
      </c>
      <c r="Y219">
        <f t="shared" ca="1" si="57"/>
        <v>-1.707756201356105</v>
      </c>
      <c r="Z219">
        <f t="shared" ca="1" si="59"/>
        <v>-1.4651590112381234</v>
      </c>
      <c r="AA219">
        <f t="shared" ca="1" si="60"/>
        <v>-0.24259719011798153</v>
      </c>
      <c r="AB219">
        <f t="shared" ca="1" si="61"/>
        <v>68.010499999999993</v>
      </c>
    </row>
    <row r="220" spans="1:28" x14ac:dyDescent="0.25">
      <c r="A220" s="20">
        <f t="shared" ca="1" si="62"/>
        <v>45607</v>
      </c>
      <c r="B220" vm="629">
        <f ca="1"/>
        <v>45608</v>
      </c>
      <c r="C220" vm="630">
        <f ca="1"/>
        <v>63.2</v>
      </c>
      <c r="D220" vm="631">
        <f ca="1"/>
        <v>15020975</v>
      </c>
      <c r="E220">
        <f t="shared" ca="1" si="63"/>
        <v>949325620</v>
      </c>
      <c r="F220">
        <f ca="1">SUM($E$2:E220)/SUM($D$2:D220)</f>
        <v>64.202500276313472</v>
      </c>
      <c r="G220">
        <f ca="1">_xlfn.STDEV.P($C$2:C220)</f>
        <v>4.2664473133745275</v>
      </c>
      <c r="H220">
        <f t="shared" ca="1" si="64"/>
        <v>68.468947589688</v>
      </c>
      <c r="I220">
        <f t="shared" ca="1" si="65"/>
        <v>59.936052962938945</v>
      </c>
      <c r="J220">
        <f t="shared" ca="1" si="74"/>
        <v>66.441500000000005</v>
      </c>
      <c r="K220">
        <f t="shared" ca="1" si="75"/>
        <v>2.4654161066536751</v>
      </c>
      <c r="L220">
        <f t="shared" ca="1" si="76"/>
        <v>71.372332213307359</v>
      </c>
      <c r="M220">
        <f t="shared" ca="1" si="77"/>
        <v>61.510667786692657</v>
      </c>
      <c r="N220">
        <f t="shared" ca="1" si="66"/>
        <v>-0.15999999999999659</v>
      </c>
      <c r="O220">
        <f t="shared" ca="1" si="67"/>
        <v>0</v>
      </c>
      <c r="P220">
        <f t="shared" ca="1" si="68"/>
        <v>0.15999999999999659</v>
      </c>
      <c r="Q220">
        <f t="shared" ca="1" si="72"/>
        <v>0.10726430754017882</v>
      </c>
      <c r="R220">
        <f t="shared" ca="1" si="73"/>
        <v>0.37061380042886455</v>
      </c>
      <c r="S220">
        <f t="shared" ca="1" si="70"/>
        <v>0.28942340359710128</v>
      </c>
      <c r="T220">
        <f t="shared" ca="1" si="71"/>
        <v>22.44595551699291</v>
      </c>
      <c r="U220">
        <f>70</f>
        <v>70</v>
      </c>
      <c r="V220">
        <f>30</f>
        <v>30</v>
      </c>
      <c r="W220">
        <f t="shared" ca="1" si="69"/>
        <v>64.829550321340051</v>
      </c>
      <c r="X220">
        <f t="shared" ca="1" si="58"/>
        <v>66.537306522696156</v>
      </c>
      <c r="Y220">
        <f t="shared" ref="Y220:Y283" ca="1" si="78">W221-X221</f>
        <v>-1.7272027761773785</v>
      </c>
      <c r="Z220">
        <f t="shared" ca="1" si="59"/>
        <v>-1.5175677642259746</v>
      </c>
      <c r="AA220">
        <f t="shared" ca="1" si="60"/>
        <v>-0.20963501195140388</v>
      </c>
      <c r="AB220">
        <f t="shared" ca="1" si="61"/>
        <v>68.01479999999998</v>
      </c>
    </row>
    <row r="221" spans="1:28" x14ac:dyDescent="0.25">
      <c r="A221" s="20">
        <f t="shared" ca="1" si="62"/>
        <v>45607</v>
      </c>
      <c r="B221" vm="632">
        <f ca="1"/>
        <v>45609</v>
      </c>
      <c r="C221" vm="285">
        <f ca="1"/>
        <v>63</v>
      </c>
      <c r="D221" vm="633">
        <f ca="1"/>
        <v>13177637</v>
      </c>
      <c r="E221">
        <f t="shared" ca="1" si="63"/>
        <v>830191131</v>
      </c>
      <c r="F221">
        <f ca="1">SUM($E$2:E221)/SUM($D$2:D221)</f>
        <v>64.197082495248111</v>
      </c>
      <c r="G221">
        <f ca="1">_xlfn.STDEV.P($C$2:C221)</f>
        <v>4.2574273114151318</v>
      </c>
      <c r="H221">
        <f t="shared" ca="1" si="64"/>
        <v>68.454509806663239</v>
      </c>
      <c r="I221">
        <f t="shared" ca="1" si="65"/>
        <v>59.939655183832983</v>
      </c>
      <c r="J221">
        <f t="shared" ca="1" si="74"/>
        <v>66.063000000000017</v>
      </c>
      <c r="K221">
        <f t="shared" ca="1" si="75"/>
        <v>2.3777634338530027</v>
      </c>
      <c r="L221">
        <f t="shared" ca="1" si="76"/>
        <v>70.818526867706026</v>
      </c>
      <c r="M221">
        <f t="shared" ca="1" si="77"/>
        <v>61.307473132294014</v>
      </c>
      <c r="N221">
        <f t="shared" ca="1" si="66"/>
        <v>-0.20000000000000284</v>
      </c>
      <c r="O221">
        <f t="shared" ca="1" si="67"/>
        <v>0</v>
      </c>
      <c r="P221">
        <f t="shared" ca="1" si="68"/>
        <v>0.20000000000000284</v>
      </c>
      <c r="Q221">
        <f t="shared" ca="1" si="72"/>
        <v>9.96025712873089E-2</v>
      </c>
      <c r="R221">
        <f t="shared" ca="1" si="73"/>
        <v>0.35842710039823161</v>
      </c>
      <c r="S221">
        <f t="shared" ca="1" si="70"/>
        <v>0.27788794758165647</v>
      </c>
      <c r="T221">
        <f t="shared" ca="1" si="71"/>
        <v>21.745877493214209</v>
      </c>
      <c r="U221">
        <f>70</f>
        <v>70</v>
      </c>
      <c r="V221">
        <f>30</f>
        <v>30</v>
      </c>
      <c r="W221">
        <f t="shared" ca="1" si="69"/>
        <v>64.548081041133884</v>
      </c>
      <c r="X221">
        <f t="shared" ref="X221:X284" ca="1" si="79">C221*(2/(26+1)) + X220*(1-(2/(26+1)))</f>
        <v>66.275283817311262</v>
      </c>
      <c r="Y221">
        <f t="shared" ca="1" si="78"/>
        <v>-1.7586529099982897</v>
      </c>
      <c r="Z221">
        <f t="shared" ca="1" si="59"/>
        <v>-1.5657847933804376</v>
      </c>
      <c r="AA221">
        <f t="shared" ca="1" si="60"/>
        <v>-0.19286811661785208</v>
      </c>
      <c r="AB221">
        <f t="shared" ca="1" si="61"/>
        <v>68.005099999999985</v>
      </c>
    </row>
    <row r="222" spans="1:28" x14ac:dyDescent="0.25">
      <c r="A222" s="20">
        <f t="shared" ca="1" si="62"/>
        <v>45607</v>
      </c>
      <c r="B222" vm="634">
        <f ca="1"/>
        <v>45610</v>
      </c>
      <c r="C222" vm="331">
        <f ca="1"/>
        <v>62.55</v>
      </c>
      <c r="D222" vm="635">
        <f ca="1"/>
        <v>15910820</v>
      </c>
      <c r="E222">
        <f t="shared" ca="1" si="63"/>
        <v>995221791</v>
      </c>
      <c r="F222">
        <f ca="1">SUM($E$2:E222)/SUM($D$2:D222)</f>
        <v>64.188171001175476</v>
      </c>
      <c r="G222">
        <f ca="1">_xlfn.STDEV.P($C$2:C222)</f>
        <v>4.2491113385434982</v>
      </c>
      <c r="H222">
        <f t="shared" ca="1" si="64"/>
        <v>68.437282339718976</v>
      </c>
      <c r="I222">
        <f t="shared" ca="1" si="65"/>
        <v>59.939059662631976</v>
      </c>
      <c r="J222">
        <f t="shared" ca="1" si="74"/>
        <v>65.695499999999996</v>
      </c>
      <c r="K222">
        <f t="shared" ca="1" si="75"/>
        <v>2.3208312372033753</v>
      </c>
      <c r="L222">
        <f t="shared" ca="1" si="76"/>
        <v>70.337162474406739</v>
      </c>
      <c r="M222">
        <f t="shared" ca="1" si="77"/>
        <v>61.053837525593245</v>
      </c>
      <c r="N222">
        <f t="shared" ca="1" si="66"/>
        <v>-0.45000000000000284</v>
      </c>
      <c r="O222">
        <f t="shared" ca="1" si="67"/>
        <v>0</v>
      </c>
      <c r="P222">
        <f t="shared" ca="1" si="68"/>
        <v>0.45000000000000284</v>
      </c>
      <c r="Q222">
        <f t="shared" ca="1" si="72"/>
        <v>9.2488101909643974E-2</v>
      </c>
      <c r="R222">
        <f t="shared" ca="1" si="73"/>
        <v>0.36496802179835813</v>
      </c>
      <c r="S222">
        <f t="shared" ca="1" si="70"/>
        <v>0.25341426203291556</v>
      </c>
      <c r="T222">
        <f t="shared" ca="1" si="71"/>
        <v>20.217917548018193</v>
      </c>
      <c r="U222">
        <f>70</f>
        <v>70</v>
      </c>
      <c r="V222">
        <f>30</f>
        <v>30</v>
      </c>
      <c r="W222">
        <f t="shared" ca="1" si="69"/>
        <v>64.24068395788251</v>
      </c>
      <c r="X222">
        <f t="shared" ca="1" si="79"/>
        <v>65.9993368678808</v>
      </c>
      <c r="Y222">
        <f t="shared" ca="1" si="78"/>
        <v>-1.8278670842454545</v>
      </c>
      <c r="Z222">
        <f t="shared" ca="1" si="59"/>
        <v>-1.6182012515534412</v>
      </c>
      <c r="AA222">
        <f t="shared" ca="1" si="60"/>
        <v>-0.20966583269201333</v>
      </c>
      <c r="AB222">
        <f t="shared" ca="1" si="61"/>
        <v>67.992199999999983</v>
      </c>
    </row>
    <row r="223" spans="1:28" x14ac:dyDescent="0.25">
      <c r="A223" s="20">
        <f t="shared" ca="1" si="62"/>
        <v>45607</v>
      </c>
      <c r="B223" vm="636">
        <f ca="1"/>
        <v>45611</v>
      </c>
      <c r="C223" vm="229">
        <f ca="1"/>
        <v>61.74</v>
      </c>
      <c r="D223" vm="637">
        <f ca="1"/>
        <v>26284331</v>
      </c>
      <c r="E223">
        <f t="shared" ca="1" si="63"/>
        <v>1622794595.9400001</v>
      </c>
      <c r="F223">
        <f ca="1">SUM($E$2:E223)/SUM($D$2:D223)</f>
        <v>64.166483135575817</v>
      </c>
      <c r="G223">
        <f ca="1">_xlfn.STDEV.P($C$2:C223)</f>
        <v>4.2425378308466595</v>
      </c>
      <c r="H223">
        <f t="shared" ca="1" si="64"/>
        <v>68.409020966422474</v>
      </c>
      <c r="I223">
        <f t="shared" ca="1" si="65"/>
        <v>59.923945304729159</v>
      </c>
      <c r="J223">
        <f t="shared" ca="1" si="74"/>
        <v>65.260500000000008</v>
      </c>
      <c r="K223">
        <f t="shared" ca="1" si="75"/>
        <v>2.1967690988550013</v>
      </c>
      <c r="L223">
        <f t="shared" ca="1" si="76"/>
        <v>69.654038197710008</v>
      </c>
      <c r="M223">
        <f t="shared" ca="1" si="77"/>
        <v>60.866961802290007</v>
      </c>
      <c r="N223">
        <f t="shared" ca="1" si="66"/>
        <v>-0.80999999999999517</v>
      </c>
      <c r="O223">
        <f t="shared" ca="1" si="67"/>
        <v>0</v>
      </c>
      <c r="P223">
        <f t="shared" ca="1" si="68"/>
        <v>0.80999999999999517</v>
      </c>
      <c r="Q223">
        <f t="shared" ca="1" si="72"/>
        <v>8.5881808916097979E-2</v>
      </c>
      <c r="R223">
        <f t="shared" ca="1" si="73"/>
        <v>0.39675602024133216</v>
      </c>
      <c r="S223">
        <f t="shared" ca="1" si="70"/>
        <v>0.21646000195248258</v>
      </c>
      <c r="T223">
        <f t="shared" ca="1" si="71"/>
        <v>17.794255594516287</v>
      </c>
      <c r="U223">
        <f>70</f>
        <v>70</v>
      </c>
      <c r="V223">
        <f>30</f>
        <v>30</v>
      </c>
      <c r="W223">
        <f t="shared" ca="1" si="69"/>
        <v>63.855963348977511</v>
      </c>
      <c r="X223">
        <f t="shared" ca="1" si="79"/>
        <v>65.683830433222965</v>
      </c>
      <c r="Y223">
        <f t="shared" ca="1" si="78"/>
        <v>-1.8516916699462769</v>
      </c>
      <c r="Z223">
        <f t="shared" ca="1" si="59"/>
        <v>-1.6648993352320085</v>
      </c>
      <c r="AA223">
        <f t="shared" ca="1" si="60"/>
        <v>-0.18679233471426837</v>
      </c>
      <c r="AB223">
        <f t="shared" ca="1" si="61"/>
        <v>67.969099999999983</v>
      </c>
    </row>
    <row r="224" spans="1:28" x14ac:dyDescent="0.25">
      <c r="A224" s="20">
        <f t="shared" ca="1" si="62"/>
        <v>45614</v>
      </c>
      <c r="B224" vm="638">
        <f ca="1"/>
        <v>45614</v>
      </c>
      <c r="C224" vm="639">
        <f ca="1"/>
        <v>61.86</v>
      </c>
      <c r="D224" vm="640">
        <f ca="1"/>
        <v>16079364</v>
      </c>
      <c r="E224">
        <f t="shared" ca="1" si="63"/>
        <v>994669457.03999996</v>
      </c>
      <c r="F224">
        <f ca="1">SUM($E$2:E224)/SUM($D$2:D224)</f>
        <v>64.154050876601261</v>
      </c>
      <c r="G224">
        <f ca="1">_xlfn.STDEV.P($C$2:C224)</f>
        <v>4.2356936406385692</v>
      </c>
      <c r="H224">
        <f t="shared" ca="1" si="64"/>
        <v>68.389744517239833</v>
      </c>
      <c r="I224">
        <f t="shared" ca="1" si="65"/>
        <v>59.918357235962688</v>
      </c>
      <c r="J224">
        <f t="shared" ca="1" si="74"/>
        <v>64.881</v>
      </c>
      <c r="K224">
        <f t="shared" ca="1" si="75"/>
        <v>2.0878241002738265</v>
      </c>
      <c r="L224">
        <f t="shared" ca="1" si="76"/>
        <v>69.056648200547656</v>
      </c>
      <c r="M224">
        <f t="shared" ca="1" si="77"/>
        <v>60.705351799452345</v>
      </c>
      <c r="N224">
        <f t="shared" ca="1" si="66"/>
        <v>0.11999999999999744</v>
      </c>
      <c r="O224">
        <f t="shared" ca="1" si="67"/>
        <v>0.11999999999999744</v>
      </c>
      <c r="P224">
        <f t="shared" ca="1" si="68"/>
        <v>0</v>
      </c>
      <c r="Q224">
        <f t="shared" ca="1" si="72"/>
        <v>8.8318822564947941E-2</v>
      </c>
      <c r="R224">
        <f t="shared" ca="1" si="73"/>
        <v>0.36841630450980845</v>
      </c>
      <c r="S224">
        <f t="shared" ca="1" si="70"/>
        <v>0.23972560791645584</v>
      </c>
      <c r="T224">
        <f t="shared" ca="1" si="71"/>
        <v>19.336989280986984</v>
      </c>
      <c r="U224">
        <f>70</f>
        <v>70</v>
      </c>
      <c r="V224">
        <f>30</f>
        <v>30</v>
      </c>
      <c r="W224">
        <f t="shared" ca="1" si="69"/>
        <v>63.548892064519436</v>
      </c>
      <c r="X224">
        <f t="shared" ca="1" si="79"/>
        <v>65.400583734465712</v>
      </c>
      <c r="Y224">
        <f t="shared" ca="1" si="78"/>
        <v>-1.7910221382879996</v>
      </c>
      <c r="Z224">
        <f t="shared" ca="1" si="59"/>
        <v>-1.6901238958432068</v>
      </c>
      <c r="AA224">
        <f t="shared" ca="1" si="60"/>
        <v>-0.10089824244479284</v>
      </c>
      <c r="AB224">
        <f t="shared" ca="1" si="61"/>
        <v>67.948599999999985</v>
      </c>
    </row>
    <row r="225" spans="1:28" x14ac:dyDescent="0.25">
      <c r="A225" s="20">
        <f t="shared" ca="1" si="62"/>
        <v>45614</v>
      </c>
      <c r="B225" vm="641">
        <f ca="1"/>
        <v>45615</v>
      </c>
      <c r="C225" vm="642">
        <f ca="1"/>
        <v>62.59</v>
      </c>
      <c r="D225" vm="643">
        <f ca="1"/>
        <v>16254832</v>
      </c>
      <c r="E225">
        <f t="shared" ca="1" si="63"/>
        <v>1017389934.8800001</v>
      </c>
      <c r="F225">
        <f ca="1">SUM($E$2:E225)/SUM($D$2:D225)</f>
        <v>64.145574617351215</v>
      </c>
      <c r="G225">
        <f ca="1">_xlfn.STDEV.P($C$2:C225)</f>
        <v>4.2274338137684335</v>
      </c>
      <c r="H225">
        <f t="shared" ca="1" si="64"/>
        <v>68.373008431119644</v>
      </c>
      <c r="I225">
        <f t="shared" ca="1" si="65"/>
        <v>59.91814080358278</v>
      </c>
      <c r="J225">
        <f t="shared" ca="1" si="74"/>
        <v>64.537999999999982</v>
      </c>
      <c r="K225">
        <f t="shared" ca="1" si="75"/>
        <v>1.8473468884635043</v>
      </c>
      <c r="L225">
        <f t="shared" ca="1" si="76"/>
        <v>68.232693776926993</v>
      </c>
      <c r="M225">
        <f t="shared" ca="1" si="77"/>
        <v>60.843306223072972</v>
      </c>
      <c r="N225">
        <f t="shared" ca="1" si="66"/>
        <v>0.73000000000000398</v>
      </c>
      <c r="O225">
        <f t="shared" ca="1" si="67"/>
        <v>0.73000000000000398</v>
      </c>
      <c r="P225">
        <f t="shared" ca="1" si="68"/>
        <v>0</v>
      </c>
      <c r="Q225">
        <f t="shared" ca="1" si="72"/>
        <v>0.13415319238173765</v>
      </c>
      <c r="R225">
        <f t="shared" ca="1" si="73"/>
        <v>0.34210085418767927</v>
      </c>
      <c r="S225">
        <f t="shared" ca="1" si="70"/>
        <v>0.39214515468043853</v>
      </c>
      <c r="T225">
        <f t="shared" ca="1" si="71"/>
        <v>28.168409979522124</v>
      </c>
      <c r="U225">
        <f>70</f>
        <v>70</v>
      </c>
      <c r="V225">
        <f>30</f>
        <v>30</v>
      </c>
      <c r="W225">
        <f t="shared" ca="1" si="69"/>
        <v>63.401370208439516</v>
      </c>
      <c r="X225">
        <f t="shared" ca="1" si="79"/>
        <v>65.192392346727516</v>
      </c>
      <c r="Y225">
        <f t="shared" ca="1" si="78"/>
        <v>-1.6911696888316357</v>
      </c>
      <c r="Z225">
        <f t="shared" ca="1" si="59"/>
        <v>-1.6903330544408925</v>
      </c>
      <c r="AA225">
        <f t="shared" ca="1" si="60"/>
        <v>-8.366343907431073E-4</v>
      </c>
      <c r="AB225">
        <f t="shared" ca="1" si="61"/>
        <v>67.937999999999988</v>
      </c>
    </row>
    <row r="226" spans="1:28" x14ac:dyDescent="0.25">
      <c r="A226" s="20">
        <f t="shared" ca="1" si="62"/>
        <v>45614</v>
      </c>
      <c r="B226" vm="644">
        <f ca="1"/>
        <v>45616</v>
      </c>
      <c r="C226" vm="328">
        <f ca="1"/>
        <v>62.99</v>
      </c>
      <c r="D226" vm="645">
        <f ca="1"/>
        <v>18904909</v>
      </c>
      <c r="E226">
        <f t="shared" ca="1" si="63"/>
        <v>1190820217.9100001</v>
      </c>
      <c r="F226">
        <f ca="1">SUM($E$2:E226)/SUM($D$2:D226)</f>
        <v>64.138336682007591</v>
      </c>
      <c r="G226">
        <f ca="1">_xlfn.STDEV.P($C$2:C226)</f>
        <v>4.2186722798108462</v>
      </c>
      <c r="H226">
        <f t="shared" ca="1" si="64"/>
        <v>68.357008961818437</v>
      </c>
      <c r="I226">
        <f t="shared" ca="1" si="65"/>
        <v>59.919664402196744</v>
      </c>
      <c r="J226">
        <f t="shared" ca="1" si="74"/>
        <v>64.286999999999992</v>
      </c>
      <c r="K226">
        <f t="shared" ca="1" si="75"/>
        <v>1.6846461443219902</v>
      </c>
      <c r="L226">
        <f t="shared" ca="1" si="76"/>
        <v>67.656292288643968</v>
      </c>
      <c r="M226">
        <f t="shared" ca="1" si="77"/>
        <v>60.917707711356009</v>
      </c>
      <c r="N226">
        <f t="shared" ca="1" si="66"/>
        <v>0.39999999999999858</v>
      </c>
      <c r="O226">
        <f t="shared" ca="1" si="67"/>
        <v>0.39999999999999858</v>
      </c>
      <c r="P226">
        <f t="shared" ca="1" si="68"/>
        <v>0</v>
      </c>
      <c r="Q226">
        <f t="shared" ca="1" si="72"/>
        <v>0.15314225006875629</v>
      </c>
      <c r="R226">
        <f t="shared" ca="1" si="73"/>
        <v>0.31766507888855927</v>
      </c>
      <c r="S226">
        <f t="shared" ca="1" si="70"/>
        <v>0.48208714223347299</v>
      </c>
      <c r="T226">
        <f t="shared" ca="1" si="71"/>
        <v>32.527584141036272</v>
      </c>
      <c r="U226">
        <f>70</f>
        <v>70</v>
      </c>
      <c r="V226">
        <f>30</f>
        <v>30</v>
      </c>
      <c r="W226">
        <f t="shared" ca="1" si="69"/>
        <v>63.338082484064202</v>
      </c>
      <c r="X226">
        <f t="shared" ca="1" si="79"/>
        <v>65.029252172895838</v>
      </c>
      <c r="Y226">
        <f t="shared" ca="1" si="78"/>
        <v>-1.5322406222908285</v>
      </c>
      <c r="Z226">
        <f t="shared" ca="1" si="59"/>
        <v>-1.6587145680108799</v>
      </c>
      <c r="AA226">
        <f t="shared" ca="1" si="60"/>
        <v>0.12647394572005144</v>
      </c>
      <c r="AB226">
        <f t="shared" ca="1" si="61"/>
        <v>67.935099999999977</v>
      </c>
    </row>
    <row r="227" spans="1:28" x14ac:dyDescent="0.25">
      <c r="A227" s="20">
        <f t="shared" ca="1" si="62"/>
        <v>45614</v>
      </c>
      <c r="B227" vm="646">
        <f ca="1"/>
        <v>45617</v>
      </c>
      <c r="C227" vm="368">
        <f ca="1"/>
        <v>63.76</v>
      </c>
      <c r="D227" vm="647">
        <f ca="1"/>
        <v>17292300</v>
      </c>
      <c r="E227">
        <f t="shared" ca="1" si="63"/>
        <v>1102557048</v>
      </c>
      <c r="F227">
        <f ca="1">SUM($E$2:E227)/SUM($D$2:D227)</f>
        <v>64.136181458765606</v>
      </c>
      <c r="G227">
        <f ca="1">_xlfn.STDEV.P($C$2:C227)</f>
        <v>4.2093864482248318</v>
      </c>
      <c r="H227">
        <f t="shared" ca="1" si="64"/>
        <v>68.345567906990439</v>
      </c>
      <c r="I227">
        <f t="shared" ca="1" si="65"/>
        <v>59.926795010540772</v>
      </c>
      <c r="J227">
        <f t="shared" ca="1" si="74"/>
        <v>64.109999999999985</v>
      </c>
      <c r="K227">
        <f t="shared" ca="1" si="75"/>
        <v>1.5303181643731893</v>
      </c>
      <c r="L227">
        <f t="shared" ca="1" si="76"/>
        <v>67.170636328746369</v>
      </c>
      <c r="M227">
        <f t="shared" ca="1" si="77"/>
        <v>61.049363671253609</v>
      </c>
      <c r="N227">
        <f t="shared" ca="1" si="66"/>
        <v>0.76999999999999602</v>
      </c>
      <c r="O227">
        <f t="shared" ca="1" si="67"/>
        <v>0.76999999999999602</v>
      </c>
      <c r="P227">
        <f t="shared" ca="1" si="68"/>
        <v>0</v>
      </c>
      <c r="Q227">
        <f t="shared" ca="1" si="72"/>
        <v>0.1972035179209877</v>
      </c>
      <c r="R227">
        <f t="shared" ca="1" si="73"/>
        <v>0.29497471611080506</v>
      </c>
      <c r="S227">
        <f t="shared" ca="1" si="70"/>
        <v>0.66854380104533995</v>
      </c>
      <c r="T227">
        <f t="shared" ca="1" si="71"/>
        <v>40.06750081277449</v>
      </c>
      <c r="U227">
        <f>70</f>
        <v>70</v>
      </c>
      <c r="V227">
        <f>30</f>
        <v>30</v>
      </c>
      <c r="W227">
        <f t="shared" ca="1" si="69"/>
        <v>63.402992871131246</v>
      </c>
      <c r="X227">
        <f t="shared" ca="1" si="79"/>
        <v>64.935233493422075</v>
      </c>
      <c r="Y227">
        <f t="shared" ca="1" si="78"/>
        <v>-1.3774985830091069</v>
      </c>
      <c r="Z227">
        <f t="shared" ca="1" si="59"/>
        <v>-1.6024713710105254</v>
      </c>
      <c r="AA227">
        <f t="shared" ca="1" si="60"/>
        <v>0.22497278800141851</v>
      </c>
      <c r="AB227">
        <f t="shared" ca="1" si="61"/>
        <v>67.941199999999995</v>
      </c>
    </row>
    <row r="228" spans="1:28" x14ac:dyDescent="0.25">
      <c r="A228" s="20">
        <f t="shared" ca="1" si="62"/>
        <v>45614</v>
      </c>
      <c r="B228" vm="648">
        <f ca="1"/>
        <v>45618</v>
      </c>
      <c r="C228" vm="311">
        <f ca="1"/>
        <v>63.92</v>
      </c>
      <c r="D228" vm="649">
        <f ca="1"/>
        <v>19562231</v>
      </c>
      <c r="E228">
        <f t="shared" ca="1" si="63"/>
        <v>1250417805.52</v>
      </c>
      <c r="F228">
        <f ca="1">SUM($E$2:E228)/SUM($D$2:D228)</f>
        <v>64.134797229243063</v>
      </c>
      <c r="G228">
        <f ca="1">_xlfn.STDEV.P($C$2:C228)</f>
        <v>4.2001197163628756</v>
      </c>
      <c r="H228">
        <f t="shared" ca="1" si="64"/>
        <v>68.33491694560594</v>
      </c>
      <c r="I228">
        <f t="shared" ca="1" si="65"/>
        <v>59.934677512880185</v>
      </c>
      <c r="J228">
        <f t="shared" ca="1" si="74"/>
        <v>63.96</v>
      </c>
      <c r="K228">
        <f t="shared" ca="1" si="75"/>
        <v>1.3800381382983213</v>
      </c>
      <c r="L228">
        <f t="shared" ca="1" si="76"/>
        <v>66.720076276596643</v>
      </c>
      <c r="M228">
        <f t="shared" ca="1" si="77"/>
        <v>61.199923723403359</v>
      </c>
      <c r="N228">
        <f t="shared" ca="1" si="66"/>
        <v>0.16000000000000369</v>
      </c>
      <c r="O228">
        <f t="shared" ca="1" si="67"/>
        <v>0.16000000000000369</v>
      </c>
      <c r="P228">
        <f t="shared" ca="1" si="68"/>
        <v>0</v>
      </c>
      <c r="Q228">
        <f t="shared" ca="1" si="72"/>
        <v>0.19454612378377453</v>
      </c>
      <c r="R228">
        <f t="shared" ca="1" si="73"/>
        <v>0.27390509353146186</v>
      </c>
      <c r="S228">
        <f t="shared" ca="1" si="70"/>
        <v>0.7102683680521924</v>
      </c>
      <c r="T228">
        <f t="shared" ca="1" si="71"/>
        <v>41.529644196197701</v>
      </c>
      <c r="U228">
        <f>70</f>
        <v>70</v>
      </c>
      <c r="V228">
        <f>30</f>
        <v>30</v>
      </c>
      <c r="W228">
        <f t="shared" ca="1" si="69"/>
        <v>63.482532429418747</v>
      </c>
      <c r="X228">
        <f t="shared" ca="1" si="79"/>
        <v>64.860031012427854</v>
      </c>
      <c r="Y228">
        <f t="shared" ca="1" si="78"/>
        <v>-1.2038687963010872</v>
      </c>
      <c r="Z228">
        <f t="shared" ca="1" si="59"/>
        <v>-1.5227508560686378</v>
      </c>
      <c r="AA228">
        <f t="shared" ca="1" si="60"/>
        <v>0.31888205976755057</v>
      </c>
      <c r="AB228">
        <f t="shared" ca="1" si="61"/>
        <v>67.947100000000006</v>
      </c>
    </row>
    <row r="229" spans="1:28" x14ac:dyDescent="0.25">
      <c r="A229" s="20">
        <f t="shared" ca="1" si="62"/>
        <v>45621</v>
      </c>
      <c r="B229" vm="650">
        <f ca="1"/>
        <v>45621</v>
      </c>
      <c r="C229" vm="651">
        <f ca="1"/>
        <v>64.38</v>
      </c>
      <c r="D229" vm="652">
        <f ca="1"/>
        <v>36805252</v>
      </c>
      <c r="E229">
        <f t="shared" ca="1" si="63"/>
        <v>2369522123.7599998</v>
      </c>
      <c r="F229">
        <f ca="1">SUM($E$2:E229)/SUM($D$2:D229)</f>
        <v>64.137716038687529</v>
      </c>
      <c r="G229">
        <f ca="1">_xlfn.STDEV.P($C$2:C229)</f>
        <v>4.1909425266055811</v>
      </c>
      <c r="H229">
        <f t="shared" ca="1" si="64"/>
        <v>68.328658565293111</v>
      </c>
      <c r="I229">
        <f t="shared" ca="1" si="65"/>
        <v>59.946773512081947</v>
      </c>
      <c r="J229">
        <f t="shared" ca="1" si="74"/>
        <v>63.845499999999994</v>
      </c>
      <c r="K229">
        <f t="shared" ca="1" si="75"/>
        <v>1.2302266586198451</v>
      </c>
      <c r="L229">
        <f t="shared" ca="1" si="76"/>
        <v>66.305953317239684</v>
      </c>
      <c r="M229">
        <f t="shared" ca="1" si="77"/>
        <v>61.385046682760304</v>
      </c>
      <c r="N229">
        <f t="shared" ca="1" si="66"/>
        <v>0.45999999999999375</v>
      </c>
      <c r="O229">
        <f t="shared" ca="1" si="67"/>
        <v>0.45999999999999375</v>
      </c>
      <c r="P229">
        <f t="shared" ca="1" si="68"/>
        <v>0</v>
      </c>
      <c r="Q229">
        <f t="shared" ca="1" si="72"/>
        <v>0.21350711494207592</v>
      </c>
      <c r="R229">
        <f t="shared" ca="1" si="73"/>
        <v>0.25434044399350031</v>
      </c>
      <c r="S229">
        <f t="shared" ca="1" si="70"/>
        <v>0.83945404666955803</v>
      </c>
      <c r="T229">
        <f t="shared" ca="1" si="71"/>
        <v>45.636043378710106</v>
      </c>
      <c r="U229">
        <f>70</f>
        <v>70</v>
      </c>
      <c r="V229">
        <f>30</f>
        <v>30</v>
      </c>
      <c r="W229">
        <f t="shared" ca="1" si="69"/>
        <v>63.620604363354325</v>
      </c>
      <c r="X229">
        <f t="shared" ca="1" si="79"/>
        <v>64.824473159655412</v>
      </c>
      <c r="Y229">
        <f t="shared" ca="1" si="78"/>
        <v>-1.040553507042091</v>
      </c>
      <c r="Z229">
        <f t="shared" ca="1" si="59"/>
        <v>-1.4263113862633285</v>
      </c>
      <c r="AA229">
        <f t="shared" ca="1" si="60"/>
        <v>0.3857578792212375</v>
      </c>
      <c r="AB229">
        <f t="shared" ca="1" si="61"/>
        <v>67.953299999999999</v>
      </c>
    </row>
    <row r="230" spans="1:28" x14ac:dyDescent="0.25">
      <c r="A230" s="20">
        <f t="shared" ca="1" si="62"/>
        <v>45621</v>
      </c>
      <c r="B230" vm="653">
        <f ca="1"/>
        <v>45622</v>
      </c>
      <c r="C230" vm="654">
        <f ca="1"/>
        <v>64.55</v>
      </c>
      <c r="D230" vm="655">
        <f ca="1"/>
        <v>14473271</v>
      </c>
      <c r="E230">
        <f t="shared" ca="1" si="63"/>
        <v>934249643.04999995</v>
      </c>
      <c r="F230">
        <f ca="1">SUM($E$2:E230)/SUM($D$2:D230)</f>
        <v>64.139636942087577</v>
      </c>
      <c r="G230">
        <f ca="1">_xlfn.STDEV.P($C$2:C230)</f>
        <v>4.181891229121967</v>
      </c>
      <c r="H230">
        <f t="shared" ca="1" si="64"/>
        <v>68.32152817120955</v>
      </c>
      <c r="I230">
        <f t="shared" ca="1" si="65"/>
        <v>59.957745712965611</v>
      </c>
      <c r="J230">
        <f t="shared" ca="1" si="74"/>
        <v>63.795000000000016</v>
      </c>
      <c r="K230">
        <f t="shared" ca="1" si="75"/>
        <v>1.1756633066172972</v>
      </c>
      <c r="L230">
        <f t="shared" ca="1" si="76"/>
        <v>66.146326613234606</v>
      </c>
      <c r="M230">
        <f t="shared" ca="1" si="77"/>
        <v>61.443673386765418</v>
      </c>
      <c r="N230">
        <f t="shared" ca="1" si="66"/>
        <v>0.17000000000000171</v>
      </c>
      <c r="O230">
        <f t="shared" ca="1" si="67"/>
        <v>0.17000000000000171</v>
      </c>
      <c r="P230">
        <f t="shared" ca="1" si="68"/>
        <v>0</v>
      </c>
      <c r="Q230">
        <f t="shared" ca="1" si="72"/>
        <v>0.21039946387478489</v>
      </c>
      <c r="R230">
        <f t="shared" ca="1" si="73"/>
        <v>0.236173269422536</v>
      </c>
      <c r="S230">
        <f t="shared" ca="1" si="70"/>
        <v>0.89086908264101916</v>
      </c>
      <c r="T230">
        <f t="shared" ca="1" si="71"/>
        <v>47.114265647451511</v>
      </c>
      <c r="U230">
        <f>70</f>
        <v>70</v>
      </c>
      <c r="V230">
        <f>30</f>
        <v>30</v>
      </c>
      <c r="W230">
        <f t="shared" ca="1" si="69"/>
        <v>63.763588307453659</v>
      </c>
      <c r="X230">
        <f t="shared" ca="1" si="79"/>
        <v>64.80414181449575</v>
      </c>
      <c r="Y230">
        <f t="shared" ca="1" si="78"/>
        <v>-0.91031442278455899</v>
      </c>
      <c r="Z230">
        <f t="shared" ref="Z230:Z293" ca="1" si="80">Y230*(2/(9+1)) + Z229*(1-(2/(9+1)))</f>
        <v>-1.3231119935675748</v>
      </c>
      <c r="AA230">
        <f t="shared" ref="AA230:AA293" ca="1" si="81">Y230-Z230</f>
        <v>0.41279757078301582</v>
      </c>
      <c r="AB230">
        <f t="shared" ref="AB230:AB293" ca="1" si="82">AVERAGE(C131:C230)</f>
        <v>67.969200000000001</v>
      </c>
    </row>
    <row r="231" spans="1:28" x14ac:dyDescent="0.25">
      <c r="A231" s="20">
        <f t="shared" ca="1" si="62"/>
        <v>45621</v>
      </c>
      <c r="B231" vm="656">
        <f ca="1"/>
        <v>45623</v>
      </c>
      <c r="C231" vm="657">
        <f ca="1"/>
        <v>64.430000000000007</v>
      </c>
      <c r="D231" vm="658">
        <f ca="1"/>
        <v>13263403</v>
      </c>
      <c r="E231">
        <f t="shared" ca="1" si="63"/>
        <v>854561055.29000008</v>
      </c>
      <c r="F231">
        <f ca="1">SUM($E$2:E231)/SUM($D$2:D231)</f>
        <v>64.140871434310881</v>
      </c>
      <c r="G231">
        <f ca="1">_xlfn.STDEV.P($C$2:C231)</f>
        <v>4.1728489640017532</v>
      </c>
      <c r="H231">
        <f t="shared" ca="1" si="64"/>
        <v>68.31372039831264</v>
      </c>
      <c r="I231">
        <f t="shared" ca="1" si="65"/>
        <v>59.96802247030913</v>
      </c>
      <c r="J231">
        <f t="shared" ca="1" si="74"/>
        <v>63.720499999999994</v>
      </c>
      <c r="K231">
        <f t="shared" ca="1" si="75"/>
        <v>1.0769864144185415</v>
      </c>
      <c r="L231">
        <f t="shared" ca="1" si="76"/>
        <v>65.874472828837071</v>
      </c>
      <c r="M231">
        <f t="shared" ca="1" si="77"/>
        <v>61.56652717116291</v>
      </c>
      <c r="N231">
        <f t="shared" ca="1" si="66"/>
        <v>-0.11999999999999034</v>
      </c>
      <c r="O231">
        <f t="shared" ca="1" si="67"/>
        <v>0</v>
      </c>
      <c r="P231">
        <f t="shared" ca="1" si="68"/>
        <v>0.11999999999999034</v>
      </c>
      <c r="Q231">
        <f t="shared" ca="1" si="72"/>
        <v>0.1953709307408717</v>
      </c>
      <c r="R231">
        <f t="shared" ca="1" si="73"/>
        <v>0.22787517874949703</v>
      </c>
      <c r="S231">
        <f t="shared" ca="1" si="70"/>
        <v>0.85735941848955288</v>
      </c>
      <c r="T231">
        <f t="shared" ca="1" si="71"/>
        <v>46.160124419363981</v>
      </c>
      <c r="U231">
        <f>70</f>
        <v>70</v>
      </c>
      <c r="V231">
        <f>30</f>
        <v>30</v>
      </c>
      <c r="W231">
        <f t="shared" ca="1" si="69"/>
        <v>63.86611318323002</v>
      </c>
      <c r="X231">
        <f t="shared" ca="1" si="79"/>
        <v>64.776427606014579</v>
      </c>
      <c r="Y231">
        <f t="shared" ca="1" si="78"/>
        <v>-0.82582152859094293</v>
      </c>
      <c r="Z231">
        <f t="shared" ca="1" si="80"/>
        <v>-1.2236539005722484</v>
      </c>
      <c r="AA231">
        <f t="shared" ca="1" si="81"/>
        <v>0.3978323719813055</v>
      </c>
      <c r="AB231">
        <f t="shared" ca="1" si="82"/>
        <v>67.986599999999996</v>
      </c>
    </row>
    <row r="232" spans="1:28" x14ac:dyDescent="0.25">
      <c r="A232" s="20">
        <f t="shared" ca="1" si="62"/>
        <v>45621</v>
      </c>
      <c r="B232" vm="659">
        <f ca="1"/>
        <v>45625</v>
      </c>
      <c r="C232" vm="660">
        <f ca="1"/>
        <v>64.08</v>
      </c>
      <c r="D232" vm="661">
        <f ca="1"/>
        <v>10648354</v>
      </c>
      <c r="E232">
        <f t="shared" ca="1" si="63"/>
        <v>682346524.31999993</v>
      </c>
      <c r="F232">
        <f ca="1">SUM($E$2:E232)/SUM($D$2:D232)</f>
        <v>64.140664368597101</v>
      </c>
      <c r="G232">
        <f ca="1">_xlfn.STDEV.P($C$2:C232)</f>
        <v>4.1638071442606988</v>
      </c>
      <c r="H232">
        <f t="shared" ca="1" si="64"/>
        <v>68.304471512857802</v>
      </c>
      <c r="I232">
        <f t="shared" ca="1" si="65"/>
        <v>59.976857224336399</v>
      </c>
      <c r="J232">
        <f t="shared" ca="1" si="74"/>
        <v>63.658999999999992</v>
      </c>
      <c r="K232">
        <f t="shared" ca="1" si="75"/>
        <v>1.0147641675726802</v>
      </c>
      <c r="L232">
        <f t="shared" ca="1" si="76"/>
        <v>65.68852833514535</v>
      </c>
      <c r="M232">
        <f t="shared" ca="1" si="77"/>
        <v>61.629471664854634</v>
      </c>
      <c r="N232">
        <f t="shared" ca="1" si="66"/>
        <v>-0.35000000000000853</v>
      </c>
      <c r="O232">
        <f t="shared" ca="1" si="67"/>
        <v>0</v>
      </c>
      <c r="P232">
        <f t="shared" ca="1" si="68"/>
        <v>0.35000000000000853</v>
      </c>
      <c r="Q232">
        <f t="shared" ca="1" si="72"/>
        <v>0.18141586425938086</v>
      </c>
      <c r="R232">
        <f t="shared" ca="1" si="73"/>
        <v>0.23659838026739072</v>
      </c>
      <c r="S232">
        <f t="shared" ca="1" si="70"/>
        <v>0.7667671437748409</v>
      </c>
      <c r="T232">
        <f t="shared" ca="1" si="71"/>
        <v>43.399445505681122</v>
      </c>
      <c r="U232">
        <f>70</f>
        <v>70</v>
      </c>
      <c r="V232">
        <f>30</f>
        <v>30</v>
      </c>
      <c r="W232">
        <f t="shared" ca="1" si="69"/>
        <v>63.899018847348479</v>
      </c>
      <c r="X232">
        <f t="shared" ca="1" si="79"/>
        <v>64.724840375939422</v>
      </c>
      <c r="Y232">
        <f t="shared" ca="1" si="78"/>
        <v>-0.78451431486556089</v>
      </c>
      <c r="Z232">
        <f t="shared" ca="1" si="80"/>
        <v>-1.135825983430911</v>
      </c>
      <c r="AA232">
        <f t="shared" ca="1" si="81"/>
        <v>0.35131166856535012</v>
      </c>
      <c r="AB232">
        <f t="shared" ca="1" si="82"/>
        <v>67.999099999999999</v>
      </c>
    </row>
    <row r="233" spans="1:28" x14ac:dyDescent="0.25">
      <c r="A233" s="20">
        <f t="shared" ca="1" si="62"/>
        <v>45628</v>
      </c>
      <c r="B233" vm="662">
        <f ca="1"/>
        <v>45628</v>
      </c>
      <c r="C233" vm="356">
        <f ca="1"/>
        <v>63.65</v>
      </c>
      <c r="D233" vm="663">
        <f ca="1"/>
        <v>16500095</v>
      </c>
      <c r="E233">
        <f t="shared" ca="1" si="63"/>
        <v>1050231046.75</v>
      </c>
      <c r="F233">
        <f ca="1">SUM($E$2:E233)/SUM($D$2:D233)</f>
        <v>64.138091604536896</v>
      </c>
      <c r="G233">
        <f ca="1">_xlfn.STDEV.P($C$2:C233)</f>
        <v>4.1549259958320857</v>
      </c>
      <c r="H233">
        <f t="shared" ca="1" si="64"/>
        <v>68.293017600368984</v>
      </c>
      <c r="I233">
        <f t="shared" ca="1" si="65"/>
        <v>59.983165608704809</v>
      </c>
      <c r="J233">
        <f t="shared" ca="1" si="74"/>
        <v>63.591000000000008</v>
      </c>
      <c r="K233">
        <f t="shared" ca="1" si="75"/>
        <v>0.96375308041012242</v>
      </c>
      <c r="L233">
        <f t="shared" ca="1" si="76"/>
        <v>65.518506160820252</v>
      </c>
      <c r="M233">
        <f t="shared" ca="1" si="77"/>
        <v>61.663493839179765</v>
      </c>
      <c r="N233">
        <f t="shared" ca="1" si="66"/>
        <v>-0.42999999999999972</v>
      </c>
      <c r="O233">
        <f t="shared" ca="1" si="67"/>
        <v>0</v>
      </c>
      <c r="P233">
        <f t="shared" ca="1" si="68"/>
        <v>0.42999999999999972</v>
      </c>
      <c r="Q233">
        <f t="shared" ca="1" si="72"/>
        <v>0.16845758824085366</v>
      </c>
      <c r="R233">
        <f t="shared" ca="1" si="73"/>
        <v>0.25041278167686276</v>
      </c>
      <c r="S233">
        <f t="shared" ca="1" si="70"/>
        <v>0.67271960765259342</v>
      </c>
      <c r="T233">
        <f t="shared" ca="1" si="71"/>
        <v>40.217117356366302</v>
      </c>
      <c r="U233">
        <f>70</f>
        <v>70</v>
      </c>
      <c r="V233">
        <f>30</f>
        <v>30</v>
      </c>
      <c r="W233">
        <f t="shared" ca="1" si="69"/>
        <v>63.860708255448714</v>
      </c>
      <c r="X233">
        <f t="shared" ca="1" si="79"/>
        <v>64.645222570314274</v>
      </c>
      <c r="Y233">
        <f t="shared" ca="1" si="78"/>
        <v>-0.75358114952669553</v>
      </c>
      <c r="Z233">
        <f t="shared" ca="1" si="80"/>
        <v>-1.059377016650068</v>
      </c>
      <c r="AA233">
        <f t="shared" ca="1" si="81"/>
        <v>0.30579586712337248</v>
      </c>
      <c r="AB233">
        <f t="shared" ca="1" si="82"/>
        <v>68.004599999999996</v>
      </c>
    </row>
    <row r="234" spans="1:28" x14ac:dyDescent="0.25">
      <c r="A234" s="20">
        <f t="shared" ca="1" si="62"/>
        <v>45628</v>
      </c>
      <c r="B234" vm="664">
        <f ca="1"/>
        <v>45629</v>
      </c>
      <c r="C234" vm="665">
        <f ca="1"/>
        <v>63.52</v>
      </c>
      <c r="D234" vm="666">
        <f ca="1"/>
        <v>24874490</v>
      </c>
      <c r="E234">
        <f t="shared" ca="1" si="63"/>
        <v>1580027604.8000002</v>
      </c>
      <c r="F234">
        <f ca="1">SUM($E$2:E234)/SUM($D$2:D234)</f>
        <v>64.133244118450406</v>
      </c>
      <c r="G234">
        <f ca="1">_xlfn.STDEV.P($C$2:C234)</f>
        <v>4.1461695005608785</v>
      </c>
      <c r="H234">
        <f t="shared" ca="1" si="64"/>
        <v>68.279413619011279</v>
      </c>
      <c r="I234">
        <f t="shared" ca="1" si="65"/>
        <v>59.987074617889526</v>
      </c>
      <c r="J234">
        <f t="shared" ca="1" si="74"/>
        <v>63.511499999999998</v>
      </c>
      <c r="K234">
        <f t="shared" ca="1" si="75"/>
        <v>0.89498176988196421</v>
      </c>
      <c r="L234">
        <f t="shared" ca="1" si="76"/>
        <v>65.30146353976393</v>
      </c>
      <c r="M234">
        <f t="shared" ca="1" si="77"/>
        <v>61.721536460236067</v>
      </c>
      <c r="N234">
        <f t="shared" ca="1" si="66"/>
        <v>-0.12999999999999545</v>
      </c>
      <c r="O234">
        <f t="shared" ca="1" si="67"/>
        <v>0</v>
      </c>
      <c r="P234">
        <f t="shared" ca="1" si="68"/>
        <v>0.12999999999999545</v>
      </c>
      <c r="Q234">
        <f t="shared" ca="1" si="72"/>
        <v>0.15642490336650697</v>
      </c>
      <c r="R234">
        <f t="shared" ca="1" si="73"/>
        <v>0.24181186869994367</v>
      </c>
      <c r="S234">
        <f t="shared" ca="1" si="70"/>
        <v>0.64688678933542931</v>
      </c>
      <c r="T234">
        <f t="shared" ca="1" si="71"/>
        <v>39.279372056683293</v>
      </c>
      <c r="U234">
        <f>70</f>
        <v>70</v>
      </c>
      <c r="V234">
        <f>30</f>
        <v>30</v>
      </c>
      <c r="W234">
        <f t="shared" ca="1" si="69"/>
        <v>63.808291600764292</v>
      </c>
      <c r="X234">
        <f t="shared" ca="1" si="79"/>
        <v>64.561872750290988</v>
      </c>
      <c r="Y234">
        <f t="shared" ca="1" si="78"/>
        <v>-0.82525936871105188</v>
      </c>
      <c r="Z234">
        <f t="shared" ca="1" si="80"/>
        <v>-1.0125534870622648</v>
      </c>
      <c r="AA234">
        <f t="shared" ca="1" si="81"/>
        <v>0.1872941183512129</v>
      </c>
      <c r="AB234">
        <f t="shared" ca="1" si="82"/>
        <v>68.002799999999993</v>
      </c>
    </row>
    <row r="235" spans="1:28" x14ac:dyDescent="0.25">
      <c r="A235" s="20">
        <f t="shared" ca="1" si="62"/>
        <v>45628</v>
      </c>
      <c r="B235" vm="667">
        <f ca="1"/>
        <v>45630</v>
      </c>
      <c r="C235" vm="668">
        <f ca="1"/>
        <v>62.21</v>
      </c>
      <c r="D235" vm="669">
        <f ca="1"/>
        <v>28137660</v>
      </c>
      <c r="E235">
        <f t="shared" ca="1" si="63"/>
        <v>1750443828.6000001</v>
      </c>
      <c r="F235">
        <f ca="1">SUM($E$2:E235)/SUM($D$2:D235)</f>
        <v>64.116332075450956</v>
      </c>
      <c r="G235">
        <f ca="1">_xlfn.STDEV.P($C$2:C235)</f>
        <v>4.1391190180871646</v>
      </c>
      <c r="H235">
        <f t="shared" ca="1" si="64"/>
        <v>68.255451093538113</v>
      </c>
      <c r="I235">
        <f t="shared" ca="1" si="65"/>
        <v>59.977213057363791</v>
      </c>
      <c r="J235">
        <f t="shared" ca="1" si="74"/>
        <v>63.353499999999997</v>
      </c>
      <c r="K235">
        <f t="shared" ca="1" si="75"/>
        <v>0.82587927625493041</v>
      </c>
      <c r="L235">
        <f t="shared" ca="1" si="76"/>
        <v>65.005258552509858</v>
      </c>
      <c r="M235">
        <f t="shared" ca="1" si="77"/>
        <v>61.701741447490136</v>
      </c>
      <c r="N235">
        <f t="shared" ca="1" si="66"/>
        <v>-1.3100000000000023</v>
      </c>
      <c r="O235">
        <f t="shared" ca="1" si="67"/>
        <v>0</v>
      </c>
      <c r="P235">
        <f t="shared" ca="1" si="68"/>
        <v>1.3100000000000023</v>
      </c>
      <c r="Q235">
        <f t="shared" ca="1" si="72"/>
        <v>0.14525169598318505</v>
      </c>
      <c r="R235">
        <f t="shared" ca="1" si="73"/>
        <v>0.31811102093566213</v>
      </c>
      <c r="S235">
        <f t="shared" ca="1" si="70"/>
        <v>0.45660692784536427</v>
      </c>
      <c r="T235">
        <f t="shared" ca="1" si="71"/>
        <v>31.347298925783946</v>
      </c>
      <c r="U235">
        <f>70</f>
        <v>70</v>
      </c>
      <c r="V235">
        <f>30</f>
        <v>30</v>
      </c>
      <c r="W235">
        <f t="shared" ca="1" si="69"/>
        <v>63.56240058526209</v>
      </c>
      <c r="X235">
        <f t="shared" ca="1" si="79"/>
        <v>64.387659953973142</v>
      </c>
      <c r="Y235">
        <f t="shared" ca="1" si="78"/>
        <v>-0.81537467583597589</v>
      </c>
      <c r="Z235">
        <f t="shared" ca="1" si="80"/>
        <v>-0.97311772481700709</v>
      </c>
      <c r="AA235">
        <f t="shared" ca="1" si="81"/>
        <v>0.1577430489810312</v>
      </c>
      <c r="AB235">
        <f t="shared" ca="1" si="82"/>
        <v>67.990799999999993</v>
      </c>
    </row>
    <row r="236" spans="1:28" x14ac:dyDescent="0.25">
      <c r="A236" s="20">
        <f t="shared" ca="1" si="62"/>
        <v>45628</v>
      </c>
      <c r="B236" vm="670">
        <f ca="1"/>
        <v>45631</v>
      </c>
      <c r="C236" vm="671">
        <f ca="1"/>
        <v>62.92</v>
      </c>
      <c r="D236" vm="672">
        <f ca="1"/>
        <v>21040359</v>
      </c>
      <c r="E236">
        <f t="shared" ca="1" si="63"/>
        <v>1323859388.28</v>
      </c>
      <c r="F236">
        <f ca="1">SUM($E$2:E236)/SUM($D$2:D236)</f>
        <v>64.108517016946294</v>
      </c>
      <c r="G236">
        <f ca="1">_xlfn.STDEV.P($C$2:C236)</f>
        <v>4.1309962043750827</v>
      </c>
      <c r="H236">
        <f t="shared" ca="1" si="64"/>
        <v>68.239513221321374</v>
      </c>
      <c r="I236">
        <f t="shared" ca="1" si="65"/>
        <v>59.977520812571214</v>
      </c>
      <c r="J236">
        <f t="shared" ca="1" si="74"/>
        <v>63.314499999999995</v>
      </c>
      <c r="K236">
        <f t="shared" ca="1" si="75"/>
        <v>0.82707140275985669</v>
      </c>
      <c r="L236">
        <f t="shared" ca="1" si="76"/>
        <v>64.968642805519707</v>
      </c>
      <c r="M236">
        <f t="shared" ca="1" si="77"/>
        <v>61.660357194480284</v>
      </c>
      <c r="N236">
        <f t="shared" ca="1" si="66"/>
        <v>0.71000000000000085</v>
      </c>
      <c r="O236">
        <f t="shared" ca="1" si="67"/>
        <v>0.71000000000000085</v>
      </c>
      <c r="P236">
        <f t="shared" ca="1" si="68"/>
        <v>0</v>
      </c>
      <c r="Q236">
        <f t="shared" ca="1" si="72"/>
        <v>0.18559086055581475</v>
      </c>
      <c r="R236">
        <f t="shared" ca="1" si="73"/>
        <v>0.29538880515454341</v>
      </c>
      <c r="S236">
        <f t="shared" ca="1" si="70"/>
        <v>0.62829348071845892</v>
      </c>
      <c r="T236">
        <f t="shared" ca="1" si="71"/>
        <v>38.586009718667817</v>
      </c>
      <c r="U236">
        <f>70</f>
        <v>70</v>
      </c>
      <c r="V236">
        <f>30</f>
        <v>30</v>
      </c>
      <c r="W236">
        <f t="shared" ca="1" si="69"/>
        <v>63.463569725991</v>
      </c>
      <c r="X236">
        <f t="shared" ca="1" si="79"/>
        <v>64.278944401826976</v>
      </c>
      <c r="Y236">
        <f t="shared" ca="1" si="78"/>
        <v>-0.82944935035453682</v>
      </c>
      <c r="Z236">
        <f t="shared" ca="1" si="80"/>
        <v>-0.94438404992451308</v>
      </c>
      <c r="AA236">
        <f t="shared" ca="1" si="81"/>
        <v>0.11493469956997626</v>
      </c>
      <c r="AB236">
        <f t="shared" ca="1" si="82"/>
        <v>67.9773</v>
      </c>
    </row>
    <row r="237" spans="1:28" x14ac:dyDescent="0.25">
      <c r="A237" s="20">
        <f t="shared" ca="1" si="62"/>
        <v>45628</v>
      </c>
      <c r="B237" vm="673">
        <f ca="1"/>
        <v>45632</v>
      </c>
      <c r="C237" vm="674">
        <f ca="1"/>
        <v>62.53</v>
      </c>
      <c r="D237" vm="675">
        <f ca="1"/>
        <v>15581148</v>
      </c>
      <c r="E237">
        <f t="shared" ca="1" si="63"/>
        <v>974289184.44000006</v>
      </c>
      <c r="F237">
        <f ca="1">SUM($E$2:E237)/SUM($D$2:D237)</f>
        <v>64.100917601286085</v>
      </c>
      <c r="G237">
        <f ca="1">_xlfn.STDEV.P($C$2:C237)</f>
        <v>4.1234603881633305</v>
      </c>
      <c r="H237">
        <f t="shared" ca="1" si="64"/>
        <v>68.224377989449408</v>
      </c>
      <c r="I237">
        <f t="shared" ca="1" si="65"/>
        <v>59.977457213122754</v>
      </c>
      <c r="J237">
        <f t="shared" ca="1" si="74"/>
        <v>63.258000000000003</v>
      </c>
      <c r="K237">
        <f t="shared" ca="1" si="75"/>
        <v>0.84071147813841807</v>
      </c>
      <c r="L237">
        <f t="shared" ca="1" si="76"/>
        <v>64.939422956276843</v>
      </c>
      <c r="M237">
        <f t="shared" ca="1" si="77"/>
        <v>61.576577043723169</v>
      </c>
      <c r="N237">
        <f t="shared" ca="1" si="66"/>
        <v>-0.39000000000000057</v>
      </c>
      <c r="O237">
        <f t="shared" ca="1" si="67"/>
        <v>0</v>
      </c>
      <c r="P237">
        <f t="shared" ca="1" si="68"/>
        <v>0.39000000000000057</v>
      </c>
      <c r="Q237">
        <f t="shared" ca="1" si="72"/>
        <v>0.17233437051611369</v>
      </c>
      <c r="R237">
        <f t="shared" ca="1" si="73"/>
        <v>0.30214674764350463</v>
      </c>
      <c r="S237">
        <f t="shared" ca="1" si="70"/>
        <v>0.57036645888191617</v>
      </c>
      <c r="T237">
        <f t="shared" ca="1" si="71"/>
        <v>36.320596103919009</v>
      </c>
      <c r="U237">
        <f>70</f>
        <v>70</v>
      </c>
      <c r="V237">
        <f>30</f>
        <v>30</v>
      </c>
      <c r="W237">
        <f t="shared" ca="1" si="69"/>
        <v>63.319943614300072</v>
      </c>
      <c r="X237">
        <f t="shared" ca="1" si="79"/>
        <v>64.149392964654609</v>
      </c>
      <c r="Y237">
        <f t="shared" ca="1" si="78"/>
        <v>-0.82544005716702173</v>
      </c>
      <c r="Z237">
        <f t="shared" ca="1" si="80"/>
        <v>-0.9205952513730149</v>
      </c>
      <c r="AA237">
        <f t="shared" ca="1" si="81"/>
        <v>9.5155194205993165E-2</v>
      </c>
      <c r="AB237">
        <f t="shared" ca="1" si="82"/>
        <v>67.950499999999991</v>
      </c>
    </row>
    <row r="238" spans="1:28" x14ac:dyDescent="0.25">
      <c r="A238" s="20">
        <f t="shared" ca="1" si="62"/>
        <v>45635</v>
      </c>
      <c r="B238" vm="676">
        <f ca="1"/>
        <v>45635</v>
      </c>
      <c r="C238" vm="677">
        <f ca="1"/>
        <v>62.6</v>
      </c>
      <c r="D238" vm="678">
        <f ca="1"/>
        <v>22348331</v>
      </c>
      <c r="E238">
        <f t="shared" ca="1" si="63"/>
        <v>1399005520.6000001</v>
      </c>
      <c r="F238">
        <f ca="1">SUM($E$2:E238)/SUM($D$2:D238)</f>
        <v>64.090624533369194</v>
      </c>
      <c r="G238">
        <f ca="1">_xlfn.STDEV.P($C$2:C238)</f>
        <v>4.1158566072085421</v>
      </c>
      <c r="H238">
        <f t="shared" ca="1" si="64"/>
        <v>68.206481140577736</v>
      </c>
      <c r="I238">
        <f t="shared" ca="1" si="65"/>
        <v>59.974767926160652</v>
      </c>
      <c r="J238">
        <f t="shared" ca="1" si="74"/>
        <v>63.191999999999993</v>
      </c>
      <c r="K238">
        <f t="shared" ca="1" si="75"/>
        <v>0.83781419872125984</v>
      </c>
      <c r="L238">
        <f t="shared" ca="1" si="76"/>
        <v>64.867628397442516</v>
      </c>
      <c r="M238">
        <f t="shared" ca="1" si="77"/>
        <v>61.51637160255747</v>
      </c>
      <c r="N238">
        <f t="shared" ca="1" si="66"/>
        <v>7.0000000000000284E-2</v>
      </c>
      <c r="O238">
        <f t="shared" ca="1" si="67"/>
        <v>7.0000000000000284E-2</v>
      </c>
      <c r="P238">
        <f t="shared" ca="1" si="68"/>
        <v>0</v>
      </c>
      <c r="Q238">
        <f t="shared" ca="1" si="72"/>
        <v>0.1650247726221056</v>
      </c>
      <c r="R238">
        <f t="shared" ca="1" si="73"/>
        <v>0.28056483709754004</v>
      </c>
      <c r="S238">
        <f t="shared" ca="1" si="70"/>
        <v>0.58818765148653951</v>
      </c>
      <c r="T238">
        <f t="shared" ca="1" si="71"/>
        <v>37.035148267019792</v>
      </c>
      <c r="U238">
        <f>70</f>
        <v>70</v>
      </c>
      <c r="V238">
        <f>30</f>
        <v>30</v>
      </c>
      <c r="W238">
        <f t="shared" ca="1" si="69"/>
        <v>63.209183058253906</v>
      </c>
      <c r="X238">
        <f t="shared" ca="1" si="79"/>
        <v>64.034623115420928</v>
      </c>
      <c r="Y238">
        <f t="shared" ca="1" si="78"/>
        <v>-0.78816280401820649</v>
      </c>
      <c r="Z238">
        <f t="shared" ca="1" si="80"/>
        <v>-0.89410876190205324</v>
      </c>
      <c r="AA238">
        <f t="shared" ca="1" si="81"/>
        <v>0.10594595788384675</v>
      </c>
      <c r="AB238">
        <f t="shared" ca="1" si="82"/>
        <v>67.924599999999998</v>
      </c>
    </row>
    <row r="239" spans="1:28" x14ac:dyDescent="0.25">
      <c r="A239" s="20">
        <f t="shared" ca="1" si="62"/>
        <v>45635</v>
      </c>
      <c r="B239" vm="679">
        <f ca="1"/>
        <v>45636</v>
      </c>
      <c r="C239" vm="282">
        <f ca="1"/>
        <v>62.91</v>
      </c>
      <c r="D239" vm="680">
        <f ca="1"/>
        <v>14949415</v>
      </c>
      <c r="E239">
        <f t="shared" ca="1" si="63"/>
        <v>940467697.64999998</v>
      </c>
      <c r="F239">
        <f ca="1">SUM($E$2:E239)/SUM($D$2:D239)</f>
        <v>64.085233262334427</v>
      </c>
      <c r="G239">
        <f ca="1">_xlfn.STDEV.P($C$2:C239)</f>
        <v>4.1078800069209063</v>
      </c>
      <c r="H239">
        <f t="shared" ca="1" si="64"/>
        <v>68.193113269255335</v>
      </c>
      <c r="I239">
        <f t="shared" ca="1" si="65"/>
        <v>59.977353255413519</v>
      </c>
      <c r="J239">
        <f t="shared" ca="1" si="74"/>
        <v>63.169500000000006</v>
      </c>
      <c r="K239">
        <f t="shared" ca="1" si="75"/>
        <v>0.83910651102354372</v>
      </c>
      <c r="L239">
        <f t="shared" ca="1" si="76"/>
        <v>64.847713022047088</v>
      </c>
      <c r="M239">
        <f t="shared" ca="1" si="77"/>
        <v>61.491286977952917</v>
      </c>
      <c r="N239">
        <f t="shared" ca="1" si="66"/>
        <v>0.30999999999999517</v>
      </c>
      <c r="O239">
        <f t="shared" ca="1" si="67"/>
        <v>0.30999999999999517</v>
      </c>
      <c r="P239">
        <f t="shared" ca="1" si="68"/>
        <v>0</v>
      </c>
      <c r="Q239">
        <f t="shared" ca="1" si="72"/>
        <v>0.17538014600624058</v>
      </c>
      <c r="R239">
        <f t="shared" ca="1" si="73"/>
        <v>0.26052449159057289</v>
      </c>
      <c r="S239">
        <f t="shared" ca="1" si="70"/>
        <v>0.67318103160089504</v>
      </c>
      <c r="T239">
        <f t="shared" ca="1" si="71"/>
        <v>40.233604068341442</v>
      </c>
      <c r="U239">
        <f>70</f>
        <v>70</v>
      </c>
      <c r="V239">
        <f>30</f>
        <v>30</v>
      </c>
      <c r="W239">
        <f t="shared" ca="1" si="69"/>
        <v>63.163154895445615</v>
      </c>
      <c r="X239">
        <f t="shared" ca="1" si="79"/>
        <v>63.951317699463821</v>
      </c>
      <c r="Y239">
        <f t="shared" ca="1" si="78"/>
        <v>-0.77151352814357921</v>
      </c>
      <c r="Z239">
        <f t="shared" ca="1" si="80"/>
        <v>-0.86958971515035843</v>
      </c>
      <c r="AA239">
        <f t="shared" ca="1" si="81"/>
        <v>9.8076187006779225E-2</v>
      </c>
      <c r="AB239">
        <f t="shared" ca="1" si="82"/>
        <v>67.900800000000004</v>
      </c>
    </row>
    <row r="240" spans="1:28" x14ac:dyDescent="0.25">
      <c r="A240" s="20">
        <f t="shared" ca="1" si="62"/>
        <v>45635</v>
      </c>
      <c r="B240" vm="681">
        <f ca="1"/>
        <v>45637</v>
      </c>
      <c r="C240" vm="682">
        <f ca="1"/>
        <v>62.64</v>
      </c>
      <c r="D240" vm="683">
        <f ca="1"/>
        <v>32819011</v>
      </c>
      <c r="E240">
        <f t="shared" ca="1" si="63"/>
        <v>2055782849.04</v>
      </c>
      <c r="F240">
        <f ca="1">SUM($E$2:E240)/SUM($D$2:D240)</f>
        <v>64.070888725991765</v>
      </c>
      <c r="G240">
        <f ca="1">_xlfn.STDEV.P($C$2:C240)</f>
        <v>4.1003017355956279</v>
      </c>
      <c r="H240">
        <f t="shared" ca="1" si="64"/>
        <v>68.171190461587386</v>
      </c>
      <c r="I240">
        <f t="shared" ca="1" si="65"/>
        <v>59.970586990396136</v>
      </c>
      <c r="J240">
        <f t="shared" ca="1" si="74"/>
        <v>63.141500000000008</v>
      </c>
      <c r="K240">
        <f t="shared" ca="1" si="75"/>
        <v>0.84733809197112242</v>
      </c>
      <c r="L240">
        <f t="shared" ca="1" si="76"/>
        <v>64.836176183942257</v>
      </c>
      <c r="M240">
        <f t="shared" ca="1" si="77"/>
        <v>61.446823816057766</v>
      </c>
      <c r="N240">
        <f t="shared" ca="1" si="66"/>
        <v>-0.26999999999999602</v>
      </c>
      <c r="O240">
        <f t="shared" ca="1" si="67"/>
        <v>0</v>
      </c>
      <c r="P240">
        <f t="shared" ca="1" si="68"/>
        <v>0.26999999999999602</v>
      </c>
      <c r="Q240">
        <f t="shared" ca="1" si="72"/>
        <v>0.16285299272008055</v>
      </c>
      <c r="R240">
        <f t="shared" ca="1" si="73"/>
        <v>0.26120131361981741</v>
      </c>
      <c r="S240">
        <f t="shared" ca="1" si="70"/>
        <v>0.6234769284396311</v>
      </c>
      <c r="T240">
        <f t="shared" ca="1" si="71"/>
        <v>38.403805900640187</v>
      </c>
      <c r="U240">
        <f>70</f>
        <v>70</v>
      </c>
      <c r="V240">
        <f>30</f>
        <v>30</v>
      </c>
      <c r="W240">
        <f t="shared" ca="1" si="69"/>
        <v>63.082669526915517</v>
      </c>
      <c r="X240">
        <f t="shared" ca="1" si="79"/>
        <v>63.854183055059096</v>
      </c>
      <c r="Y240">
        <f t="shared" ca="1" si="78"/>
        <v>-0.65395055099799748</v>
      </c>
      <c r="Z240">
        <f t="shared" ca="1" si="80"/>
        <v>-0.82646188231988627</v>
      </c>
      <c r="AA240">
        <f t="shared" ca="1" si="81"/>
        <v>0.17251133132188878</v>
      </c>
      <c r="AB240">
        <f t="shared" ca="1" si="82"/>
        <v>67.879499999999993</v>
      </c>
    </row>
    <row r="241" spans="1:28" x14ac:dyDescent="0.25">
      <c r="A241" s="20">
        <f t="shared" ca="1" si="62"/>
        <v>45635</v>
      </c>
      <c r="B241" vm="684">
        <f ca="1"/>
        <v>45638</v>
      </c>
      <c r="C241" vm="348">
        <f ca="1"/>
        <v>63.84</v>
      </c>
      <c r="D241" vm="685">
        <f ca="1"/>
        <v>17542091</v>
      </c>
      <c r="E241">
        <f t="shared" ca="1" si="63"/>
        <v>1119887089.4400001</v>
      </c>
      <c r="F241">
        <f ca="1">SUM($E$2:E241)/SUM($D$2:D241)</f>
        <v>64.069670271758469</v>
      </c>
      <c r="G241">
        <f ca="1">_xlfn.STDEV.P($C$2:C241)</f>
        <v>4.0917737562360683</v>
      </c>
      <c r="H241">
        <f t="shared" ca="1" si="64"/>
        <v>68.161444027994534</v>
      </c>
      <c r="I241">
        <f t="shared" ca="1" si="65"/>
        <v>59.977896515522403</v>
      </c>
      <c r="J241">
        <f t="shared" ca="1" si="74"/>
        <v>63.183500000000002</v>
      </c>
      <c r="K241">
        <f t="shared" ca="1" si="75"/>
        <v>0.86066849783054933</v>
      </c>
      <c r="L241">
        <f t="shared" ca="1" si="76"/>
        <v>64.9048369956611</v>
      </c>
      <c r="M241">
        <f t="shared" ca="1" si="77"/>
        <v>61.462163004338905</v>
      </c>
      <c r="N241">
        <f t="shared" ca="1" si="66"/>
        <v>1.2000000000000028</v>
      </c>
      <c r="O241">
        <f t="shared" ca="1" si="67"/>
        <v>1.2000000000000028</v>
      </c>
      <c r="P241">
        <f t="shared" ca="1" si="68"/>
        <v>0</v>
      </c>
      <c r="Q241">
        <f t="shared" ca="1" si="72"/>
        <v>0.23693492181150358</v>
      </c>
      <c r="R241">
        <f t="shared" ca="1" si="73"/>
        <v>0.24254407693268759</v>
      </c>
      <c r="S241">
        <f t="shared" ca="1" si="70"/>
        <v>0.976873666872761</v>
      </c>
      <c r="T241">
        <f t="shared" ca="1" si="71"/>
        <v>49.41507812272539</v>
      </c>
      <c r="U241">
        <f>70</f>
        <v>70</v>
      </c>
      <c r="V241">
        <f>30</f>
        <v>30</v>
      </c>
      <c r="W241">
        <f t="shared" ca="1" si="69"/>
        <v>63.199181907390056</v>
      </c>
      <c r="X241">
        <f t="shared" ca="1" si="79"/>
        <v>63.853132458388053</v>
      </c>
      <c r="Y241">
        <f t="shared" ca="1" si="78"/>
        <v>-0.61182627487541197</v>
      </c>
      <c r="Z241">
        <f t="shared" ca="1" si="80"/>
        <v>-0.78353476083099149</v>
      </c>
      <c r="AA241">
        <f t="shared" ca="1" si="81"/>
        <v>0.17170848595557953</v>
      </c>
      <c r="AB241">
        <f t="shared" ca="1" si="82"/>
        <v>67.868300000000005</v>
      </c>
    </row>
    <row r="242" spans="1:28" x14ac:dyDescent="0.25">
      <c r="A242" s="20">
        <f t="shared" ca="1" si="62"/>
        <v>45635</v>
      </c>
      <c r="B242" vm="686">
        <f ca="1"/>
        <v>45639</v>
      </c>
      <c r="C242" vm="687">
        <f ca="1"/>
        <v>63.12</v>
      </c>
      <c r="D242" vm="688">
        <f ca="1"/>
        <v>13429033</v>
      </c>
      <c r="E242">
        <f t="shared" ca="1" si="63"/>
        <v>847640562.95999992</v>
      </c>
      <c r="F242">
        <f ca="1">SUM($E$2:E242)/SUM($D$2:D242)</f>
        <v>64.065849142318143</v>
      </c>
      <c r="G242">
        <f ca="1">_xlfn.STDEV.P($C$2:C242)</f>
        <v>4.0837163633685343</v>
      </c>
      <c r="H242">
        <f t="shared" ca="1" si="64"/>
        <v>68.149565505686681</v>
      </c>
      <c r="I242">
        <f t="shared" ca="1" si="65"/>
        <v>59.982132778949605</v>
      </c>
      <c r="J242">
        <f t="shared" ca="1" si="74"/>
        <v>63.212000000000003</v>
      </c>
      <c r="K242">
        <f t="shared" ca="1" si="75"/>
        <v>0.84792998717930368</v>
      </c>
      <c r="L242">
        <f t="shared" ca="1" si="76"/>
        <v>64.907859974358615</v>
      </c>
      <c r="M242">
        <f t="shared" ca="1" si="77"/>
        <v>61.516140025641398</v>
      </c>
      <c r="N242">
        <f t="shared" ca="1" si="66"/>
        <v>-0.72000000000000597</v>
      </c>
      <c r="O242">
        <f t="shared" ca="1" si="67"/>
        <v>0</v>
      </c>
      <c r="P242">
        <f t="shared" ca="1" si="68"/>
        <v>0.72000000000000597</v>
      </c>
      <c r="Q242">
        <f t="shared" ca="1" si="72"/>
        <v>0.22001099882496761</v>
      </c>
      <c r="R242">
        <f t="shared" ca="1" si="73"/>
        <v>0.27664807143749603</v>
      </c>
      <c r="S242">
        <f t="shared" ca="1" si="70"/>
        <v>0.79527392937085906</v>
      </c>
      <c r="T242">
        <f t="shared" ca="1" si="71"/>
        <v>44.298194072787382</v>
      </c>
      <c r="U242">
        <f>70</f>
        <v>70</v>
      </c>
      <c r="V242">
        <f>30</f>
        <v>30</v>
      </c>
      <c r="W242">
        <f t="shared" ca="1" si="69"/>
        <v>63.187000075483894</v>
      </c>
      <c r="X242">
        <f t="shared" ca="1" si="79"/>
        <v>63.798826350359306</v>
      </c>
      <c r="Y242">
        <f t="shared" ca="1" si="78"/>
        <v>-0.61732063090614986</v>
      </c>
      <c r="Z242">
        <f t="shared" ca="1" si="80"/>
        <v>-0.7502919348460233</v>
      </c>
      <c r="AA242">
        <f t="shared" ca="1" si="81"/>
        <v>0.13297130393987344</v>
      </c>
      <c r="AB242">
        <f t="shared" ca="1" si="82"/>
        <v>67.841400000000007</v>
      </c>
    </row>
    <row r="243" spans="1:28" x14ac:dyDescent="0.25">
      <c r="A243" s="20">
        <f t="shared" ca="1" si="62"/>
        <v>45642</v>
      </c>
      <c r="B243" vm="689">
        <f ca="1"/>
        <v>45642</v>
      </c>
      <c r="C243" vm="331">
        <f ca="1"/>
        <v>62.55</v>
      </c>
      <c r="D243" vm="690">
        <f ca="1"/>
        <v>24559738</v>
      </c>
      <c r="E243">
        <f t="shared" ca="1" si="63"/>
        <v>1536211611.8999999</v>
      </c>
      <c r="F243">
        <f ca="1">SUM($E$2:E243)/SUM($D$2:D243)</f>
        <v>64.054776028623934</v>
      </c>
      <c r="G243">
        <f ca="1">_xlfn.STDEV.P($C$2:C243)</f>
        <v>4.0764049829728553</v>
      </c>
      <c r="H243">
        <f t="shared" ca="1" si="64"/>
        <v>68.131181011596794</v>
      </c>
      <c r="I243">
        <f t="shared" ca="1" si="65"/>
        <v>59.97837104565108</v>
      </c>
      <c r="J243">
        <f t="shared" ca="1" si="74"/>
        <v>63.252499999999984</v>
      </c>
      <c r="K243">
        <f t="shared" ca="1" si="75"/>
        <v>0.79138037297929109</v>
      </c>
      <c r="L243">
        <f t="shared" ca="1" si="76"/>
        <v>64.835260745958564</v>
      </c>
      <c r="M243">
        <f t="shared" ca="1" si="77"/>
        <v>61.669739254041403</v>
      </c>
      <c r="N243">
        <f t="shared" ca="1" si="66"/>
        <v>-0.57000000000000028</v>
      </c>
      <c r="O243">
        <f t="shared" ca="1" si="67"/>
        <v>0</v>
      </c>
      <c r="P243">
        <f t="shared" ca="1" si="68"/>
        <v>0.57000000000000028</v>
      </c>
      <c r="Q243">
        <f t="shared" ca="1" si="72"/>
        <v>0.20429592748032707</v>
      </c>
      <c r="R243">
        <f t="shared" ca="1" si="73"/>
        <v>0.29760178062053205</v>
      </c>
      <c r="S243">
        <f t="shared" ca="1" si="70"/>
        <v>0.68647414358324021</v>
      </c>
      <c r="T243">
        <f t="shared" ca="1" si="71"/>
        <v>40.704694240060704</v>
      </c>
      <c r="U243">
        <f>70</f>
        <v>70</v>
      </c>
      <c r="V243">
        <f>30</f>
        <v>30</v>
      </c>
      <c r="W243">
        <f t="shared" ca="1" si="69"/>
        <v>63.089000063870984</v>
      </c>
      <c r="X243">
        <f t="shared" ca="1" si="79"/>
        <v>63.706320694777133</v>
      </c>
      <c r="Y243">
        <f t="shared" ca="1" si="78"/>
        <v>-0.54678406505095722</v>
      </c>
      <c r="Z243">
        <f t="shared" ca="1" si="80"/>
        <v>-0.70959036088701022</v>
      </c>
      <c r="AA243">
        <f t="shared" ca="1" si="81"/>
        <v>0.16280629583605299</v>
      </c>
      <c r="AB243">
        <f t="shared" ca="1" si="82"/>
        <v>67.806200000000004</v>
      </c>
    </row>
    <row r="244" spans="1:28" x14ac:dyDescent="0.25">
      <c r="A244" s="20">
        <f t="shared" ca="1" si="62"/>
        <v>45642</v>
      </c>
      <c r="B244" vm="691">
        <f ca="1"/>
        <v>45643</v>
      </c>
      <c r="C244" vm="692">
        <f ca="1"/>
        <v>63.4</v>
      </c>
      <c r="D244" vm="693">
        <f ca="1"/>
        <v>21902382</v>
      </c>
      <c r="E244">
        <f t="shared" ca="1" si="63"/>
        <v>1388611018.8</v>
      </c>
      <c r="F244">
        <f ca="1">SUM($E$2:E244)/SUM($D$2:D244)</f>
        <v>64.050538095196657</v>
      </c>
      <c r="G244">
        <f ca="1">_xlfn.STDEV.P($C$2:C244)</f>
        <v>4.0682169936004628</v>
      </c>
      <c r="H244">
        <f t="shared" ca="1" si="64"/>
        <v>68.118755088797116</v>
      </c>
      <c r="I244">
        <f t="shared" ca="1" si="65"/>
        <v>59.982321101596192</v>
      </c>
      <c r="J244">
        <f t="shared" ca="1" si="74"/>
        <v>63.329499999999996</v>
      </c>
      <c r="K244">
        <f t="shared" ca="1" si="75"/>
        <v>0.72050767920229242</v>
      </c>
      <c r="L244">
        <f t="shared" ca="1" si="76"/>
        <v>64.77051535840458</v>
      </c>
      <c r="M244">
        <f t="shared" ca="1" si="77"/>
        <v>61.888484641595412</v>
      </c>
      <c r="N244">
        <f t="shared" ca="1" si="66"/>
        <v>0.85000000000000142</v>
      </c>
      <c r="O244">
        <f t="shared" ca="1" si="67"/>
        <v>0.85000000000000142</v>
      </c>
      <c r="P244">
        <f t="shared" ca="1" si="68"/>
        <v>0</v>
      </c>
      <c r="Q244">
        <f t="shared" ca="1" si="72"/>
        <v>0.25041764694601809</v>
      </c>
      <c r="R244">
        <f t="shared" ca="1" si="73"/>
        <v>0.27634451057620835</v>
      </c>
      <c r="S244">
        <f t="shared" ca="1" si="70"/>
        <v>0.90617919792895496</v>
      </c>
      <c r="T244">
        <f t="shared" ca="1" si="71"/>
        <v>47.539035097723747</v>
      </c>
      <c r="U244">
        <f>70</f>
        <v>70</v>
      </c>
      <c r="V244">
        <f>30</f>
        <v>30</v>
      </c>
      <c r="W244">
        <f t="shared" ca="1" si="69"/>
        <v>63.136846207890834</v>
      </c>
      <c r="X244">
        <f t="shared" ca="1" si="79"/>
        <v>63.683630272941791</v>
      </c>
      <c r="Y244">
        <f t="shared" ca="1" si="78"/>
        <v>-0.52916386029203721</v>
      </c>
      <c r="Z244">
        <f t="shared" ca="1" si="80"/>
        <v>-0.67350506076801564</v>
      </c>
      <c r="AA244">
        <f t="shared" ca="1" si="81"/>
        <v>0.14434120047597843</v>
      </c>
      <c r="AB244">
        <f t="shared" ca="1" si="82"/>
        <v>67.769700000000014</v>
      </c>
    </row>
    <row r="245" spans="1:28" x14ac:dyDescent="0.25">
      <c r="A245" s="20">
        <f t="shared" ca="1" si="62"/>
        <v>45642</v>
      </c>
      <c r="B245" vm="694">
        <f ca="1"/>
        <v>45644</v>
      </c>
      <c r="C245" vm="255">
        <f ca="1"/>
        <v>62.85</v>
      </c>
      <c r="D245" vm="695">
        <f ca="1"/>
        <v>20946087</v>
      </c>
      <c r="E245">
        <f t="shared" ca="1" si="63"/>
        <v>1316461567.95</v>
      </c>
      <c r="F245">
        <f ca="1">SUM($E$2:E245)/SUM($D$2:D245)</f>
        <v>64.043152781102506</v>
      </c>
      <c r="G245">
        <f ca="1">_xlfn.STDEV.P($C$2:C245)</f>
        <v>4.0605842366485358</v>
      </c>
      <c r="H245">
        <f t="shared" ca="1" si="64"/>
        <v>68.103737017751044</v>
      </c>
      <c r="I245">
        <f t="shared" ca="1" si="65"/>
        <v>59.982568544453969</v>
      </c>
      <c r="J245">
        <f t="shared" ca="1" si="74"/>
        <v>63.342499999999994</v>
      </c>
      <c r="K245">
        <f t="shared" ca="1" si="75"/>
        <v>0.70871176681430403</v>
      </c>
      <c r="L245">
        <f t="shared" ca="1" si="76"/>
        <v>64.759923533628609</v>
      </c>
      <c r="M245">
        <f t="shared" ca="1" si="77"/>
        <v>61.925076466371387</v>
      </c>
      <c r="N245">
        <f t="shared" ca="1" si="66"/>
        <v>-0.54999999999999716</v>
      </c>
      <c r="O245">
        <f t="shared" ca="1" si="67"/>
        <v>0</v>
      </c>
      <c r="P245">
        <f t="shared" ca="1" si="68"/>
        <v>0.54999999999999716</v>
      </c>
      <c r="Q245">
        <f t="shared" ca="1" si="72"/>
        <v>0.23253067216415965</v>
      </c>
      <c r="R245">
        <f t="shared" ca="1" si="73"/>
        <v>0.29589133124933614</v>
      </c>
      <c r="S245">
        <f t="shared" ca="1" si="70"/>
        <v>0.7858651052139648</v>
      </c>
      <c r="T245">
        <f t="shared" ca="1" si="71"/>
        <v>44.004729300078367</v>
      </c>
      <c r="U245">
        <f>70</f>
        <v>70</v>
      </c>
      <c r="V245">
        <f>30</f>
        <v>30</v>
      </c>
      <c r="W245">
        <f t="shared" ca="1" si="69"/>
        <v>63.092716022061474</v>
      </c>
      <c r="X245">
        <f t="shared" ca="1" si="79"/>
        <v>63.621879882353511</v>
      </c>
      <c r="Y245">
        <f t="shared" ca="1" si="78"/>
        <v>-0.54123733109012306</v>
      </c>
      <c r="Z245">
        <f t="shared" ca="1" si="80"/>
        <v>-0.64705151483243717</v>
      </c>
      <c r="AA245">
        <f t="shared" ca="1" si="81"/>
        <v>0.10581418374231411</v>
      </c>
      <c r="AB245">
        <f t="shared" ca="1" si="82"/>
        <v>67.729900000000029</v>
      </c>
    </row>
    <row r="246" spans="1:28" x14ac:dyDescent="0.25">
      <c r="A246" s="20">
        <f t="shared" ca="1" si="62"/>
        <v>45642</v>
      </c>
      <c r="B246" vm="696">
        <f ca="1"/>
        <v>45645</v>
      </c>
      <c r="C246" vm="697">
        <f ca="1"/>
        <v>62.45</v>
      </c>
      <c r="D246" vm="698">
        <f ca="1"/>
        <v>21300647</v>
      </c>
      <c r="E246">
        <f t="shared" ca="1" si="63"/>
        <v>1330225405.1500001</v>
      </c>
      <c r="F246">
        <f ca="1">SUM($E$2:E246)/SUM($D$2:D246)</f>
        <v>64.033248295021622</v>
      </c>
      <c r="G246">
        <f ca="1">_xlfn.STDEV.P($C$2:C246)</f>
        <v>4.0535496172850483</v>
      </c>
      <c r="H246">
        <f t="shared" ca="1" si="64"/>
        <v>68.086797912306665</v>
      </c>
      <c r="I246">
        <f t="shared" ca="1" si="65"/>
        <v>59.979698677736572</v>
      </c>
      <c r="J246">
        <f t="shared" ca="1" si="74"/>
        <v>63.3155</v>
      </c>
      <c r="K246">
        <f t="shared" ca="1" si="75"/>
        <v>0.7327272415614936</v>
      </c>
      <c r="L246">
        <f t="shared" ca="1" si="76"/>
        <v>64.780954483122983</v>
      </c>
      <c r="M246">
        <f t="shared" ca="1" si="77"/>
        <v>61.85004551687701</v>
      </c>
      <c r="N246">
        <f t="shared" ca="1" si="66"/>
        <v>-0.39999999999999858</v>
      </c>
      <c r="O246">
        <f t="shared" ca="1" si="67"/>
        <v>0</v>
      </c>
      <c r="P246">
        <f t="shared" ca="1" si="68"/>
        <v>0.39999999999999858</v>
      </c>
      <c r="Q246">
        <f t="shared" ca="1" si="72"/>
        <v>0.21592133843814823</v>
      </c>
      <c r="R246">
        <f t="shared" ca="1" si="73"/>
        <v>0.30332766473152628</v>
      </c>
      <c r="S246">
        <f t="shared" ca="1" si="70"/>
        <v>0.71184189094410188</v>
      </c>
      <c r="T246">
        <f t="shared" ca="1" si="71"/>
        <v>41.583390072988124</v>
      </c>
      <c r="U246">
        <f>70</f>
        <v>70</v>
      </c>
      <c r="V246">
        <f>30</f>
        <v>30</v>
      </c>
      <c r="W246">
        <f t="shared" ca="1" si="69"/>
        <v>62.993836634052016</v>
      </c>
      <c r="X246">
        <f t="shared" ca="1" si="79"/>
        <v>63.535073965142139</v>
      </c>
      <c r="Y246">
        <f t="shared" ca="1" si="78"/>
        <v>-0.53655144831267165</v>
      </c>
      <c r="Z246">
        <f t="shared" ca="1" si="80"/>
        <v>-0.62495150152848411</v>
      </c>
      <c r="AA246">
        <f t="shared" ca="1" si="81"/>
        <v>8.8400053215812457E-2</v>
      </c>
      <c r="AB246">
        <f t="shared" ca="1" si="82"/>
        <v>67.677600000000027</v>
      </c>
    </row>
    <row r="247" spans="1:28" x14ac:dyDescent="0.25">
      <c r="A247" s="20">
        <f t="shared" ca="1" si="62"/>
        <v>45642</v>
      </c>
      <c r="B247" vm="699">
        <f ca="1"/>
        <v>45646</v>
      </c>
      <c r="C247" vm="331">
        <f ca="1"/>
        <v>62.55</v>
      </c>
      <c r="D247" vm="700">
        <f ca="1"/>
        <v>42458096</v>
      </c>
      <c r="E247">
        <f t="shared" ca="1" si="63"/>
        <v>2655753904.7999997</v>
      </c>
      <c r="F247">
        <f ca="1">SUM($E$2:E247)/SUM($D$2:D247)</f>
        <v>64.015092829780556</v>
      </c>
      <c r="G247">
        <f ca="1">_xlfn.STDEV.P($C$2:C247)</f>
        <v>4.0463968977092133</v>
      </c>
      <c r="H247">
        <f t="shared" ca="1" si="64"/>
        <v>68.061489727489771</v>
      </c>
      <c r="I247">
        <f t="shared" ca="1" si="65"/>
        <v>59.968695932071341</v>
      </c>
      <c r="J247">
        <f t="shared" ca="1" si="74"/>
        <v>63.254999999999995</v>
      </c>
      <c r="K247">
        <f t="shared" ca="1" si="75"/>
        <v>0.7439616571896841</v>
      </c>
      <c r="L247">
        <f t="shared" ca="1" si="76"/>
        <v>64.742923314379368</v>
      </c>
      <c r="M247">
        <f t="shared" ca="1" si="77"/>
        <v>61.76707668562063</v>
      </c>
      <c r="N247">
        <f t="shared" ca="1" si="66"/>
        <v>9.9999999999994316E-2</v>
      </c>
      <c r="O247">
        <f t="shared" ca="1" si="67"/>
        <v>9.9999999999994316E-2</v>
      </c>
      <c r="P247">
        <f t="shared" ca="1" si="68"/>
        <v>0</v>
      </c>
      <c r="Q247">
        <f t="shared" ca="1" si="72"/>
        <v>0.20764124283542293</v>
      </c>
      <c r="R247">
        <f t="shared" ca="1" si="73"/>
        <v>0.28166140296498871</v>
      </c>
      <c r="S247">
        <f t="shared" ca="1" si="70"/>
        <v>0.73720162098757036</v>
      </c>
      <c r="T247">
        <f t="shared" ca="1" si="71"/>
        <v>42.436157788552116</v>
      </c>
      <c r="U247">
        <f>70</f>
        <v>70</v>
      </c>
      <c r="V247">
        <f>30</f>
        <v>30</v>
      </c>
      <c r="W247">
        <f t="shared" ca="1" si="69"/>
        <v>62.925554074967089</v>
      </c>
      <c r="X247">
        <f t="shared" ca="1" si="79"/>
        <v>63.46210552327976</v>
      </c>
      <c r="Y247">
        <f t="shared" ca="1" si="78"/>
        <v>-0.54032687977407079</v>
      </c>
      <c r="Z247">
        <f t="shared" ca="1" si="80"/>
        <v>-0.60802657717760145</v>
      </c>
      <c r="AA247">
        <f t="shared" ca="1" si="81"/>
        <v>6.7699697403530656E-2</v>
      </c>
      <c r="AB247">
        <f t="shared" ca="1" si="82"/>
        <v>67.635700000000014</v>
      </c>
    </row>
    <row r="248" spans="1:28" x14ac:dyDescent="0.25">
      <c r="A248" s="20">
        <f t="shared" ca="1" si="62"/>
        <v>45649</v>
      </c>
      <c r="B248" vm="701">
        <f ca="1"/>
        <v>45649</v>
      </c>
      <c r="C248" vm="702">
        <f ca="1"/>
        <v>62.38</v>
      </c>
      <c r="D248" vm="703">
        <f ca="1"/>
        <v>13010758</v>
      </c>
      <c r="E248">
        <f t="shared" ca="1" si="63"/>
        <v>811611084.04000008</v>
      </c>
      <c r="F248">
        <f ca="1">SUM($E$2:E248)/SUM($D$2:D248)</f>
        <v>64.008982676926195</v>
      </c>
      <c r="G248">
        <f ca="1">_xlfn.STDEV.P($C$2:C248)</f>
        <v>4.0395451425392777</v>
      </c>
      <c r="H248">
        <f t="shared" ca="1" si="64"/>
        <v>68.048527819465477</v>
      </c>
      <c r="I248">
        <f t="shared" ca="1" si="65"/>
        <v>59.96943753438692</v>
      </c>
      <c r="J248">
        <f t="shared" ca="1" si="74"/>
        <v>63.177999999999997</v>
      </c>
      <c r="K248">
        <f t="shared" ca="1" si="75"/>
        <v>0.75117171629955604</v>
      </c>
      <c r="L248">
        <f t="shared" ca="1" si="76"/>
        <v>64.680343432599116</v>
      </c>
      <c r="M248">
        <f t="shared" ca="1" si="77"/>
        <v>61.675656567400885</v>
      </c>
      <c r="N248">
        <f t="shared" ca="1" si="66"/>
        <v>-0.1699999999999946</v>
      </c>
      <c r="O248">
        <f t="shared" ca="1" si="67"/>
        <v>0</v>
      </c>
      <c r="P248">
        <f t="shared" ca="1" si="68"/>
        <v>0.1699999999999946</v>
      </c>
      <c r="Q248">
        <f t="shared" ca="1" si="72"/>
        <v>0.19280972549003558</v>
      </c>
      <c r="R248">
        <f t="shared" ca="1" si="73"/>
        <v>0.27368558846748914</v>
      </c>
      <c r="S248">
        <f t="shared" ca="1" si="70"/>
        <v>0.70449352693241751</v>
      </c>
      <c r="T248">
        <f t="shared" ca="1" si="71"/>
        <v>41.331546045839012</v>
      </c>
      <c r="U248">
        <f>70</f>
        <v>70</v>
      </c>
      <c r="V248">
        <f>30</f>
        <v>30</v>
      </c>
      <c r="W248">
        <f t="shared" ca="1" si="69"/>
        <v>62.841622678818304</v>
      </c>
      <c r="X248">
        <f t="shared" ca="1" si="79"/>
        <v>63.381949558592375</v>
      </c>
      <c r="Y248">
        <f t="shared" ca="1" si="78"/>
        <v>-0.50043211092160789</v>
      </c>
      <c r="Z248">
        <f t="shared" ca="1" si="80"/>
        <v>-0.58650768392640273</v>
      </c>
      <c r="AA248">
        <f t="shared" ca="1" si="81"/>
        <v>8.6075573004794848E-2</v>
      </c>
      <c r="AB248">
        <f t="shared" ca="1" si="82"/>
        <v>67.579900000000009</v>
      </c>
    </row>
    <row r="249" spans="1:28" x14ac:dyDescent="0.25">
      <c r="A249" s="20">
        <f t="shared" ca="1" si="62"/>
        <v>45649</v>
      </c>
      <c r="B249" vm="704">
        <f ca="1"/>
        <v>45650</v>
      </c>
      <c r="C249" vm="705">
        <f ca="1"/>
        <v>62.84</v>
      </c>
      <c r="D249" vm="706">
        <f ca="1"/>
        <v>5019131</v>
      </c>
      <c r="E249">
        <f t="shared" ca="1" si="63"/>
        <v>315402192.04000002</v>
      </c>
      <c r="F249">
        <f ca="1">SUM($E$2:E249)/SUM($D$2:D249)</f>
        <v>64.007299932916212</v>
      </c>
      <c r="G249">
        <f ca="1">_xlfn.STDEV.P($C$2:C249)</f>
        <v>4.0320819727678749</v>
      </c>
      <c r="H249">
        <f t="shared" ca="1" si="64"/>
        <v>68.039381905684081</v>
      </c>
      <c r="I249">
        <f t="shared" ca="1" si="65"/>
        <v>59.975217960148335</v>
      </c>
      <c r="J249">
        <f t="shared" ca="1" si="74"/>
        <v>63.100999999999999</v>
      </c>
      <c r="K249">
        <f t="shared" ca="1" si="75"/>
        <v>0.69856168020628773</v>
      </c>
      <c r="L249">
        <f t="shared" ca="1" si="76"/>
        <v>64.498123360412578</v>
      </c>
      <c r="M249">
        <f t="shared" ca="1" si="77"/>
        <v>61.703876639587421</v>
      </c>
      <c r="N249">
        <f t="shared" ca="1" si="66"/>
        <v>0.46000000000000085</v>
      </c>
      <c r="O249">
        <f t="shared" ca="1" si="67"/>
        <v>0.46000000000000085</v>
      </c>
      <c r="P249">
        <f t="shared" ca="1" si="68"/>
        <v>0</v>
      </c>
      <c r="Q249">
        <f t="shared" ca="1" si="72"/>
        <v>0.21189474509789025</v>
      </c>
      <c r="R249">
        <f t="shared" ca="1" si="73"/>
        <v>0.2541366178626685</v>
      </c>
      <c r="S249">
        <f t="shared" ca="1" si="70"/>
        <v>0.83378281681703537</v>
      </c>
      <c r="T249">
        <f t="shared" ca="1" si="71"/>
        <v>45.467915238962867</v>
      </c>
      <c r="U249">
        <f>70</f>
        <v>70</v>
      </c>
      <c r="V249">
        <f>30</f>
        <v>30</v>
      </c>
      <c r="W249">
        <f t="shared" ca="1" si="69"/>
        <v>62.841373035923183</v>
      </c>
      <c r="X249">
        <f t="shared" ca="1" si="79"/>
        <v>63.341805146844791</v>
      </c>
      <c r="Y249">
        <f t="shared" ca="1" si="78"/>
        <v>-0.48501105713781101</v>
      </c>
      <c r="Z249">
        <f t="shared" ca="1" si="80"/>
        <v>-0.56620835856868434</v>
      </c>
      <c r="AA249">
        <f t="shared" ca="1" si="81"/>
        <v>8.1197301430873337E-2</v>
      </c>
      <c r="AB249">
        <f t="shared" ca="1" si="82"/>
        <v>67.515000000000029</v>
      </c>
    </row>
    <row r="250" spans="1:28" x14ac:dyDescent="0.25">
      <c r="A250" s="20">
        <f t="shared" ca="1" si="62"/>
        <v>45649</v>
      </c>
      <c r="B250" vm="707">
        <f ca="1"/>
        <v>45652</v>
      </c>
      <c r="C250" vm="279">
        <f ca="1"/>
        <v>62.57</v>
      </c>
      <c r="D250" vm="708">
        <f ca="1"/>
        <v>7945641</v>
      </c>
      <c r="E250">
        <f t="shared" ca="1" si="63"/>
        <v>497158757.37</v>
      </c>
      <c r="F250">
        <f ca="1">SUM($E$2:E250)/SUM($D$2:D250)</f>
        <v>64.004032029312924</v>
      </c>
      <c r="G250">
        <f ca="1">_xlfn.STDEV.P($C$2:C250)</f>
        <v>4.0250101756895731</v>
      </c>
      <c r="H250">
        <f t="shared" ca="1" si="64"/>
        <v>68.029042205002497</v>
      </c>
      <c r="I250">
        <f t="shared" ca="1" si="65"/>
        <v>59.979021853623351</v>
      </c>
      <c r="J250">
        <f t="shared" ca="1" si="74"/>
        <v>63.001999999999995</v>
      </c>
      <c r="K250">
        <f t="shared" ca="1" si="75"/>
        <v>0.61806659494707739</v>
      </c>
      <c r="L250">
        <f t="shared" ca="1" si="76"/>
        <v>64.238133189894157</v>
      </c>
      <c r="M250">
        <f t="shared" ca="1" si="77"/>
        <v>61.765866810105841</v>
      </c>
      <c r="N250">
        <f t="shared" ca="1" si="66"/>
        <v>-0.27000000000000313</v>
      </c>
      <c r="O250">
        <f t="shared" ca="1" si="67"/>
        <v>0</v>
      </c>
      <c r="P250">
        <f t="shared" ca="1" si="68"/>
        <v>0.27000000000000313</v>
      </c>
      <c r="Q250">
        <f t="shared" ca="1" si="72"/>
        <v>0.19675940616232665</v>
      </c>
      <c r="R250">
        <f t="shared" ca="1" si="73"/>
        <v>0.25526971658676384</v>
      </c>
      <c r="S250">
        <f t="shared" ca="1" si="70"/>
        <v>0.77079024019462927</v>
      </c>
      <c r="T250">
        <f t="shared" ca="1" si="71"/>
        <v>43.528037522383848</v>
      </c>
      <c r="U250">
        <f>70</f>
        <v>70</v>
      </c>
      <c r="V250">
        <f>30</f>
        <v>30</v>
      </c>
      <c r="W250">
        <f t="shared" ca="1" si="69"/>
        <v>62.79962333808885</v>
      </c>
      <c r="X250">
        <f t="shared" ca="1" si="79"/>
        <v>63.284634395226661</v>
      </c>
      <c r="Y250">
        <f t="shared" ca="1" si="78"/>
        <v>-0.47697449298083683</v>
      </c>
      <c r="Z250">
        <f t="shared" ca="1" si="80"/>
        <v>-0.54836158545111491</v>
      </c>
      <c r="AA250">
        <f t="shared" ca="1" si="81"/>
        <v>7.138709247027808E-2</v>
      </c>
      <c r="AB250">
        <f t="shared" ca="1" si="82"/>
        <v>67.459700000000026</v>
      </c>
    </row>
    <row r="251" spans="1:28" x14ac:dyDescent="0.25">
      <c r="A251" s="20">
        <f t="shared" ca="1" si="62"/>
        <v>45649</v>
      </c>
      <c r="B251" vm="709">
        <f ca="1"/>
        <v>45653</v>
      </c>
      <c r="C251" vm="697">
        <f ca="1"/>
        <v>62.45</v>
      </c>
      <c r="D251" vm="710">
        <f ca="1"/>
        <v>8542773</v>
      </c>
      <c r="E251">
        <f t="shared" ca="1" si="63"/>
        <v>533496173.85000002</v>
      </c>
      <c r="F251">
        <f ca="1">SUM($E$2:E251)/SUM($D$2:D251)</f>
        <v>64.00024244666271</v>
      </c>
      <c r="G251">
        <f ca="1">_xlfn.STDEV.P($C$2:C251)</f>
        <v>4.0181523985035721</v>
      </c>
      <c r="H251">
        <f t="shared" ca="1" si="64"/>
        <v>68.018394845166284</v>
      </c>
      <c r="I251">
        <f t="shared" ca="1" si="65"/>
        <v>59.982090048159137</v>
      </c>
      <c r="J251">
        <f t="shared" ca="1" si="74"/>
        <v>62.902999999999999</v>
      </c>
      <c r="K251">
        <f t="shared" ca="1" si="75"/>
        <v>0.52952908572766688</v>
      </c>
      <c r="L251">
        <f t="shared" ca="1" si="76"/>
        <v>63.962058171455332</v>
      </c>
      <c r="M251">
        <f t="shared" ca="1" si="77"/>
        <v>61.843941828544665</v>
      </c>
      <c r="N251">
        <f t="shared" ca="1" si="66"/>
        <v>-0.11999999999999744</v>
      </c>
      <c r="O251">
        <f t="shared" ca="1" si="67"/>
        <v>0</v>
      </c>
      <c r="P251">
        <f t="shared" ca="1" si="68"/>
        <v>0.11999999999999744</v>
      </c>
      <c r="Q251">
        <f t="shared" ca="1" si="72"/>
        <v>0.18270516286501759</v>
      </c>
      <c r="R251">
        <f t="shared" ca="1" si="73"/>
        <v>0.24560759397342338</v>
      </c>
      <c r="S251">
        <f t="shared" ca="1" si="70"/>
        <v>0.74389052842066306</v>
      </c>
      <c r="T251">
        <f t="shared" ca="1" si="71"/>
        <v>42.656951012536325</v>
      </c>
      <c r="U251">
        <f>70</f>
        <v>70</v>
      </c>
      <c r="V251">
        <f>30</f>
        <v>30</v>
      </c>
      <c r="W251">
        <f t="shared" ca="1" si="69"/>
        <v>62.745835132229033</v>
      </c>
      <c r="X251">
        <f t="shared" ca="1" si="79"/>
        <v>63.222809625209869</v>
      </c>
      <c r="Y251">
        <f t="shared" ca="1" si="78"/>
        <v>-0.49874670632816276</v>
      </c>
      <c r="Z251">
        <f t="shared" ca="1" si="80"/>
        <v>-0.53843860962652457</v>
      </c>
      <c r="AA251">
        <f t="shared" ca="1" si="81"/>
        <v>3.9691903298361808E-2</v>
      </c>
      <c r="AB251">
        <f t="shared" ca="1" si="82"/>
        <v>67.403700000000015</v>
      </c>
    </row>
    <row r="252" spans="1:28" x14ac:dyDescent="0.25">
      <c r="A252" s="20">
        <f t="shared" ca="1" si="62"/>
        <v>45656</v>
      </c>
      <c r="B252" vm="711">
        <f ca="1"/>
        <v>45656</v>
      </c>
      <c r="C252" vm="712">
        <f ca="1"/>
        <v>62.03</v>
      </c>
      <c r="D252" vm="713">
        <f ca="1"/>
        <v>8972212</v>
      </c>
      <c r="E252">
        <f t="shared" ca="1" si="63"/>
        <v>556546310.36000001</v>
      </c>
      <c r="F252">
        <f ca="1">SUM($E$2:E252)/SUM($D$2:D252)</f>
        <v>63.995209284934667</v>
      </c>
      <c r="G252">
        <f ca="1">_xlfn.STDEV.P($C$2:C252)</f>
        <v>4.0120591909990715</v>
      </c>
      <c r="H252">
        <f t="shared" ca="1" si="64"/>
        <v>68.007268475933742</v>
      </c>
      <c r="I252">
        <f t="shared" ca="1" si="65"/>
        <v>59.983150093935592</v>
      </c>
      <c r="J252">
        <f t="shared" ca="1" si="74"/>
        <v>62.8005</v>
      </c>
      <c r="K252">
        <f t="shared" ca="1" si="75"/>
        <v>0.48635567448654593</v>
      </c>
      <c r="L252">
        <f t="shared" ca="1" si="76"/>
        <v>63.773211348973092</v>
      </c>
      <c r="M252">
        <f t="shared" ca="1" si="77"/>
        <v>61.827788651026907</v>
      </c>
      <c r="N252">
        <f t="shared" ca="1" si="66"/>
        <v>-0.42000000000000171</v>
      </c>
      <c r="O252">
        <f t="shared" ca="1" si="67"/>
        <v>0</v>
      </c>
      <c r="P252">
        <f t="shared" ca="1" si="68"/>
        <v>0.42000000000000171</v>
      </c>
      <c r="Q252">
        <f t="shared" ca="1" si="72"/>
        <v>0.16965479408894493</v>
      </c>
      <c r="R252">
        <f t="shared" ca="1" si="73"/>
        <v>0.25806419440389328</v>
      </c>
      <c r="S252">
        <f t="shared" ca="1" si="70"/>
        <v>0.65741314668171358</v>
      </c>
      <c r="T252">
        <f t="shared" ca="1" si="71"/>
        <v>39.665013397408622</v>
      </c>
      <c r="U252">
        <f>70</f>
        <v>70</v>
      </c>
      <c r="V252">
        <f>30</f>
        <v>30</v>
      </c>
      <c r="W252">
        <f t="shared" ca="1" si="69"/>
        <v>62.635706650347643</v>
      </c>
      <c r="X252">
        <f t="shared" ca="1" si="79"/>
        <v>63.134453356675806</v>
      </c>
      <c r="Y252">
        <f t="shared" ca="1" si="78"/>
        <v>-0.49177340674184933</v>
      </c>
      <c r="Z252">
        <f t="shared" ca="1" si="80"/>
        <v>-0.5291055690495895</v>
      </c>
      <c r="AA252">
        <f t="shared" ca="1" si="81"/>
        <v>3.7332162307740169E-2</v>
      </c>
      <c r="AB252">
        <f t="shared" ca="1" si="82"/>
        <v>67.339400000000012</v>
      </c>
    </row>
    <row r="253" spans="1:28" x14ac:dyDescent="0.25">
      <c r="A253" s="20">
        <f t="shared" ca="1" si="62"/>
        <v>45656</v>
      </c>
      <c r="B253" vm="714">
        <f ca="1"/>
        <v>45657</v>
      </c>
      <c r="C253" vm="715">
        <f ca="1"/>
        <v>62.26</v>
      </c>
      <c r="D253" vm="716">
        <f ca="1"/>
        <v>9256664</v>
      </c>
      <c r="E253">
        <f t="shared" ca="1" si="63"/>
        <v>576319900.63999999</v>
      </c>
      <c r="F253">
        <f ca="1">SUM($E$2:E253)/SUM($D$2:D253)</f>
        <v>63.990648023781475</v>
      </c>
      <c r="G253">
        <f ca="1">_xlfn.STDEV.P($C$2:C253)</f>
        <v>4.0055708724597938</v>
      </c>
      <c r="H253">
        <f t="shared" ca="1" si="64"/>
        <v>67.996218896241274</v>
      </c>
      <c r="I253">
        <f t="shared" ca="1" si="65"/>
        <v>59.985077151321683</v>
      </c>
      <c r="J253">
        <f t="shared" ca="1" si="74"/>
        <v>62.731000000000009</v>
      </c>
      <c r="K253">
        <f t="shared" ca="1" si="75"/>
        <v>0.45700282159672567</v>
      </c>
      <c r="L253">
        <f t="shared" ca="1" si="76"/>
        <v>63.645005643193457</v>
      </c>
      <c r="M253">
        <f t="shared" ca="1" si="77"/>
        <v>61.816994356806561</v>
      </c>
      <c r="N253">
        <f t="shared" ca="1" si="66"/>
        <v>0.22999999999999687</v>
      </c>
      <c r="O253">
        <f t="shared" ca="1" si="67"/>
        <v>0.22999999999999687</v>
      </c>
      <c r="P253">
        <f t="shared" ca="1" si="68"/>
        <v>0</v>
      </c>
      <c r="Q253">
        <f t="shared" ca="1" si="72"/>
        <v>0.17396516593973435</v>
      </c>
      <c r="R253">
        <f t="shared" ca="1" si="73"/>
        <v>0.23963103766075802</v>
      </c>
      <c r="S253">
        <f t="shared" ca="1" si="70"/>
        <v>0.72597092445935218</v>
      </c>
      <c r="T253">
        <f t="shared" ca="1" si="71"/>
        <v>42.061596413436526</v>
      </c>
      <c r="U253">
        <f>70</f>
        <v>70</v>
      </c>
      <c r="V253">
        <f>30</f>
        <v>30</v>
      </c>
      <c r="W253">
        <f t="shared" ca="1" si="69"/>
        <v>62.577905627217234</v>
      </c>
      <c r="X253">
        <f t="shared" ca="1" si="79"/>
        <v>63.069679033959083</v>
      </c>
      <c r="Y253">
        <f t="shared" ca="1" si="78"/>
        <v>-0.5142100135418346</v>
      </c>
      <c r="Z253">
        <f t="shared" ca="1" si="80"/>
        <v>-0.52612645794803858</v>
      </c>
      <c r="AA253">
        <f t="shared" ca="1" si="81"/>
        <v>1.1916444406203985E-2</v>
      </c>
      <c r="AB253">
        <f t="shared" ca="1" si="82"/>
        <v>67.27470000000001</v>
      </c>
    </row>
    <row r="254" spans="1:28" x14ac:dyDescent="0.25">
      <c r="A254" s="20">
        <f t="shared" ca="1" si="62"/>
        <v>45656</v>
      </c>
      <c r="B254" vm="717">
        <f ca="1"/>
        <v>45659</v>
      </c>
      <c r="C254" vm="718">
        <f ca="1"/>
        <v>61.84</v>
      </c>
      <c r="D254" vm="719">
        <f ca="1"/>
        <v>12990975</v>
      </c>
      <c r="E254">
        <f t="shared" ca="1" si="63"/>
        <v>803361894</v>
      </c>
      <c r="F254">
        <f ca="1">SUM($E$2:E254)/SUM($D$2:D254)</f>
        <v>63.982743231641017</v>
      </c>
      <c r="G254">
        <f ca="1">_xlfn.STDEV.P($C$2:C254)</f>
        <v>3.9999117426873778</v>
      </c>
      <c r="H254">
        <f t="shared" ca="1" si="64"/>
        <v>67.982654974328398</v>
      </c>
      <c r="I254">
        <f t="shared" ca="1" si="65"/>
        <v>59.982831488953636</v>
      </c>
      <c r="J254">
        <f t="shared" ca="1" si="74"/>
        <v>62.646999999999991</v>
      </c>
      <c r="K254">
        <f t="shared" ca="1" si="75"/>
        <v>0.45874083957582917</v>
      </c>
      <c r="L254">
        <f t="shared" ca="1" si="76"/>
        <v>63.564481679151648</v>
      </c>
      <c r="M254">
        <f t="shared" ca="1" si="77"/>
        <v>61.729518320848335</v>
      </c>
      <c r="N254">
        <f t="shared" ca="1" si="66"/>
        <v>-0.4199999999999946</v>
      </c>
      <c r="O254">
        <f t="shared" ca="1" si="67"/>
        <v>0</v>
      </c>
      <c r="P254">
        <f t="shared" ca="1" si="68"/>
        <v>0.4199999999999946</v>
      </c>
      <c r="Q254">
        <f t="shared" ca="1" si="72"/>
        <v>0.16153908265832476</v>
      </c>
      <c r="R254">
        <f t="shared" ca="1" si="73"/>
        <v>0.25251453497070347</v>
      </c>
      <c r="S254">
        <f t="shared" ca="1" si="70"/>
        <v>0.63972191809499757</v>
      </c>
      <c r="T254">
        <f t="shared" ca="1" si="71"/>
        <v>39.014049335768846</v>
      </c>
      <c r="U254">
        <f>70</f>
        <v>70</v>
      </c>
      <c r="V254">
        <f>30</f>
        <v>30</v>
      </c>
      <c r="W254">
        <f t="shared" ca="1" si="69"/>
        <v>62.46438168456843</v>
      </c>
      <c r="X254">
        <f t="shared" ca="1" si="79"/>
        <v>62.978591698110264</v>
      </c>
      <c r="Y254">
        <f t="shared" ca="1" si="78"/>
        <v>-0.53310809563821238</v>
      </c>
      <c r="Z254">
        <f t="shared" ca="1" si="80"/>
        <v>-0.52752278548607334</v>
      </c>
      <c r="AA254">
        <f t="shared" ca="1" si="81"/>
        <v>-5.5853101521390336E-3</v>
      </c>
      <c r="AB254">
        <f t="shared" ca="1" si="82"/>
        <v>67.206300000000013</v>
      </c>
    </row>
    <row r="255" spans="1:28" x14ac:dyDescent="0.25">
      <c r="A255" s="20">
        <f t="shared" ca="1" si="62"/>
        <v>45656</v>
      </c>
      <c r="B255" vm="720">
        <f ca="1"/>
        <v>45660</v>
      </c>
      <c r="C255" vm="721">
        <f ca="1"/>
        <v>61.75</v>
      </c>
      <c r="D255" vm="722">
        <f ca="1"/>
        <v>10403204</v>
      </c>
      <c r="E255">
        <f t="shared" ca="1" si="63"/>
        <v>642397847</v>
      </c>
      <c r="F255">
        <f ca="1">SUM($E$2:E255)/SUM($D$2:D255)</f>
        <v>63.976190704207404</v>
      </c>
      <c r="G255">
        <f ca="1">_xlfn.STDEV.P($C$2:C255)</f>
        <v>3.9944642184013595</v>
      </c>
      <c r="H255">
        <f t="shared" ca="1" si="64"/>
        <v>67.970654922608759</v>
      </c>
      <c r="I255">
        <f t="shared" ca="1" si="65"/>
        <v>59.981726485806043</v>
      </c>
      <c r="J255">
        <f t="shared" ca="1" si="74"/>
        <v>62.624000000000009</v>
      </c>
      <c r="K255">
        <f t="shared" ca="1" si="75"/>
        <v>0.49212108052260539</v>
      </c>
      <c r="L255">
        <f t="shared" ca="1" si="76"/>
        <v>63.608242161045219</v>
      </c>
      <c r="M255">
        <f t="shared" ca="1" si="77"/>
        <v>61.6397578389548</v>
      </c>
      <c r="N255">
        <f t="shared" ca="1" si="66"/>
        <v>-9.0000000000003411E-2</v>
      </c>
      <c r="O255">
        <f t="shared" ca="1" si="67"/>
        <v>0</v>
      </c>
      <c r="P255">
        <f t="shared" ca="1" si="68"/>
        <v>9.0000000000003411E-2</v>
      </c>
      <c r="Q255">
        <f t="shared" ca="1" si="72"/>
        <v>0.1500005767541587</v>
      </c>
      <c r="R255">
        <f t="shared" ca="1" si="73"/>
        <v>0.24090635390136778</v>
      </c>
      <c r="S255">
        <f t="shared" ca="1" si="70"/>
        <v>0.62265097754778254</v>
      </c>
      <c r="T255">
        <f t="shared" ca="1" si="71"/>
        <v>38.372452620018045</v>
      </c>
      <c r="U255">
        <f>70</f>
        <v>70</v>
      </c>
      <c r="V255">
        <f>30</f>
        <v>30</v>
      </c>
      <c r="W255">
        <f t="shared" ca="1" si="69"/>
        <v>62.354476810019442</v>
      </c>
      <c r="X255">
        <f t="shared" ca="1" si="79"/>
        <v>62.887584905657654</v>
      </c>
      <c r="Y255">
        <f t="shared" ca="1" si="78"/>
        <v>-0.61682473436741958</v>
      </c>
      <c r="Z255">
        <f t="shared" ca="1" si="80"/>
        <v>-0.54538317526234259</v>
      </c>
      <c r="AA255">
        <f t="shared" ca="1" si="81"/>
        <v>-7.144155910507699E-2</v>
      </c>
      <c r="AB255">
        <f t="shared" ca="1" si="82"/>
        <v>67.142100000000013</v>
      </c>
    </row>
    <row r="256" spans="1:28" x14ac:dyDescent="0.25">
      <c r="A256" s="20">
        <f t="shared" ca="1" si="62"/>
        <v>45663</v>
      </c>
      <c r="B256" vm="723">
        <f ca="1"/>
        <v>45663</v>
      </c>
      <c r="C256" vm="724">
        <f ca="1"/>
        <v>60.81</v>
      </c>
      <c r="D256" vm="725">
        <f ca="1"/>
        <v>17924237</v>
      </c>
      <c r="E256">
        <f t="shared" ca="1" si="63"/>
        <v>1089972851.97</v>
      </c>
      <c r="F256">
        <f ca="1">SUM($E$2:E256)/SUM($D$2:D256)</f>
        <v>63.960261640316538</v>
      </c>
      <c r="G256">
        <f ca="1">_xlfn.STDEV.P($C$2:C256)</f>
        <v>3.9915062500002247</v>
      </c>
      <c r="H256">
        <f t="shared" ca="1" si="64"/>
        <v>67.951767890316759</v>
      </c>
      <c r="I256">
        <f t="shared" ca="1" si="65"/>
        <v>59.968755390316311</v>
      </c>
      <c r="J256">
        <f t="shared" ca="1" si="74"/>
        <v>62.518499999999996</v>
      </c>
      <c r="K256">
        <f t="shared" ca="1" si="75"/>
        <v>0.63170008706663916</v>
      </c>
      <c r="L256">
        <f t="shared" ca="1" si="76"/>
        <v>63.781900174133277</v>
      </c>
      <c r="M256">
        <f t="shared" ca="1" si="77"/>
        <v>61.255099825866715</v>
      </c>
      <c r="N256">
        <f t="shared" ca="1" si="66"/>
        <v>-0.93999999999999773</v>
      </c>
      <c r="O256">
        <f t="shared" ca="1" si="67"/>
        <v>0</v>
      </c>
      <c r="P256">
        <f t="shared" ca="1" si="68"/>
        <v>0.93999999999999773</v>
      </c>
      <c r="Q256">
        <f t="shared" ca="1" si="72"/>
        <v>0.13928624984314736</v>
      </c>
      <c r="R256">
        <f t="shared" ca="1" si="73"/>
        <v>0.29084161433698419</v>
      </c>
      <c r="S256">
        <f t="shared" ca="1" si="70"/>
        <v>0.47890756678912899</v>
      </c>
      <c r="T256">
        <f t="shared" ca="1" si="71"/>
        <v>32.382521906280459</v>
      </c>
      <c r="U256">
        <f>70</f>
        <v>70</v>
      </c>
      <c r="V256">
        <f>30</f>
        <v>30</v>
      </c>
      <c r="W256">
        <f t="shared" ca="1" si="69"/>
        <v>62.116864993093373</v>
      </c>
      <c r="X256">
        <f t="shared" ca="1" si="79"/>
        <v>62.733689727460792</v>
      </c>
      <c r="Y256">
        <f t="shared" ca="1" si="78"/>
        <v>-0.67299218939038497</v>
      </c>
      <c r="Z256">
        <f t="shared" ca="1" si="80"/>
        <v>-0.57090497808795104</v>
      </c>
      <c r="AA256">
        <f t="shared" ca="1" si="81"/>
        <v>-0.10208721130243392</v>
      </c>
      <c r="AB256">
        <f t="shared" ca="1" si="82"/>
        <v>67.065600000000032</v>
      </c>
    </row>
    <row r="257" spans="1:28" x14ac:dyDescent="0.25">
      <c r="A257" s="20">
        <f t="shared" ca="1" si="62"/>
        <v>45663</v>
      </c>
      <c r="B257" vm="726">
        <f ca="1"/>
        <v>45664</v>
      </c>
      <c r="C257" vm="727">
        <f ca="1"/>
        <v>60.84</v>
      </c>
      <c r="D257" vm="728">
        <f ca="1"/>
        <v>17799629</v>
      </c>
      <c r="E257">
        <f t="shared" ca="1" si="63"/>
        <v>1082929428.3600001</v>
      </c>
      <c r="F257">
        <f ca="1">SUM($E$2:E257)/SUM($D$2:D257)</f>
        <v>63.944750271255835</v>
      </c>
      <c r="G257">
        <f ca="1">_xlfn.STDEV.P($C$2:C257)</f>
        <v>3.9884396116255161</v>
      </c>
      <c r="H257">
        <f t="shared" ca="1" si="64"/>
        <v>67.933189882881351</v>
      </c>
      <c r="I257">
        <f t="shared" ca="1" si="65"/>
        <v>59.956310659630319</v>
      </c>
      <c r="J257">
        <f t="shared" ca="1" si="74"/>
        <v>62.43399999999999</v>
      </c>
      <c r="K257">
        <f t="shared" ca="1" si="75"/>
        <v>0.73471369289425581</v>
      </c>
      <c r="L257">
        <f t="shared" ca="1" si="76"/>
        <v>63.903427385788504</v>
      </c>
      <c r="M257">
        <f t="shared" ca="1" si="77"/>
        <v>60.964572614211477</v>
      </c>
      <c r="N257">
        <f t="shared" ca="1" si="66"/>
        <v>3.0000000000001137E-2</v>
      </c>
      <c r="O257">
        <f t="shared" ca="1" si="67"/>
        <v>3.0000000000001137E-2</v>
      </c>
      <c r="P257">
        <f t="shared" ca="1" si="68"/>
        <v>0</v>
      </c>
      <c r="Q257">
        <f t="shared" ca="1" si="72"/>
        <v>0.13148008914006548</v>
      </c>
      <c r="R257">
        <f t="shared" ca="1" si="73"/>
        <v>0.27006721331291389</v>
      </c>
      <c r="S257">
        <f t="shared" ca="1" si="70"/>
        <v>0.48684209951737395</v>
      </c>
      <c r="T257">
        <f t="shared" ca="1" si="71"/>
        <v>32.743362571950442</v>
      </c>
      <c r="U257">
        <f>70</f>
        <v>70</v>
      </c>
      <c r="V257">
        <f>30</f>
        <v>30</v>
      </c>
      <c r="W257">
        <f t="shared" ca="1" si="69"/>
        <v>61.920424224925164</v>
      </c>
      <c r="X257">
        <f t="shared" ca="1" si="79"/>
        <v>62.593416414315548</v>
      </c>
      <c r="Y257">
        <f t="shared" ca="1" si="78"/>
        <v>-0.63992689415891135</v>
      </c>
      <c r="Z257">
        <f t="shared" ca="1" si="80"/>
        <v>-0.58470936130214313</v>
      </c>
      <c r="AA257">
        <f t="shared" ca="1" si="81"/>
        <v>-5.5217532856768226E-2</v>
      </c>
      <c r="AB257">
        <f t="shared" ca="1" si="82"/>
        <v>66.98820000000002</v>
      </c>
    </row>
    <row r="258" spans="1:28" x14ac:dyDescent="0.25">
      <c r="A258" s="20">
        <f t="shared" ca="1" si="62"/>
        <v>45663</v>
      </c>
      <c r="B258" vm="729">
        <f ca="1"/>
        <v>45665</v>
      </c>
      <c r="C258" vm="730">
        <f ca="1"/>
        <v>61.71</v>
      </c>
      <c r="D258" vm="731">
        <f ca="1"/>
        <v>14412397</v>
      </c>
      <c r="E258">
        <f t="shared" ca="1" si="63"/>
        <v>889389018.87</v>
      </c>
      <c r="F258">
        <f ca="1">SUM($E$2:E258)/SUM($D$2:D258)</f>
        <v>63.935791080510533</v>
      </c>
      <c r="G258">
        <f ca="1">_xlfn.STDEV.P($C$2:C258)</f>
        <v>3.9830995859527691</v>
      </c>
      <c r="H258">
        <f t="shared" ca="1" si="64"/>
        <v>67.918890666463298</v>
      </c>
      <c r="I258">
        <f t="shared" ca="1" si="65"/>
        <v>59.952691494557762</v>
      </c>
      <c r="J258">
        <f t="shared" ca="1" si="74"/>
        <v>62.389499999999998</v>
      </c>
      <c r="K258">
        <f t="shared" ca="1" si="75"/>
        <v>0.75090454225483705</v>
      </c>
      <c r="L258">
        <f t="shared" ca="1" si="76"/>
        <v>63.891309084509672</v>
      </c>
      <c r="M258">
        <f t="shared" ca="1" si="77"/>
        <v>60.887690915490325</v>
      </c>
      <c r="N258">
        <f t="shared" ca="1" si="66"/>
        <v>0.86999999999999744</v>
      </c>
      <c r="O258">
        <f t="shared" ca="1" si="67"/>
        <v>0.86999999999999744</v>
      </c>
      <c r="P258">
        <f t="shared" ca="1" si="68"/>
        <v>0</v>
      </c>
      <c r="Q258">
        <f t="shared" ca="1" si="72"/>
        <v>0.18423151134434632</v>
      </c>
      <c r="R258">
        <f t="shared" ca="1" si="73"/>
        <v>0.25077669807627717</v>
      </c>
      <c r="S258">
        <f t="shared" ca="1" si="70"/>
        <v>0.73464366010716742</v>
      </c>
      <c r="T258">
        <f t="shared" ca="1" si="71"/>
        <v>42.351272310405271</v>
      </c>
      <c r="U258">
        <f>70</f>
        <v>70</v>
      </c>
      <c r="V258">
        <f>30</f>
        <v>30</v>
      </c>
      <c r="W258">
        <f t="shared" ca="1" si="69"/>
        <v>61.888051267244371</v>
      </c>
      <c r="X258">
        <f t="shared" ca="1" si="79"/>
        <v>62.527978161403283</v>
      </c>
      <c r="Y258">
        <f t="shared" ca="1" si="78"/>
        <v>-0.65778255294726051</v>
      </c>
      <c r="Z258">
        <f t="shared" ca="1" si="80"/>
        <v>-0.59932399963116656</v>
      </c>
      <c r="AA258">
        <f t="shared" ca="1" si="81"/>
        <v>-5.8458553316093953E-2</v>
      </c>
      <c r="AB258">
        <f t="shared" ca="1" si="82"/>
        <v>66.918800000000033</v>
      </c>
    </row>
    <row r="259" spans="1:28" x14ac:dyDescent="0.25">
      <c r="A259" s="20">
        <f t="shared" ref="A259:A322" ca="1" si="83">B259 - WEEKDAY(B259, 2) + 1</f>
        <v>45663</v>
      </c>
      <c r="B259" vm="732">
        <f ca="1"/>
        <v>45667</v>
      </c>
      <c r="C259" vm="733">
        <f ca="1"/>
        <v>61.07</v>
      </c>
      <c r="D259" vm="734">
        <f ca="1"/>
        <v>22424951</v>
      </c>
      <c r="E259">
        <f t="shared" ref="E259:E322" ca="1" si="84">C259*D259</f>
        <v>1369491757.5699999</v>
      </c>
      <c r="F259">
        <f ca="1">SUM($E$2:E259)/SUM($D$2:D259)</f>
        <v>63.918025518664635</v>
      </c>
      <c r="G259">
        <f ca="1">_xlfn.STDEV.P($C$2:C259)</f>
        <v>3.9793554298077698</v>
      </c>
      <c r="H259">
        <f t="shared" ref="H259:H322" ca="1" si="85">F259 + G259</f>
        <v>67.897380948472403</v>
      </c>
      <c r="I259">
        <f t="shared" ref="I259:I322" ca="1" si="86">F259 - G259</f>
        <v>59.938670088856867</v>
      </c>
      <c r="J259">
        <f t="shared" ca="1" si="74"/>
        <v>62.297499999999999</v>
      </c>
      <c r="K259">
        <f t="shared" ca="1" si="75"/>
        <v>0.79518865686074736</v>
      </c>
      <c r="L259">
        <f t="shared" ca="1" si="76"/>
        <v>63.887877313721496</v>
      </c>
      <c r="M259">
        <f t="shared" ca="1" si="77"/>
        <v>60.707122686278502</v>
      </c>
      <c r="N259">
        <f t="shared" ca="1" si="66"/>
        <v>-0.64000000000000057</v>
      </c>
      <c r="O259">
        <f t="shared" ca="1" si="67"/>
        <v>0</v>
      </c>
      <c r="P259">
        <f t="shared" ca="1" si="68"/>
        <v>0.64000000000000057</v>
      </c>
      <c r="Q259">
        <f t="shared" ca="1" si="72"/>
        <v>0.17107211767689301</v>
      </c>
      <c r="R259">
        <f t="shared" ca="1" si="73"/>
        <v>0.27857836249940027</v>
      </c>
      <c r="S259">
        <f t="shared" ca="1" si="70"/>
        <v>0.61408975249203457</v>
      </c>
      <c r="T259">
        <f t="shared" ca="1" si="71"/>
        <v>38.045576557556707</v>
      </c>
      <c r="U259">
        <f>70</f>
        <v>70</v>
      </c>
      <c r="V259">
        <f>30</f>
        <v>30</v>
      </c>
      <c r="W259">
        <f t="shared" ca="1" si="69"/>
        <v>61.76219722612985</v>
      </c>
      <c r="X259">
        <f t="shared" ca="1" si="79"/>
        <v>62.41997977907711</v>
      </c>
      <c r="Y259">
        <f t="shared" ca="1" si="78"/>
        <v>-0.61800812546864847</v>
      </c>
      <c r="Z259">
        <f t="shared" ca="1" si="80"/>
        <v>-0.60306082479866296</v>
      </c>
      <c r="AA259">
        <f t="shared" ca="1" si="81"/>
        <v>-1.4947300669985508E-2</v>
      </c>
      <c r="AB259">
        <f t="shared" ca="1" si="82"/>
        <v>66.837700000000027</v>
      </c>
    </row>
    <row r="260" spans="1:28" x14ac:dyDescent="0.25">
      <c r="A260" s="20">
        <f t="shared" ca="1" si="83"/>
        <v>45670</v>
      </c>
      <c r="B260" vm="735">
        <f ca="1"/>
        <v>45670</v>
      </c>
      <c r="C260" vm="736">
        <f ca="1"/>
        <v>61.65</v>
      </c>
      <c r="D260" vm="737">
        <f ca="1"/>
        <v>18016173</v>
      </c>
      <c r="E260">
        <f t="shared" ca="1" si="84"/>
        <v>1110697065.45</v>
      </c>
      <c r="F260">
        <f ca="1">SUM($E$2:E260)/SUM($D$2:D260)</f>
        <v>63.906785790711531</v>
      </c>
      <c r="G260">
        <f ca="1">_xlfn.STDEV.P($C$2:C260)</f>
        <v>3.9741674694240912</v>
      </c>
      <c r="H260">
        <f t="shared" ca="1" si="85"/>
        <v>67.880953260135627</v>
      </c>
      <c r="I260">
        <f t="shared" ca="1" si="86"/>
        <v>59.932618321287443</v>
      </c>
      <c r="J260">
        <f t="shared" ca="1" si="74"/>
        <v>62.248000000000005</v>
      </c>
      <c r="K260">
        <f t="shared" ca="1" si="75"/>
        <v>0.80351595798518005</v>
      </c>
      <c r="L260">
        <f t="shared" ca="1" si="76"/>
        <v>63.855031915970365</v>
      </c>
      <c r="M260">
        <f t="shared" ca="1" si="77"/>
        <v>60.640968084029645</v>
      </c>
      <c r="N260">
        <f t="shared" ref="N260:N323" ca="1" si="87">C260-C259</f>
        <v>0.57999999999999829</v>
      </c>
      <c r="O260">
        <f t="shared" ref="O260:O323" ca="1" si="88">MAX(N260,0)</f>
        <v>0.57999999999999829</v>
      </c>
      <c r="P260">
        <f t="shared" ref="P260:P323" ca="1" si="89">MAX(-N260,0)</f>
        <v>0</v>
      </c>
      <c r="Q260">
        <f t="shared" ca="1" si="72"/>
        <v>0.20028125212854336</v>
      </c>
      <c r="R260">
        <f t="shared" ca="1" si="73"/>
        <v>0.25867990803515739</v>
      </c>
      <c r="S260">
        <f t="shared" ca="1" si="70"/>
        <v>0.77424355702694536</v>
      </c>
      <c r="T260">
        <f t="shared" ca="1" si="71"/>
        <v>43.637952295812504</v>
      </c>
      <c r="U260">
        <f>70</f>
        <v>70</v>
      </c>
      <c r="V260">
        <f>30</f>
        <v>30</v>
      </c>
      <c r="W260">
        <f t="shared" ca="1" si="69"/>
        <v>61.74493611441757</v>
      </c>
      <c r="X260">
        <f t="shared" ca="1" si="79"/>
        <v>62.362944239886218</v>
      </c>
      <c r="Y260">
        <f t="shared" ca="1" si="78"/>
        <v>-0.54869188598576812</v>
      </c>
      <c r="Z260">
        <f t="shared" ca="1" si="80"/>
        <v>-0.592187037036084</v>
      </c>
      <c r="AA260">
        <f t="shared" ca="1" si="81"/>
        <v>4.3495151050315872E-2</v>
      </c>
      <c r="AB260">
        <f t="shared" ca="1" si="82"/>
        <v>66.764400000000023</v>
      </c>
    </row>
    <row r="261" spans="1:28" x14ac:dyDescent="0.25">
      <c r="A261" s="20">
        <f t="shared" ca="1" si="83"/>
        <v>45670</v>
      </c>
      <c r="B261" vm="738">
        <f ca="1"/>
        <v>45671</v>
      </c>
      <c r="C261" vm="234">
        <f ca="1"/>
        <v>62.04</v>
      </c>
      <c r="D261" vm="739">
        <f ca="1"/>
        <v>16658287</v>
      </c>
      <c r="E261">
        <f t="shared" ca="1" si="84"/>
        <v>1033480125.48</v>
      </c>
      <c r="F261">
        <f ca="1">SUM($E$2:E261)/SUM($D$2:D261)</f>
        <v>63.898270790559764</v>
      </c>
      <c r="G261">
        <f ca="1">_xlfn.STDEV.P($C$2:C261)</f>
        <v>3.9682142959050051</v>
      </c>
      <c r="H261">
        <f t="shared" ca="1" si="85"/>
        <v>67.866485086464763</v>
      </c>
      <c r="I261">
        <f t="shared" ca="1" si="86"/>
        <v>59.930056494654757</v>
      </c>
      <c r="J261">
        <f t="shared" ca="1" si="74"/>
        <v>62.158000000000001</v>
      </c>
      <c r="K261">
        <f t="shared" ca="1" si="75"/>
        <v>0.71133381015784936</v>
      </c>
      <c r="L261">
        <f t="shared" ca="1" si="76"/>
        <v>63.580667620315701</v>
      </c>
      <c r="M261">
        <f t="shared" ca="1" si="77"/>
        <v>60.735332379684301</v>
      </c>
      <c r="N261">
        <f t="shared" ca="1" si="87"/>
        <v>0.39000000000000057</v>
      </c>
      <c r="O261">
        <f t="shared" ca="1" si="88"/>
        <v>0.39000000000000057</v>
      </c>
      <c r="P261">
        <f t="shared" ca="1" si="89"/>
        <v>0</v>
      </c>
      <c r="Q261">
        <f t="shared" ca="1" si="72"/>
        <v>0.2138325912622189</v>
      </c>
      <c r="R261">
        <f t="shared" ca="1" si="73"/>
        <v>0.24020277174693186</v>
      </c>
      <c r="S261">
        <f t="shared" ca="1" si="70"/>
        <v>0.89021700169015727</v>
      </c>
      <c r="T261">
        <f t="shared" ca="1" si="71"/>
        <v>47.096021297774826</v>
      </c>
      <c r="U261">
        <f>70</f>
        <v>70</v>
      </c>
      <c r="V261">
        <f>30</f>
        <v>30</v>
      </c>
      <c r="W261">
        <f t="shared" ca="1" si="69"/>
        <v>61.790330558353325</v>
      </c>
      <c r="X261">
        <f t="shared" ca="1" si="79"/>
        <v>62.339022444339093</v>
      </c>
      <c r="Y261">
        <f t="shared" ca="1" si="78"/>
        <v>-0.50966985350218152</v>
      </c>
      <c r="Z261">
        <f t="shared" ca="1" si="80"/>
        <v>-0.57568360032930355</v>
      </c>
      <c r="AA261">
        <f t="shared" ca="1" si="81"/>
        <v>6.6013746827122022E-2</v>
      </c>
      <c r="AB261">
        <f t="shared" ca="1" si="82"/>
        <v>66.691000000000017</v>
      </c>
    </row>
    <row r="262" spans="1:28" x14ac:dyDescent="0.25">
      <c r="A262" s="20">
        <f t="shared" ca="1" si="83"/>
        <v>45670</v>
      </c>
      <c r="B262" vm="740">
        <f ca="1"/>
        <v>45672</v>
      </c>
      <c r="C262" vm="237">
        <f ca="1"/>
        <v>61.77</v>
      </c>
      <c r="D262" vm="741">
        <f ca="1"/>
        <v>16187203</v>
      </c>
      <c r="E262">
        <f t="shared" ca="1" si="84"/>
        <v>999883529.31000006</v>
      </c>
      <c r="F262">
        <f ca="1">SUM($E$2:E262)/SUM($D$2:D262)</f>
        <v>63.88887922812517</v>
      </c>
      <c r="G262">
        <f ca="1">_xlfn.STDEV.P($C$2:C262)</f>
        <v>3.9628056796338447</v>
      </c>
      <c r="H262">
        <f t="shared" ca="1" si="85"/>
        <v>67.851684907759008</v>
      </c>
      <c r="I262">
        <f t="shared" ca="1" si="86"/>
        <v>59.926073548491324</v>
      </c>
      <c r="J262">
        <f t="shared" ca="1" si="74"/>
        <v>62.090500000000006</v>
      </c>
      <c r="K262">
        <f t="shared" ca="1" si="75"/>
        <v>0.67853925922955161</v>
      </c>
      <c r="L262">
        <f t="shared" ca="1" si="76"/>
        <v>63.44757851845911</v>
      </c>
      <c r="M262">
        <f t="shared" ca="1" si="77"/>
        <v>60.733421481540901</v>
      </c>
      <c r="N262">
        <f t="shared" ca="1" si="87"/>
        <v>-0.26999999999999602</v>
      </c>
      <c r="O262">
        <f t="shared" ca="1" si="88"/>
        <v>0</v>
      </c>
      <c r="P262">
        <f t="shared" ca="1" si="89"/>
        <v>0.26999999999999602</v>
      </c>
      <c r="Q262">
        <f t="shared" ca="1" si="72"/>
        <v>0.19855883474348898</v>
      </c>
      <c r="R262">
        <f t="shared" ca="1" si="73"/>
        <v>0.24233114519357929</v>
      </c>
      <c r="S262">
        <f t="shared" ca="1" si="70"/>
        <v>0.81936985270661744</v>
      </c>
      <c r="T262">
        <f t="shared" ca="1" si="71"/>
        <v>45.035914577108521</v>
      </c>
      <c r="U262">
        <f>70</f>
        <v>70</v>
      </c>
      <c r="V262">
        <f>30</f>
        <v>30</v>
      </c>
      <c r="W262">
        <f t="shared" ca="1" si="69"/>
        <v>61.787202780145122</v>
      </c>
      <c r="X262">
        <f t="shared" ca="1" si="79"/>
        <v>62.296872633647304</v>
      </c>
      <c r="Y262">
        <f t="shared" ca="1" si="78"/>
        <v>-0.43499823427997342</v>
      </c>
      <c r="Z262">
        <f t="shared" ca="1" si="80"/>
        <v>-0.54754652711943752</v>
      </c>
      <c r="AA262">
        <f t="shared" ca="1" si="81"/>
        <v>0.1125482928394641</v>
      </c>
      <c r="AB262">
        <f t="shared" ca="1" si="82"/>
        <v>66.613000000000014</v>
      </c>
    </row>
    <row r="263" spans="1:28" x14ac:dyDescent="0.25">
      <c r="A263" s="20">
        <f t="shared" ca="1" si="83"/>
        <v>45670</v>
      </c>
      <c r="B263" vm="742">
        <f ca="1"/>
        <v>45673</v>
      </c>
      <c r="C263" vm="743">
        <f ca="1"/>
        <v>62.25</v>
      </c>
      <c r="D263" vm="744">
        <f ca="1"/>
        <v>12585528</v>
      </c>
      <c r="E263">
        <f t="shared" ca="1" si="84"/>
        <v>783449118</v>
      </c>
      <c r="F263">
        <f ca="1">SUM($E$2:E263)/SUM($D$2:D263)</f>
        <v>63.883275590225502</v>
      </c>
      <c r="G263">
        <f ca="1">_xlfn.STDEV.P($C$2:C263)</f>
        <v>3.9565429409507491</v>
      </c>
      <c r="H263">
        <f t="shared" ca="1" si="85"/>
        <v>67.839818531176249</v>
      </c>
      <c r="I263">
        <f t="shared" ca="1" si="86"/>
        <v>59.926732649274754</v>
      </c>
      <c r="J263">
        <f t="shared" ca="1" si="74"/>
        <v>62.075500000000012</v>
      </c>
      <c r="K263">
        <f t="shared" ca="1" si="75"/>
        <v>0.67112219453688116</v>
      </c>
      <c r="L263">
        <f t="shared" ca="1" si="76"/>
        <v>63.417744389073775</v>
      </c>
      <c r="M263">
        <f t="shared" ca="1" si="77"/>
        <v>60.73325561092625</v>
      </c>
      <c r="N263">
        <f t="shared" ca="1" si="87"/>
        <v>0.47999999999999687</v>
      </c>
      <c r="O263">
        <f t="shared" ca="1" si="88"/>
        <v>0.47999999999999687</v>
      </c>
      <c r="P263">
        <f t="shared" ca="1" si="89"/>
        <v>0</v>
      </c>
      <c r="Q263">
        <f t="shared" ca="1" si="72"/>
        <v>0.21866177511895385</v>
      </c>
      <c r="R263">
        <f t="shared" ca="1" si="73"/>
        <v>0.22502177767975221</v>
      </c>
      <c r="S263">
        <f t="shared" ca="1" si="70"/>
        <v>0.9717360576101669</v>
      </c>
      <c r="T263">
        <f t="shared" ca="1" si="71"/>
        <v>49.283272670275899</v>
      </c>
      <c r="U263">
        <f>70</f>
        <v>70</v>
      </c>
      <c r="V263">
        <f>30</f>
        <v>30</v>
      </c>
      <c r="W263">
        <f t="shared" ca="1" si="69"/>
        <v>61.858402352430488</v>
      </c>
      <c r="X263">
        <f t="shared" ca="1" si="79"/>
        <v>62.293400586710462</v>
      </c>
      <c r="Y263">
        <f t="shared" ca="1" si="78"/>
        <v>-0.33484242737619496</v>
      </c>
      <c r="Z263">
        <f t="shared" ca="1" si="80"/>
        <v>-0.50500570717078908</v>
      </c>
      <c r="AA263">
        <f t="shared" ca="1" si="81"/>
        <v>0.17016327979459411</v>
      </c>
      <c r="AB263">
        <f t="shared" ca="1" si="82"/>
        <v>66.542200000000037</v>
      </c>
    </row>
    <row r="264" spans="1:28" x14ac:dyDescent="0.25">
      <c r="A264" s="20">
        <f t="shared" ca="1" si="83"/>
        <v>45670</v>
      </c>
      <c r="B264" vm="745">
        <f ca="1"/>
        <v>45674</v>
      </c>
      <c r="C264" vm="746">
        <f ca="1"/>
        <v>62.71</v>
      </c>
      <c r="D264" vm="747">
        <f ca="1"/>
        <v>17948868</v>
      </c>
      <c r="E264">
        <f t="shared" ca="1" si="84"/>
        <v>1125573512.28</v>
      </c>
      <c r="F264">
        <f ca="1">SUM($E$2:E264)/SUM($D$2:D264)</f>
        <v>63.877582131500382</v>
      </c>
      <c r="G264">
        <f ca="1">_xlfn.STDEV.P($C$2:C264)</f>
        <v>3.9496848453365554</v>
      </c>
      <c r="H264">
        <f t="shared" ca="1" si="85"/>
        <v>67.827266976836938</v>
      </c>
      <c r="I264">
        <f t="shared" ca="1" si="86"/>
        <v>59.927897286163827</v>
      </c>
      <c r="J264">
        <f t="shared" ca="1" si="74"/>
        <v>62.041000000000011</v>
      </c>
      <c r="K264">
        <f t="shared" ca="1" si="75"/>
        <v>0.61482475038356266</v>
      </c>
      <c r="L264">
        <f t="shared" ca="1" si="76"/>
        <v>63.270649500767135</v>
      </c>
      <c r="M264">
        <f t="shared" ca="1" si="77"/>
        <v>60.811350499232887</v>
      </c>
      <c r="N264">
        <f t="shared" ca="1" si="87"/>
        <v>0.46000000000000085</v>
      </c>
      <c r="O264">
        <f t="shared" ca="1" si="88"/>
        <v>0.46000000000000085</v>
      </c>
      <c r="P264">
        <f t="shared" ca="1" si="89"/>
        <v>0</v>
      </c>
      <c r="Q264">
        <f t="shared" ca="1" si="72"/>
        <v>0.23590021975331435</v>
      </c>
      <c r="R264">
        <f t="shared" ca="1" si="73"/>
        <v>0.20894879355976989</v>
      </c>
      <c r="S264">
        <f t="shared" ca="1" si="70"/>
        <v>1.1289857947221646</v>
      </c>
      <c r="T264">
        <f t="shared" ca="1" si="71"/>
        <v>53.029277955774184</v>
      </c>
      <c r="U264">
        <f>70</f>
        <v>70</v>
      </c>
      <c r="V264">
        <f>30</f>
        <v>30</v>
      </c>
      <c r="W264">
        <f t="shared" ca="1" si="69"/>
        <v>61.989417375133492</v>
      </c>
      <c r="X264">
        <f t="shared" ca="1" si="79"/>
        <v>62.324259802509687</v>
      </c>
      <c r="Y264">
        <f t="shared" ca="1" si="78"/>
        <v>-0.27569081310826959</v>
      </c>
      <c r="Z264">
        <f t="shared" ca="1" si="80"/>
        <v>-0.45914272835828523</v>
      </c>
      <c r="AA264">
        <f t="shared" ca="1" si="81"/>
        <v>0.18345191525001564</v>
      </c>
      <c r="AB264">
        <f t="shared" ca="1" si="82"/>
        <v>66.471400000000031</v>
      </c>
    </row>
    <row r="265" spans="1:28" x14ac:dyDescent="0.25">
      <c r="A265" s="20">
        <f t="shared" ca="1" si="83"/>
        <v>45677</v>
      </c>
      <c r="B265" vm="748">
        <f ca="1"/>
        <v>45678</v>
      </c>
      <c r="C265" vm="749">
        <f ca="1"/>
        <v>62.42</v>
      </c>
      <c r="D265" vm="750">
        <f ca="1"/>
        <v>19817068</v>
      </c>
      <c r="E265">
        <f t="shared" ca="1" si="84"/>
        <v>1236981384.5599999</v>
      </c>
      <c r="F265">
        <f ca="1">SUM($E$2:E265)/SUM($D$2:D265)</f>
        <v>63.869814459049906</v>
      </c>
      <c r="G265">
        <f ca="1">_xlfn.STDEV.P($C$2:C265)</f>
        <v>3.9432291265391939</v>
      </c>
      <c r="H265">
        <f t="shared" ca="1" si="85"/>
        <v>67.813043585589099</v>
      </c>
      <c r="I265">
        <f t="shared" ca="1" si="86"/>
        <v>59.926585332510712</v>
      </c>
      <c r="J265">
        <f t="shared" ca="1" si="74"/>
        <v>62.019500000000015</v>
      </c>
      <c r="K265">
        <f t="shared" ca="1" si="75"/>
        <v>0.59214574130645248</v>
      </c>
      <c r="L265">
        <f t="shared" ca="1" si="76"/>
        <v>63.203791482612921</v>
      </c>
      <c r="M265">
        <f t="shared" ca="1" si="77"/>
        <v>60.835208517387109</v>
      </c>
      <c r="N265">
        <f t="shared" ca="1" si="87"/>
        <v>-0.28999999999999915</v>
      </c>
      <c r="O265">
        <f t="shared" ca="1" si="88"/>
        <v>0</v>
      </c>
      <c r="P265">
        <f t="shared" ca="1" si="89"/>
        <v>0.28999999999999915</v>
      </c>
      <c r="Q265">
        <f t="shared" ca="1" si="72"/>
        <v>0.21905020405664904</v>
      </c>
      <c r="R265">
        <f t="shared" ca="1" si="73"/>
        <v>0.21473816544835769</v>
      </c>
      <c r="S265">
        <f t="shared" ca="1" si="70"/>
        <v>1.0200804482020609</v>
      </c>
      <c r="T265">
        <f t="shared" ca="1" si="71"/>
        <v>50.497021002800487</v>
      </c>
      <c r="U265">
        <f>70</f>
        <v>70</v>
      </c>
      <c r="V265">
        <f>30</f>
        <v>30</v>
      </c>
      <c r="W265">
        <f t="shared" ca="1" si="69"/>
        <v>62.055660855882181</v>
      </c>
      <c r="X265">
        <f t="shared" ca="1" si="79"/>
        <v>62.33135166899045</v>
      </c>
      <c r="Y265">
        <f t="shared" ca="1" si="78"/>
        <v>-0.27725931118202141</v>
      </c>
      <c r="Z265">
        <f t="shared" ca="1" si="80"/>
        <v>-0.42276604492303249</v>
      </c>
      <c r="AA265">
        <f t="shared" ca="1" si="81"/>
        <v>0.14550673374101109</v>
      </c>
      <c r="AB265">
        <f t="shared" ca="1" si="82"/>
        <v>66.387200000000036</v>
      </c>
    </row>
    <row r="266" spans="1:28" x14ac:dyDescent="0.25">
      <c r="A266" s="20">
        <f t="shared" ca="1" si="83"/>
        <v>45677</v>
      </c>
      <c r="B266" vm="751">
        <f ca="1"/>
        <v>45679</v>
      </c>
      <c r="C266" vm="752">
        <f ca="1"/>
        <v>61.78</v>
      </c>
      <c r="D266" vm="753">
        <f ca="1"/>
        <v>18191886</v>
      </c>
      <c r="E266">
        <f t="shared" ca="1" si="84"/>
        <v>1123894717.0799999</v>
      </c>
      <c r="F266">
        <f ca="1">SUM($E$2:E266)/SUM($D$2:D266)</f>
        <v>63.859640628784732</v>
      </c>
      <c r="G266">
        <f ca="1">_xlfn.STDEV.P($C$2:C266)</f>
        <v>3.9378933275324481</v>
      </c>
      <c r="H266">
        <f t="shared" ca="1" si="85"/>
        <v>67.797533956317181</v>
      </c>
      <c r="I266">
        <f t="shared" ca="1" si="86"/>
        <v>59.921747301252282</v>
      </c>
      <c r="J266">
        <f t="shared" ca="1" si="74"/>
        <v>61.986000000000004</v>
      </c>
      <c r="K266">
        <f t="shared" ca="1" si="75"/>
        <v>0.58542292404722218</v>
      </c>
      <c r="L266">
        <f t="shared" ca="1" si="76"/>
        <v>63.156845848094449</v>
      </c>
      <c r="M266">
        <f t="shared" ca="1" si="77"/>
        <v>60.81515415190556</v>
      </c>
      <c r="N266">
        <f t="shared" ca="1" si="87"/>
        <v>-0.64000000000000057</v>
      </c>
      <c r="O266">
        <f t="shared" ca="1" si="88"/>
        <v>0</v>
      </c>
      <c r="P266">
        <f t="shared" ca="1" si="89"/>
        <v>0.64000000000000057</v>
      </c>
      <c r="Q266">
        <f t="shared" ca="1" si="72"/>
        <v>0.20340376090974552</v>
      </c>
      <c r="R266">
        <f t="shared" ca="1" si="73"/>
        <v>0.24511401077347506</v>
      </c>
      <c r="S266">
        <f t="shared" ca="1" si="70"/>
        <v>0.82983326929329815</v>
      </c>
      <c r="T266">
        <f t="shared" ca="1" si="71"/>
        <v>45.350212132375809</v>
      </c>
      <c r="U266">
        <f>70</f>
        <v>70</v>
      </c>
      <c r="V266">
        <f>30</f>
        <v>30</v>
      </c>
      <c r="W266">
        <f t="shared" ca="1" si="69"/>
        <v>62.013251493438766</v>
      </c>
      <c r="X266">
        <f t="shared" ca="1" si="79"/>
        <v>62.290510804620787</v>
      </c>
      <c r="Y266">
        <f t="shared" ca="1" si="78"/>
        <v>-0.29527156111237218</v>
      </c>
      <c r="Z266">
        <f t="shared" ca="1" si="80"/>
        <v>-0.39726714816090042</v>
      </c>
      <c r="AA266">
        <f t="shared" ca="1" si="81"/>
        <v>0.10199558704852824</v>
      </c>
      <c r="AB266">
        <f t="shared" ca="1" si="82"/>
        <v>66.29000000000002</v>
      </c>
    </row>
    <row r="267" spans="1:28" x14ac:dyDescent="0.25">
      <c r="A267" s="20">
        <f t="shared" ca="1" si="83"/>
        <v>45677</v>
      </c>
      <c r="B267" vm="754">
        <f ca="1"/>
        <v>45680</v>
      </c>
      <c r="C267" vm="755">
        <f ca="1"/>
        <v>61.53</v>
      </c>
      <c r="D267" vm="756">
        <f ca="1"/>
        <v>16528423</v>
      </c>
      <c r="E267">
        <f t="shared" ca="1" si="84"/>
        <v>1016993867.1900001</v>
      </c>
      <c r="F267">
        <f ca="1">SUM($E$2:E267)/SUM($D$2:D267)</f>
        <v>63.849381684421132</v>
      </c>
      <c r="G267">
        <f ca="1">_xlfn.STDEV.P($C$2:C267)</f>
        <v>3.9331031645683465</v>
      </c>
      <c r="H267">
        <f t="shared" ca="1" si="85"/>
        <v>67.782484848989483</v>
      </c>
      <c r="I267">
        <f t="shared" ca="1" si="86"/>
        <v>59.916278519852789</v>
      </c>
      <c r="J267">
        <f t="shared" ca="1" si="74"/>
        <v>61.935000000000002</v>
      </c>
      <c r="K267">
        <f t="shared" ca="1" si="75"/>
        <v>0.57808668080688019</v>
      </c>
      <c r="L267">
        <f t="shared" ca="1" si="76"/>
        <v>63.091173361613762</v>
      </c>
      <c r="M267">
        <f t="shared" ca="1" si="77"/>
        <v>60.778826638386242</v>
      </c>
      <c r="N267">
        <f t="shared" ca="1" si="87"/>
        <v>-0.25</v>
      </c>
      <c r="O267">
        <f t="shared" ca="1" si="88"/>
        <v>0</v>
      </c>
      <c r="P267">
        <f t="shared" ca="1" si="89"/>
        <v>0.25</v>
      </c>
      <c r="Q267">
        <f t="shared" ca="1" si="72"/>
        <v>0.18887492084476371</v>
      </c>
      <c r="R267">
        <f t="shared" ca="1" si="73"/>
        <v>0.24546301000394113</v>
      </c>
      <c r="S267">
        <f t="shared" ca="1" si="70"/>
        <v>0.76946388313958647</v>
      </c>
      <c r="T267">
        <f t="shared" ca="1" si="71"/>
        <v>43.485707194786876</v>
      </c>
      <c r="U267">
        <f>70</f>
        <v>70</v>
      </c>
      <c r="V267">
        <f>30</f>
        <v>30</v>
      </c>
      <c r="W267">
        <f t="shared" ca="1" si="69"/>
        <v>61.938905109832803</v>
      </c>
      <c r="X267">
        <f t="shared" ca="1" si="79"/>
        <v>62.234176670945175</v>
      </c>
      <c r="Y267">
        <f t="shared" ca="1" si="78"/>
        <v>-0.27490769355224387</v>
      </c>
      <c r="Z267">
        <f t="shared" ca="1" si="80"/>
        <v>-0.37279525723916918</v>
      </c>
      <c r="AA267">
        <f t="shared" ca="1" si="81"/>
        <v>9.7887563686925305E-2</v>
      </c>
      <c r="AB267">
        <f t="shared" ca="1" si="82"/>
        <v>66.187800000000024</v>
      </c>
    </row>
    <row r="268" spans="1:28" x14ac:dyDescent="0.25">
      <c r="A268" s="20">
        <f t="shared" ca="1" si="83"/>
        <v>45677</v>
      </c>
      <c r="B268" vm="757">
        <f ca="1"/>
        <v>45681</v>
      </c>
      <c r="C268" vm="758">
        <f ca="1"/>
        <v>61.92</v>
      </c>
      <c r="D268" vm="759">
        <f ca="1"/>
        <v>19244604</v>
      </c>
      <c r="E268">
        <f t="shared" ca="1" si="84"/>
        <v>1191625879.6800001</v>
      </c>
      <c r="F268">
        <f ca="1">SUM($E$2:E268)/SUM($D$2:D268)</f>
        <v>63.839539570848153</v>
      </c>
      <c r="G268">
        <f ca="1">_xlfn.STDEV.P($C$2:C268)</f>
        <v>3.927530323720374</v>
      </c>
      <c r="H268">
        <f t="shared" ca="1" si="85"/>
        <v>67.767069894568522</v>
      </c>
      <c r="I268">
        <f t="shared" ca="1" si="86"/>
        <v>59.912009247127777</v>
      </c>
      <c r="J268">
        <f t="shared" ca="1" si="74"/>
        <v>61.911999999999999</v>
      </c>
      <c r="K268">
        <f t="shared" ca="1" si="75"/>
        <v>0.56852162852899712</v>
      </c>
      <c r="L268">
        <f t="shared" ca="1" si="76"/>
        <v>63.049043257057996</v>
      </c>
      <c r="M268">
        <f t="shared" ca="1" si="77"/>
        <v>60.774956742942003</v>
      </c>
      <c r="N268">
        <f t="shared" ca="1" si="87"/>
        <v>0.39000000000000057</v>
      </c>
      <c r="O268">
        <f t="shared" ca="1" si="88"/>
        <v>0.39000000000000057</v>
      </c>
      <c r="P268">
        <f t="shared" ca="1" si="89"/>
        <v>0</v>
      </c>
      <c r="Q268">
        <f t="shared" ca="1" si="72"/>
        <v>0.20324099792728062</v>
      </c>
      <c r="R268">
        <f t="shared" ca="1" si="73"/>
        <v>0.22792993786080248</v>
      </c>
      <c r="S268">
        <f t="shared" ca="1" si="70"/>
        <v>0.89168189064922454</v>
      </c>
      <c r="T268">
        <f t="shared" ca="1" si="71"/>
        <v>47.136989313948533</v>
      </c>
      <c r="U268">
        <f>70</f>
        <v>70</v>
      </c>
      <c r="V268">
        <f>30</f>
        <v>30</v>
      </c>
      <c r="W268">
        <f t="shared" ca="1" si="69"/>
        <v>61.935996631396989</v>
      </c>
      <c r="X268">
        <f t="shared" ca="1" si="79"/>
        <v>62.210904324949233</v>
      </c>
      <c r="Y268">
        <f t="shared" ca="1" si="78"/>
        <v>-0.10026468969685709</v>
      </c>
      <c r="Z268">
        <f t="shared" ca="1" si="80"/>
        <v>-0.31828914373070677</v>
      </c>
      <c r="AA268">
        <f t="shared" ca="1" si="81"/>
        <v>0.21802445403384968</v>
      </c>
      <c r="AB268">
        <f t="shared" ca="1" si="82"/>
        <v>66.086500000000029</v>
      </c>
    </row>
    <row r="269" spans="1:28" x14ac:dyDescent="0.25">
      <c r="A269" s="20">
        <f t="shared" ca="1" si="83"/>
        <v>45684</v>
      </c>
      <c r="B269" vm="760">
        <f ca="1"/>
        <v>45684</v>
      </c>
      <c r="C269" vm="761">
        <f ca="1"/>
        <v>63.87</v>
      </c>
      <c r="D269" vm="762">
        <f ca="1"/>
        <v>20742915</v>
      </c>
      <c r="E269">
        <f t="shared" ca="1" si="84"/>
        <v>1324849981.05</v>
      </c>
      <c r="F269">
        <f ca="1">SUM($E$2:E269)/SUM($D$2:D269)</f>
        <v>63.839706136593456</v>
      </c>
      <c r="G269">
        <f ca="1">_xlfn.STDEV.P($C$2:C269)</f>
        <v>3.9201960531130253</v>
      </c>
      <c r="H269">
        <f t="shared" ca="1" si="85"/>
        <v>67.75990218970648</v>
      </c>
      <c r="I269">
        <f t="shared" ca="1" si="86"/>
        <v>59.919510083480432</v>
      </c>
      <c r="J269">
        <f t="shared" ca="1" si="74"/>
        <v>61.963499999999996</v>
      </c>
      <c r="K269">
        <f t="shared" ca="1" si="75"/>
        <v>0.69056250908036354</v>
      </c>
      <c r="L269">
        <f t="shared" ca="1" si="76"/>
        <v>63.344625018160727</v>
      </c>
      <c r="M269">
        <f t="shared" ca="1" si="77"/>
        <v>60.582374981839266</v>
      </c>
      <c r="N269">
        <f t="shared" ca="1" si="87"/>
        <v>1.9499999999999957</v>
      </c>
      <c r="O269">
        <f t="shared" ca="1" si="88"/>
        <v>1.9499999999999957</v>
      </c>
      <c r="P269">
        <f t="shared" ca="1" si="89"/>
        <v>0</v>
      </c>
      <c r="Q269">
        <f t="shared" ca="1" si="72"/>
        <v>0.32800949807533175</v>
      </c>
      <c r="R269">
        <f t="shared" ca="1" si="73"/>
        <v>0.21164922801360228</v>
      </c>
      <c r="S269">
        <f t="shared" ca="1" si="70"/>
        <v>1.5497788541626583</v>
      </c>
      <c r="T269">
        <f t="shared" ca="1" si="71"/>
        <v>60.780912494923101</v>
      </c>
      <c r="U269">
        <f>70</f>
        <v>70</v>
      </c>
      <c r="V269">
        <f>30</f>
        <v>30</v>
      </c>
      <c r="W269">
        <f t="shared" ca="1" si="69"/>
        <v>62.233535611182063</v>
      </c>
      <c r="X269">
        <f t="shared" ca="1" si="79"/>
        <v>62.33380030087892</v>
      </c>
      <c r="Y269">
        <f t="shared" ca="1" si="78"/>
        <v>-8.2749348332129102E-2</v>
      </c>
      <c r="Z269">
        <f t="shared" ca="1" si="80"/>
        <v>-0.27118118465099122</v>
      </c>
      <c r="AA269">
        <f t="shared" ca="1" si="81"/>
        <v>0.18843183631886212</v>
      </c>
      <c r="AB269">
        <f t="shared" ca="1" si="82"/>
        <v>66.000500000000017</v>
      </c>
    </row>
    <row r="270" spans="1:28" x14ac:dyDescent="0.25">
      <c r="A270" s="20">
        <f t="shared" ca="1" si="83"/>
        <v>45684</v>
      </c>
      <c r="B270" vm="763">
        <f ca="1"/>
        <v>45685</v>
      </c>
      <c r="C270" vm="764">
        <f ca="1"/>
        <v>62.36</v>
      </c>
      <c r="D270" vm="765">
        <f ca="1"/>
        <v>14956031</v>
      </c>
      <c r="E270">
        <f t="shared" ca="1" si="84"/>
        <v>932658093.15999997</v>
      </c>
      <c r="F270">
        <f ca="1">SUM($E$2:E270)/SUM($D$2:D270)</f>
        <v>63.833894977270866</v>
      </c>
      <c r="G270">
        <f ca="1">_xlfn.STDEV.P($C$2:C270)</f>
        <v>3.9139657111509547</v>
      </c>
      <c r="H270">
        <f t="shared" ca="1" si="85"/>
        <v>67.747860688421824</v>
      </c>
      <c r="I270">
        <f t="shared" ca="1" si="86"/>
        <v>59.919929266119908</v>
      </c>
      <c r="J270">
        <f t="shared" ca="1" si="74"/>
        <v>61.952999999999989</v>
      </c>
      <c r="K270">
        <f t="shared" ca="1" si="75"/>
        <v>0.68240364656272468</v>
      </c>
      <c r="L270">
        <f t="shared" ca="1" si="76"/>
        <v>63.317807293125441</v>
      </c>
      <c r="M270">
        <f t="shared" ca="1" si="77"/>
        <v>60.588192706874537</v>
      </c>
      <c r="N270">
        <f t="shared" ca="1" si="87"/>
        <v>-1.509999999999998</v>
      </c>
      <c r="O270">
        <f t="shared" ca="1" si="88"/>
        <v>0</v>
      </c>
      <c r="P270">
        <f t="shared" ca="1" si="89"/>
        <v>1.509999999999998</v>
      </c>
      <c r="Q270">
        <f t="shared" ca="1" si="72"/>
        <v>0.30458024821280805</v>
      </c>
      <c r="R270">
        <f t="shared" ca="1" si="73"/>
        <v>0.30438856886977339</v>
      </c>
      <c r="S270">
        <f t="shared" ca="1" si="70"/>
        <v>1.0006297192557079</v>
      </c>
      <c r="T270">
        <f t="shared" ca="1" si="71"/>
        <v>50.01573802612365</v>
      </c>
      <c r="U270">
        <f>70</f>
        <v>70</v>
      </c>
      <c r="V270">
        <f>30</f>
        <v>30</v>
      </c>
      <c r="W270">
        <f t="shared" ca="1" si="69"/>
        <v>62.252991671000203</v>
      </c>
      <c r="X270">
        <f t="shared" ca="1" si="79"/>
        <v>62.335741019332332</v>
      </c>
      <c r="Y270">
        <f t="shared" ca="1" si="78"/>
        <v>-3.0590612524065364E-2</v>
      </c>
      <c r="Z270">
        <f t="shared" ca="1" si="80"/>
        <v>-0.22306307022560606</v>
      </c>
      <c r="AA270">
        <f t="shared" ca="1" si="81"/>
        <v>0.1924724577015407</v>
      </c>
      <c r="AB270">
        <f t="shared" ca="1" si="82"/>
        <v>65.89400000000002</v>
      </c>
    </row>
    <row r="271" spans="1:28" x14ac:dyDescent="0.25">
      <c r="A271" s="20">
        <f t="shared" ca="1" si="83"/>
        <v>45684</v>
      </c>
      <c r="B271" vm="766">
        <f ca="1"/>
        <v>45686</v>
      </c>
      <c r="C271" vm="377">
        <f ca="1"/>
        <v>62.83</v>
      </c>
      <c r="D271" vm="767">
        <f ca="1"/>
        <v>11325635</v>
      </c>
      <c r="E271">
        <f t="shared" ca="1" si="84"/>
        <v>711589647.04999995</v>
      </c>
      <c r="F271">
        <f ca="1">SUM($E$2:E271)/SUM($D$2:D271)</f>
        <v>63.830918297331984</v>
      </c>
      <c r="G271">
        <f ca="1">_xlfn.STDEV.P($C$2:C271)</f>
        <v>3.9072053702374818</v>
      </c>
      <c r="H271">
        <f t="shared" ca="1" si="85"/>
        <v>67.738123667569468</v>
      </c>
      <c r="I271">
        <f t="shared" ca="1" si="86"/>
        <v>59.923712927094499</v>
      </c>
      <c r="J271">
        <f t="shared" ca="1" si="74"/>
        <v>61.97199999999998</v>
      </c>
      <c r="K271">
        <f t="shared" ca="1" si="75"/>
        <v>0.7019791569855216</v>
      </c>
      <c r="L271">
        <f t="shared" ca="1" si="76"/>
        <v>63.375958313971026</v>
      </c>
      <c r="M271">
        <f t="shared" ca="1" si="77"/>
        <v>60.568041686028934</v>
      </c>
      <c r="N271">
        <f t="shared" ca="1" si="87"/>
        <v>0.46999999999999886</v>
      </c>
      <c r="O271">
        <f t="shared" ca="1" si="88"/>
        <v>0.46999999999999886</v>
      </c>
      <c r="P271">
        <f t="shared" ca="1" si="89"/>
        <v>0</v>
      </c>
      <c r="Q271">
        <f t="shared" ca="1" si="72"/>
        <v>0.31639594476903593</v>
      </c>
      <c r="R271">
        <f t="shared" ca="1" si="73"/>
        <v>0.28264652823621816</v>
      </c>
      <c r="S271">
        <f t="shared" ca="1" si="70"/>
        <v>1.1194050276981011</v>
      </c>
      <c r="T271">
        <f t="shared" ca="1" si="71"/>
        <v>52.816946882205606</v>
      </c>
      <c r="U271">
        <f>70</f>
        <v>70</v>
      </c>
      <c r="V271">
        <f>30</f>
        <v>30</v>
      </c>
      <c r="W271">
        <f t="shared" ref="W271:W334" ca="1" si="90">C271*(2/(12+1)) + W270*(1-(2/(12+1)))</f>
        <v>62.341762183154017</v>
      </c>
      <c r="X271">
        <f t="shared" ca="1" si="79"/>
        <v>62.372352795678083</v>
      </c>
      <c r="Y271">
        <f t="shared" ca="1" si="78"/>
        <v>0.10794504216914191</v>
      </c>
      <c r="Z271">
        <f t="shared" ca="1" si="80"/>
        <v>-0.15686144774665647</v>
      </c>
      <c r="AA271">
        <f t="shared" ca="1" si="81"/>
        <v>0.26480648991579836</v>
      </c>
      <c r="AB271">
        <f t="shared" ca="1" si="82"/>
        <v>65.796700000000016</v>
      </c>
    </row>
    <row r="272" spans="1:28" x14ac:dyDescent="0.25">
      <c r="A272" s="20">
        <f t="shared" ca="1" si="83"/>
        <v>45684</v>
      </c>
      <c r="B272" vm="768">
        <f ca="1"/>
        <v>45687</v>
      </c>
      <c r="C272" vm="351">
        <f ca="1"/>
        <v>64.05</v>
      </c>
      <c r="D272" vm="769">
        <f ca="1"/>
        <v>13200977</v>
      </c>
      <c r="E272">
        <f t="shared" ca="1" si="84"/>
        <v>845522576.8499999</v>
      </c>
      <c r="F272">
        <f ca="1">SUM($E$2:E272)/SUM($D$2:D272)</f>
        <v>63.831672859625101</v>
      </c>
      <c r="G272">
        <f ca="1">_xlfn.STDEV.P($C$2:C272)</f>
        <v>3.9000087930243708</v>
      </c>
      <c r="H272">
        <f t="shared" ca="1" si="85"/>
        <v>67.73168165264947</v>
      </c>
      <c r="I272">
        <f t="shared" ca="1" si="86"/>
        <v>59.931664066600732</v>
      </c>
      <c r="J272">
        <f t="shared" ca="1" si="74"/>
        <v>62.072999999999979</v>
      </c>
      <c r="K272">
        <f t="shared" ca="1" si="75"/>
        <v>0.84209700653846908</v>
      </c>
      <c r="L272">
        <f t="shared" ca="1" si="76"/>
        <v>63.757194013076919</v>
      </c>
      <c r="M272">
        <f t="shared" ca="1" si="77"/>
        <v>60.388805986923039</v>
      </c>
      <c r="N272">
        <f t="shared" ca="1" si="87"/>
        <v>1.2199999999999989</v>
      </c>
      <c r="O272">
        <f t="shared" ca="1" si="88"/>
        <v>1.2199999999999989</v>
      </c>
      <c r="P272">
        <f t="shared" ca="1" si="89"/>
        <v>0</v>
      </c>
      <c r="Q272">
        <f t="shared" ca="1" si="72"/>
        <v>0.38093909157124756</v>
      </c>
      <c r="R272">
        <f t="shared" ca="1" si="73"/>
        <v>0.26245749050505973</v>
      </c>
      <c r="S272">
        <f t="shared" ref="S272:S335" ca="1" si="91">IF(R272=0,NA(),Q272/R272)</f>
        <v>1.451431585504334</v>
      </c>
      <c r="T272">
        <f t="shared" ref="T272:T335" ca="1" si="92">100-(100/(1+S272))</f>
        <v>59.207509362564181</v>
      </c>
      <c r="U272">
        <f>70</f>
        <v>70</v>
      </c>
      <c r="V272">
        <f>30</f>
        <v>30</v>
      </c>
      <c r="W272">
        <f t="shared" ca="1" si="90"/>
        <v>62.604568001130325</v>
      </c>
      <c r="X272">
        <f t="shared" ca="1" si="79"/>
        <v>62.496622958961183</v>
      </c>
      <c r="Y272">
        <f t="shared" ca="1" si="78"/>
        <v>0.16978414436844247</v>
      </c>
      <c r="Z272">
        <f t="shared" ca="1" si="80"/>
        <v>-9.1532329323636669E-2</v>
      </c>
      <c r="AA272">
        <f t="shared" ca="1" si="81"/>
        <v>0.26131647369207911</v>
      </c>
      <c r="AB272">
        <f t="shared" ca="1" si="82"/>
        <v>65.725500000000011</v>
      </c>
    </row>
    <row r="273" spans="1:28" x14ac:dyDescent="0.25">
      <c r="A273" s="20">
        <f t="shared" ca="1" si="83"/>
        <v>45684</v>
      </c>
      <c r="B273" vm="770">
        <f ca="1"/>
        <v>45688</v>
      </c>
      <c r="C273" vm="771">
        <f ca="1"/>
        <v>63.48</v>
      </c>
      <c r="D273" vm="772">
        <f ca="1"/>
        <v>12102060</v>
      </c>
      <c r="E273">
        <f t="shared" ca="1" si="84"/>
        <v>768238768.79999995</v>
      </c>
      <c r="F273">
        <f ca="1">SUM($E$2:E273)/SUM($D$2:D273)</f>
        <v>63.83056595054309</v>
      </c>
      <c r="G273">
        <f ca="1">_xlfn.STDEV.P($C$2:C273)</f>
        <v>3.892897542268472</v>
      </c>
      <c r="H273">
        <f t="shared" ca="1" si="85"/>
        <v>67.723463492811561</v>
      </c>
      <c r="I273">
        <f t="shared" ca="1" si="86"/>
        <v>59.937668408274618</v>
      </c>
      <c r="J273">
        <f t="shared" ca="1" si="74"/>
        <v>62.133999999999993</v>
      </c>
      <c r="K273">
        <f t="shared" ca="1" si="75"/>
        <v>0.89864459340896019</v>
      </c>
      <c r="L273">
        <f t="shared" ca="1" si="76"/>
        <v>63.931289186817914</v>
      </c>
      <c r="M273">
        <f t="shared" ca="1" si="77"/>
        <v>60.336710813182073</v>
      </c>
      <c r="N273">
        <f t="shared" ca="1" si="87"/>
        <v>-0.57000000000000028</v>
      </c>
      <c r="O273">
        <f t="shared" ca="1" si="88"/>
        <v>0</v>
      </c>
      <c r="P273">
        <f t="shared" ca="1" si="89"/>
        <v>0.57000000000000028</v>
      </c>
      <c r="Q273">
        <f t="shared" ref="Q273:Q336" ca="1" si="93">(Q272*13+O273)/14</f>
        <v>0.35372915645901559</v>
      </c>
      <c r="R273">
        <f t="shared" ref="R273:R336" ca="1" si="94">(R272*13+P273)/14</f>
        <v>0.28442481261184122</v>
      </c>
      <c r="S273">
        <f t="shared" ca="1" si="91"/>
        <v>1.2436649011412202</v>
      </c>
      <c r="T273">
        <f t="shared" ca="1" si="92"/>
        <v>55.43006446767702</v>
      </c>
      <c r="U273">
        <f>70</f>
        <v>70</v>
      </c>
      <c r="V273">
        <f>30</f>
        <v>30</v>
      </c>
      <c r="W273">
        <f t="shared" ca="1" si="90"/>
        <v>62.73924984711028</v>
      </c>
      <c r="X273">
        <f t="shared" ca="1" si="79"/>
        <v>62.569465702741837</v>
      </c>
      <c r="Y273">
        <f t="shared" ca="1" si="78"/>
        <v>0.20592835099901663</v>
      </c>
      <c r="Z273">
        <f t="shared" ca="1" si="80"/>
        <v>-3.2040193259106016E-2</v>
      </c>
      <c r="AA273">
        <f t="shared" ca="1" si="81"/>
        <v>0.23796854425812264</v>
      </c>
      <c r="AB273">
        <f t="shared" ca="1" si="82"/>
        <v>65.648899999999998</v>
      </c>
    </row>
    <row r="274" spans="1:28" x14ac:dyDescent="0.25">
      <c r="A274" s="20">
        <f t="shared" ca="1" si="83"/>
        <v>45691</v>
      </c>
      <c r="B274" vm="773">
        <f ca="1"/>
        <v>45691</v>
      </c>
      <c r="C274" vm="774">
        <f ca="1"/>
        <v>63.35</v>
      </c>
      <c r="D274" vm="775">
        <f ca="1"/>
        <v>12067883</v>
      </c>
      <c r="E274">
        <f t="shared" ca="1" si="84"/>
        <v>764500388.05000007</v>
      </c>
      <c r="F274">
        <f ca="1">SUM($E$2:E274)/SUM($D$2:D274)</f>
        <v>63.829062334628617</v>
      </c>
      <c r="G274">
        <f ca="1">_xlfn.STDEV.P($C$2:C274)</f>
        <v>3.8858780183212334</v>
      </c>
      <c r="H274">
        <f t="shared" ca="1" si="85"/>
        <v>67.714940352949853</v>
      </c>
      <c r="I274">
        <f t="shared" ca="1" si="86"/>
        <v>59.943184316307381</v>
      </c>
      <c r="J274">
        <f t="shared" ca="1" si="74"/>
        <v>62.209499999999991</v>
      </c>
      <c r="K274">
        <f t="shared" ca="1" si="75"/>
        <v>0.93532699038751466</v>
      </c>
      <c r="L274">
        <f t="shared" ca="1" si="76"/>
        <v>64.080153980775023</v>
      </c>
      <c r="M274">
        <f t="shared" ca="1" si="77"/>
        <v>60.33884601922496</v>
      </c>
      <c r="N274">
        <f t="shared" ca="1" si="87"/>
        <v>-0.12999999999999545</v>
      </c>
      <c r="O274">
        <f t="shared" ca="1" si="88"/>
        <v>0</v>
      </c>
      <c r="P274">
        <f t="shared" ca="1" si="89"/>
        <v>0.12999999999999545</v>
      </c>
      <c r="Q274">
        <f t="shared" ca="1" si="93"/>
        <v>0.32846278814051449</v>
      </c>
      <c r="R274">
        <f t="shared" ca="1" si="94"/>
        <v>0.27339446885385221</v>
      </c>
      <c r="S274">
        <f t="shared" ca="1" si="91"/>
        <v>1.2014244089045563</v>
      </c>
      <c r="T274">
        <f t="shared" ca="1" si="92"/>
        <v>54.57486543916324</v>
      </c>
      <c r="U274">
        <f>70</f>
        <v>70</v>
      </c>
      <c r="V274">
        <f>30</f>
        <v>30</v>
      </c>
      <c r="W274">
        <f t="shared" ca="1" si="90"/>
        <v>62.833211409093309</v>
      </c>
      <c r="X274">
        <f t="shared" ca="1" si="79"/>
        <v>62.627283058094292</v>
      </c>
      <c r="Y274">
        <f t="shared" ca="1" si="78"/>
        <v>0.17765468552725139</v>
      </c>
      <c r="Z274">
        <f t="shared" ca="1" si="80"/>
        <v>9.8987824981654655E-3</v>
      </c>
      <c r="AA274">
        <f t="shared" ca="1" si="81"/>
        <v>0.16775590302908591</v>
      </c>
      <c r="AB274">
        <f t="shared" ca="1" si="82"/>
        <v>65.563900000000004</v>
      </c>
    </row>
    <row r="275" spans="1:28" x14ac:dyDescent="0.25">
      <c r="A275" s="20">
        <f t="shared" ca="1" si="83"/>
        <v>45691</v>
      </c>
      <c r="B275" vm="776">
        <f ca="1"/>
        <v>45692</v>
      </c>
      <c r="C275" vm="777">
        <f ca="1"/>
        <v>62.67</v>
      </c>
      <c r="D275" vm="778">
        <f ca="1"/>
        <v>15677998</v>
      </c>
      <c r="E275">
        <f t="shared" ca="1" si="84"/>
        <v>982540134.66000009</v>
      </c>
      <c r="F275">
        <f ca="1">SUM($E$2:E275)/SUM($D$2:D275)</f>
        <v>63.824370005522496</v>
      </c>
      <c r="G275">
        <f ca="1">_xlfn.STDEV.P($C$2:C275)</f>
        <v>3.8794298658739339</v>
      </c>
      <c r="H275">
        <f t="shared" ca="1" si="85"/>
        <v>67.703799871396427</v>
      </c>
      <c r="I275">
        <f t="shared" ca="1" si="86"/>
        <v>59.944940139648565</v>
      </c>
      <c r="J275">
        <f t="shared" ca="1" si="74"/>
        <v>62.255499999999998</v>
      </c>
      <c r="K275">
        <f t="shared" ca="1" si="75"/>
        <v>0.93416145905241954</v>
      </c>
      <c r="L275">
        <f t="shared" ca="1" si="76"/>
        <v>64.123822918104835</v>
      </c>
      <c r="M275">
        <f t="shared" ca="1" si="77"/>
        <v>60.38717708189516</v>
      </c>
      <c r="N275">
        <f t="shared" ca="1" si="87"/>
        <v>-0.67999999999999972</v>
      </c>
      <c r="O275">
        <f t="shared" ca="1" si="88"/>
        <v>0</v>
      </c>
      <c r="P275">
        <f t="shared" ca="1" si="89"/>
        <v>0.67999999999999972</v>
      </c>
      <c r="Q275">
        <f t="shared" ca="1" si="93"/>
        <v>0.30500116041619207</v>
      </c>
      <c r="R275">
        <f t="shared" ca="1" si="94"/>
        <v>0.30243772107857708</v>
      </c>
      <c r="S275">
        <f t="shared" ca="1" si="91"/>
        <v>1.0084759246580521</v>
      </c>
      <c r="T275">
        <f t="shared" ca="1" si="92"/>
        <v>50.211003889914565</v>
      </c>
      <c r="U275">
        <f>70</f>
        <v>70</v>
      </c>
      <c r="V275">
        <f>30</f>
        <v>30</v>
      </c>
      <c r="W275">
        <f t="shared" ca="1" si="90"/>
        <v>62.808101961540487</v>
      </c>
      <c r="X275">
        <f t="shared" ca="1" si="79"/>
        <v>62.630447276013236</v>
      </c>
      <c r="Y275">
        <f t="shared" ca="1" si="78"/>
        <v>0.18937583439664962</v>
      </c>
      <c r="Z275">
        <f t="shared" ca="1" si="80"/>
        <v>4.5794192877862301E-2</v>
      </c>
      <c r="AA275">
        <f t="shared" ca="1" si="81"/>
        <v>0.14358164151878733</v>
      </c>
      <c r="AB275">
        <f t="shared" ca="1" si="82"/>
        <v>65.475099999999998</v>
      </c>
    </row>
    <row r="276" spans="1:28" x14ac:dyDescent="0.25">
      <c r="A276" s="20">
        <f t="shared" ca="1" si="83"/>
        <v>45691</v>
      </c>
      <c r="B276" vm="779">
        <f ca="1"/>
        <v>45693</v>
      </c>
      <c r="C276" vm="687">
        <f ca="1"/>
        <v>63.12</v>
      </c>
      <c r="D276" vm="780">
        <f ca="1"/>
        <v>10686754</v>
      </c>
      <c r="E276">
        <f t="shared" ca="1" si="84"/>
        <v>674547912.48000002</v>
      </c>
      <c r="F276">
        <f ca="1">SUM($E$2:E276)/SUM($D$2:D276)</f>
        <v>63.822431616550581</v>
      </c>
      <c r="G276">
        <f ca="1">_xlfn.STDEV.P($C$2:C276)</f>
        <v>3.8726142904560779</v>
      </c>
      <c r="H276">
        <f t="shared" ca="1" si="85"/>
        <v>67.695045907006659</v>
      </c>
      <c r="I276">
        <f t="shared" ca="1" si="86"/>
        <v>59.949817326094504</v>
      </c>
      <c r="J276">
        <f t="shared" ca="1" si="74"/>
        <v>62.370999999999981</v>
      </c>
      <c r="K276">
        <f t="shared" ca="1" si="75"/>
        <v>0.88768118980681343</v>
      </c>
      <c r="L276">
        <f t="shared" ca="1" si="76"/>
        <v>64.146362379613606</v>
      </c>
      <c r="M276">
        <f t="shared" ca="1" si="77"/>
        <v>60.595637620386356</v>
      </c>
      <c r="N276">
        <f t="shared" ca="1" si="87"/>
        <v>0.44999999999999574</v>
      </c>
      <c r="O276">
        <f t="shared" ca="1" si="88"/>
        <v>0.44999999999999574</v>
      </c>
      <c r="P276">
        <f t="shared" ca="1" si="89"/>
        <v>0</v>
      </c>
      <c r="Q276">
        <f t="shared" ca="1" si="93"/>
        <v>0.31535822038646383</v>
      </c>
      <c r="R276">
        <f t="shared" ca="1" si="94"/>
        <v>0.28083502671582156</v>
      </c>
      <c r="S276">
        <f t="shared" ca="1" si="91"/>
        <v>1.1229305121742399</v>
      </c>
      <c r="T276">
        <f t="shared" ca="1" si="92"/>
        <v>52.895302306629397</v>
      </c>
      <c r="U276">
        <f>70</f>
        <v>70</v>
      </c>
      <c r="V276">
        <f>30</f>
        <v>30</v>
      </c>
      <c r="W276">
        <f t="shared" ca="1" si="90"/>
        <v>62.856086275149643</v>
      </c>
      <c r="X276">
        <f t="shared" ca="1" si="79"/>
        <v>62.666710440752993</v>
      </c>
      <c r="Y276">
        <f t="shared" ca="1" si="78"/>
        <v>0.21554624066872208</v>
      </c>
      <c r="Z276">
        <f t="shared" ca="1" si="80"/>
        <v>7.9744602436034262E-2</v>
      </c>
      <c r="AA276">
        <f t="shared" ca="1" si="81"/>
        <v>0.13580163823268782</v>
      </c>
      <c r="AB276">
        <f t="shared" ca="1" si="82"/>
        <v>65.395500000000013</v>
      </c>
    </row>
    <row r="277" spans="1:28" x14ac:dyDescent="0.25">
      <c r="A277" s="20">
        <f t="shared" ca="1" si="83"/>
        <v>45691</v>
      </c>
      <c r="B277" vm="781">
        <f ca="1"/>
        <v>45694</v>
      </c>
      <c r="C277" vm="627">
        <f ca="1"/>
        <v>63.36</v>
      </c>
      <c r="D277" vm="782">
        <f ca="1"/>
        <v>13423408</v>
      </c>
      <c r="E277">
        <f t="shared" ca="1" si="84"/>
        <v>850507130.88</v>
      </c>
      <c r="F277">
        <f ca="1">SUM($E$2:E277)/SUM($D$2:D277)</f>
        <v>63.82083865258145</v>
      </c>
      <c r="G277">
        <f ca="1">_xlfn.STDEV.P($C$2:C277)</f>
        <v>3.8656999508237013</v>
      </c>
      <c r="H277">
        <f t="shared" ca="1" si="85"/>
        <v>67.686538603405154</v>
      </c>
      <c r="I277">
        <f t="shared" ca="1" si="86"/>
        <v>59.955138701757747</v>
      </c>
      <c r="J277">
        <f t="shared" ca="1" si="74"/>
        <v>62.496999999999993</v>
      </c>
      <c r="K277">
        <f t="shared" ca="1" si="75"/>
        <v>0.83628942358492031</v>
      </c>
      <c r="L277">
        <f t="shared" ca="1" si="76"/>
        <v>64.169578847169831</v>
      </c>
      <c r="M277">
        <f t="shared" ca="1" si="77"/>
        <v>60.824421152830155</v>
      </c>
      <c r="N277">
        <f t="shared" ca="1" si="87"/>
        <v>0.24000000000000199</v>
      </c>
      <c r="O277">
        <f t="shared" ca="1" si="88"/>
        <v>0.24000000000000199</v>
      </c>
      <c r="P277">
        <f t="shared" ca="1" si="89"/>
        <v>0</v>
      </c>
      <c r="Q277">
        <f t="shared" ca="1" si="93"/>
        <v>0.30997549035885941</v>
      </c>
      <c r="R277">
        <f t="shared" ca="1" si="94"/>
        <v>0.26077538195040573</v>
      </c>
      <c r="S277">
        <f t="shared" ca="1" si="91"/>
        <v>1.188668531670718</v>
      </c>
      <c r="T277">
        <f t="shared" ca="1" si="92"/>
        <v>54.310121175057468</v>
      </c>
      <c r="U277">
        <f>70</f>
        <v>70</v>
      </c>
      <c r="V277">
        <f>30</f>
        <v>30</v>
      </c>
      <c r="W277">
        <f t="shared" ca="1" si="90"/>
        <v>62.933611463588164</v>
      </c>
      <c r="X277">
        <f t="shared" ca="1" si="79"/>
        <v>62.718065222919442</v>
      </c>
      <c r="Y277">
        <f t="shared" ca="1" si="78"/>
        <v>0.27188435110218023</v>
      </c>
      <c r="Z277">
        <f t="shared" ca="1" si="80"/>
        <v>0.11817255216926346</v>
      </c>
      <c r="AA277">
        <f t="shared" ca="1" si="81"/>
        <v>0.15371179893291675</v>
      </c>
      <c r="AB277">
        <f t="shared" ca="1" si="82"/>
        <v>65.316800000000001</v>
      </c>
    </row>
    <row r="278" spans="1:28" x14ac:dyDescent="0.25">
      <c r="A278" s="20">
        <f t="shared" ca="1" si="83"/>
        <v>45691</v>
      </c>
      <c r="B278" vm="783">
        <f ca="1"/>
        <v>45695</v>
      </c>
      <c r="C278" vm="348">
        <f ca="1"/>
        <v>63.84</v>
      </c>
      <c r="D278" vm="784">
        <f ca="1"/>
        <v>13184674</v>
      </c>
      <c r="E278">
        <f t="shared" ca="1" si="84"/>
        <v>841709588.16000009</v>
      </c>
      <c r="F278">
        <f ca="1">SUM($E$2:E278)/SUM($D$2:D278)</f>
        <v>63.820903266210337</v>
      </c>
      <c r="G278">
        <f ca="1">_xlfn.STDEV.P($C$2:C278)</f>
        <v>3.8587158452728567</v>
      </c>
      <c r="H278">
        <f t="shared" ca="1" si="85"/>
        <v>67.679619111483191</v>
      </c>
      <c r="I278">
        <f t="shared" ca="1" si="86"/>
        <v>59.962187420937482</v>
      </c>
      <c r="J278">
        <f t="shared" ref="J278:J341" ca="1" si="95">AVERAGE(C259:C278)</f>
        <v>62.603499999999983</v>
      </c>
      <c r="K278">
        <f t="shared" ref="K278:K341" ca="1" si="96">_xlfn.STDEV.S(C259:C278)</f>
        <v>0.8658933628279365</v>
      </c>
      <c r="L278">
        <f t="shared" ref="L278:L341" ca="1" si="97">J278 + 2*K278</f>
        <v>64.335286725655862</v>
      </c>
      <c r="M278">
        <f t="shared" ref="M278:M341" ca="1" si="98">J278-2*K278</f>
        <v>60.87171327434411</v>
      </c>
      <c r="N278">
        <f t="shared" ca="1" si="87"/>
        <v>0.48000000000000398</v>
      </c>
      <c r="O278">
        <f t="shared" ca="1" si="88"/>
        <v>0.48000000000000398</v>
      </c>
      <c r="P278">
        <f t="shared" ca="1" si="89"/>
        <v>0</v>
      </c>
      <c r="Q278">
        <f t="shared" ca="1" si="93"/>
        <v>0.32212009819036969</v>
      </c>
      <c r="R278">
        <f t="shared" ca="1" si="94"/>
        <v>0.24214856895394818</v>
      </c>
      <c r="S278">
        <f t="shared" ca="1" si="91"/>
        <v>1.3302581121246704</v>
      </c>
      <c r="T278">
        <f t="shared" ca="1" si="92"/>
        <v>57.086298947019849</v>
      </c>
      <c r="U278">
        <f>70</f>
        <v>70</v>
      </c>
      <c r="V278">
        <f>30</f>
        <v>30</v>
      </c>
      <c r="W278">
        <f t="shared" ca="1" si="90"/>
        <v>63.073055853805371</v>
      </c>
      <c r="X278">
        <f t="shared" ca="1" si="79"/>
        <v>62.801171502703191</v>
      </c>
      <c r="Y278">
        <f t="shared" ca="1" si="78"/>
        <v>0.36956367578819993</v>
      </c>
      <c r="Z278">
        <f t="shared" ca="1" si="80"/>
        <v>0.16845077689305077</v>
      </c>
      <c r="AA278">
        <f t="shared" ca="1" si="81"/>
        <v>0.20111289889514916</v>
      </c>
      <c r="AB278">
        <f t="shared" ca="1" si="82"/>
        <v>65.241100000000003</v>
      </c>
    </row>
    <row r="279" spans="1:28" x14ac:dyDescent="0.25">
      <c r="A279" s="20">
        <f t="shared" ca="1" si="83"/>
        <v>45698</v>
      </c>
      <c r="B279" vm="785">
        <f ca="1"/>
        <v>45698</v>
      </c>
      <c r="C279" vm="654">
        <f ca="1"/>
        <v>64.55</v>
      </c>
      <c r="D279" vm="786">
        <f ca="1"/>
        <v>16154300</v>
      </c>
      <c r="E279">
        <f t="shared" ca="1" si="84"/>
        <v>1042760065</v>
      </c>
      <c r="F279">
        <f ca="1">SUM($E$2:E279)/SUM($D$2:D279)</f>
        <v>63.823903197857774</v>
      </c>
      <c r="G279">
        <f ca="1">_xlfn.STDEV.P($C$2:C279)</f>
        <v>3.8520050636254575</v>
      </c>
      <c r="H279">
        <f t="shared" ca="1" si="85"/>
        <v>67.675908261483229</v>
      </c>
      <c r="I279">
        <f t="shared" ca="1" si="86"/>
        <v>59.971898134232319</v>
      </c>
      <c r="J279">
        <f t="shared" ca="1" si="95"/>
        <v>62.777499999999989</v>
      </c>
      <c r="K279">
        <f t="shared" ca="1" si="96"/>
        <v>0.89081201868383963</v>
      </c>
      <c r="L279">
        <f t="shared" ca="1" si="97"/>
        <v>64.559124037367667</v>
      </c>
      <c r="M279">
        <f t="shared" ca="1" si="98"/>
        <v>60.995875962632311</v>
      </c>
      <c r="N279">
        <f t="shared" ca="1" si="87"/>
        <v>0.70999999999999375</v>
      </c>
      <c r="O279">
        <f t="shared" ca="1" si="88"/>
        <v>0.70999999999999375</v>
      </c>
      <c r="P279">
        <f t="shared" ca="1" si="89"/>
        <v>0</v>
      </c>
      <c r="Q279">
        <f t="shared" ca="1" si="93"/>
        <v>0.34982580546248571</v>
      </c>
      <c r="R279">
        <f t="shared" ca="1" si="94"/>
        <v>0.22485224260009473</v>
      </c>
      <c r="S279">
        <f t="shared" ca="1" si="91"/>
        <v>1.5558030527836875</v>
      </c>
      <c r="T279">
        <f t="shared" ca="1" si="92"/>
        <v>60.873354505511038</v>
      </c>
      <c r="U279">
        <f>70</f>
        <v>70</v>
      </c>
      <c r="V279">
        <f>30</f>
        <v>30</v>
      </c>
      <c r="W279">
        <f t="shared" ca="1" si="90"/>
        <v>63.300278030143005</v>
      </c>
      <c r="X279">
        <f t="shared" ca="1" si="79"/>
        <v>62.930714354354805</v>
      </c>
      <c r="Y279">
        <f t="shared" ca="1" si="78"/>
        <v>0.68518635266997308</v>
      </c>
      <c r="Z279">
        <f t="shared" ca="1" si="80"/>
        <v>0.27179789204843524</v>
      </c>
      <c r="AA279">
        <f t="shared" ca="1" si="81"/>
        <v>0.41338846062153783</v>
      </c>
      <c r="AB279">
        <f t="shared" ca="1" si="82"/>
        <v>65.165599999999998</v>
      </c>
    </row>
    <row r="280" spans="1:28" x14ac:dyDescent="0.25">
      <c r="A280" s="20">
        <f t="shared" ca="1" si="83"/>
        <v>45698</v>
      </c>
      <c r="B280" vm="787">
        <f ca="1"/>
        <v>45699</v>
      </c>
      <c r="C280" vm="788">
        <f ca="1"/>
        <v>67.599999999999994</v>
      </c>
      <c r="D280" vm="789">
        <f ca="1"/>
        <v>30589148</v>
      </c>
      <c r="E280">
        <f t="shared" ca="1" si="84"/>
        <v>2067826404.7999997</v>
      </c>
      <c r="F280">
        <f ca="1">SUM($E$2:E280)/SUM($D$2:D280)</f>
        <v>63.853096148477107</v>
      </c>
      <c r="G280">
        <f ca="1">_xlfn.STDEV.P($C$2:C280)</f>
        <v>3.8516523835803684</v>
      </c>
      <c r="H280">
        <f t="shared" ca="1" si="85"/>
        <v>67.704748532057479</v>
      </c>
      <c r="I280">
        <f t="shared" ca="1" si="86"/>
        <v>60.001443764896742</v>
      </c>
      <c r="J280">
        <f t="shared" ca="1" si="95"/>
        <v>63.074999999999989</v>
      </c>
      <c r="K280">
        <f t="shared" ca="1" si="96"/>
        <v>1.3629013170438995</v>
      </c>
      <c r="L280">
        <f t="shared" ca="1" si="97"/>
        <v>65.800802634087788</v>
      </c>
      <c r="M280">
        <f t="shared" ca="1" si="98"/>
        <v>60.34919736591219</v>
      </c>
      <c r="N280">
        <f t="shared" ca="1" si="87"/>
        <v>3.0499999999999972</v>
      </c>
      <c r="O280">
        <f t="shared" ca="1" si="88"/>
        <v>3.0499999999999972</v>
      </c>
      <c r="P280">
        <f t="shared" ca="1" si="89"/>
        <v>0</v>
      </c>
      <c r="Q280">
        <f t="shared" ca="1" si="93"/>
        <v>0.54269539078659368</v>
      </c>
      <c r="R280">
        <f t="shared" ca="1" si="94"/>
        <v>0.20879136812865942</v>
      </c>
      <c r="S280">
        <f t="shared" ca="1" si="91"/>
        <v>2.5992233091368946</v>
      </c>
      <c r="T280">
        <f t="shared" ca="1" si="92"/>
        <v>72.216227943917062</v>
      </c>
      <c r="U280">
        <f>70</f>
        <v>70</v>
      </c>
      <c r="V280">
        <f>30</f>
        <v>30</v>
      </c>
      <c r="W280">
        <f t="shared" ca="1" si="90"/>
        <v>63.961773717813308</v>
      </c>
      <c r="X280">
        <f t="shared" ca="1" si="79"/>
        <v>63.276587365143335</v>
      </c>
      <c r="Y280">
        <f t="shared" ca="1" si="78"/>
        <v>1.0132076937862422</v>
      </c>
      <c r="Z280">
        <f t="shared" ca="1" si="80"/>
        <v>0.42007985239599666</v>
      </c>
      <c r="AA280">
        <f t="shared" ca="1" si="81"/>
        <v>0.59312784139024555</v>
      </c>
      <c r="AB280">
        <f t="shared" ca="1" si="82"/>
        <v>65.12360000000001</v>
      </c>
    </row>
    <row r="281" spans="1:28" x14ac:dyDescent="0.25">
      <c r="A281" s="20">
        <f t="shared" ca="1" si="83"/>
        <v>45698</v>
      </c>
      <c r="B281" vm="790">
        <f ca="1"/>
        <v>45700</v>
      </c>
      <c r="C281" vm="791">
        <f ca="1"/>
        <v>68.709999999999994</v>
      </c>
      <c r="D281" vm="792">
        <f ca="1"/>
        <v>26033764</v>
      </c>
      <c r="E281">
        <f t="shared" ca="1" si="84"/>
        <v>1788779924.4399998</v>
      </c>
      <c r="F281">
        <f ca="1">SUM($E$2:E281)/SUM($D$2:D281)</f>
        <v>63.884844107100456</v>
      </c>
      <c r="G281">
        <f ca="1">_xlfn.STDEV.P($C$2:C281)</f>
        <v>3.8556640351288012</v>
      </c>
      <c r="H281">
        <f t="shared" ca="1" si="85"/>
        <v>67.74050814222926</v>
      </c>
      <c r="I281">
        <f t="shared" ca="1" si="86"/>
        <v>60.029180071971652</v>
      </c>
      <c r="J281">
        <f t="shared" ca="1" si="95"/>
        <v>63.408499999999989</v>
      </c>
      <c r="K281">
        <f t="shared" ca="1" si="96"/>
        <v>1.8317385328238227</v>
      </c>
      <c r="L281">
        <f t="shared" ca="1" si="97"/>
        <v>67.07197706564763</v>
      </c>
      <c r="M281">
        <f t="shared" ca="1" si="98"/>
        <v>59.745022934352342</v>
      </c>
      <c r="N281">
        <f t="shared" ca="1" si="87"/>
        <v>1.1099999999999994</v>
      </c>
      <c r="O281">
        <f t="shared" ca="1" si="88"/>
        <v>1.1099999999999994</v>
      </c>
      <c r="P281">
        <f t="shared" ca="1" si="89"/>
        <v>0</v>
      </c>
      <c r="Q281">
        <f t="shared" ca="1" si="93"/>
        <v>0.58321714858755125</v>
      </c>
      <c r="R281">
        <f t="shared" ca="1" si="94"/>
        <v>0.19387769897661231</v>
      </c>
      <c r="S281">
        <f t="shared" ca="1" si="91"/>
        <v>3.0081703654730574</v>
      </c>
      <c r="T281">
        <f t="shared" ca="1" si="92"/>
        <v>75.050960692336332</v>
      </c>
      <c r="U281">
        <f>70</f>
        <v>70</v>
      </c>
      <c r="V281">
        <f>30</f>
        <v>30</v>
      </c>
      <c r="W281">
        <f t="shared" ca="1" si="90"/>
        <v>64.692270068918958</v>
      </c>
      <c r="X281">
        <f t="shared" ca="1" si="79"/>
        <v>63.679062375132716</v>
      </c>
      <c r="Y281">
        <f t="shared" ca="1" si="78"/>
        <v>1.3216778876090984</v>
      </c>
      <c r="Z281">
        <f t="shared" ca="1" si="80"/>
        <v>0.60039945943861706</v>
      </c>
      <c r="AA281">
        <f t="shared" ca="1" si="81"/>
        <v>0.72127842817048138</v>
      </c>
      <c r="AB281">
        <f t="shared" ca="1" si="82"/>
        <v>65.093199999999996</v>
      </c>
    </row>
    <row r="282" spans="1:28" x14ac:dyDescent="0.25">
      <c r="A282" s="20">
        <f t="shared" ca="1" si="83"/>
        <v>45698</v>
      </c>
      <c r="B282" vm="793">
        <f ca="1"/>
        <v>45701</v>
      </c>
      <c r="C282" vm="794">
        <f ca="1"/>
        <v>69.5</v>
      </c>
      <c r="D282" vm="795">
        <f ca="1"/>
        <v>24393148</v>
      </c>
      <c r="E282">
        <f t="shared" ca="1" si="84"/>
        <v>1695323786</v>
      </c>
      <c r="F282">
        <f ca="1">SUM($E$2:E282)/SUM($D$2:D282)</f>
        <v>63.919026084239555</v>
      </c>
      <c r="G282">
        <f ca="1">_xlfn.STDEV.P($C$2:C282)</f>
        <v>3.8633624975682346</v>
      </c>
      <c r="H282">
        <f t="shared" ca="1" si="85"/>
        <v>67.782388581807794</v>
      </c>
      <c r="I282">
        <f t="shared" ca="1" si="86"/>
        <v>60.055663586671322</v>
      </c>
      <c r="J282">
        <f t="shared" ca="1" si="95"/>
        <v>63.795000000000002</v>
      </c>
      <c r="K282">
        <f t="shared" ca="1" si="96"/>
        <v>2.2382335610217723</v>
      </c>
      <c r="L282">
        <f t="shared" ca="1" si="97"/>
        <v>68.271467122043546</v>
      </c>
      <c r="M282">
        <f t="shared" ca="1" si="98"/>
        <v>59.318532877956457</v>
      </c>
      <c r="N282">
        <f t="shared" ca="1" si="87"/>
        <v>0.79000000000000625</v>
      </c>
      <c r="O282">
        <f t="shared" ca="1" si="88"/>
        <v>0.79000000000000625</v>
      </c>
      <c r="P282">
        <f t="shared" ca="1" si="89"/>
        <v>0</v>
      </c>
      <c r="Q282">
        <f t="shared" ca="1" si="93"/>
        <v>0.59798735225986943</v>
      </c>
      <c r="R282">
        <f t="shared" ca="1" si="94"/>
        <v>0.18002929190685427</v>
      </c>
      <c r="S282">
        <f t="shared" ca="1" si="91"/>
        <v>3.3216114218194193</v>
      </c>
      <c r="T282">
        <f t="shared" ca="1" si="92"/>
        <v>76.860483222737429</v>
      </c>
      <c r="U282">
        <f>70</f>
        <v>70</v>
      </c>
      <c r="V282">
        <f>30</f>
        <v>30</v>
      </c>
      <c r="W282">
        <f t="shared" ca="1" si="90"/>
        <v>65.431920827546804</v>
      </c>
      <c r="X282">
        <f t="shared" ca="1" si="79"/>
        <v>64.110242939937706</v>
      </c>
      <c r="Y282">
        <f t="shared" ca="1" si="78"/>
        <v>1.4980385478679494</v>
      </c>
      <c r="Z282">
        <f t="shared" ca="1" si="80"/>
        <v>0.77992727712448362</v>
      </c>
      <c r="AA282">
        <f t="shared" ca="1" si="81"/>
        <v>0.71811127074346581</v>
      </c>
      <c r="AB282">
        <f t="shared" ca="1" si="82"/>
        <v>65.082000000000008</v>
      </c>
    </row>
    <row r="283" spans="1:28" x14ac:dyDescent="0.25">
      <c r="A283" s="20">
        <f t="shared" ca="1" si="83"/>
        <v>45698</v>
      </c>
      <c r="B283" vm="796">
        <f ca="1"/>
        <v>45702</v>
      </c>
      <c r="C283" vm="797">
        <f ca="1"/>
        <v>68.87</v>
      </c>
      <c r="D283" vm="798">
        <f ca="1"/>
        <v>20779090</v>
      </c>
      <c r="E283">
        <f t="shared" ca="1" si="84"/>
        <v>1431055928.3000002</v>
      </c>
      <c r="F283">
        <f ca="1">SUM($E$2:E283)/SUM($D$2:D283)</f>
        <v>63.944567116184523</v>
      </c>
      <c r="G283">
        <f ca="1">_xlfn.STDEV.P($C$2:C283)</f>
        <v>3.8678433841149844</v>
      </c>
      <c r="H283">
        <f t="shared" ca="1" si="85"/>
        <v>67.812410500299507</v>
      </c>
      <c r="I283">
        <f t="shared" ca="1" si="86"/>
        <v>60.076723732069539</v>
      </c>
      <c r="J283">
        <f t="shared" ca="1" si="95"/>
        <v>64.126000000000005</v>
      </c>
      <c r="K283">
        <f t="shared" ca="1" si="96"/>
        <v>2.4747299693204163</v>
      </c>
      <c r="L283">
        <f t="shared" ca="1" si="97"/>
        <v>69.075459938640833</v>
      </c>
      <c r="M283">
        <f t="shared" ca="1" si="98"/>
        <v>59.176540061359169</v>
      </c>
      <c r="N283">
        <f t="shared" ca="1" si="87"/>
        <v>-0.62999999999999545</v>
      </c>
      <c r="O283">
        <f t="shared" ca="1" si="88"/>
        <v>0</v>
      </c>
      <c r="P283">
        <f t="shared" ca="1" si="89"/>
        <v>0.62999999999999545</v>
      </c>
      <c r="Q283">
        <f t="shared" ca="1" si="93"/>
        <v>0.55527396995559308</v>
      </c>
      <c r="R283">
        <f t="shared" ca="1" si="94"/>
        <v>0.21217005677065007</v>
      </c>
      <c r="S283">
        <f t="shared" ca="1" si="91"/>
        <v>2.6171175066226655</v>
      </c>
      <c r="T283">
        <f t="shared" ca="1" si="92"/>
        <v>72.353676700602719</v>
      </c>
      <c r="U283">
        <f>70</f>
        <v>70</v>
      </c>
      <c r="V283">
        <f>30</f>
        <v>30</v>
      </c>
      <c r="W283">
        <f t="shared" ca="1" si="90"/>
        <v>65.960856084847308</v>
      </c>
      <c r="X283">
        <f t="shared" ca="1" si="79"/>
        <v>64.462817536979358</v>
      </c>
      <c r="Y283">
        <f t="shared" ca="1" si="78"/>
        <v>1.6335001643343645</v>
      </c>
      <c r="Z283">
        <f t="shared" ca="1" si="80"/>
        <v>0.95064185456645989</v>
      </c>
      <c r="AA283">
        <f t="shared" ca="1" si="81"/>
        <v>0.68285830976790463</v>
      </c>
      <c r="AB283">
        <f t="shared" ca="1" si="82"/>
        <v>65.054299999999998</v>
      </c>
    </row>
    <row r="284" spans="1:28" x14ac:dyDescent="0.25">
      <c r="A284" s="20">
        <f t="shared" ca="1" si="83"/>
        <v>45705</v>
      </c>
      <c r="B284" vm="799">
        <f ca="1"/>
        <v>45706</v>
      </c>
      <c r="C284" vm="800">
        <f ca="1"/>
        <v>69.05</v>
      </c>
      <c r="D284" vm="801">
        <f ca="1"/>
        <v>15569122</v>
      </c>
      <c r="E284">
        <f t="shared" ca="1" si="84"/>
        <v>1075047874.0999999</v>
      </c>
      <c r="F284">
        <f ca="1">SUM($E$2:E284)/SUM($D$2:D284)</f>
        <v>63.964225260546868</v>
      </c>
      <c r="G284">
        <f ca="1">_xlfn.STDEV.P($C$2:C284)</f>
        <v>3.8730344227557114</v>
      </c>
      <c r="H284">
        <f t="shared" ca="1" si="85"/>
        <v>67.837259683302577</v>
      </c>
      <c r="I284">
        <f t="shared" ca="1" si="86"/>
        <v>60.09119083779116</v>
      </c>
      <c r="J284">
        <f t="shared" ca="1" si="95"/>
        <v>64.442999999999998</v>
      </c>
      <c r="K284">
        <f t="shared" ca="1" si="96"/>
        <v>2.6812449975416457</v>
      </c>
      <c r="L284">
        <f t="shared" ca="1" si="97"/>
        <v>69.805489995083292</v>
      </c>
      <c r="M284">
        <f t="shared" ca="1" si="98"/>
        <v>59.080510004916704</v>
      </c>
      <c r="N284">
        <f t="shared" ca="1" si="87"/>
        <v>0.17999999999999261</v>
      </c>
      <c r="O284">
        <f t="shared" ca="1" si="88"/>
        <v>0.17999999999999261</v>
      </c>
      <c r="P284">
        <f t="shared" ca="1" si="89"/>
        <v>0</v>
      </c>
      <c r="Q284">
        <f t="shared" ca="1" si="93"/>
        <v>0.52846868638733591</v>
      </c>
      <c r="R284">
        <f t="shared" ca="1" si="94"/>
        <v>0.19701505271560363</v>
      </c>
      <c r="S284">
        <f t="shared" ca="1" si="91"/>
        <v>2.6823772047011771</v>
      </c>
      <c r="T284">
        <f t="shared" ca="1" si="92"/>
        <v>72.843629416255055</v>
      </c>
      <c r="U284">
        <f>70</f>
        <v>70</v>
      </c>
      <c r="V284">
        <f>30</f>
        <v>30</v>
      </c>
      <c r="W284">
        <f t="shared" ca="1" si="90"/>
        <v>66.436108994870807</v>
      </c>
      <c r="X284">
        <f t="shared" ca="1" si="79"/>
        <v>64.802608830536442</v>
      </c>
      <c r="Y284">
        <f t="shared" ref="Y284:Y347" ca="1" si="99">W285-X285</f>
        <v>1.8023831953056515</v>
      </c>
      <c r="Z284">
        <f t="shared" ca="1" si="80"/>
        <v>1.1209901227142982</v>
      </c>
      <c r="AA284">
        <f t="shared" ca="1" si="81"/>
        <v>0.68139307259135329</v>
      </c>
      <c r="AB284">
        <f t="shared" ca="1" si="82"/>
        <v>65.027500000000003</v>
      </c>
    </row>
    <row r="285" spans="1:28" x14ac:dyDescent="0.25">
      <c r="A285" s="20">
        <f t="shared" ca="1" si="83"/>
        <v>45705</v>
      </c>
      <c r="B285" vm="802">
        <f ca="1"/>
        <v>45707</v>
      </c>
      <c r="C285" vm="803">
        <f ca="1"/>
        <v>70.069999999999993</v>
      </c>
      <c r="D285" vm="804">
        <f ca="1"/>
        <v>16032270</v>
      </c>
      <c r="E285">
        <f t="shared" ca="1" si="84"/>
        <v>1123381158.8999999</v>
      </c>
      <c r="F285">
        <f ca="1">SUM($E$2:E285)/SUM($D$2:D285)</f>
        <v>63.988338916456051</v>
      </c>
      <c r="G285">
        <f ca="1">_xlfn.STDEV.P($C$2:C285)</f>
        <v>3.8832922314513274</v>
      </c>
      <c r="H285">
        <f t="shared" ca="1" si="85"/>
        <v>67.871631147907379</v>
      </c>
      <c r="I285">
        <f t="shared" ca="1" si="86"/>
        <v>60.105046685004723</v>
      </c>
      <c r="J285">
        <f t="shared" ca="1" si="95"/>
        <v>64.825499999999991</v>
      </c>
      <c r="K285">
        <f t="shared" ca="1" si="96"/>
        <v>2.9131001301742177</v>
      </c>
      <c r="L285">
        <f t="shared" ca="1" si="97"/>
        <v>70.65170026034842</v>
      </c>
      <c r="M285">
        <f t="shared" ca="1" si="98"/>
        <v>58.999299739651555</v>
      </c>
      <c r="N285">
        <f t="shared" ca="1" si="87"/>
        <v>1.019999999999996</v>
      </c>
      <c r="O285">
        <f t="shared" ca="1" si="88"/>
        <v>1.019999999999996</v>
      </c>
      <c r="P285">
        <f t="shared" ca="1" si="89"/>
        <v>0</v>
      </c>
      <c r="Q285">
        <f t="shared" ca="1" si="93"/>
        <v>0.56357806593109738</v>
      </c>
      <c r="R285">
        <f t="shared" ca="1" si="94"/>
        <v>0.18294254895020337</v>
      </c>
      <c r="S285">
        <f t="shared" ca="1" si="91"/>
        <v>3.0806286955392883</v>
      </c>
      <c r="T285">
        <f t="shared" ca="1" si="92"/>
        <v>75.493972262334395</v>
      </c>
      <c r="U285">
        <f>70</f>
        <v>70</v>
      </c>
      <c r="V285">
        <f>30</f>
        <v>30</v>
      </c>
      <c r="W285">
        <f t="shared" ca="1" si="90"/>
        <v>66.995169149506069</v>
      </c>
      <c r="X285">
        <f t="shared" ref="X285:X348" ca="1" si="100">C285*(2/(26+1)) + X284*(1-(2/(26+1)))</f>
        <v>65.192785954200417</v>
      </c>
      <c r="Y285">
        <f t="shared" ca="1" si="99"/>
        <v>1.9117658184848096</v>
      </c>
      <c r="Z285">
        <f t="shared" ca="1" si="80"/>
        <v>1.2791452618684005</v>
      </c>
      <c r="AA285">
        <f t="shared" ca="1" si="81"/>
        <v>0.63262055661640915</v>
      </c>
      <c r="AB285">
        <f t="shared" ca="1" si="82"/>
        <v>65.014899999999997</v>
      </c>
    </row>
    <row r="286" spans="1:28" x14ac:dyDescent="0.25">
      <c r="A286" s="20">
        <f t="shared" ca="1" si="83"/>
        <v>45705</v>
      </c>
      <c r="B286" vm="805">
        <f ca="1"/>
        <v>45708</v>
      </c>
      <c r="C286" vm="806">
        <f ca="1"/>
        <v>70.040000000000006</v>
      </c>
      <c r="D286" vm="807">
        <f ca="1"/>
        <v>13398010</v>
      </c>
      <c r="E286">
        <f t="shared" ca="1" si="84"/>
        <v>938396620.4000001</v>
      </c>
      <c r="F286">
        <f ca="1">SUM($E$2:E286)/SUM($D$2:D286)</f>
        <v>64.008246161862232</v>
      </c>
      <c r="G286">
        <f ca="1">_xlfn.STDEV.P($C$2:C286)</f>
        <v>3.8931679242364408</v>
      </c>
      <c r="H286">
        <f t="shared" ca="1" si="85"/>
        <v>67.901414086098669</v>
      </c>
      <c r="I286">
        <f t="shared" ca="1" si="86"/>
        <v>60.115078237625788</v>
      </c>
      <c r="J286">
        <f t="shared" ca="1" si="95"/>
        <v>65.238500000000002</v>
      </c>
      <c r="K286">
        <f t="shared" ca="1" si="96"/>
        <v>3.0413073279689922</v>
      </c>
      <c r="L286">
        <f t="shared" ca="1" si="97"/>
        <v>71.32111465593799</v>
      </c>
      <c r="M286">
        <f t="shared" ca="1" si="98"/>
        <v>59.155885344062014</v>
      </c>
      <c r="N286">
        <f t="shared" ca="1" si="87"/>
        <v>-2.9999999999986926E-2</v>
      </c>
      <c r="O286">
        <f t="shared" ca="1" si="88"/>
        <v>0</v>
      </c>
      <c r="P286">
        <f t="shared" ca="1" si="89"/>
        <v>2.9999999999986926E-2</v>
      </c>
      <c r="Q286">
        <f t="shared" ca="1" si="93"/>
        <v>0.52332248979316187</v>
      </c>
      <c r="R286">
        <f t="shared" ca="1" si="94"/>
        <v>0.17201808116804504</v>
      </c>
      <c r="S286">
        <f t="shared" ca="1" si="91"/>
        <v>3.0422528041219481</v>
      </c>
      <c r="T286">
        <f t="shared" ca="1" si="92"/>
        <v>75.261319653726645</v>
      </c>
      <c r="U286">
        <f>70</f>
        <v>70</v>
      </c>
      <c r="V286">
        <f>30</f>
        <v>30</v>
      </c>
      <c r="W286">
        <f t="shared" ca="1" si="90"/>
        <v>67.463604664966681</v>
      </c>
      <c r="X286">
        <f t="shared" ca="1" si="100"/>
        <v>65.551838846481871</v>
      </c>
      <c r="Y286">
        <f t="shared" ca="1" si="99"/>
        <v>2.0801793743262067</v>
      </c>
      <c r="Z286">
        <f t="shared" ca="1" si="80"/>
        <v>1.4393520843599616</v>
      </c>
      <c r="AA286">
        <f t="shared" ca="1" si="81"/>
        <v>0.64082728996624505</v>
      </c>
      <c r="AB286">
        <f t="shared" ca="1" si="82"/>
        <v>65.000799999999998</v>
      </c>
    </row>
    <row r="287" spans="1:28" x14ac:dyDescent="0.25">
      <c r="A287" s="20">
        <f t="shared" ca="1" si="83"/>
        <v>45705</v>
      </c>
      <c r="B287" vm="808">
        <f ca="1"/>
        <v>45709</v>
      </c>
      <c r="C287" vm="809">
        <f ca="1"/>
        <v>71.349999999999994</v>
      </c>
      <c r="D287" vm="810">
        <f ca="1"/>
        <v>21662252</v>
      </c>
      <c r="E287">
        <f t="shared" ca="1" si="84"/>
        <v>1545601680.1999998</v>
      </c>
      <c r="F287">
        <f ca="1">SUM($E$2:E287)/SUM($D$2:D287)</f>
        <v>64.04708765943316</v>
      </c>
      <c r="G287">
        <f ca="1">_xlfn.STDEV.P($C$2:C287)</f>
        <v>3.9106903824887955</v>
      </c>
      <c r="H287">
        <f t="shared" ca="1" si="85"/>
        <v>67.957778041921955</v>
      </c>
      <c r="I287">
        <f t="shared" ca="1" si="86"/>
        <v>60.136397276944365</v>
      </c>
      <c r="J287">
        <f t="shared" ca="1" si="95"/>
        <v>65.729499999999987</v>
      </c>
      <c r="K287">
        <f t="shared" ca="1" si="96"/>
        <v>3.1996487882924036</v>
      </c>
      <c r="L287">
        <f t="shared" ca="1" si="97"/>
        <v>72.128797576584788</v>
      </c>
      <c r="M287">
        <f t="shared" ca="1" si="98"/>
        <v>59.33020242341518</v>
      </c>
      <c r="N287">
        <f t="shared" ca="1" si="87"/>
        <v>1.3099999999999881</v>
      </c>
      <c r="O287">
        <f t="shared" ca="1" si="88"/>
        <v>1.3099999999999881</v>
      </c>
      <c r="P287">
        <f t="shared" ca="1" si="89"/>
        <v>0</v>
      </c>
      <c r="Q287">
        <f t="shared" ca="1" si="93"/>
        <v>0.57951374052222093</v>
      </c>
      <c r="R287">
        <f t="shared" ca="1" si="94"/>
        <v>0.15973107537032755</v>
      </c>
      <c r="S287">
        <f t="shared" ca="1" si="91"/>
        <v>3.6280588431440206</v>
      </c>
      <c r="T287">
        <f t="shared" ca="1" si="92"/>
        <v>78.392668851188134</v>
      </c>
      <c r="U287">
        <f>70</f>
        <v>70</v>
      </c>
      <c r="V287">
        <f>30</f>
        <v>30</v>
      </c>
      <c r="W287">
        <f t="shared" ca="1" si="90"/>
        <v>68.061511639587195</v>
      </c>
      <c r="X287">
        <f t="shared" ca="1" si="100"/>
        <v>65.981332265260988</v>
      </c>
      <c r="Y287">
        <f t="shared" ca="1" si="99"/>
        <v>2.1277947884546364</v>
      </c>
      <c r="Z287">
        <f t="shared" ca="1" si="80"/>
        <v>1.5770406251788966</v>
      </c>
      <c r="AA287">
        <f t="shared" ca="1" si="81"/>
        <v>0.55075416327573978</v>
      </c>
      <c r="AB287">
        <f t="shared" ca="1" si="82"/>
        <v>65.00030000000001</v>
      </c>
    </row>
    <row r="288" spans="1:28" x14ac:dyDescent="0.25">
      <c r="A288" s="20">
        <f t="shared" ca="1" si="83"/>
        <v>45712</v>
      </c>
      <c r="B288" vm="811">
        <f ca="1"/>
        <v>45712</v>
      </c>
      <c r="C288" vm="812">
        <f ca="1"/>
        <v>70.59</v>
      </c>
      <c r="D288" vm="813">
        <f ca="1"/>
        <v>21418442</v>
      </c>
      <c r="E288">
        <f t="shared" ca="1" si="84"/>
        <v>1511927820.78</v>
      </c>
      <c r="F288">
        <f ca="1">SUM($E$2:E288)/SUM($D$2:D288)</f>
        <v>64.081135194130198</v>
      </c>
      <c r="G288">
        <f ca="1">_xlfn.STDEV.P($C$2:C288)</f>
        <v>3.923157765631518</v>
      </c>
      <c r="H288">
        <f t="shared" ca="1" si="85"/>
        <v>68.004292959761713</v>
      </c>
      <c r="I288">
        <f t="shared" ca="1" si="86"/>
        <v>60.157977428498683</v>
      </c>
      <c r="J288">
        <f t="shared" ca="1" si="95"/>
        <v>66.162999999999982</v>
      </c>
      <c r="K288">
        <f t="shared" ca="1" si="96"/>
        <v>3.2433820879478645</v>
      </c>
      <c r="L288">
        <f t="shared" ca="1" si="97"/>
        <v>72.649764175895712</v>
      </c>
      <c r="M288">
        <f t="shared" ca="1" si="98"/>
        <v>59.676235824104253</v>
      </c>
      <c r="N288">
        <f t="shared" ca="1" si="87"/>
        <v>-0.75999999999999091</v>
      </c>
      <c r="O288">
        <f t="shared" ca="1" si="88"/>
        <v>0</v>
      </c>
      <c r="P288">
        <f t="shared" ca="1" si="89"/>
        <v>0.75999999999999091</v>
      </c>
      <c r="Q288">
        <f t="shared" ca="1" si="93"/>
        <v>0.53811990191349091</v>
      </c>
      <c r="R288">
        <f t="shared" ca="1" si="94"/>
        <v>0.20260742712958921</v>
      </c>
      <c r="S288">
        <f t="shared" ca="1" si="91"/>
        <v>2.6559732263383684</v>
      </c>
      <c r="T288">
        <f t="shared" ca="1" si="92"/>
        <v>72.64750209887211</v>
      </c>
      <c r="U288">
        <f>70</f>
        <v>70</v>
      </c>
      <c r="V288">
        <f>30</f>
        <v>30</v>
      </c>
      <c r="W288">
        <f t="shared" ca="1" si="90"/>
        <v>68.450509848881481</v>
      </c>
      <c r="X288">
        <f t="shared" ca="1" si="100"/>
        <v>66.322715060426845</v>
      </c>
      <c r="Y288">
        <f t="shared" ca="1" si="99"/>
        <v>2.2126468104817008</v>
      </c>
      <c r="Z288">
        <f t="shared" ca="1" si="80"/>
        <v>1.7041618622394576</v>
      </c>
      <c r="AA288">
        <f t="shared" ca="1" si="81"/>
        <v>0.50848494824224311</v>
      </c>
      <c r="AB288">
        <f t="shared" ca="1" si="82"/>
        <v>64.988300000000024</v>
      </c>
    </row>
    <row r="289" spans="1:28" x14ac:dyDescent="0.25">
      <c r="A289" s="20">
        <f t="shared" ca="1" si="83"/>
        <v>45712</v>
      </c>
      <c r="B289" vm="814">
        <f ca="1"/>
        <v>45713</v>
      </c>
      <c r="C289" vm="815">
        <f ca="1"/>
        <v>71.489999999999995</v>
      </c>
      <c r="D289" vm="816">
        <f ca="1"/>
        <v>21555588</v>
      </c>
      <c r="E289">
        <f t="shared" ca="1" si="84"/>
        <v>1541008986.1199999</v>
      </c>
      <c r="F289">
        <f ca="1">SUM($E$2:E289)/SUM($D$2:D289)</f>
        <v>64.119733633967215</v>
      </c>
      <c r="G289">
        <f ca="1">_xlfn.STDEV.P($C$2:C289)</f>
        <v>3.9409184331559315</v>
      </c>
      <c r="H289">
        <f t="shared" ca="1" si="85"/>
        <v>68.060652067123144</v>
      </c>
      <c r="I289">
        <f t="shared" ca="1" si="86"/>
        <v>60.178815200811286</v>
      </c>
      <c r="J289">
        <f t="shared" ca="1" si="95"/>
        <v>66.543999999999997</v>
      </c>
      <c r="K289">
        <f t="shared" ca="1" si="96"/>
        <v>3.4034570659845258</v>
      </c>
      <c r="L289">
        <f t="shared" ca="1" si="97"/>
        <v>73.350914131969049</v>
      </c>
      <c r="M289">
        <f t="shared" ca="1" si="98"/>
        <v>59.737085868030945</v>
      </c>
      <c r="N289">
        <f t="shared" ca="1" si="87"/>
        <v>0.89999999999999147</v>
      </c>
      <c r="O289">
        <f t="shared" ca="1" si="88"/>
        <v>0.89999999999999147</v>
      </c>
      <c r="P289">
        <f t="shared" ca="1" si="89"/>
        <v>0</v>
      </c>
      <c r="Q289">
        <f t="shared" ca="1" si="93"/>
        <v>0.56396848034824099</v>
      </c>
      <c r="R289">
        <f t="shared" ca="1" si="94"/>
        <v>0.18813546804890427</v>
      </c>
      <c r="S289">
        <f t="shared" ca="1" si="91"/>
        <v>2.9976722953783601</v>
      </c>
      <c r="T289">
        <f t="shared" ca="1" si="92"/>
        <v>74.98544337523407</v>
      </c>
      <c r="U289">
        <f>70</f>
        <v>70</v>
      </c>
      <c r="V289">
        <f>30</f>
        <v>30</v>
      </c>
      <c r="W289">
        <f t="shared" ca="1" si="90"/>
        <v>68.918123718284335</v>
      </c>
      <c r="X289">
        <f t="shared" ca="1" si="100"/>
        <v>66.705476907802634</v>
      </c>
      <c r="Y289">
        <f t="shared" ca="1" si="99"/>
        <v>2.1988682316085146</v>
      </c>
      <c r="Z289">
        <f t="shared" ca="1" si="80"/>
        <v>1.8031031361132692</v>
      </c>
      <c r="AA289">
        <f t="shared" ca="1" si="81"/>
        <v>0.39576509549524541</v>
      </c>
      <c r="AB289">
        <f t="shared" ca="1" si="82"/>
        <v>64.984600000000015</v>
      </c>
    </row>
    <row r="290" spans="1:28" x14ac:dyDescent="0.25">
      <c r="A290" s="20">
        <f t="shared" ca="1" si="83"/>
        <v>45712</v>
      </c>
      <c r="B290" vm="817">
        <f ca="1"/>
        <v>45714</v>
      </c>
      <c r="C290" vm="818">
        <f ca="1"/>
        <v>70.8</v>
      </c>
      <c r="D290" vm="819">
        <f ca="1"/>
        <v>14531175</v>
      </c>
      <c r="E290">
        <f t="shared" ca="1" si="84"/>
        <v>1028807190</v>
      </c>
      <c r="F290">
        <f ca="1">SUM($E$2:E290)/SUM($D$2:D290)</f>
        <v>64.143112860203999</v>
      </c>
      <c r="G290">
        <f ca="1">_xlfn.STDEV.P($C$2:C290)</f>
        <v>3.9540392821513448</v>
      </c>
      <c r="H290">
        <f t="shared" ca="1" si="85"/>
        <v>68.097152142355341</v>
      </c>
      <c r="I290">
        <f t="shared" ca="1" si="86"/>
        <v>60.189073578052657</v>
      </c>
      <c r="J290">
        <f t="shared" ca="1" si="95"/>
        <v>66.96599999999998</v>
      </c>
      <c r="K290">
        <f t="shared" ca="1" si="96"/>
        <v>3.3805393527940879</v>
      </c>
      <c r="L290">
        <f t="shared" ca="1" si="97"/>
        <v>73.727078705588156</v>
      </c>
      <c r="M290">
        <f t="shared" ca="1" si="98"/>
        <v>60.204921294411804</v>
      </c>
      <c r="N290">
        <f t="shared" ca="1" si="87"/>
        <v>-0.68999999999999773</v>
      </c>
      <c r="O290">
        <f t="shared" ca="1" si="88"/>
        <v>0</v>
      </c>
      <c r="P290">
        <f t="shared" ca="1" si="89"/>
        <v>0.68999999999999773</v>
      </c>
      <c r="Q290">
        <f t="shared" ca="1" si="93"/>
        <v>0.52368501746622376</v>
      </c>
      <c r="R290">
        <f t="shared" ca="1" si="94"/>
        <v>0.22398293461683952</v>
      </c>
      <c r="S290">
        <f t="shared" ca="1" si="91"/>
        <v>2.3380576665899797</v>
      </c>
      <c r="T290">
        <f t="shared" ca="1" si="92"/>
        <v>70.042458822421779</v>
      </c>
      <c r="U290">
        <f>70</f>
        <v>70</v>
      </c>
      <c r="V290">
        <f>30</f>
        <v>30</v>
      </c>
      <c r="W290">
        <f t="shared" ca="1" si="90"/>
        <v>69.207643146240585</v>
      </c>
      <c r="X290">
        <f t="shared" ca="1" si="100"/>
        <v>67.00877491463207</v>
      </c>
      <c r="Y290">
        <f t="shared" ca="1" si="99"/>
        <v>2.1685987668889766</v>
      </c>
      <c r="Z290">
        <f t="shared" ca="1" si="80"/>
        <v>1.8762022622684107</v>
      </c>
      <c r="AA290">
        <f t="shared" ca="1" si="81"/>
        <v>0.29239650462056588</v>
      </c>
      <c r="AB290">
        <f t="shared" ca="1" si="82"/>
        <v>64.975500000000011</v>
      </c>
    </row>
    <row r="291" spans="1:28" x14ac:dyDescent="0.25">
      <c r="A291" s="20">
        <f t="shared" ca="1" si="83"/>
        <v>45712</v>
      </c>
      <c r="B291" vm="820">
        <f ca="1"/>
        <v>45715</v>
      </c>
      <c r="C291" vm="821">
        <f ca="1"/>
        <v>70.87</v>
      </c>
      <c r="D291" vm="822">
        <f ca="1"/>
        <v>16789476</v>
      </c>
      <c r="E291">
        <f t="shared" ca="1" si="84"/>
        <v>1189870164.1200001</v>
      </c>
      <c r="F291">
        <f ca="1">SUM($E$2:E291)/SUM($D$2:D291)</f>
        <v>64.170204438923136</v>
      </c>
      <c r="G291">
        <f ca="1">_xlfn.STDEV.P($C$2:C291)</f>
        <v>3.9673006868141112</v>
      </c>
      <c r="H291">
        <f t="shared" ca="1" si="85"/>
        <v>68.137505125737249</v>
      </c>
      <c r="I291">
        <f t="shared" ca="1" si="86"/>
        <v>60.202903752109023</v>
      </c>
      <c r="J291">
        <f t="shared" ca="1" si="95"/>
        <v>67.367999999999981</v>
      </c>
      <c r="K291">
        <f t="shared" ca="1" si="96"/>
        <v>3.3406233266452405</v>
      </c>
      <c r="L291">
        <f t="shared" ca="1" si="97"/>
        <v>74.049246653290467</v>
      </c>
      <c r="M291">
        <f t="shared" ca="1" si="98"/>
        <v>60.686753346709501</v>
      </c>
      <c r="N291">
        <f t="shared" ca="1" si="87"/>
        <v>7.000000000000739E-2</v>
      </c>
      <c r="O291">
        <f t="shared" ca="1" si="88"/>
        <v>7.000000000000739E-2</v>
      </c>
      <c r="P291">
        <f t="shared" ca="1" si="89"/>
        <v>0</v>
      </c>
      <c r="Q291">
        <f t="shared" ca="1" si="93"/>
        <v>0.49127894479006545</v>
      </c>
      <c r="R291">
        <f t="shared" ca="1" si="94"/>
        <v>0.20798415357277955</v>
      </c>
      <c r="S291">
        <f t="shared" ca="1" si="91"/>
        <v>2.3620979596320688</v>
      </c>
      <c r="T291">
        <f t="shared" ca="1" si="92"/>
        <v>70.25666675966113</v>
      </c>
      <c r="U291">
        <f>70</f>
        <v>70</v>
      </c>
      <c r="V291">
        <f>30</f>
        <v>30</v>
      </c>
      <c r="W291">
        <f t="shared" ca="1" si="90"/>
        <v>69.463390354511262</v>
      </c>
      <c r="X291">
        <f t="shared" ca="1" si="100"/>
        <v>67.294791587622285</v>
      </c>
      <c r="Y291">
        <f t="shared" ca="1" si="99"/>
        <v>2.147292505164117</v>
      </c>
      <c r="Z291">
        <f t="shared" ca="1" si="80"/>
        <v>1.9304203108475519</v>
      </c>
      <c r="AA291">
        <f t="shared" ca="1" si="81"/>
        <v>0.21687219431656501</v>
      </c>
      <c r="AB291">
        <f t="shared" ca="1" si="82"/>
        <v>64.974100000000021</v>
      </c>
    </row>
    <row r="292" spans="1:28" x14ac:dyDescent="0.25">
      <c r="A292" s="20">
        <f t="shared" ca="1" si="83"/>
        <v>45712</v>
      </c>
      <c r="B292" vm="823">
        <f ca="1"/>
        <v>45716</v>
      </c>
      <c r="C292" vm="824">
        <f ca="1"/>
        <v>71.209999999999994</v>
      </c>
      <c r="D292" vm="825">
        <f ca="1"/>
        <v>22167379</v>
      </c>
      <c r="E292">
        <f t="shared" ca="1" si="84"/>
        <v>1578539058.5899999</v>
      </c>
      <c r="F292">
        <f ca="1">SUM($E$2:E292)/SUM($D$2:D292)</f>
        <v>64.207439685568815</v>
      </c>
      <c r="G292">
        <f ca="1">_xlfn.STDEV.P($C$2:C292)</f>
        <v>3.9823224206989138</v>
      </c>
      <c r="H292">
        <f t="shared" ca="1" si="85"/>
        <v>68.189762106267722</v>
      </c>
      <c r="I292">
        <f t="shared" ca="1" si="86"/>
        <v>60.225117264869901</v>
      </c>
      <c r="J292">
        <f t="shared" ca="1" si="95"/>
        <v>67.725999999999999</v>
      </c>
      <c r="K292">
        <f t="shared" ca="1" si="96"/>
        <v>3.3499731342206305</v>
      </c>
      <c r="L292">
        <f t="shared" ca="1" si="97"/>
        <v>74.425946268441265</v>
      </c>
      <c r="M292">
        <f t="shared" ca="1" si="98"/>
        <v>61.02605373155874</v>
      </c>
      <c r="N292">
        <f t="shared" ca="1" si="87"/>
        <v>0.3399999999999892</v>
      </c>
      <c r="O292">
        <f t="shared" ca="1" si="88"/>
        <v>0.3399999999999892</v>
      </c>
      <c r="P292">
        <f t="shared" ca="1" si="89"/>
        <v>0</v>
      </c>
      <c r="Q292">
        <f t="shared" ca="1" si="93"/>
        <v>0.48047330587648857</v>
      </c>
      <c r="R292">
        <f t="shared" ca="1" si="94"/>
        <v>0.19312814260329531</v>
      </c>
      <c r="S292">
        <f t="shared" ca="1" si="91"/>
        <v>2.4878471847752879</v>
      </c>
      <c r="T292">
        <f t="shared" ca="1" si="92"/>
        <v>71.329019104819892</v>
      </c>
      <c r="U292">
        <f>70</f>
        <v>70</v>
      </c>
      <c r="V292">
        <f>30</f>
        <v>30</v>
      </c>
      <c r="W292">
        <f t="shared" ca="1" si="90"/>
        <v>69.7320995307403</v>
      </c>
      <c r="X292">
        <f t="shared" ca="1" si="100"/>
        <v>67.584807025576183</v>
      </c>
      <c r="Y292">
        <f t="shared" ca="1" si="99"/>
        <v>2.1946760037538837</v>
      </c>
      <c r="Z292">
        <f t="shared" ca="1" si="80"/>
        <v>1.9832714494288184</v>
      </c>
      <c r="AA292">
        <f t="shared" ca="1" si="81"/>
        <v>0.21140455432506533</v>
      </c>
      <c r="AB292">
        <f t="shared" ca="1" si="82"/>
        <v>64.981000000000009</v>
      </c>
    </row>
    <row r="293" spans="1:28" x14ac:dyDescent="0.25">
      <c r="A293" s="20">
        <f t="shared" ca="1" si="83"/>
        <v>45719</v>
      </c>
      <c r="B293" vm="826">
        <f ca="1"/>
        <v>45719</v>
      </c>
      <c r="C293" vm="827">
        <f ca="1"/>
        <v>72.319999999999993</v>
      </c>
      <c r="D293" vm="828">
        <f ca="1"/>
        <v>21717603</v>
      </c>
      <c r="E293">
        <f t="shared" ca="1" si="84"/>
        <v>1570617048.9599998</v>
      </c>
      <c r="F293">
        <f ca="1">SUM($E$2:E293)/SUM($D$2:D293)</f>
        <v>64.249261704670047</v>
      </c>
      <c r="G293">
        <f ca="1">_xlfn.STDEV.P($C$2:C293)</f>
        <v>4.0042797619360035</v>
      </c>
      <c r="H293">
        <f t="shared" ca="1" si="85"/>
        <v>68.253541466606052</v>
      </c>
      <c r="I293">
        <f t="shared" ca="1" si="86"/>
        <v>60.244981942734043</v>
      </c>
      <c r="J293">
        <f t="shared" ca="1" si="95"/>
        <v>68.167999999999992</v>
      </c>
      <c r="K293">
        <f t="shared" ca="1" si="96"/>
        <v>3.3434391370500349</v>
      </c>
      <c r="L293">
        <f t="shared" ca="1" si="97"/>
        <v>74.854878274100059</v>
      </c>
      <c r="M293">
        <f t="shared" ca="1" si="98"/>
        <v>61.481121725899925</v>
      </c>
      <c r="N293">
        <f t="shared" ca="1" si="87"/>
        <v>1.1099999999999994</v>
      </c>
      <c r="O293">
        <f t="shared" ca="1" si="88"/>
        <v>1.1099999999999994</v>
      </c>
      <c r="P293">
        <f t="shared" ca="1" si="89"/>
        <v>0</v>
      </c>
      <c r="Q293">
        <f t="shared" ca="1" si="93"/>
        <v>0.52543949831388226</v>
      </c>
      <c r="R293">
        <f t="shared" ca="1" si="94"/>
        <v>0.1793332752744885</v>
      </c>
      <c r="S293">
        <f t="shared" ca="1" si="91"/>
        <v>2.9299609763421857</v>
      </c>
      <c r="T293">
        <f t="shared" ca="1" si="92"/>
        <v>74.554454712912928</v>
      </c>
      <c r="U293">
        <f>70</f>
        <v>70</v>
      </c>
      <c r="V293">
        <f>30</f>
        <v>30</v>
      </c>
      <c r="W293">
        <f t="shared" ca="1" si="90"/>
        <v>70.130238064472564</v>
      </c>
      <c r="X293">
        <f t="shared" ca="1" si="100"/>
        <v>67.935562060718681</v>
      </c>
      <c r="Y293">
        <f t="shared" ca="1" si="99"/>
        <v>2.0368747447714384</v>
      </c>
      <c r="Z293">
        <f t="shared" ca="1" si="80"/>
        <v>1.9939921084973424</v>
      </c>
      <c r="AA293">
        <f t="shared" ca="1" si="81"/>
        <v>4.2882636274095942E-2</v>
      </c>
      <c r="AB293">
        <f t="shared" ca="1" si="82"/>
        <v>65.002500000000012</v>
      </c>
    </row>
    <row r="294" spans="1:28" x14ac:dyDescent="0.25">
      <c r="A294" s="20">
        <f t="shared" ca="1" si="83"/>
        <v>45719</v>
      </c>
      <c r="B294" vm="829">
        <f ca="1"/>
        <v>45720</v>
      </c>
      <c r="C294" vm="830">
        <f ca="1"/>
        <v>70.19</v>
      </c>
      <c r="D294" vm="831">
        <f ca="1"/>
        <v>25411858</v>
      </c>
      <c r="E294">
        <f t="shared" ca="1" si="84"/>
        <v>1783658313.02</v>
      </c>
      <c r="F294">
        <f ca="1">SUM($E$2:E294)/SUM($D$2:D294)</f>
        <v>64.284882216194575</v>
      </c>
      <c r="G294">
        <f ca="1">_xlfn.STDEV.P($C$2:C294)</f>
        <v>4.012958486749552</v>
      </c>
      <c r="H294">
        <f t="shared" ca="1" si="85"/>
        <v>68.297840702944129</v>
      </c>
      <c r="I294">
        <f t="shared" ca="1" si="86"/>
        <v>60.271923729445021</v>
      </c>
      <c r="J294">
        <f t="shared" ca="1" si="95"/>
        <v>68.510000000000005</v>
      </c>
      <c r="K294">
        <f t="shared" ca="1" si="96"/>
        <v>3.1700008301509781</v>
      </c>
      <c r="L294">
        <f t="shared" ca="1" si="97"/>
        <v>74.850001660301956</v>
      </c>
      <c r="M294">
        <f t="shared" ca="1" si="98"/>
        <v>62.169998339698047</v>
      </c>
      <c r="N294">
        <f t="shared" ca="1" si="87"/>
        <v>-2.1299999999999955</v>
      </c>
      <c r="O294">
        <f t="shared" ca="1" si="88"/>
        <v>0</v>
      </c>
      <c r="P294">
        <f t="shared" ca="1" si="89"/>
        <v>2.1299999999999955</v>
      </c>
      <c r="Q294">
        <f t="shared" ca="1" si="93"/>
        <v>0.4879081055771764</v>
      </c>
      <c r="R294">
        <f t="shared" ca="1" si="94"/>
        <v>0.31866661275488184</v>
      </c>
      <c r="S294">
        <f t="shared" ca="1" si="91"/>
        <v>1.531092640547427</v>
      </c>
      <c r="T294">
        <f t="shared" ca="1" si="92"/>
        <v>60.491371039515997</v>
      </c>
      <c r="U294">
        <f>70</f>
        <v>70</v>
      </c>
      <c r="V294">
        <f>30</f>
        <v>30</v>
      </c>
      <c r="W294">
        <f t="shared" ca="1" si="90"/>
        <v>70.139432208399853</v>
      </c>
      <c r="X294">
        <f t="shared" ca="1" si="100"/>
        <v>68.102557463628415</v>
      </c>
      <c r="Y294">
        <f t="shared" ca="1" si="99"/>
        <v>1.8812541031781365</v>
      </c>
      <c r="Z294">
        <f t="shared" ref="Z294:Z357" ca="1" si="101">Y294*(2/(9+1)) + Z293*(1-(2/(9+1)))</f>
        <v>1.9714445074335014</v>
      </c>
      <c r="AA294">
        <f t="shared" ref="AA294:AA357" ca="1" si="102">Y294-Z294</f>
        <v>-9.0190404255364953E-2</v>
      </c>
      <c r="AB294">
        <f t="shared" ref="AB294:AB357" ca="1" si="103">AVERAGE(C195:C294)</f>
        <v>65.014299999999992</v>
      </c>
    </row>
    <row r="295" spans="1:28" x14ac:dyDescent="0.25">
      <c r="A295" s="20">
        <f t="shared" ca="1" si="83"/>
        <v>45719</v>
      </c>
      <c r="B295" vm="832">
        <f ca="1"/>
        <v>45721</v>
      </c>
      <c r="C295" vm="833">
        <f ca="1"/>
        <v>70.08</v>
      </c>
      <c r="D295" vm="834">
        <f ca="1"/>
        <v>23933629</v>
      </c>
      <c r="E295">
        <f t="shared" ca="1" si="84"/>
        <v>1677268720.3199999</v>
      </c>
      <c r="F295">
        <f ca="1">SUM($E$2:E295)/SUM($D$2:D295)</f>
        <v>64.317424534704415</v>
      </c>
      <c r="G295">
        <f ca="1">_xlfn.STDEV.P($C$2:C295)</f>
        <v>4.0209012986467592</v>
      </c>
      <c r="H295">
        <f t="shared" ca="1" si="85"/>
        <v>68.338325833351178</v>
      </c>
      <c r="I295">
        <f t="shared" ca="1" si="86"/>
        <v>60.296523236057652</v>
      </c>
      <c r="J295">
        <f t="shared" ca="1" si="95"/>
        <v>68.880499999999998</v>
      </c>
      <c r="K295">
        <f t="shared" ca="1" si="96"/>
        <v>2.8703850374397319</v>
      </c>
      <c r="L295">
        <f t="shared" ca="1" si="97"/>
        <v>74.621270074879462</v>
      </c>
      <c r="M295">
        <f t="shared" ca="1" si="98"/>
        <v>63.139729925120534</v>
      </c>
      <c r="N295">
        <f t="shared" ca="1" si="87"/>
        <v>-0.10999999999999943</v>
      </c>
      <c r="O295">
        <f t="shared" ca="1" si="88"/>
        <v>0</v>
      </c>
      <c r="P295">
        <f t="shared" ca="1" si="89"/>
        <v>0.10999999999999943</v>
      </c>
      <c r="Q295">
        <f t="shared" ca="1" si="93"/>
        <v>0.45305752660737808</v>
      </c>
      <c r="R295">
        <f t="shared" ca="1" si="94"/>
        <v>0.30376185470096168</v>
      </c>
      <c r="S295">
        <f t="shared" ca="1" si="91"/>
        <v>1.4914892031239093</v>
      </c>
      <c r="T295">
        <f t="shared" ca="1" si="92"/>
        <v>59.863362090986875</v>
      </c>
      <c r="U295">
        <f>70</f>
        <v>70</v>
      </c>
      <c r="V295">
        <f>30</f>
        <v>30</v>
      </c>
      <c r="W295">
        <f t="shared" ca="1" si="90"/>
        <v>70.130288791722961</v>
      </c>
      <c r="X295">
        <f t="shared" ca="1" si="100"/>
        <v>68.249034688544825</v>
      </c>
      <c r="Y295">
        <f t="shared" ca="1" si="99"/>
        <v>1.7682036961955845</v>
      </c>
      <c r="Z295">
        <f t="shared" ca="1" si="101"/>
        <v>1.9307963451859183</v>
      </c>
      <c r="AA295">
        <f t="shared" ca="1" si="102"/>
        <v>-0.16259264899033377</v>
      </c>
      <c r="AB295">
        <f t="shared" ca="1" si="103"/>
        <v>65.023300000000006</v>
      </c>
    </row>
    <row r="296" spans="1:28" x14ac:dyDescent="0.25">
      <c r="A296" s="20">
        <f t="shared" ca="1" si="83"/>
        <v>45719</v>
      </c>
      <c r="B296" vm="835">
        <f ca="1"/>
        <v>45722</v>
      </c>
      <c r="C296" vm="836">
        <f ca="1"/>
        <v>70.459999999999994</v>
      </c>
      <c r="D296" vm="837">
        <f ca="1"/>
        <v>21694031</v>
      </c>
      <c r="E296">
        <f t="shared" ca="1" si="84"/>
        <v>1528561424.2599998</v>
      </c>
      <c r="F296">
        <f ca="1">SUM($E$2:E296)/SUM($D$2:D296)</f>
        <v>64.348531917528746</v>
      </c>
      <c r="G296">
        <f ca="1">_xlfn.STDEV.P($C$2:C296)</f>
        <v>4.0306137441171437</v>
      </c>
      <c r="H296">
        <f t="shared" ca="1" si="85"/>
        <v>68.379145661645893</v>
      </c>
      <c r="I296">
        <f t="shared" ca="1" si="86"/>
        <v>60.317918173411599</v>
      </c>
      <c r="J296">
        <f t="shared" ca="1" si="95"/>
        <v>69.247500000000002</v>
      </c>
      <c r="K296">
        <f t="shared" ca="1" si="96"/>
        <v>2.5460059019239472</v>
      </c>
      <c r="L296">
        <f t="shared" ca="1" si="97"/>
        <v>74.339511803847898</v>
      </c>
      <c r="M296">
        <f t="shared" ca="1" si="98"/>
        <v>64.155488196152106</v>
      </c>
      <c r="N296">
        <f t="shared" ca="1" si="87"/>
        <v>0.37999999999999545</v>
      </c>
      <c r="O296">
        <f t="shared" ca="1" si="88"/>
        <v>0.37999999999999545</v>
      </c>
      <c r="P296">
        <f t="shared" ca="1" si="89"/>
        <v>0</v>
      </c>
      <c r="Q296">
        <f t="shared" ca="1" si="93"/>
        <v>0.44783913184970786</v>
      </c>
      <c r="R296">
        <f t="shared" ca="1" si="94"/>
        <v>0.2820645793651787</v>
      </c>
      <c r="S296">
        <f t="shared" ca="1" si="91"/>
        <v>1.5877184326285325</v>
      </c>
      <c r="T296">
        <f t="shared" ca="1" si="92"/>
        <v>61.355919276571846</v>
      </c>
      <c r="U296">
        <f>70</f>
        <v>70</v>
      </c>
      <c r="V296">
        <f>30</f>
        <v>30</v>
      </c>
      <c r="W296">
        <f t="shared" ca="1" si="90"/>
        <v>70.181013592996351</v>
      </c>
      <c r="X296">
        <f t="shared" ca="1" si="100"/>
        <v>68.412809896800766</v>
      </c>
      <c r="Y296">
        <f t="shared" ca="1" si="99"/>
        <v>1.7368598879192803</v>
      </c>
      <c r="Z296">
        <f t="shared" ca="1" si="101"/>
        <v>1.8920090537325907</v>
      </c>
      <c r="AA296">
        <f t="shared" ca="1" si="102"/>
        <v>-0.1551491658133104</v>
      </c>
      <c r="AB296">
        <f t="shared" ca="1" si="103"/>
        <v>65.032200000000003</v>
      </c>
    </row>
    <row r="297" spans="1:28" x14ac:dyDescent="0.25">
      <c r="A297" s="20">
        <f t="shared" ca="1" si="83"/>
        <v>45719</v>
      </c>
      <c r="B297" vm="838">
        <f ca="1"/>
        <v>45723</v>
      </c>
      <c r="C297" vm="839">
        <f ca="1"/>
        <v>71.430000000000007</v>
      </c>
      <c r="D297" vm="840">
        <f ca="1"/>
        <v>28393261</v>
      </c>
      <c r="E297">
        <f t="shared" ca="1" si="84"/>
        <v>2028130633.2300003</v>
      </c>
      <c r="F297">
        <f ca="1">SUM($E$2:E297)/SUM($D$2:D297)</f>
        <v>64.395159430420051</v>
      </c>
      <c r="G297">
        <f ca="1">_xlfn.STDEV.P($C$2:C297)</f>
        <v>4.0455700380480391</v>
      </c>
      <c r="H297">
        <f t="shared" ca="1" si="85"/>
        <v>68.440729468468092</v>
      </c>
      <c r="I297">
        <f t="shared" ca="1" si="86"/>
        <v>60.34958939237201</v>
      </c>
      <c r="J297">
        <f t="shared" ca="1" si="95"/>
        <v>69.650999999999996</v>
      </c>
      <c r="K297">
        <f t="shared" ca="1" si="96"/>
        <v>2.1764913822117702</v>
      </c>
      <c r="L297">
        <f t="shared" ca="1" si="97"/>
        <v>74.00398276442354</v>
      </c>
      <c r="M297">
        <f t="shared" ca="1" si="98"/>
        <v>65.298017235576452</v>
      </c>
      <c r="N297">
        <f t="shared" ca="1" si="87"/>
        <v>0.97000000000001307</v>
      </c>
      <c r="O297">
        <f t="shared" ca="1" si="88"/>
        <v>0.97000000000001307</v>
      </c>
      <c r="P297">
        <f t="shared" ca="1" si="89"/>
        <v>0</v>
      </c>
      <c r="Q297">
        <f t="shared" ca="1" si="93"/>
        <v>0.48513633671758682</v>
      </c>
      <c r="R297">
        <f t="shared" ca="1" si="94"/>
        <v>0.2619171094105231</v>
      </c>
      <c r="S297">
        <f t="shared" ca="1" si="91"/>
        <v>1.852251415760682</v>
      </c>
      <c r="T297">
        <f t="shared" ca="1" si="92"/>
        <v>64.939977083566291</v>
      </c>
      <c r="U297">
        <f>70</f>
        <v>70</v>
      </c>
      <c r="V297">
        <f>30</f>
        <v>30</v>
      </c>
      <c r="W297">
        <f t="shared" ca="1" si="90"/>
        <v>70.373165347919993</v>
      </c>
      <c r="X297">
        <f t="shared" ca="1" si="100"/>
        <v>68.636305460000713</v>
      </c>
      <c r="Y297">
        <f t="shared" ca="1" si="99"/>
        <v>1.6941049396923233</v>
      </c>
      <c r="Z297">
        <f t="shared" ca="1" si="101"/>
        <v>1.8524282309245372</v>
      </c>
      <c r="AA297">
        <f t="shared" ca="1" si="102"/>
        <v>-0.15832329123221389</v>
      </c>
      <c r="AB297">
        <f t="shared" ca="1" si="103"/>
        <v>65.054000000000016</v>
      </c>
    </row>
    <row r="298" spans="1:28" x14ac:dyDescent="0.25">
      <c r="A298" s="20">
        <f t="shared" ca="1" si="83"/>
        <v>45726</v>
      </c>
      <c r="B298" vm="841">
        <f ca="1"/>
        <v>45726</v>
      </c>
      <c r="C298" vm="535">
        <f ca="1"/>
        <v>71.45</v>
      </c>
      <c r="D298" vm="842">
        <f ca="1"/>
        <v>25251189</v>
      </c>
      <c r="E298">
        <f t="shared" ca="1" si="84"/>
        <v>1804197454.0500002</v>
      </c>
      <c r="F298">
        <f ca="1">SUM($E$2:E298)/SUM($D$2:D298)</f>
        <v>64.436230592407199</v>
      </c>
      <c r="G298">
        <f ca="1">_xlfn.STDEV.P($C$2:C298)</f>
        <v>4.0603450502686318</v>
      </c>
      <c r="H298">
        <f t="shared" ca="1" si="85"/>
        <v>68.496575642675836</v>
      </c>
      <c r="I298">
        <f t="shared" ca="1" si="86"/>
        <v>60.375885542138569</v>
      </c>
      <c r="J298">
        <f t="shared" ca="1" si="95"/>
        <v>70.031500000000008</v>
      </c>
      <c r="K298">
        <f t="shared" ca="1" si="96"/>
        <v>1.7256311583698425</v>
      </c>
      <c r="L298">
        <f t="shared" ca="1" si="97"/>
        <v>73.482762316739695</v>
      </c>
      <c r="M298">
        <f t="shared" ca="1" si="98"/>
        <v>66.580237683260322</v>
      </c>
      <c r="N298">
        <f t="shared" ca="1" si="87"/>
        <v>1.9999999999996021E-2</v>
      </c>
      <c r="O298">
        <f t="shared" ca="1" si="88"/>
        <v>1.9999999999996021E-2</v>
      </c>
      <c r="P298">
        <f t="shared" ca="1" si="89"/>
        <v>0</v>
      </c>
      <c r="Q298">
        <f t="shared" ca="1" si="93"/>
        <v>0.45191231266633031</v>
      </c>
      <c r="R298">
        <f t="shared" ca="1" si="94"/>
        <v>0.24320874445262858</v>
      </c>
      <c r="S298">
        <f t="shared" ca="1" si="91"/>
        <v>1.8581252647120685</v>
      </c>
      <c r="T298">
        <f t="shared" ca="1" si="92"/>
        <v>65.012030356173298</v>
      </c>
      <c r="U298">
        <f>70</f>
        <v>70</v>
      </c>
      <c r="V298">
        <f>30</f>
        <v>30</v>
      </c>
      <c r="W298">
        <f t="shared" ca="1" si="90"/>
        <v>70.53883221747077</v>
      </c>
      <c r="X298">
        <f t="shared" ca="1" si="100"/>
        <v>68.844727277778446</v>
      </c>
      <c r="Y298">
        <f t="shared" ca="1" si="99"/>
        <v>1.6085948812274182</v>
      </c>
      <c r="Z298">
        <f t="shared" ca="1" si="101"/>
        <v>1.8036615609851137</v>
      </c>
      <c r="AA298">
        <f t="shared" ca="1" si="102"/>
        <v>-0.19506667975769543</v>
      </c>
      <c r="AB298">
        <f t="shared" ca="1" si="103"/>
        <v>65.072800000000001</v>
      </c>
    </row>
    <row r="299" spans="1:28" x14ac:dyDescent="0.25">
      <c r="A299" s="20">
        <f t="shared" ca="1" si="83"/>
        <v>45726</v>
      </c>
      <c r="B299" vm="843">
        <f ca="1"/>
        <v>45727</v>
      </c>
      <c r="C299" vm="844">
        <f ca="1"/>
        <v>71.040000000000006</v>
      </c>
      <c r="D299" vm="845">
        <f ca="1"/>
        <v>28076440</v>
      </c>
      <c r="E299">
        <f t="shared" ca="1" si="84"/>
        <v>1994550297.6000001</v>
      </c>
      <c r="F299">
        <f ca="1">SUM($E$2:E299)/SUM($D$2:D299)</f>
        <v>64.478702301405818</v>
      </c>
      <c r="G299">
        <f ca="1">_xlfn.STDEV.P($C$2:C299)</f>
        <v>4.072471596498076</v>
      </c>
      <c r="H299">
        <f t="shared" ca="1" si="85"/>
        <v>68.551173897903894</v>
      </c>
      <c r="I299">
        <f t="shared" ca="1" si="86"/>
        <v>60.406230704907742</v>
      </c>
      <c r="J299">
        <f t="shared" ca="1" si="95"/>
        <v>70.356000000000009</v>
      </c>
      <c r="K299">
        <f t="shared" ca="1" si="96"/>
        <v>1.1571853329250434</v>
      </c>
      <c r="L299">
        <f t="shared" ca="1" si="97"/>
        <v>72.670370665850101</v>
      </c>
      <c r="M299">
        <f t="shared" ca="1" si="98"/>
        <v>68.041629334149917</v>
      </c>
      <c r="N299">
        <f t="shared" ca="1" si="87"/>
        <v>-0.40999999999999659</v>
      </c>
      <c r="O299">
        <f t="shared" ca="1" si="88"/>
        <v>0</v>
      </c>
      <c r="P299">
        <f t="shared" ca="1" si="89"/>
        <v>0.40999999999999659</v>
      </c>
      <c r="Q299">
        <f t="shared" ca="1" si="93"/>
        <v>0.41963286176159242</v>
      </c>
      <c r="R299">
        <f t="shared" ca="1" si="94"/>
        <v>0.25512240556315485</v>
      </c>
      <c r="S299">
        <f t="shared" ca="1" si="91"/>
        <v>1.6448295116820442</v>
      </c>
      <c r="T299">
        <f t="shared" ca="1" si="92"/>
        <v>62.190379546845513</v>
      </c>
      <c r="U299">
        <f>70</f>
        <v>70</v>
      </c>
      <c r="V299">
        <f>30</f>
        <v>30</v>
      </c>
      <c r="W299">
        <f t="shared" ca="1" si="90"/>
        <v>70.615934953244505</v>
      </c>
      <c r="X299">
        <f t="shared" ca="1" si="100"/>
        <v>69.007340072017087</v>
      </c>
      <c r="Y299">
        <f t="shared" ca="1" si="99"/>
        <v>1.435518967829239</v>
      </c>
      <c r="Z299">
        <f t="shared" ca="1" si="101"/>
        <v>1.7300330423539387</v>
      </c>
      <c r="AA299">
        <f t="shared" ca="1" si="102"/>
        <v>-0.29451407452469969</v>
      </c>
      <c r="AB299">
        <f t="shared" ca="1" si="103"/>
        <v>65.079800000000006</v>
      </c>
    </row>
    <row r="300" spans="1:28" x14ac:dyDescent="0.25">
      <c r="A300" s="20">
        <f t="shared" ca="1" si="83"/>
        <v>45726</v>
      </c>
      <c r="B300" vm="846">
        <f ca="1"/>
        <v>45728</v>
      </c>
      <c r="C300" vm="847">
        <f ca="1"/>
        <v>69.94</v>
      </c>
      <c r="D300" vm="848">
        <f ca="1"/>
        <v>18923301</v>
      </c>
      <c r="E300">
        <f t="shared" ca="1" si="84"/>
        <v>1323495671.9400001</v>
      </c>
      <c r="F300">
        <f ca="1">SUM($E$2:E300)/SUM($D$2:D300)</f>
        <v>64.502273412862493</v>
      </c>
      <c r="G300">
        <f ca="1">_xlfn.STDEV.P($C$2:C300)</f>
        <v>4.0787754434960313</v>
      </c>
      <c r="H300">
        <f t="shared" ca="1" si="85"/>
        <v>68.581048856358521</v>
      </c>
      <c r="I300">
        <f t="shared" ca="1" si="86"/>
        <v>60.423497969366466</v>
      </c>
      <c r="J300">
        <f t="shared" ca="1" si="95"/>
        <v>70.473000000000013</v>
      </c>
      <c r="K300">
        <f t="shared" ca="1" si="96"/>
        <v>0.96644274478489833</v>
      </c>
      <c r="L300">
        <f t="shared" ca="1" si="97"/>
        <v>72.405885489569812</v>
      </c>
      <c r="M300">
        <f t="shared" ca="1" si="98"/>
        <v>68.540114510430215</v>
      </c>
      <c r="N300">
        <f t="shared" ca="1" si="87"/>
        <v>-1.1000000000000085</v>
      </c>
      <c r="O300">
        <f t="shared" ca="1" si="88"/>
        <v>0</v>
      </c>
      <c r="P300">
        <f t="shared" ca="1" si="89"/>
        <v>1.1000000000000085</v>
      </c>
      <c r="Q300">
        <f t="shared" ca="1" si="93"/>
        <v>0.38965908592147869</v>
      </c>
      <c r="R300">
        <f t="shared" ca="1" si="94"/>
        <v>0.31547080516578724</v>
      </c>
      <c r="S300">
        <f t="shared" ca="1" si="91"/>
        <v>1.235166866603405</v>
      </c>
      <c r="T300">
        <f t="shared" ca="1" si="92"/>
        <v>55.26061096639215</v>
      </c>
      <c r="U300">
        <f>70</f>
        <v>70</v>
      </c>
      <c r="V300">
        <f>30</f>
        <v>30</v>
      </c>
      <c r="W300">
        <f t="shared" ca="1" si="90"/>
        <v>70.51194496043766</v>
      </c>
      <c r="X300">
        <f t="shared" ca="1" si="100"/>
        <v>69.076425992608421</v>
      </c>
      <c r="Y300">
        <f t="shared" ca="1" si="99"/>
        <v>1.2580319249351817</v>
      </c>
      <c r="Z300">
        <f t="shared" ca="1" si="101"/>
        <v>1.6356328188701874</v>
      </c>
      <c r="AA300">
        <f t="shared" ca="1" si="102"/>
        <v>-0.37760089393500573</v>
      </c>
      <c r="AB300">
        <f t="shared" ca="1" si="103"/>
        <v>65.075800000000001</v>
      </c>
    </row>
    <row r="301" spans="1:28" x14ac:dyDescent="0.25">
      <c r="A301" s="20">
        <f t="shared" ca="1" si="83"/>
        <v>45726</v>
      </c>
      <c r="B301" vm="849">
        <f ca="1"/>
        <v>45729</v>
      </c>
      <c r="C301" vm="850">
        <f ca="1"/>
        <v>69.62</v>
      </c>
      <c r="D301" vm="851">
        <f ca="1"/>
        <v>15746568</v>
      </c>
      <c r="E301">
        <f t="shared" ca="1" si="84"/>
        <v>1096276064.1600001</v>
      </c>
      <c r="F301">
        <f ca="1">SUM($E$2:E301)/SUM($D$2:D301)</f>
        <v>64.520587840109002</v>
      </c>
      <c r="G301">
        <f ca="1">_xlfn.STDEV.P($C$2:C301)</f>
        <v>4.0835135584717026</v>
      </c>
      <c r="H301">
        <f t="shared" ca="1" si="85"/>
        <v>68.60410139858071</v>
      </c>
      <c r="I301">
        <f t="shared" ca="1" si="86"/>
        <v>60.437074281637301</v>
      </c>
      <c r="J301">
        <f t="shared" ca="1" si="95"/>
        <v>70.518500000000017</v>
      </c>
      <c r="K301">
        <f t="shared" ca="1" si="96"/>
        <v>0.89807557412619976</v>
      </c>
      <c r="L301">
        <f t="shared" ca="1" si="97"/>
        <v>72.314651148252423</v>
      </c>
      <c r="M301">
        <f t="shared" ca="1" si="98"/>
        <v>68.722348851747611</v>
      </c>
      <c r="N301">
        <f t="shared" ca="1" si="87"/>
        <v>-0.31999999999999318</v>
      </c>
      <c r="O301">
        <f t="shared" ca="1" si="88"/>
        <v>0</v>
      </c>
      <c r="P301">
        <f t="shared" ca="1" si="89"/>
        <v>0.31999999999999318</v>
      </c>
      <c r="Q301">
        <f t="shared" ca="1" si="93"/>
        <v>0.36182629406994449</v>
      </c>
      <c r="R301">
        <f t="shared" ca="1" si="94"/>
        <v>0.31579431908251626</v>
      </c>
      <c r="S301">
        <f t="shared" ca="1" si="91"/>
        <v>1.1457656841996584</v>
      </c>
      <c r="T301">
        <f t="shared" ca="1" si="92"/>
        <v>53.396589042154133</v>
      </c>
      <c r="U301">
        <f>70</f>
        <v>70</v>
      </c>
      <c r="V301">
        <f>30</f>
        <v>30</v>
      </c>
      <c r="W301">
        <f t="shared" ca="1" si="90"/>
        <v>70.374722658831871</v>
      </c>
      <c r="X301">
        <f t="shared" ca="1" si="100"/>
        <v>69.116690733896689</v>
      </c>
      <c r="Y301">
        <f t="shared" ca="1" si="99"/>
        <v>1.0679434220986934</v>
      </c>
      <c r="Z301">
        <f t="shared" ca="1" si="101"/>
        <v>1.5220949395158887</v>
      </c>
      <c r="AA301">
        <f t="shared" ca="1" si="102"/>
        <v>-0.45415151741719528</v>
      </c>
      <c r="AB301">
        <f t="shared" ca="1" si="103"/>
        <v>65.066299999999998</v>
      </c>
    </row>
    <row r="302" spans="1:28" x14ac:dyDescent="0.25">
      <c r="A302" s="20">
        <f t="shared" ca="1" si="83"/>
        <v>45726</v>
      </c>
      <c r="B302" vm="852">
        <f ca="1"/>
        <v>45730</v>
      </c>
      <c r="C302" vm="853">
        <f ca="1"/>
        <v>69.16</v>
      </c>
      <c r="D302" vm="854">
        <f ca="1"/>
        <v>14205091</v>
      </c>
      <c r="E302">
        <f t="shared" ca="1" si="84"/>
        <v>982424093.55999994</v>
      </c>
      <c r="F302">
        <f ca="1">SUM($E$2:E302)/SUM($D$2:D302)</f>
        <v>64.535517074917948</v>
      </c>
      <c r="G302">
        <f ca="1">_xlfn.STDEV.P($C$2:C302)</f>
        <v>4.0862471799042899</v>
      </c>
      <c r="H302">
        <f t="shared" ca="1" si="85"/>
        <v>68.621764254822239</v>
      </c>
      <c r="I302">
        <f t="shared" ca="1" si="86"/>
        <v>60.449269895013657</v>
      </c>
      <c r="J302">
        <f t="shared" ca="1" si="95"/>
        <v>70.501500000000021</v>
      </c>
      <c r="K302">
        <f t="shared" ca="1" si="96"/>
        <v>0.92128785718117012</v>
      </c>
      <c r="L302">
        <f t="shared" ca="1" si="97"/>
        <v>72.344075714362361</v>
      </c>
      <c r="M302">
        <f t="shared" ca="1" si="98"/>
        <v>68.658924285637681</v>
      </c>
      <c r="N302">
        <f t="shared" ca="1" si="87"/>
        <v>-0.46000000000000796</v>
      </c>
      <c r="O302">
        <f t="shared" ca="1" si="88"/>
        <v>0</v>
      </c>
      <c r="P302">
        <f t="shared" ca="1" si="89"/>
        <v>0.46000000000000796</v>
      </c>
      <c r="Q302">
        <f t="shared" ca="1" si="93"/>
        <v>0.33598155877923419</v>
      </c>
      <c r="R302">
        <f t="shared" ca="1" si="94"/>
        <v>0.32609472486233709</v>
      </c>
      <c r="S302">
        <f t="shared" ca="1" si="91"/>
        <v>1.0303189017273153</v>
      </c>
      <c r="T302">
        <f t="shared" ca="1" si="92"/>
        <v>50.746653683357849</v>
      </c>
      <c r="U302">
        <f>70</f>
        <v>70</v>
      </c>
      <c r="V302">
        <f>30</f>
        <v>30</v>
      </c>
      <c r="W302">
        <f t="shared" ca="1" si="90"/>
        <v>70.187842249780815</v>
      </c>
      <c r="X302">
        <f t="shared" ca="1" si="100"/>
        <v>69.119898827682121</v>
      </c>
      <c r="Y302">
        <f t="shared" ca="1" si="99"/>
        <v>0.98342458458179749</v>
      </c>
      <c r="Z302">
        <f t="shared" ca="1" si="101"/>
        <v>1.4143608685290707</v>
      </c>
      <c r="AA302">
        <f t="shared" ca="1" si="102"/>
        <v>-0.43093628394727324</v>
      </c>
      <c r="AB302">
        <f t="shared" ca="1" si="103"/>
        <v>65.058900000000008</v>
      </c>
    </row>
    <row r="303" spans="1:28" x14ac:dyDescent="0.25">
      <c r="A303" s="20">
        <f t="shared" ca="1" si="83"/>
        <v>45733</v>
      </c>
      <c r="B303" vm="855">
        <f ca="1"/>
        <v>45733</v>
      </c>
      <c r="C303" vm="856">
        <f ca="1"/>
        <v>70.12</v>
      </c>
      <c r="D303" vm="857">
        <f ca="1"/>
        <v>15634808</v>
      </c>
      <c r="E303">
        <f t="shared" ca="1" si="84"/>
        <v>1096312736.96</v>
      </c>
      <c r="F303">
        <f ca="1">SUM($E$2:E303)/SUM($D$2:D303)</f>
        <v>64.555226348973974</v>
      </c>
      <c r="G303">
        <f ca="1">_xlfn.STDEV.P($C$2:C303)</f>
        <v>4.0930097876171461</v>
      </c>
      <c r="H303">
        <f t="shared" ca="1" si="85"/>
        <v>68.648236136591123</v>
      </c>
      <c r="I303">
        <f t="shared" ca="1" si="86"/>
        <v>60.462216561356826</v>
      </c>
      <c r="J303">
        <f t="shared" ca="1" si="95"/>
        <v>70.564000000000007</v>
      </c>
      <c r="K303">
        <f t="shared" ca="1" si="96"/>
        <v>0.84393439505561929</v>
      </c>
      <c r="L303">
        <f t="shared" ca="1" si="97"/>
        <v>72.251868790111246</v>
      </c>
      <c r="M303">
        <f t="shared" ca="1" si="98"/>
        <v>68.876131209888769</v>
      </c>
      <c r="N303">
        <f t="shared" ca="1" si="87"/>
        <v>0.96000000000000796</v>
      </c>
      <c r="O303">
        <f t="shared" ca="1" si="88"/>
        <v>0.96000000000000796</v>
      </c>
      <c r="P303">
        <f t="shared" ca="1" si="89"/>
        <v>0</v>
      </c>
      <c r="Q303">
        <f t="shared" ca="1" si="93"/>
        <v>0.38055430458071804</v>
      </c>
      <c r="R303">
        <f t="shared" ca="1" si="94"/>
        <v>0.3028022445150273</v>
      </c>
      <c r="S303">
        <f t="shared" ca="1" si="91"/>
        <v>1.256775045344263</v>
      </c>
      <c r="T303">
        <f t="shared" ca="1" si="92"/>
        <v>55.688981847658916</v>
      </c>
      <c r="U303">
        <f>70</f>
        <v>70</v>
      </c>
      <c r="V303">
        <f>30</f>
        <v>30</v>
      </c>
      <c r="W303">
        <f t="shared" ca="1" si="90"/>
        <v>70.177404980583759</v>
      </c>
      <c r="X303">
        <f t="shared" ca="1" si="100"/>
        <v>69.193980396001962</v>
      </c>
      <c r="Y303">
        <f t="shared" ca="1" si="99"/>
        <v>0.846967665335427</v>
      </c>
      <c r="Z303">
        <f t="shared" ca="1" si="101"/>
        <v>1.300882227890342</v>
      </c>
      <c r="AA303">
        <f t="shared" ca="1" si="102"/>
        <v>-0.45391456255491502</v>
      </c>
      <c r="AB303">
        <f t="shared" ca="1" si="103"/>
        <v>65.055700000000002</v>
      </c>
    </row>
    <row r="304" spans="1:28" x14ac:dyDescent="0.25">
      <c r="A304" s="20">
        <f t="shared" ca="1" si="83"/>
        <v>45733</v>
      </c>
      <c r="B304" vm="858">
        <f ca="1"/>
        <v>45734</v>
      </c>
      <c r="C304" vm="462">
        <f ca="1"/>
        <v>69.38</v>
      </c>
      <c r="D304" vm="859">
        <f ca="1"/>
        <v>12657615</v>
      </c>
      <c r="E304">
        <f t="shared" ca="1" si="84"/>
        <v>878185328.69999993</v>
      </c>
      <c r="F304">
        <f ca="1">SUM($E$2:E304)/SUM($D$2:D304)</f>
        <v>64.568972617368885</v>
      </c>
      <c r="G304">
        <f ca="1">_xlfn.STDEV.P($C$2:C304)</f>
        <v>4.0964205035296049</v>
      </c>
      <c r="H304">
        <f t="shared" ca="1" si="85"/>
        <v>68.665393120898486</v>
      </c>
      <c r="I304">
        <f t="shared" ca="1" si="86"/>
        <v>60.472552113839278</v>
      </c>
      <c r="J304">
        <f t="shared" ca="1" si="95"/>
        <v>70.580500000000029</v>
      </c>
      <c r="K304">
        <f t="shared" ca="1" si="96"/>
        <v>0.81552356447286423</v>
      </c>
      <c r="L304">
        <f t="shared" ca="1" si="97"/>
        <v>72.211547128945753</v>
      </c>
      <c r="M304">
        <f t="shared" ca="1" si="98"/>
        <v>68.949452871054305</v>
      </c>
      <c r="N304">
        <f t="shared" ca="1" si="87"/>
        <v>-0.74000000000000909</v>
      </c>
      <c r="O304">
        <f t="shared" ca="1" si="88"/>
        <v>0</v>
      </c>
      <c r="P304">
        <f t="shared" ca="1" si="89"/>
        <v>0.74000000000000909</v>
      </c>
      <c r="Q304">
        <f t="shared" ca="1" si="93"/>
        <v>0.35337185425352391</v>
      </c>
      <c r="R304">
        <f t="shared" ca="1" si="94"/>
        <v>0.33403065562109741</v>
      </c>
      <c r="S304">
        <f t="shared" ca="1" si="91"/>
        <v>1.057902465857403</v>
      </c>
      <c r="T304">
        <f t="shared" ca="1" si="92"/>
        <v>51.406832121980045</v>
      </c>
      <c r="U304">
        <f>70</f>
        <v>70</v>
      </c>
      <c r="V304">
        <f>30</f>
        <v>30</v>
      </c>
      <c r="W304">
        <f t="shared" ca="1" si="90"/>
        <v>70.054727291263177</v>
      </c>
      <c r="X304">
        <f t="shared" ca="1" si="100"/>
        <v>69.20775962592775</v>
      </c>
      <c r="Y304">
        <f t="shared" ca="1" si="99"/>
        <v>0.72242771247478288</v>
      </c>
      <c r="Z304">
        <f t="shared" ca="1" si="101"/>
        <v>1.1851913248072301</v>
      </c>
      <c r="AA304">
        <f t="shared" ca="1" si="102"/>
        <v>-0.46276361233244723</v>
      </c>
      <c r="AB304">
        <f t="shared" ca="1" si="103"/>
        <v>65.055000000000007</v>
      </c>
    </row>
    <row r="305" spans="1:28" x14ac:dyDescent="0.25">
      <c r="A305" s="20">
        <f t="shared" ca="1" si="83"/>
        <v>45733</v>
      </c>
      <c r="B305" vm="860">
        <f ca="1"/>
        <v>45735</v>
      </c>
      <c r="C305" vm="861">
        <f ca="1"/>
        <v>69.28</v>
      </c>
      <c r="D305" vm="862">
        <f ca="1"/>
        <v>14780007</v>
      </c>
      <c r="E305">
        <f t="shared" ca="1" si="84"/>
        <v>1023958884.96</v>
      </c>
      <c r="F305">
        <f ca="1">SUM($E$2:E305)/SUM($D$2:D305)</f>
        <v>64.584593437657063</v>
      </c>
      <c r="G305">
        <f ca="1">_xlfn.STDEV.P($C$2:C305)</f>
        <v>4.0993424748076075</v>
      </c>
      <c r="H305">
        <f t="shared" ca="1" si="85"/>
        <v>68.683935912464676</v>
      </c>
      <c r="I305">
        <f t="shared" ca="1" si="86"/>
        <v>60.485250962849456</v>
      </c>
      <c r="J305">
        <f t="shared" ca="1" si="95"/>
        <v>70.541000000000025</v>
      </c>
      <c r="K305">
        <f t="shared" ca="1" si="96"/>
        <v>0.85949740515820239</v>
      </c>
      <c r="L305">
        <f t="shared" ca="1" si="97"/>
        <v>72.259994810316428</v>
      </c>
      <c r="M305">
        <f t="shared" ca="1" si="98"/>
        <v>68.822005189683622</v>
      </c>
      <c r="N305">
        <f t="shared" ca="1" si="87"/>
        <v>-9.9999999999994316E-2</v>
      </c>
      <c r="O305">
        <f t="shared" ca="1" si="88"/>
        <v>0</v>
      </c>
      <c r="P305">
        <f t="shared" ca="1" si="89"/>
        <v>9.9999999999994316E-2</v>
      </c>
      <c r="Q305">
        <f t="shared" ca="1" si="93"/>
        <v>0.32813100752112934</v>
      </c>
      <c r="R305">
        <f t="shared" ca="1" si="94"/>
        <v>0.31731418021959001</v>
      </c>
      <c r="S305">
        <f t="shared" ca="1" si="91"/>
        <v>1.0340886981289452</v>
      </c>
      <c r="T305">
        <f t="shared" ca="1" si="92"/>
        <v>50.837935389943958</v>
      </c>
      <c r="U305">
        <f>70</f>
        <v>70</v>
      </c>
      <c r="V305">
        <f>30</f>
        <v>30</v>
      </c>
      <c r="W305">
        <f t="shared" ca="1" si="90"/>
        <v>69.935538477222693</v>
      </c>
      <c r="X305">
        <f t="shared" ca="1" si="100"/>
        <v>69.21311076474791</v>
      </c>
      <c r="Y305">
        <f t="shared" ca="1" si="99"/>
        <v>0.65092287519108538</v>
      </c>
      <c r="Z305">
        <f t="shared" ca="1" si="101"/>
        <v>1.0783376348840013</v>
      </c>
      <c r="AA305">
        <f t="shared" ca="1" si="102"/>
        <v>-0.42741475969291587</v>
      </c>
      <c r="AB305">
        <f t="shared" ca="1" si="103"/>
        <v>65.053300000000007</v>
      </c>
    </row>
    <row r="306" spans="1:28" x14ac:dyDescent="0.25">
      <c r="A306" s="20">
        <f t="shared" ca="1" si="83"/>
        <v>45733</v>
      </c>
      <c r="B306" vm="863">
        <f ca="1"/>
        <v>45736</v>
      </c>
      <c r="C306" vm="864">
        <f ca="1"/>
        <v>69.709999999999994</v>
      </c>
      <c r="D306" vm="865">
        <f ca="1"/>
        <v>16295263</v>
      </c>
      <c r="E306">
        <f t="shared" ca="1" si="84"/>
        <v>1135942783.7299998</v>
      </c>
      <c r="F306">
        <f ca="1">SUM($E$2:E306)/SUM($D$2:D306)</f>
        <v>64.603262327414782</v>
      </c>
      <c r="G306">
        <f ca="1">_xlfn.STDEV.P($C$2:C306)</f>
        <v>4.1039309665397816</v>
      </c>
      <c r="H306">
        <f t="shared" ca="1" si="85"/>
        <v>68.70719329395456</v>
      </c>
      <c r="I306">
        <f t="shared" ca="1" si="86"/>
        <v>60.499331360875004</v>
      </c>
      <c r="J306">
        <f t="shared" ca="1" si="95"/>
        <v>70.524500000000018</v>
      </c>
      <c r="K306">
        <f t="shared" ca="1" si="96"/>
        <v>0.87268777198286729</v>
      </c>
      <c r="L306">
        <f t="shared" ca="1" si="97"/>
        <v>72.269875543965753</v>
      </c>
      <c r="M306">
        <f t="shared" ca="1" si="98"/>
        <v>68.779124456034282</v>
      </c>
      <c r="N306">
        <f t="shared" ca="1" si="87"/>
        <v>0.42999999999999261</v>
      </c>
      <c r="O306">
        <f t="shared" ca="1" si="88"/>
        <v>0.42999999999999261</v>
      </c>
      <c r="P306">
        <f t="shared" ca="1" si="89"/>
        <v>0</v>
      </c>
      <c r="Q306">
        <f t="shared" ca="1" si="93"/>
        <v>0.33540736412676242</v>
      </c>
      <c r="R306">
        <f t="shared" ca="1" si="94"/>
        <v>0.29464888163247643</v>
      </c>
      <c r="S306">
        <f t="shared" ca="1" si="91"/>
        <v>1.1383289909958836</v>
      </c>
      <c r="T306">
        <f t="shared" ca="1" si="92"/>
        <v>53.234511424069026</v>
      </c>
      <c r="U306">
        <f>70</f>
        <v>70</v>
      </c>
      <c r="V306">
        <f>30</f>
        <v>30</v>
      </c>
      <c r="W306">
        <f t="shared" ca="1" si="90"/>
        <v>69.900840249957668</v>
      </c>
      <c r="X306">
        <f t="shared" ca="1" si="100"/>
        <v>69.249917374766582</v>
      </c>
      <c r="Y306">
        <f t="shared" ca="1" si="99"/>
        <v>0.50451967931135755</v>
      </c>
      <c r="Z306">
        <f t="shared" ca="1" si="101"/>
        <v>0.96357404376947253</v>
      </c>
      <c r="AA306">
        <f t="shared" ca="1" si="102"/>
        <v>-0.45905436445811498</v>
      </c>
      <c r="AB306">
        <f t="shared" ca="1" si="103"/>
        <v>65.070300000000003</v>
      </c>
    </row>
    <row r="307" spans="1:28" x14ac:dyDescent="0.25">
      <c r="A307" s="20">
        <f t="shared" ca="1" si="83"/>
        <v>45733</v>
      </c>
      <c r="B307" vm="866">
        <f ca="1"/>
        <v>45737</v>
      </c>
      <c r="C307" vm="867">
        <f ca="1"/>
        <v>68.67</v>
      </c>
      <c r="D307" vm="868">
        <f ca="1"/>
        <v>47479473</v>
      </c>
      <c r="E307">
        <f t="shared" ca="1" si="84"/>
        <v>3260415410.9099998</v>
      </c>
      <c r="F307">
        <f ca="1">SUM($E$2:E307)/SUM($D$2:D307)</f>
        <v>64.645969026119786</v>
      </c>
      <c r="G307">
        <f ca="1">_xlfn.STDEV.P($C$2:C307)</f>
        <v>4.1044596763654102</v>
      </c>
      <c r="H307">
        <f t="shared" ca="1" si="85"/>
        <v>68.750428702485195</v>
      </c>
      <c r="I307">
        <f t="shared" ca="1" si="86"/>
        <v>60.541509349754378</v>
      </c>
      <c r="J307">
        <f t="shared" ca="1" si="95"/>
        <v>70.390500000000003</v>
      </c>
      <c r="K307">
        <f t="shared" ca="1" si="96"/>
        <v>0.94224521894864433</v>
      </c>
      <c r="L307">
        <f t="shared" ca="1" si="97"/>
        <v>72.274990437897287</v>
      </c>
      <c r="M307">
        <f t="shared" ca="1" si="98"/>
        <v>68.506009562102719</v>
      </c>
      <c r="N307">
        <f t="shared" ca="1" si="87"/>
        <v>-1.039999999999992</v>
      </c>
      <c r="O307">
        <f t="shared" ca="1" si="88"/>
        <v>0</v>
      </c>
      <c r="P307">
        <f t="shared" ca="1" si="89"/>
        <v>1.039999999999992</v>
      </c>
      <c r="Q307">
        <f t="shared" ca="1" si="93"/>
        <v>0.3114496952605651</v>
      </c>
      <c r="R307">
        <f t="shared" ca="1" si="94"/>
        <v>0.34788824723015616</v>
      </c>
      <c r="S307">
        <f t="shared" ca="1" si="91"/>
        <v>0.89525788163379949</v>
      </c>
      <c r="T307">
        <f t="shared" ca="1" si="92"/>
        <v>47.236731756105193</v>
      </c>
      <c r="U307">
        <f>70</f>
        <v>70</v>
      </c>
      <c r="V307">
        <f>30</f>
        <v>30</v>
      </c>
      <c r="W307">
        <f t="shared" ca="1" si="90"/>
        <v>69.711480211502646</v>
      </c>
      <c r="X307">
        <f t="shared" ca="1" si="100"/>
        <v>69.206960532191289</v>
      </c>
      <c r="Y307">
        <f t="shared" ca="1" si="99"/>
        <v>0.40640299103736766</v>
      </c>
      <c r="Z307">
        <f t="shared" ca="1" si="101"/>
        <v>0.85213983322305165</v>
      </c>
      <c r="AA307">
        <f t="shared" ca="1" si="102"/>
        <v>-0.44573684218568399</v>
      </c>
      <c r="AB307">
        <f t="shared" ca="1" si="103"/>
        <v>65.084000000000003</v>
      </c>
    </row>
    <row r="308" spans="1:28" x14ac:dyDescent="0.25">
      <c r="A308" s="20">
        <f t="shared" ca="1" si="83"/>
        <v>45740</v>
      </c>
      <c r="B308" vm="869">
        <f ca="1"/>
        <v>45740</v>
      </c>
      <c r="C308" vm="870">
        <f ca="1"/>
        <v>68.95</v>
      </c>
      <c r="D308" vm="871">
        <f ca="1"/>
        <v>12575412</v>
      </c>
      <c r="E308">
        <f t="shared" ca="1" si="84"/>
        <v>867074657.4000001</v>
      </c>
      <c r="F308">
        <f ca="1">SUM($E$2:E308)/SUM($D$2:D308)</f>
        <v>64.657907128126041</v>
      </c>
      <c r="G308">
        <f ca="1">_xlfn.STDEV.P($C$2:C308)</f>
        <v>4.1059112644434252</v>
      </c>
      <c r="H308">
        <f t="shared" ca="1" si="85"/>
        <v>68.763818392569462</v>
      </c>
      <c r="I308">
        <f t="shared" ca="1" si="86"/>
        <v>60.551995863682613</v>
      </c>
      <c r="J308">
        <f t="shared" ca="1" si="95"/>
        <v>70.308500000000009</v>
      </c>
      <c r="K308">
        <f t="shared" ca="1" si="96"/>
        <v>0.99391450971981388</v>
      </c>
      <c r="L308">
        <f t="shared" ca="1" si="97"/>
        <v>72.296329019439639</v>
      </c>
      <c r="M308">
        <f t="shared" ca="1" si="98"/>
        <v>68.320670980560379</v>
      </c>
      <c r="N308">
        <f t="shared" ca="1" si="87"/>
        <v>0.28000000000000114</v>
      </c>
      <c r="O308">
        <f t="shared" ca="1" si="88"/>
        <v>0.28000000000000114</v>
      </c>
      <c r="P308">
        <f t="shared" ca="1" si="89"/>
        <v>0</v>
      </c>
      <c r="Q308">
        <f t="shared" ca="1" si="93"/>
        <v>0.30920328845623907</v>
      </c>
      <c r="R308">
        <f t="shared" ca="1" si="94"/>
        <v>0.32303908671371639</v>
      </c>
      <c r="S308">
        <f t="shared" ca="1" si="91"/>
        <v>0.95716989421240262</v>
      </c>
      <c r="T308">
        <f t="shared" ca="1" si="92"/>
        <v>48.905815332786098</v>
      </c>
      <c r="U308">
        <f>70</f>
        <v>70</v>
      </c>
      <c r="V308">
        <f>30</f>
        <v>30</v>
      </c>
      <c r="W308">
        <f t="shared" ca="1" si="90"/>
        <v>69.594329409733007</v>
      </c>
      <c r="X308">
        <f t="shared" ca="1" si="100"/>
        <v>69.187926418695639</v>
      </c>
      <c r="Y308">
        <f t="shared" ca="1" si="99"/>
        <v>0.31373147753451747</v>
      </c>
      <c r="Z308">
        <f t="shared" ca="1" si="101"/>
        <v>0.74445816208534488</v>
      </c>
      <c r="AA308">
        <f t="shared" ca="1" si="102"/>
        <v>-0.43072668455082741</v>
      </c>
      <c r="AB308">
        <f t="shared" ca="1" si="103"/>
        <v>65.104300000000009</v>
      </c>
    </row>
    <row r="309" spans="1:28" x14ac:dyDescent="0.25">
      <c r="A309" s="20">
        <f t="shared" ca="1" si="83"/>
        <v>45740</v>
      </c>
      <c r="B309" vm="872">
        <f ca="1"/>
        <v>45741</v>
      </c>
      <c r="C309" vm="873">
        <f ca="1"/>
        <v>68.81</v>
      </c>
      <c r="D309" vm="874">
        <f ca="1"/>
        <v>12513897</v>
      </c>
      <c r="E309">
        <f t="shared" ca="1" si="84"/>
        <v>861081252.57000005</v>
      </c>
      <c r="F309">
        <f ca="1">SUM($E$2:E309)/SUM($D$2:D309)</f>
        <v>64.669335918054145</v>
      </c>
      <c r="G309">
        <f ca="1">_xlfn.STDEV.P($C$2:C309)</f>
        <v>4.1068092893649233</v>
      </c>
      <c r="H309">
        <f t="shared" ca="1" si="85"/>
        <v>68.776145207419063</v>
      </c>
      <c r="I309">
        <f t="shared" ca="1" si="86"/>
        <v>60.56252662868922</v>
      </c>
      <c r="J309">
        <f t="shared" ca="1" si="95"/>
        <v>70.174499999999995</v>
      </c>
      <c r="K309">
        <f t="shared" ca="1" si="96"/>
        <v>1.0068161124110626</v>
      </c>
      <c r="L309">
        <f t="shared" ca="1" si="97"/>
        <v>72.188132224822127</v>
      </c>
      <c r="M309">
        <f t="shared" ca="1" si="98"/>
        <v>68.160867775177863</v>
      </c>
      <c r="N309">
        <f t="shared" ca="1" si="87"/>
        <v>-0.14000000000000057</v>
      </c>
      <c r="O309">
        <f t="shared" ca="1" si="88"/>
        <v>0</v>
      </c>
      <c r="P309">
        <f t="shared" ca="1" si="89"/>
        <v>0.14000000000000057</v>
      </c>
      <c r="Q309">
        <f t="shared" ca="1" si="93"/>
        <v>0.28711733928079342</v>
      </c>
      <c r="R309">
        <f t="shared" ca="1" si="94"/>
        <v>0.30996486623416525</v>
      </c>
      <c r="S309">
        <f t="shared" ca="1" si="91"/>
        <v>0.92628994624148309</v>
      </c>
      <c r="T309">
        <f t="shared" ca="1" si="92"/>
        <v>48.086735231569428</v>
      </c>
      <c r="U309">
        <f>70</f>
        <v>70</v>
      </c>
      <c r="V309">
        <f>30</f>
        <v>30</v>
      </c>
      <c r="W309">
        <f t="shared" ca="1" si="90"/>
        <v>69.473663346697151</v>
      </c>
      <c r="X309">
        <f t="shared" ca="1" si="100"/>
        <v>69.159931869162634</v>
      </c>
      <c r="Y309">
        <f t="shared" ca="1" si="99"/>
        <v>0.3340745199179338</v>
      </c>
      <c r="Z309">
        <f t="shared" ca="1" si="101"/>
        <v>0.66238143365186275</v>
      </c>
      <c r="AA309">
        <f t="shared" ca="1" si="102"/>
        <v>-0.32830691373392895</v>
      </c>
      <c r="AB309">
        <f t="shared" ca="1" si="103"/>
        <v>65.125700000000009</v>
      </c>
    </row>
    <row r="310" spans="1:28" x14ac:dyDescent="0.25">
      <c r="A310" s="20">
        <f t="shared" ca="1" si="83"/>
        <v>45740</v>
      </c>
      <c r="B310" vm="875">
        <f ca="1"/>
        <v>45742</v>
      </c>
      <c r="C310" vm="876">
        <f ca="1"/>
        <v>70.02</v>
      </c>
      <c r="D310" vm="877">
        <f ca="1"/>
        <v>14482764</v>
      </c>
      <c r="E310">
        <f t="shared" ca="1" si="84"/>
        <v>1014083135.28</v>
      </c>
      <c r="F310">
        <f ca="1">SUM($E$2:E310)/SUM($D$2:D310)</f>
        <v>64.686326899403227</v>
      </c>
      <c r="G310">
        <f ca="1">_xlfn.STDEV.P($C$2:C310)</f>
        <v>4.112374029558171</v>
      </c>
      <c r="H310">
        <f t="shared" ca="1" si="85"/>
        <v>68.798700928961395</v>
      </c>
      <c r="I310">
        <f t="shared" ca="1" si="86"/>
        <v>60.573952869845058</v>
      </c>
      <c r="J310">
        <f t="shared" ca="1" si="95"/>
        <v>70.135500000000008</v>
      </c>
      <c r="K310">
        <f t="shared" ca="1" si="96"/>
        <v>0.99636431193879227</v>
      </c>
      <c r="L310">
        <f t="shared" ca="1" si="97"/>
        <v>72.12822862387759</v>
      </c>
      <c r="M310">
        <f t="shared" ca="1" si="98"/>
        <v>68.142771376122425</v>
      </c>
      <c r="N310">
        <f t="shared" ca="1" si="87"/>
        <v>1.2099999999999937</v>
      </c>
      <c r="O310">
        <f t="shared" ca="1" si="88"/>
        <v>1.2099999999999937</v>
      </c>
      <c r="P310">
        <f t="shared" ca="1" si="89"/>
        <v>0</v>
      </c>
      <c r="Q310">
        <f t="shared" ca="1" si="93"/>
        <v>0.35303752933216487</v>
      </c>
      <c r="R310">
        <f t="shared" ca="1" si="94"/>
        <v>0.28782451864601061</v>
      </c>
      <c r="S310">
        <f t="shared" ca="1" si="91"/>
        <v>1.2265721175976616</v>
      </c>
      <c r="T310">
        <f t="shared" ca="1" si="92"/>
        <v>55.08791329521631</v>
      </c>
      <c r="U310">
        <f>70</f>
        <v>70</v>
      </c>
      <c r="V310">
        <f>30</f>
        <v>30</v>
      </c>
      <c r="W310">
        <f t="shared" ca="1" si="90"/>
        <v>69.557715139512965</v>
      </c>
      <c r="X310">
        <f t="shared" ca="1" si="100"/>
        <v>69.223640619595031</v>
      </c>
      <c r="Y310">
        <f t="shared" ca="1" si="99"/>
        <v>0.40364158138736173</v>
      </c>
      <c r="Z310">
        <f t="shared" ca="1" si="101"/>
        <v>0.61063346319896261</v>
      </c>
      <c r="AA310">
        <f t="shared" ca="1" si="102"/>
        <v>-0.20699188181160089</v>
      </c>
      <c r="AB310">
        <f t="shared" ca="1" si="103"/>
        <v>65.170300000000026</v>
      </c>
    </row>
    <row r="311" spans="1:28" x14ac:dyDescent="0.25">
      <c r="A311" s="20">
        <f t="shared" ca="1" si="83"/>
        <v>45740</v>
      </c>
      <c r="B311" vm="878">
        <f ca="1"/>
        <v>45743</v>
      </c>
      <c r="C311" vm="879">
        <f ca="1"/>
        <v>70.739999999999995</v>
      </c>
      <c r="D311" vm="880">
        <f ca="1"/>
        <v>11663365</v>
      </c>
      <c r="E311">
        <f t="shared" ca="1" si="84"/>
        <v>825066440.0999999</v>
      </c>
      <c r="F311">
        <f ca="1">SUM($E$2:E311)/SUM($D$2:D311)</f>
        <v>64.701768522487697</v>
      </c>
      <c r="G311">
        <f ca="1">_xlfn.STDEV.P($C$2:C311)</f>
        <v>4.1211432776199661</v>
      </c>
      <c r="H311">
        <f t="shared" ca="1" si="85"/>
        <v>68.822911800107661</v>
      </c>
      <c r="I311">
        <f t="shared" ca="1" si="86"/>
        <v>60.580625244867733</v>
      </c>
      <c r="J311">
        <f t="shared" ca="1" si="95"/>
        <v>70.128999999999991</v>
      </c>
      <c r="K311">
        <f t="shared" ca="1" si="96"/>
        <v>0.99173372911970836</v>
      </c>
      <c r="L311">
        <f t="shared" ca="1" si="97"/>
        <v>72.112467458239408</v>
      </c>
      <c r="M311">
        <f t="shared" ca="1" si="98"/>
        <v>68.145532541760574</v>
      </c>
      <c r="N311">
        <f t="shared" ca="1" si="87"/>
        <v>0.71999999999999886</v>
      </c>
      <c r="O311">
        <f t="shared" ca="1" si="88"/>
        <v>0.71999999999999886</v>
      </c>
      <c r="P311">
        <f t="shared" ca="1" si="89"/>
        <v>0</v>
      </c>
      <c r="Q311">
        <f t="shared" ca="1" si="93"/>
        <v>0.37924913437986729</v>
      </c>
      <c r="R311">
        <f t="shared" ca="1" si="94"/>
        <v>0.26726562445700985</v>
      </c>
      <c r="S311">
        <f t="shared" ca="1" si="91"/>
        <v>1.4189970563942471</v>
      </c>
      <c r="T311">
        <f t="shared" ca="1" si="92"/>
        <v>58.660553250502986</v>
      </c>
      <c r="U311">
        <f>70</f>
        <v>70</v>
      </c>
      <c r="V311">
        <f>30</f>
        <v>30</v>
      </c>
      <c r="W311">
        <f t="shared" ca="1" si="90"/>
        <v>69.739605118049425</v>
      </c>
      <c r="X311">
        <f t="shared" ca="1" si="100"/>
        <v>69.335963536662064</v>
      </c>
      <c r="Y311">
        <f t="shared" ca="1" si="99"/>
        <v>0.42403011579916949</v>
      </c>
      <c r="Z311">
        <f t="shared" ca="1" si="101"/>
        <v>0.57331279371900401</v>
      </c>
      <c r="AA311">
        <f t="shared" ca="1" si="102"/>
        <v>-0.14928267791983452</v>
      </c>
      <c r="AB311">
        <f t="shared" ca="1" si="103"/>
        <v>65.218500000000006</v>
      </c>
    </row>
    <row r="312" spans="1:28" x14ac:dyDescent="0.25">
      <c r="A312" s="20">
        <f t="shared" ca="1" si="83"/>
        <v>45740</v>
      </c>
      <c r="B312" vm="881">
        <f ca="1"/>
        <v>45744</v>
      </c>
      <c r="C312" vm="882">
        <f ca="1"/>
        <v>70.37</v>
      </c>
      <c r="D312" vm="883">
        <f ca="1"/>
        <v>17412915</v>
      </c>
      <c r="E312">
        <f t="shared" ca="1" si="84"/>
        <v>1225346828.5500002</v>
      </c>
      <c r="F312">
        <f ca="1">SUM($E$2:E312)/SUM($D$2:D312)</f>
        <v>64.723272481661695</v>
      </c>
      <c r="G312">
        <f ca="1">_xlfn.STDEV.P($C$2:C312)</f>
        <v>4.1279949303423749</v>
      </c>
      <c r="H312">
        <f t="shared" ca="1" si="85"/>
        <v>68.851267412004063</v>
      </c>
      <c r="I312">
        <f t="shared" ca="1" si="86"/>
        <v>60.59527755131932</v>
      </c>
      <c r="J312">
        <f t="shared" ca="1" si="95"/>
        <v>70.086999999999989</v>
      </c>
      <c r="K312">
        <f t="shared" ca="1" si="96"/>
        <v>0.96084995268717532</v>
      </c>
      <c r="L312">
        <f t="shared" ca="1" si="97"/>
        <v>72.008699905374343</v>
      </c>
      <c r="M312">
        <f t="shared" ca="1" si="98"/>
        <v>68.165300094625636</v>
      </c>
      <c r="N312">
        <f t="shared" ca="1" si="87"/>
        <v>-0.36999999999999034</v>
      </c>
      <c r="O312">
        <f t="shared" ca="1" si="88"/>
        <v>0</v>
      </c>
      <c r="P312">
        <f t="shared" ca="1" si="89"/>
        <v>0.36999999999999034</v>
      </c>
      <c r="Q312">
        <f t="shared" ca="1" si="93"/>
        <v>0.35215991049559109</v>
      </c>
      <c r="R312">
        <f t="shared" ca="1" si="94"/>
        <v>0.27460379413865132</v>
      </c>
      <c r="S312">
        <f t="shared" ca="1" si="91"/>
        <v>1.2824291506976797</v>
      </c>
      <c r="T312">
        <f t="shared" ca="1" si="92"/>
        <v>56.187029959097494</v>
      </c>
      <c r="U312">
        <f>70</f>
        <v>70</v>
      </c>
      <c r="V312">
        <f>30</f>
        <v>30</v>
      </c>
      <c r="W312">
        <f t="shared" ca="1" si="90"/>
        <v>69.836588946041829</v>
      </c>
      <c r="X312">
        <f t="shared" ca="1" si="100"/>
        <v>69.412558830242659</v>
      </c>
      <c r="Y312">
        <f t="shared" ca="1" si="99"/>
        <v>0.53488688645460059</v>
      </c>
      <c r="Z312">
        <f t="shared" ca="1" si="101"/>
        <v>0.56562761226612335</v>
      </c>
      <c r="AA312">
        <f t="shared" ca="1" si="102"/>
        <v>-3.0740725811522762E-2</v>
      </c>
      <c r="AB312">
        <f t="shared" ca="1" si="103"/>
        <v>65.269100000000023</v>
      </c>
    </row>
    <row r="313" spans="1:28" x14ac:dyDescent="0.25">
      <c r="A313" s="20">
        <f t="shared" ca="1" si="83"/>
        <v>45747</v>
      </c>
      <c r="B313" vm="884">
        <f ca="1"/>
        <v>45747</v>
      </c>
      <c r="C313" vm="885">
        <f ca="1"/>
        <v>71.62</v>
      </c>
      <c r="D313" vm="886">
        <f ca="1"/>
        <v>24016866</v>
      </c>
      <c r="E313">
        <f t="shared" ca="1" si="84"/>
        <v>1720087942.9200001</v>
      </c>
      <c r="F313">
        <f ca="1">SUM($E$2:E313)/SUM($D$2:D313)</f>
        <v>64.759172297210071</v>
      </c>
      <c r="G313">
        <f ca="1">_xlfn.STDEV.P($C$2:C313)</f>
        <v>4.1409735656753819</v>
      </c>
      <c r="H313">
        <f t="shared" ca="1" si="85"/>
        <v>68.900145862885452</v>
      </c>
      <c r="I313">
        <f t="shared" ca="1" si="86"/>
        <v>60.61819873153469</v>
      </c>
      <c r="J313">
        <f t="shared" ca="1" si="95"/>
        <v>70.051999999999992</v>
      </c>
      <c r="K313">
        <f t="shared" ca="1" si="96"/>
        <v>0.88498349672391419</v>
      </c>
      <c r="L313">
        <f t="shared" ca="1" si="97"/>
        <v>71.821966993447816</v>
      </c>
      <c r="M313">
        <f t="shared" ca="1" si="98"/>
        <v>68.282033006552169</v>
      </c>
      <c r="N313">
        <f t="shared" ca="1" si="87"/>
        <v>1.25</v>
      </c>
      <c r="O313">
        <f t="shared" ca="1" si="88"/>
        <v>1.25</v>
      </c>
      <c r="P313">
        <f t="shared" ca="1" si="89"/>
        <v>0</v>
      </c>
      <c r="Q313">
        <f t="shared" ca="1" si="93"/>
        <v>0.41629134546019175</v>
      </c>
      <c r="R313">
        <f t="shared" ca="1" si="94"/>
        <v>0.25498923741446194</v>
      </c>
      <c r="S313">
        <f t="shared" ca="1" si="91"/>
        <v>1.632583985431306</v>
      </c>
      <c r="T313">
        <f t="shared" ca="1" si="92"/>
        <v>62.014507209115067</v>
      </c>
      <c r="U313">
        <f>70</f>
        <v>70</v>
      </c>
      <c r="V313">
        <f>30</f>
        <v>30</v>
      </c>
      <c r="W313">
        <f t="shared" ca="1" si="90"/>
        <v>70.110959877420015</v>
      </c>
      <c r="X313">
        <f t="shared" ca="1" si="100"/>
        <v>69.576072990965415</v>
      </c>
      <c r="Y313">
        <f t="shared" ca="1" si="99"/>
        <v>0.63558792458685787</v>
      </c>
      <c r="Z313">
        <f t="shared" ca="1" si="101"/>
        <v>0.57961967473027021</v>
      </c>
      <c r="AA313">
        <f t="shared" ca="1" si="102"/>
        <v>5.596824985658766E-2</v>
      </c>
      <c r="AB313">
        <f t="shared" ca="1" si="103"/>
        <v>65.335200000000015</v>
      </c>
    </row>
    <row r="314" spans="1:28" x14ac:dyDescent="0.25">
      <c r="A314" s="20">
        <f t="shared" ca="1" si="83"/>
        <v>45747</v>
      </c>
      <c r="B314" vm="887">
        <f ca="1"/>
        <v>45748</v>
      </c>
      <c r="C314" vm="888">
        <f ca="1"/>
        <v>71.87</v>
      </c>
      <c r="D314" vm="889">
        <f ca="1"/>
        <v>15309146</v>
      </c>
      <c r="E314">
        <f t="shared" ca="1" si="84"/>
        <v>1100268323.02</v>
      </c>
      <c r="F314">
        <f ca="1">SUM($E$2:E314)/SUM($D$2:D314)</f>
        <v>64.782688397663122</v>
      </c>
      <c r="G314">
        <f ca="1">_xlfn.STDEV.P($C$2:C314)</f>
        <v>4.1550889421552419</v>
      </c>
      <c r="H314">
        <f t="shared" ca="1" si="85"/>
        <v>68.937777339818368</v>
      </c>
      <c r="I314">
        <f t="shared" ca="1" si="86"/>
        <v>60.627599455507877</v>
      </c>
      <c r="J314">
        <f t="shared" ca="1" si="95"/>
        <v>70.135999999999996</v>
      </c>
      <c r="K314">
        <f t="shared" ca="1" si="96"/>
        <v>0.97402258700709943</v>
      </c>
      <c r="L314">
        <f t="shared" ca="1" si="97"/>
        <v>72.084045174014193</v>
      </c>
      <c r="M314">
        <f t="shared" ca="1" si="98"/>
        <v>68.187954825985798</v>
      </c>
      <c r="N314">
        <f t="shared" ca="1" si="87"/>
        <v>0.25</v>
      </c>
      <c r="O314">
        <f t="shared" ca="1" si="88"/>
        <v>0.25</v>
      </c>
      <c r="P314">
        <f t="shared" ca="1" si="89"/>
        <v>0</v>
      </c>
      <c r="Q314">
        <f t="shared" ca="1" si="93"/>
        <v>0.40441339221303518</v>
      </c>
      <c r="R314">
        <f t="shared" ca="1" si="94"/>
        <v>0.23677572045628609</v>
      </c>
      <c r="S314">
        <f t="shared" ca="1" si="91"/>
        <v>1.7080019498354715</v>
      </c>
      <c r="T314">
        <f t="shared" ca="1" si="92"/>
        <v>63.072404727745621</v>
      </c>
      <c r="U314">
        <f>70</f>
        <v>70</v>
      </c>
      <c r="V314">
        <f>30</f>
        <v>30</v>
      </c>
      <c r="W314">
        <f t="shared" ca="1" si="90"/>
        <v>70.381581434740013</v>
      </c>
      <c r="X314">
        <f t="shared" ca="1" si="100"/>
        <v>69.745993510153156</v>
      </c>
      <c r="Y314">
        <f t="shared" ca="1" si="99"/>
        <v>0.66416465902565847</v>
      </c>
      <c r="Z314">
        <f t="shared" ca="1" si="101"/>
        <v>0.59652867158934786</v>
      </c>
      <c r="AA314">
        <f t="shared" ca="1" si="102"/>
        <v>6.7635987436310607E-2</v>
      </c>
      <c r="AB314">
        <f t="shared" ca="1" si="103"/>
        <v>65.402800000000013</v>
      </c>
    </row>
    <row r="315" spans="1:28" x14ac:dyDescent="0.25">
      <c r="A315" s="20">
        <f t="shared" ca="1" si="83"/>
        <v>45747</v>
      </c>
      <c r="B315" vm="890">
        <f ca="1"/>
        <v>45749</v>
      </c>
      <c r="C315" vm="532">
        <f ca="1"/>
        <v>71.33</v>
      </c>
      <c r="D315" vm="891">
        <f ca="1"/>
        <v>14606519</v>
      </c>
      <c r="E315">
        <f t="shared" ca="1" si="84"/>
        <v>1041883000.27</v>
      </c>
      <c r="F315">
        <f ca="1">SUM($E$2:E315)/SUM($D$2:D315)</f>
        <v>64.803282162625919</v>
      </c>
      <c r="G315">
        <f ca="1">_xlfn.STDEV.P($C$2:C315)</f>
        <v>4.1660349167844535</v>
      </c>
      <c r="H315">
        <f t="shared" ca="1" si="85"/>
        <v>68.969317079410374</v>
      </c>
      <c r="I315">
        <f t="shared" ca="1" si="86"/>
        <v>60.637247245841465</v>
      </c>
      <c r="J315">
        <f t="shared" ca="1" si="95"/>
        <v>70.198499999999996</v>
      </c>
      <c r="K315">
        <f t="shared" ca="1" si="96"/>
        <v>1.0096913285491615</v>
      </c>
      <c r="L315">
        <f t="shared" ca="1" si="97"/>
        <v>72.217882657098315</v>
      </c>
      <c r="M315">
        <f t="shared" ca="1" si="98"/>
        <v>68.179117342901677</v>
      </c>
      <c r="N315">
        <f t="shared" ca="1" si="87"/>
        <v>-0.54000000000000625</v>
      </c>
      <c r="O315">
        <f t="shared" ca="1" si="88"/>
        <v>0</v>
      </c>
      <c r="P315">
        <f t="shared" ca="1" si="89"/>
        <v>0.54000000000000625</v>
      </c>
      <c r="Q315">
        <f t="shared" ca="1" si="93"/>
        <v>0.3755267213406755</v>
      </c>
      <c r="R315">
        <f t="shared" ca="1" si="94"/>
        <v>0.25843459756655179</v>
      </c>
      <c r="S315">
        <f t="shared" ca="1" si="91"/>
        <v>1.4530822299981343</v>
      </c>
      <c r="T315">
        <f t="shared" ca="1" si="92"/>
        <v>59.234958055166359</v>
      </c>
      <c r="U315">
        <f>70</f>
        <v>70</v>
      </c>
      <c r="V315">
        <f>30</f>
        <v>30</v>
      </c>
      <c r="W315">
        <f t="shared" ca="1" si="90"/>
        <v>70.527491983241546</v>
      </c>
      <c r="X315">
        <f t="shared" ca="1" si="100"/>
        <v>69.863327324215888</v>
      </c>
      <c r="Y315">
        <f t="shared" ca="1" si="99"/>
        <v>0.82656335798455416</v>
      </c>
      <c r="Z315">
        <f t="shared" ca="1" si="101"/>
        <v>0.64253560886838912</v>
      </c>
      <c r="AA315">
        <f t="shared" ca="1" si="102"/>
        <v>0.18402774911616504</v>
      </c>
      <c r="AB315">
        <f t="shared" ca="1" si="103"/>
        <v>65.462400000000002</v>
      </c>
    </row>
    <row r="316" spans="1:28" x14ac:dyDescent="0.25">
      <c r="A316" s="20">
        <f t="shared" ca="1" si="83"/>
        <v>45747</v>
      </c>
      <c r="B316" vm="892">
        <f ca="1"/>
        <v>45750</v>
      </c>
      <c r="C316" vm="893">
        <f ca="1"/>
        <v>73.180000000000007</v>
      </c>
      <c r="D316" vm="894">
        <f ca="1"/>
        <v>24959593</v>
      </c>
      <c r="E316">
        <f t="shared" ca="1" si="84"/>
        <v>1826543015.7400002</v>
      </c>
      <c r="F316">
        <f ca="1">SUM($E$2:E316)/SUM($D$2:D316)</f>
        <v>64.848064772253053</v>
      </c>
      <c r="G316">
        <f ca="1">_xlfn.STDEV.P($C$2:C316)</f>
        <v>4.1875323204417514</v>
      </c>
      <c r="H316">
        <f t="shared" ca="1" si="85"/>
        <v>69.0355970926948</v>
      </c>
      <c r="I316">
        <f t="shared" ca="1" si="86"/>
        <v>60.660532451811299</v>
      </c>
      <c r="J316">
        <f t="shared" ca="1" si="95"/>
        <v>70.334499999999991</v>
      </c>
      <c r="K316">
        <f t="shared" ca="1" si="96"/>
        <v>1.2100694847382696</v>
      </c>
      <c r="L316">
        <f t="shared" ca="1" si="97"/>
        <v>72.754638969476531</v>
      </c>
      <c r="M316">
        <f t="shared" ca="1" si="98"/>
        <v>67.914361030523452</v>
      </c>
      <c r="N316">
        <f t="shared" ca="1" si="87"/>
        <v>1.8500000000000085</v>
      </c>
      <c r="O316">
        <f t="shared" ca="1" si="88"/>
        <v>1.8500000000000085</v>
      </c>
      <c r="P316">
        <f t="shared" ca="1" si="89"/>
        <v>0</v>
      </c>
      <c r="Q316">
        <f t="shared" ca="1" si="93"/>
        <v>0.48084624124491354</v>
      </c>
      <c r="R316">
        <f t="shared" ca="1" si="94"/>
        <v>0.23997498345465523</v>
      </c>
      <c r="S316">
        <f t="shared" ca="1" si="91"/>
        <v>2.0037348657043346</v>
      </c>
      <c r="T316">
        <f t="shared" ca="1" si="92"/>
        <v>66.708113574947177</v>
      </c>
      <c r="U316">
        <f>70</f>
        <v>70</v>
      </c>
      <c r="V316">
        <f>30</f>
        <v>30</v>
      </c>
      <c r="W316">
        <f t="shared" ca="1" si="90"/>
        <v>70.935570139665927</v>
      </c>
      <c r="X316">
        <f t="shared" ca="1" si="100"/>
        <v>70.109006781681373</v>
      </c>
      <c r="Y316">
        <f t="shared" ca="1" si="99"/>
        <v>0.68512002118043824</v>
      </c>
      <c r="Z316">
        <f t="shared" ca="1" si="101"/>
        <v>0.6510524913307989</v>
      </c>
      <c r="AA316">
        <f t="shared" ca="1" si="102"/>
        <v>3.4067529849639344E-2</v>
      </c>
      <c r="AB316">
        <f t="shared" ca="1" si="103"/>
        <v>65.557200000000009</v>
      </c>
    </row>
    <row r="317" spans="1:28" x14ac:dyDescent="0.25">
      <c r="A317" s="20">
        <f t="shared" ca="1" si="83"/>
        <v>45747</v>
      </c>
      <c r="B317" vm="895">
        <f ca="1"/>
        <v>45751</v>
      </c>
      <c r="C317" vm="896">
        <f ca="1"/>
        <v>69.930000000000007</v>
      </c>
      <c r="D317" vm="897">
        <f ca="1"/>
        <v>26517289</v>
      </c>
      <c r="E317">
        <f t="shared" ca="1" si="84"/>
        <v>1854354019.7700002</v>
      </c>
      <c r="F317">
        <f ca="1">SUM($E$2:E317)/SUM($D$2:D317)</f>
        <v>64.876765741620858</v>
      </c>
      <c r="G317">
        <f ca="1">_xlfn.STDEV.P($C$2:C317)</f>
        <v>4.1916219056169046</v>
      </c>
      <c r="H317">
        <f t="shared" ca="1" si="85"/>
        <v>69.068387647237756</v>
      </c>
      <c r="I317">
        <f t="shared" ca="1" si="86"/>
        <v>60.685143836003952</v>
      </c>
      <c r="J317">
        <f t="shared" ca="1" si="95"/>
        <v>70.259500000000003</v>
      </c>
      <c r="K317">
        <f t="shared" ca="1" si="96"/>
        <v>1.184818329400847</v>
      </c>
      <c r="L317">
        <f t="shared" ca="1" si="97"/>
        <v>72.629136658801698</v>
      </c>
      <c r="M317">
        <f t="shared" ca="1" si="98"/>
        <v>67.889863341198307</v>
      </c>
      <c r="N317">
        <f t="shared" ca="1" si="87"/>
        <v>-3.25</v>
      </c>
      <c r="O317">
        <f t="shared" ca="1" si="88"/>
        <v>0</v>
      </c>
      <c r="P317">
        <f t="shared" ca="1" si="89"/>
        <v>3.25</v>
      </c>
      <c r="Q317">
        <f t="shared" ca="1" si="93"/>
        <v>0.44650008115599116</v>
      </c>
      <c r="R317">
        <f t="shared" ca="1" si="94"/>
        <v>0.45497677035075135</v>
      </c>
      <c r="S317">
        <f t="shared" ca="1" si="91"/>
        <v>0.98136896266544482</v>
      </c>
      <c r="T317">
        <f t="shared" ca="1" si="92"/>
        <v>49.529844322647214</v>
      </c>
      <c r="U317">
        <f>70</f>
        <v>70</v>
      </c>
      <c r="V317">
        <f>30</f>
        <v>30</v>
      </c>
      <c r="W317">
        <f t="shared" ca="1" si="90"/>
        <v>70.780867041255789</v>
      </c>
      <c r="X317">
        <f t="shared" ca="1" si="100"/>
        <v>70.095747020075351</v>
      </c>
      <c r="Y317">
        <f t="shared" ca="1" si="99"/>
        <v>0.44205051204694712</v>
      </c>
      <c r="Z317">
        <f t="shared" ca="1" si="101"/>
        <v>0.60925209547402859</v>
      </c>
      <c r="AA317">
        <f t="shared" ca="1" si="102"/>
        <v>-0.16720158342708147</v>
      </c>
      <c r="AB317">
        <f t="shared" ca="1" si="103"/>
        <v>65.619900000000001</v>
      </c>
    </row>
    <row r="318" spans="1:28" x14ac:dyDescent="0.25">
      <c r="A318" s="20">
        <f t="shared" ca="1" si="83"/>
        <v>45754</v>
      </c>
      <c r="B318" vm="898">
        <f ca="1"/>
        <v>45754</v>
      </c>
      <c r="C318" vm="899">
        <f ca="1"/>
        <v>68.37</v>
      </c>
      <c r="D318" vm="900">
        <f ca="1"/>
        <v>34258363</v>
      </c>
      <c r="E318">
        <f t="shared" ca="1" si="84"/>
        <v>2342244278.3099999</v>
      </c>
      <c r="F318">
        <f ca="1">SUM($E$2:E318)/SUM($D$2:D318)</f>
        <v>64.902068937672638</v>
      </c>
      <c r="G318">
        <f ca="1">_xlfn.STDEV.P($C$2:C318)</f>
        <v>4.1903059408160557</v>
      </c>
      <c r="H318">
        <f t="shared" ca="1" si="85"/>
        <v>69.092374878488698</v>
      </c>
      <c r="I318">
        <f t="shared" ca="1" si="86"/>
        <v>60.711762996856585</v>
      </c>
      <c r="J318">
        <f t="shared" ca="1" si="95"/>
        <v>70.105500000000006</v>
      </c>
      <c r="K318">
        <f t="shared" ca="1" si="96"/>
        <v>1.2215325792238476</v>
      </c>
      <c r="L318">
        <f t="shared" ca="1" si="97"/>
        <v>72.548565158447701</v>
      </c>
      <c r="M318">
        <f t="shared" ca="1" si="98"/>
        <v>67.662434841552312</v>
      </c>
      <c r="N318">
        <f t="shared" ca="1" si="87"/>
        <v>-1.5600000000000023</v>
      </c>
      <c r="O318">
        <f t="shared" ca="1" si="88"/>
        <v>0</v>
      </c>
      <c r="P318">
        <f t="shared" ca="1" si="89"/>
        <v>1.5600000000000023</v>
      </c>
      <c r="Q318">
        <f t="shared" ca="1" si="93"/>
        <v>0.4146072182162775</v>
      </c>
      <c r="R318">
        <f t="shared" ca="1" si="94"/>
        <v>0.53390700103998356</v>
      </c>
      <c r="S318">
        <f t="shared" ca="1" si="91"/>
        <v>0.77655325254899243</v>
      </c>
      <c r="T318">
        <f t="shared" ca="1" si="92"/>
        <v>43.711228550835528</v>
      </c>
      <c r="U318">
        <f>70</f>
        <v>70</v>
      </c>
      <c r="V318">
        <f>30</f>
        <v>30</v>
      </c>
      <c r="W318">
        <f t="shared" ca="1" si="90"/>
        <v>70.40996441952413</v>
      </c>
      <c r="X318">
        <f t="shared" ca="1" si="100"/>
        <v>69.967913907477183</v>
      </c>
      <c r="Y318">
        <f t="shared" ca="1" si="99"/>
        <v>0.25056242925522554</v>
      </c>
      <c r="Z318">
        <f t="shared" ca="1" si="101"/>
        <v>0.53751416223026793</v>
      </c>
      <c r="AA318">
        <f t="shared" ca="1" si="102"/>
        <v>-0.2869517329750424</v>
      </c>
      <c r="AB318">
        <f t="shared" ca="1" si="103"/>
        <v>65.664400000000015</v>
      </c>
    </row>
    <row r="319" spans="1:28" x14ac:dyDescent="0.25">
      <c r="A319" s="20">
        <f t="shared" ca="1" si="83"/>
        <v>45754</v>
      </c>
      <c r="B319" vm="901">
        <f ca="1"/>
        <v>45755</v>
      </c>
      <c r="C319" vm="902">
        <f ca="1"/>
        <v>68.42</v>
      </c>
      <c r="D319" vm="903">
        <f ca="1"/>
        <v>22774425</v>
      </c>
      <c r="E319">
        <f t="shared" ca="1" si="84"/>
        <v>1558226158.5</v>
      </c>
      <c r="F319">
        <f ca="1">SUM($E$2:E319)/SUM($D$2:D319)</f>
        <v>64.918927849709519</v>
      </c>
      <c r="G319">
        <f ca="1">_xlfn.STDEV.P($C$2:C319)</f>
        <v>4.1891056987522086</v>
      </c>
      <c r="H319">
        <f t="shared" ca="1" si="85"/>
        <v>69.108033548461734</v>
      </c>
      <c r="I319">
        <f t="shared" ca="1" si="86"/>
        <v>60.729822150957311</v>
      </c>
      <c r="J319">
        <f t="shared" ca="1" si="95"/>
        <v>69.974500000000006</v>
      </c>
      <c r="K319">
        <f t="shared" ca="1" si="96"/>
        <v>1.2560400387516995</v>
      </c>
      <c r="L319">
        <f t="shared" ca="1" si="97"/>
        <v>72.486580077503405</v>
      </c>
      <c r="M319">
        <f t="shared" ca="1" si="98"/>
        <v>67.462419922496608</v>
      </c>
      <c r="N319">
        <f t="shared" ca="1" si="87"/>
        <v>4.9999999999997158E-2</v>
      </c>
      <c r="O319">
        <f t="shared" ca="1" si="88"/>
        <v>4.9999999999997158E-2</v>
      </c>
      <c r="P319">
        <f t="shared" ca="1" si="89"/>
        <v>0</v>
      </c>
      <c r="Q319">
        <f t="shared" ca="1" si="93"/>
        <v>0.38856384548654316</v>
      </c>
      <c r="R319">
        <f t="shared" ca="1" si="94"/>
        <v>0.4957707866799847</v>
      </c>
      <c r="S319">
        <f t="shared" ca="1" si="91"/>
        <v>0.78375704242000321</v>
      </c>
      <c r="T319">
        <f t="shared" ca="1" si="92"/>
        <v>43.938553501472867</v>
      </c>
      <c r="U319">
        <f>70</f>
        <v>70</v>
      </c>
      <c r="V319">
        <f>30</f>
        <v>30</v>
      </c>
      <c r="W319">
        <f t="shared" ca="1" si="90"/>
        <v>70.103816047289655</v>
      </c>
      <c r="X319">
        <f t="shared" ca="1" si="100"/>
        <v>69.853253618034429</v>
      </c>
      <c r="Y319">
        <f t="shared" ca="1" si="99"/>
        <v>0.21973202331577113</v>
      </c>
      <c r="Z319">
        <f t="shared" ca="1" si="101"/>
        <v>0.47395773444736861</v>
      </c>
      <c r="AA319">
        <f t="shared" ca="1" si="102"/>
        <v>-0.25422571113159748</v>
      </c>
      <c r="AB319">
        <f t="shared" ca="1" si="103"/>
        <v>65.715000000000003</v>
      </c>
    </row>
    <row r="320" spans="1:28" x14ac:dyDescent="0.25">
      <c r="A320" s="20">
        <f t="shared" ca="1" si="83"/>
        <v>45754</v>
      </c>
      <c r="B320" vm="904">
        <f ca="1"/>
        <v>45756</v>
      </c>
      <c r="C320" vm="905">
        <f ca="1"/>
        <v>69.95</v>
      </c>
      <c r="D320" vm="906">
        <f ca="1"/>
        <v>27918675</v>
      </c>
      <c r="E320">
        <f t="shared" ca="1" si="84"/>
        <v>1952911316.25</v>
      </c>
      <c r="F320">
        <f ca="1">SUM($E$2:E320)/SUM($D$2:D320)</f>
        <v>64.948311533391134</v>
      </c>
      <c r="G320">
        <f ca="1">_xlfn.STDEV.P($C$2:C320)</f>
        <v>4.1930687049996029</v>
      </c>
      <c r="H320">
        <f t="shared" ca="1" si="85"/>
        <v>69.141380238390738</v>
      </c>
      <c r="I320">
        <f t="shared" ca="1" si="86"/>
        <v>60.75524282839153</v>
      </c>
      <c r="J320">
        <f t="shared" ca="1" si="95"/>
        <v>69.975000000000009</v>
      </c>
      <c r="K320">
        <f t="shared" ca="1" si="96"/>
        <v>1.2560275726105288</v>
      </c>
      <c r="L320">
        <f t="shared" ca="1" si="97"/>
        <v>72.487055145221063</v>
      </c>
      <c r="M320">
        <f t="shared" ca="1" si="98"/>
        <v>67.462944854778954</v>
      </c>
      <c r="N320">
        <f t="shared" ca="1" si="87"/>
        <v>1.5300000000000011</v>
      </c>
      <c r="O320">
        <f t="shared" ca="1" si="88"/>
        <v>1.5300000000000011</v>
      </c>
      <c r="P320">
        <f t="shared" ca="1" si="89"/>
        <v>0</v>
      </c>
      <c r="Q320">
        <f t="shared" ca="1" si="93"/>
        <v>0.47009499938036159</v>
      </c>
      <c r="R320">
        <f t="shared" ca="1" si="94"/>
        <v>0.46035858763141435</v>
      </c>
      <c r="S320">
        <f t="shared" ca="1" si="91"/>
        <v>1.0211496255539447</v>
      </c>
      <c r="T320">
        <f t="shared" ca="1" si="92"/>
        <v>50.523207814170327</v>
      </c>
      <c r="U320">
        <f>70</f>
        <v>70</v>
      </c>
      <c r="V320">
        <f>30</f>
        <v>30</v>
      </c>
      <c r="W320">
        <f t="shared" ca="1" si="90"/>
        <v>70.080152040014326</v>
      </c>
      <c r="X320">
        <f t="shared" ca="1" si="100"/>
        <v>69.860420016698555</v>
      </c>
      <c r="Y320">
        <f t="shared" ca="1" si="99"/>
        <v>0.25768846284108804</v>
      </c>
      <c r="Z320">
        <f t="shared" ca="1" si="101"/>
        <v>0.43070388012611249</v>
      </c>
      <c r="AA320">
        <f t="shared" ca="1" si="102"/>
        <v>-0.17301541728502445</v>
      </c>
      <c r="AB320">
        <f t="shared" ca="1" si="103"/>
        <v>65.782500000000013</v>
      </c>
    </row>
    <row r="321" spans="1:28" x14ac:dyDescent="0.25">
      <c r="A321" s="20">
        <f t="shared" ca="1" si="83"/>
        <v>45754</v>
      </c>
      <c r="B321" vm="907">
        <f ca="1"/>
        <v>45757</v>
      </c>
      <c r="C321" vm="908">
        <f ca="1"/>
        <v>70.760000000000005</v>
      </c>
      <c r="D321" vm="909">
        <f ca="1"/>
        <v>22450163</v>
      </c>
      <c r="E321">
        <f t="shared" ca="1" si="84"/>
        <v>1588573533.8800001</v>
      </c>
      <c r="F321">
        <f ca="1">SUM($E$2:E321)/SUM($D$2:D321)</f>
        <v>64.975478293331292</v>
      </c>
      <c r="G321">
        <f ca="1">_xlfn.STDEV.P($C$2:C321)</f>
        <v>4.2003645186868903</v>
      </c>
      <c r="H321">
        <f t="shared" ca="1" si="85"/>
        <v>69.175842812018189</v>
      </c>
      <c r="I321">
        <f t="shared" ca="1" si="86"/>
        <v>60.775113774644403</v>
      </c>
      <c r="J321">
        <f t="shared" ca="1" si="95"/>
        <v>70.032000000000011</v>
      </c>
      <c r="K321">
        <f t="shared" ca="1" si="96"/>
        <v>1.2649052388056179</v>
      </c>
      <c r="L321">
        <f t="shared" ca="1" si="97"/>
        <v>72.561810477611246</v>
      </c>
      <c r="M321">
        <f t="shared" ca="1" si="98"/>
        <v>67.502189522388775</v>
      </c>
      <c r="N321">
        <f t="shared" ca="1" si="87"/>
        <v>0.81000000000000227</v>
      </c>
      <c r="O321">
        <f t="shared" ca="1" si="88"/>
        <v>0.81000000000000227</v>
      </c>
      <c r="P321">
        <f t="shared" ca="1" si="89"/>
        <v>0</v>
      </c>
      <c r="Q321">
        <f t="shared" ca="1" si="93"/>
        <v>0.49437392799605018</v>
      </c>
      <c r="R321">
        <f t="shared" ca="1" si="94"/>
        <v>0.4274758313720276</v>
      </c>
      <c r="S321">
        <f t="shared" ca="1" si="91"/>
        <v>1.156495623177821</v>
      </c>
      <c r="T321">
        <f t="shared" ca="1" si="92"/>
        <v>53.628470688644576</v>
      </c>
      <c r="U321">
        <f>70</f>
        <v>70</v>
      </c>
      <c r="V321">
        <f>30</f>
        <v>30</v>
      </c>
      <c r="W321">
        <f t="shared" ca="1" si="90"/>
        <v>70.18474403385828</v>
      </c>
      <c r="X321">
        <f t="shared" ca="1" si="100"/>
        <v>69.927055571017192</v>
      </c>
      <c r="Y321">
        <f t="shared" ca="1" si="99"/>
        <v>0.33793708682426882</v>
      </c>
      <c r="Z321">
        <f t="shared" ca="1" si="101"/>
        <v>0.41215052146574382</v>
      </c>
      <c r="AA321">
        <f t="shared" ca="1" si="102"/>
        <v>-7.4213434641475007E-2</v>
      </c>
      <c r="AB321">
        <f t="shared" ca="1" si="103"/>
        <v>65.860100000000017</v>
      </c>
    </row>
    <row r="322" spans="1:28" x14ac:dyDescent="0.25">
      <c r="A322" s="20">
        <f t="shared" ca="1" si="83"/>
        <v>45754</v>
      </c>
      <c r="B322" vm="910">
        <f ca="1"/>
        <v>45758</v>
      </c>
      <c r="C322" vm="839">
        <f ca="1"/>
        <v>71.430000000000007</v>
      </c>
      <c r="D322" vm="911">
        <f ca="1"/>
        <v>19988203</v>
      </c>
      <c r="E322">
        <f t="shared" ca="1" si="84"/>
        <v>1427757340.2900002</v>
      </c>
      <c r="F322">
        <f ca="1">SUM($E$2:E322)/SUM($D$2:D322)</f>
        <v>65.002229914522729</v>
      </c>
      <c r="G322">
        <f ca="1">_xlfn.STDEV.P($C$2:C322)</f>
        <v>4.2106916394633718</v>
      </c>
      <c r="H322">
        <f t="shared" ca="1" si="85"/>
        <v>69.212921553986106</v>
      </c>
      <c r="I322">
        <f t="shared" ca="1" si="86"/>
        <v>60.791538275059359</v>
      </c>
      <c r="J322">
        <f t="shared" ca="1" si="95"/>
        <v>70.145500000000027</v>
      </c>
      <c r="K322">
        <f t="shared" ca="1" si="96"/>
        <v>1.2842383571186229</v>
      </c>
      <c r="L322">
        <f t="shared" ca="1" si="97"/>
        <v>72.713976714237276</v>
      </c>
      <c r="M322">
        <f t="shared" ca="1" si="98"/>
        <v>67.577023285762778</v>
      </c>
      <c r="N322">
        <f t="shared" ca="1" si="87"/>
        <v>0.67000000000000171</v>
      </c>
      <c r="O322">
        <f t="shared" ca="1" si="88"/>
        <v>0.67000000000000171</v>
      </c>
      <c r="P322">
        <f t="shared" ca="1" si="89"/>
        <v>0</v>
      </c>
      <c r="Q322">
        <f t="shared" ca="1" si="93"/>
        <v>0.50691864742490389</v>
      </c>
      <c r="R322">
        <f t="shared" ca="1" si="94"/>
        <v>0.39694184341688282</v>
      </c>
      <c r="S322">
        <f t="shared" ca="1" si="91"/>
        <v>1.2770602440431542</v>
      </c>
      <c r="T322">
        <f t="shared" ca="1" si="92"/>
        <v>56.083726699105803</v>
      </c>
      <c r="U322">
        <f>70</f>
        <v>70</v>
      </c>
      <c r="V322">
        <f>30</f>
        <v>30</v>
      </c>
      <c r="W322">
        <f t="shared" ca="1" si="90"/>
        <v>70.376321874803153</v>
      </c>
      <c r="X322">
        <f t="shared" ca="1" si="100"/>
        <v>70.038384787978885</v>
      </c>
      <c r="Y322">
        <f t="shared" ca="1" si="99"/>
        <v>0.47832632684729504</v>
      </c>
      <c r="Z322">
        <f t="shared" ca="1" si="101"/>
        <v>0.42538568254205411</v>
      </c>
      <c r="AA322">
        <f t="shared" ca="1" si="102"/>
        <v>5.2940644305240925E-2</v>
      </c>
      <c r="AB322">
        <f t="shared" ca="1" si="103"/>
        <v>65.948900000000009</v>
      </c>
    </row>
    <row r="323" spans="1:28" x14ac:dyDescent="0.25">
      <c r="A323" s="20">
        <f t="shared" ref="A323:A386" ca="1" si="104">B323 - WEEKDAY(B323, 2) + 1</f>
        <v>45761</v>
      </c>
      <c r="B323" vm="912">
        <f ca="1"/>
        <v>45761</v>
      </c>
      <c r="C323" vm="913">
        <f ca="1"/>
        <v>72.45</v>
      </c>
      <c r="D323" vm="914">
        <f ca="1"/>
        <v>13930207</v>
      </c>
      <c r="E323">
        <f t="shared" ref="E323:E386" ca="1" si="105">C323*D323</f>
        <v>1009243497.1500001</v>
      </c>
      <c r="F323">
        <f ca="1">SUM($E$2:E323)/SUM($D$2:D323)</f>
        <v>65.023680713661022</v>
      </c>
      <c r="G323">
        <f ca="1">_xlfn.STDEV.P($C$2:C323)</f>
        <v>4.2262438365724266</v>
      </c>
      <c r="H323">
        <f t="shared" ref="H323:H386" ca="1" si="106">F323 + G323</f>
        <v>69.249924550233445</v>
      </c>
      <c r="I323">
        <f t="shared" ref="I323:I386" ca="1" si="107">F323 - G323</f>
        <v>60.797436877088593</v>
      </c>
      <c r="J323">
        <f t="shared" ca="1" si="95"/>
        <v>70.262000000000015</v>
      </c>
      <c r="K323">
        <f t="shared" ca="1" si="96"/>
        <v>1.3836397462375907</v>
      </c>
      <c r="L323">
        <f t="shared" ca="1" si="97"/>
        <v>73.029279492475197</v>
      </c>
      <c r="M323">
        <f t="shared" ca="1" si="98"/>
        <v>67.494720507524832</v>
      </c>
      <c r="N323">
        <f t="shared" ca="1" si="87"/>
        <v>1.019999999999996</v>
      </c>
      <c r="O323">
        <f t="shared" ca="1" si="88"/>
        <v>1.019999999999996</v>
      </c>
      <c r="P323">
        <f t="shared" ca="1" si="89"/>
        <v>0</v>
      </c>
      <c r="Q323">
        <f t="shared" ca="1" si="93"/>
        <v>0.54356731546598192</v>
      </c>
      <c r="R323">
        <f t="shared" ca="1" si="94"/>
        <v>0.36858885460139124</v>
      </c>
      <c r="S323">
        <f t="shared" ca="1" si="91"/>
        <v>1.4747253170577292</v>
      </c>
      <c r="T323">
        <f t="shared" ca="1" si="92"/>
        <v>59.591474936340482</v>
      </c>
      <c r="U323">
        <f>70</f>
        <v>70</v>
      </c>
      <c r="V323">
        <f>30</f>
        <v>30</v>
      </c>
      <c r="W323">
        <f t="shared" ca="1" si="90"/>
        <v>70.695349278679586</v>
      </c>
      <c r="X323">
        <f t="shared" ca="1" si="100"/>
        <v>70.217022951832291</v>
      </c>
      <c r="Y323">
        <f t="shared" ca="1" si="99"/>
        <v>0.53580135732860867</v>
      </c>
      <c r="Z323">
        <f t="shared" ca="1" si="101"/>
        <v>0.44746881749936507</v>
      </c>
      <c r="AA323">
        <f t="shared" ca="1" si="102"/>
        <v>8.8332539829243606E-2</v>
      </c>
      <c r="AB323">
        <f t="shared" ca="1" si="103"/>
        <v>66.055999999999997</v>
      </c>
    </row>
    <row r="324" spans="1:28" x14ac:dyDescent="0.25">
      <c r="A324" s="20">
        <f t="shared" ca="1" si="104"/>
        <v>45761</v>
      </c>
      <c r="B324" vm="915">
        <f ca="1"/>
        <v>45762</v>
      </c>
      <c r="C324" vm="544">
        <f ca="1"/>
        <v>71.86</v>
      </c>
      <c r="D324" vm="916">
        <f ca="1"/>
        <v>14965492</v>
      </c>
      <c r="E324">
        <f t="shared" ca="1" si="105"/>
        <v>1075420255.1199999</v>
      </c>
      <c r="F324">
        <f ca="1">SUM($E$2:E324)/SUM($D$2:D324)</f>
        <v>65.044768512771071</v>
      </c>
      <c r="G324">
        <f ca="1">_xlfn.STDEV.P($C$2:C324)</f>
        <v>4.2383133436594189</v>
      </c>
      <c r="H324">
        <f t="shared" ca="1" si="106"/>
        <v>69.283081856430485</v>
      </c>
      <c r="I324">
        <f t="shared" ca="1" si="107"/>
        <v>60.806455169111651</v>
      </c>
      <c r="J324">
        <f t="shared" ca="1" si="95"/>
        <v>70.385999999999996</v>
      </c>
      <c r="K324">
        <f t="shared" ca="1" si="96"/>
        <v>1.4112868334664614</v>
      </c>
      <c r="L324">
        <f t="shared" ca="1" si="97"/>
        <v>73.208573666932921</v>
      </c>
      <c r="M324">
        <f t="shared" ca="1" si="98"/>
        <v>67.563426333067071</v>
      </c>
      <c r="N324">
        <f t="shared" ref="N324:N387" ca="1" si="108">C324-C323</f>
        <v>-0.59000000000000341</v>
      </c>
      <c r="O324">
        <f t="shared" ref="O324:O387" ca="1" si="109">MAX(N324,0)</f>
        <v>0</v>
      </c>
      <c r="P324">
        <f t="shared" ref="P324:P387" ca="1" si="110">MAX(-N324,0)</f>
        <v>0.59000000000000341</v>
      </c>
      <c r="Q324">
        <f t="shared" ca="1" si="93"/>
        <v>0.50474107864698314</v>
      </c>
      <c r="R324">
        <f t="shared" ca="1" si="94"/>
        <v>0.3844039364155778</v>
      </c>
      <c r="S324">
        <f t="shared" ca="1" si="91"/>
        <v>1.313048673105442</v>
      </c>
      <c r="T324">
        <f t="shared" ca="1" si="92"/>
        <v>56.767014389825839</v>
      </c>
      <c r="U324">
        <f>70</f>
        <v>70</v>
      </c>
      <c r="V324">
        <f>30</f>
        <v>30</v>
      </c>
      <c r="W324">
        <f t="shared" ca="1" si="90"/>
        <v>70.874526312728875</v>
      </c>
      <c r="X324">
        <f t="shared" ca="1" si="100"/>
        <v>70.338724955400266</v>
      </c>
      <c r="Y324">
        <f t="shared" ca="1" si="99"/>
        <v>0.56036667913217286</v>
      </c>
      <c r="Z324">
        <f t="shared" ca="1" si="101"/>
        <v>0.47004838982592667</v>
      </c>
      <c r="AA324">
        <f t="shared" ca="1" si="102"/>
        <v>9.0318289306246191E-2</v>
      </c>
      <c r="AB324">
        <f t="shared" ca="1" si="103"/>
        <v>66.156000000000006</v>
      </c>
    </row>
    <row r="325" spans="1:28" x14ac:dyDescent="0.25">
      <c r="A325" s="20">
        <f t="shared" ca="1" si="104"/>
        <v>45761</v>
      </c>
      <c r="B325" vm="917">
        <f ca="1"/>
        <v>45763</v>
      </c>
      <c r="C325" vm="918">
        <f ca="1"/>
        <v>71.680000000000007</v>
      </c>
      <c r="D325" vm="919">
        <f ca="1"/>
        <v>15276216</v>
      </c>
      <c r="E325">
        <f t="shared" ca="1" si="105"/>
        <v>1094999162.8800001</v>
      </c>
      <c r="F325">
        <f ca="1">SUM($E$2:E325)/SUM($D$2:D325)</f>
        <v>65.065595404808946</v>
      </c>
      <c r="G325">
        <f ca="1">_xlfn.STDEV.P($C$2:C325)</f>
        <v>4.2492441441240461</v>
      </c>
      <c r="H325">
        <f t="shared" ca="1" si="106"/>
        <v>69.314839548932994</v>
      </c>
      <c r="I325">
        <f t="shared" ca="1" si="107"/>
        <v>60.816351260684897</v>
      </c>
      <c r="J325">
        <f t="shared" ca="1" si="95"/>
        <v>70.506</v>
      </c>
      <c r="K325">
        <f t="shared" ca="1" si="96"/>
        <v>1.4143266949329643</v>
      </c>
      <c r="L325">
        <f t="shared" ca="1" si="97"/>
        <v>73.334653389865935</v>
      </c>
      <c r="M325">
        <f t="shared" ca="1" si="98"/>
        <v>67.677346610134066</v>
      </c>
      <c r="N325">
        <f t="shared" ca="1" si="108"/>
        <v>-0.17999999999999261</v>
      </c>
      <c r="O325">
        <f t="shared" ca="1" si="109"/>
        <v>0</v>
      </c>
      <c r="P325">
        <f t="shared" ca="1" si="110"/>
        <v>0.17999999999999261</v>
      </c>
      <c r="Q325">
        <f t="shared" ca="1" si="93"/>
        <v>0.4686881444579129</v>
      </c>
      <c r="R325">
        <f t="shared" ca="1" si="94"/>
        <v>0.36980365524303599</v>
      </c>
      <c r="S325">
        <f t="shared" ca="1" si="91"/>
        <v>1.2673972736961989</v>
      </c>
      <c r="T325">
        <f t="shared" ca="1" si="92"/>
        <v>55.896568651604248</v>
      </c>
      <c r="U325">
        <f>70</f>
        <v>70</v>
      </c>
      <c r="V325">
        <f>30</f>
        <v>30</v>
      </c>
      <c r="W325">
        <f t="shared" ca="1" si="90"/>
        <v>70.998445341539821</v>
      </c>
      <c r="X325">
        <f t="shared" ca="1" si="100"/>
        <v>70.438078662407648</v>
      </c>
      <c r="Y325">
        <f t="shared" ca="1" si="99"/>
        <v>0.67852621411635994</v>
      </c>
      <c r="Z325">
        <f t="shared" ca="1" si="101"/>
        <v>0.51174395468401335</v>
      </c>
      <c r="AA325">
        <f t="shared" ca="1" si="102"/>
        <v>0.16678225943234659</v>
      </c>
      <c r="AB325">
        <f t="shared" ca="1" si="103"/>
        <v>66.246899999999997</v>
      </c>
    </row>
    <row r="326" spans="1:28" x14ac:dyDescent="0.25">
      <c r="A326" s="20">
        <f t="shared" ca="1" si="104"/>
        <v>45761</v>
      </c>
      <c r="B326" vm="920">
        <f ca="1"/>
        <v>45764</v>
      </c>
      <c r="C326" vm="921">
        <f ca="1"/>
        <v>73</v>
      </c>
      <c r="D326" vm="922">
        <f ca="1"/>
        <v>20754495</v>
      </c>
      <c r="E326">
        <f t="shared" ca="1" si="105"/>
        <v>1515078135</v>
      </c>
      <c r="F326">
        <f ca="1">SUM($E$2:E326)/SUM($D$2:D326)</f>
        <v>65.099287732235055</v>
      </c>
      <c r="G326">
        <f ca="1">_xlfn.STDEV.P($C$2:C326)</f>
        <v>4.2671709399240765</v>
      </c>
      <c r="H326">
        <f t="shared" ca="1" si="106"/>
        <v>69.366458672159126</v>
      </c>
      <c r="I326">
        <f t="shared" ca="1" si="107"/>
        <v>60.832116792310977</v>
      </c>
      <c r="J326">
        <f t="shared" ca="1" si="95"/>
        <v>70.670500000000004</v>
      </c>
      <c r="K326">
        <f t="shared" ca="1" si="96"/>
        <v>1.5052765963698993</v>
      </c>
      <c r="L326">
        <f t="shared" ca="1" si="97"/>
        <v>73.681053192739796</v>
      </c>
      <c r="M326">
        <f t="shared" ca="1" si="98"/>
        <v>67.659946807260212</v>
      </c>
      <c r="N326">
        <f t="shared" ca="1" si="108"/>
        <v>1.3199999999999932</v>
      </c>
      <c r="O326">
        <f t="shared" ca="1" si="109"/>
        <v>1.3199999999999932</v>
      </c>
      <c r="P326">
        <f t="shared" ca="1" si="110"/>
        <v>0</v>
      </c>
      <c r="Q326">
        <f t="shared" ca="1" si="93"/>
        <v>0.52949613413949004</v>
      </c>
      <c r="R326">
        <f t="shared" ca="1" si="94"/>
        <v>0.34338910843996201</v>
      </c>
      <c r="S326">
        <f t="shared" ca="1" si="91"/>
        <v>1.5419712539661603</v>
      </c>
      <c r="T326">
        <f t="shared" ca="1" si="92"/>
        <v>60.660452062951912</v>
      </c>
      <c r="U326">
        <f>70</f>
        <v>70</v>
      </c>
      <c r="V326">
        <f>30</f>
        <v>30</v>
      </c>
      <c r="W326">
        <f t="shared" ca="1" si="90"/>
        <v>71.306376827456774</v>
      </c>
      <c r="X326">
        <f t="shared" ca="1" si="100"/>
        <v>70.627850613340414</v>
      </c>
      <c r="Y326">
        <f t="shared" ca="1" si="99"/>
        <v>0.74502127754706748</v>
      </c>
      <c r="Z326">
        <f t="shared" ca="1" si="101"/>
        <v>0.55839941925662417</v>
      </c>
      <c r="AA326">
        <f t="shared" ca="1" si="102"/>
        <v>0.18662185829044331</v>
      </c>
      <c r="AB326">
        <f t="shared" ca="1" si="103"/>
        <v>66.347000000000008</v>
      </c>
    </row>
    <row r="327" spans="1:28" x14ac:dyDescent="0.25">
      <c r="A327" s="20">
        <f t="shared" ca="1" si="104"/>
        <v>45768</v>
      </c>
      <c r="B327" vm="923">
        <f ca="1"/>
        <v>45768</v>
      </c>
      <c r="C327" vm="924">
        <f ca="1"/>
        <v>72.77</v>
      </c>
      <c r="D327" vm="925">
        <f ca="1"/>
        <v>16037190</v>
      </c>
      <c r="E327">
        <f t="shared" ca="1" si="105"/>
        <v>1167026316.3</v>
      </c>
      <c r="F327">
        <f ca="1">SUM($E$2:E327)/SUM($D$2:D327)</f>
        <v>65.124374562532466</v>
      </c>
      <c r="G327">
        <f ca="1">_xlfn.STDEV.P($C$2:C327)</f>
        <v>4.2834351853275461</v>
      </c>
      <c r="H327">
        <f t="shared" ca="1" si="106"/>
        <v>69.407809747860014</v>
      </c>
      <c r="I327">
        <f t="shared" ca="1" si="107"/>
        <v>60.840939377204919</v>
      </c>
      <c r="J327">
        <f t="shared" ca="1" si="95"/>
        <v>70.875500000000017</v>
      </c>
      <c r="K327">
        <f t="shared" ca="1" si="96"/>
        <v>1.4976594897934643</v>
      </c>
      <c r="L327">
        <f t="shared" ca="1" si="97"/>
        <v>73.870818979586943</v>
      </c>
      <c r="M327">
        <f t="shared" ca="1" si="98"/>
        <v>67.88018102041309</v>
      </c>
      <c r="N327">
        <f t="shared" ca="1" si="108"/>
        <v>-0.23000000000000398</v>
      </c>
      <c r="O327">
        <f t="shared" ca="1" si="109"/>
        <v>0</v>
      </c>
      <c r="P327">
        <f t="shared" ca="1" si="110"/>
        <v>0.23000000000000398</v>
      </c>
      <c r="Q327">
        <f t="shared" ca="1" si="93"/>
        <v>0.49167498170095503</v>
      </c>
      <c r="R327">
        <f t="shared" ca="1" si="94"/>
        <v>0.33528988640853641</v>
      </c>
      <c r="S327">
        <f t="shared" ca="1" si="91"/>
        <v>1.4664175736630185</v>
      </c>
      <c r="T327">
        <f t="shared" ca="1" si="92"/>
        <v>59.455365114235597</v>
      </c>
      <c r="U327">
        <f>70</f>
        <v>70</v>
      </c>
      <c r="V327">
        <f>30</f>
        <v>30</v>
      </c>
      <c r="W327">
        <f t="shared" ca="1" si="90"/>
        <v>71.53154962323265</v>
      </c>
      <c r="X327">
        <f t="shared" ca="1" si="100"/>
        <v>70.786528345685582</v>
      </c>
      <c r="Y327">
        <f t="shared" ca="1" si="99"/>
        <v>0.8787707286389832</v>
      </c>
      <c r="Z327">
        <f t="shared" ca="1" si="101"/>
        <v>0.62247368113309598</v>
      </c>
      <c r="AA327">
        <f t="shared" ca="1" si="102"/>
        <v>0.25629704750588722</v>
      </c>
      <c r="AB327">
        <f t="shared" ca="1" si="103"/>
        <v>66.437100000000015</v>
      </c>
    </row>
    <row r="328" spans="1:28" x14ac:dyDescent="0.25">
      <c r="A328" s="20">
        <f t="shared" ca="1" si="104"/>
        <v>45768</v>
      </c>
      <c r="B328" vm="926">
        <f ca="1"/>
        <v>45769</v>
      </c>
      <c r="C328" vm="927">
        <f ca="1"/>
        <v>73.900000000000006</v>
      </c>
      <c r="D328" vm="928">
        <f ca="1"/>
        <v>15613518</v>
      </c>
      <c r="E328">
        <f t="shared" ca="1" si="105"/>
        <v>1153838980.2</v>
      </c>
      <c r="F328">
        <f ca="1">SUM($E$2:E328)/SUM($D$2:D328)</f>
        <v>65.15222807979795</v>
      </c>
      <c r="G328">
        <f ca="1">_xlfn.STDEV.P($C$2:C328)</f>
        <v>4.3062258341862369</v>
      </c>
      <c r="H328">
        <f t="shared" ca="1" si="106"/>
        <v>69.458453913984187</v>
      </c>
      <c r="I328">
        <f t="shared" ca="1" si="107"/>
        <v>60.846002245611714</v>
      </c>
      <c r="J328">
        <f t="shared" ca="1" si="95"/>
        <v>71.123000000000019</v>
      </c>
      <c r="K328">
        <f t="shared" ca="1" si="96"/>
        <v>1.5699751925629775</v>
      </c>
      <c r="L328">
        <f t="shared" ca="1" si="97"/>
        <v>74.262950385125976</v>
      </c>
      <c r="M328">
        <f t="shared" ca="1" si="98"/>
        <v>67.983049614874062</v>
      </c>
      <c r="N328">
        <f t="shared" ca="1" si="108"/>
        <v>1.1300000000000097</v>
      </c>
      <c r="O328">
        <f t="shared" ca="1" si="109"/>
        <v>1.1300000000000097</v>
      </c>
      <c r="P328">
        <f t="shared" ca="1" si="110"/>
        <v>0</v>
      </c>
      <c r="Q328">
        <f t="shared" ca="1" si="93"/>
        <v>0.53726962586517324</v>
      </c>
      <c r="R328">
        <f t="shared" ca="1" si="94"/>
        <v>0.31134060880792669</v>
      </c>
      <c r="S328">
        <f t="shared" ca="1" si="91"/>
        <v>1.7256651097403983</v>
      </c>
      <c r="T328">
        <f t="shared" ca="1" si="92"/>
        <v>63.311707060914635</v>
      </c>
      <c r="U328">
        <f>70</f>
        <v>70</v>
      </c>
      <c r="V328">
        <f>30</f>
        <v>30</v>
      </c>
      <c r="W328">
        <f t="shared" ca="1" si="90"/>
        <v>71.895926604273782</v>
      </c>
      <c r="X328">
        <f t="shared" ca="1" si="100"/>
        <v>71.017155875634799</v>
      </c>
      <c r="Y328">
        <f t="shared" ca="1" si="99"/>
        <v>0.92568245552138251</v>
      </c>
      <c r="Z328">
        <f t="shared" ca="1" si="101"/>
        <v>0.68311543601075331</v>
      </c>
      <c r="AA328">
        <f t="shared" ca="1" si="102"/>
        <v>0.2425670195106292</v>
      </c>
      <c r="AB328">
        <f t="shared" ca="1" si="103"/>
        <v>66.536900000000003</v>
      </c>
    </row>
    <row r="329" spans="1:28" x14ac:dyDescent="0.25">
      <c r="A329" s="20">
        <f t="shared" ca="1" si="104"/>
        <v>45768</v>
      </c>
      <c r="B329" vm="929">
        <f ca="1"/>
        <v>45770</v>
      </c>
      <c r="C329" vm="930">
        <f ca="1"/>
        <v>73.3</v>
      </c>
      <c r="D329" vm="931">
        <f ca="1"/>
        <v>16353927</v>
      </c>
      <c r="E329">
        <f t="shared" ca="1" si="105"/>
        <v>1198742849.0999999</v>
      </c>
      <c r="F329">
        <f ca="1">SUM($E$2:E329)/SUM($D$2:D329)</f>
        <v>65.179225403195773</v>
      </c>
      <c r="G329">
        <f ca="1">_xlfn.STDEV.P($C$2:C329)</f>
        <v>4.3248888462804942</v>
      </c>
      <c r="H329">
        <f t="shared" ca="1" si="106"/>
        <v>69.50411424947626</v>
      </c>
      <c r="I329">
        <f t="shared" ca="1" si="107"/>
        <v>60.854336556915278</v>
      </c>
      <c r="J329">
        <f t="shared" ca="1" si="95"/>
        <v>71.347499999999997</v>
      </c>
      <c r="K329">
        <f t="shared" ca="1" si="96"/>
        <v>1.5426050250008567</v>
      </c>
      <c r="L329">
        <f t="shared" ca="1" si="97"/>
        <v>74.432710050001717</v>
      </c>
      <c r="M329">
        <f t="shared" ca="1" si="98"/>
        <v>68.262289949998276</v>
      </c>
      <c r="N329">
        <f t="shared" ca="1" si="108"/>
        <v>-0.60000000000000853</v>
      </c>
      <c r="O329">
        <f t="shared" ca="1" si="109"/>
        <v>0</v>
      </c>
      <c r="P329">
        <f t="shared" ca="1" si="110"/>
        <v>0.60000000000000853</v>
      </c>
      <c r="Q329">
        <f t="shared" ca="1" si="93"/>
        <v>0.49889322401766084</v>
      </c>
      <c r="R329">
        <f t="shared" ca="1" si="94"/>
        <v>0.33195913675021821</v>
      </c>
      <c r="S329">
        <f t="shared" ca="1" si="91"/>
        <v>1.5028754108161564</v>
      </c>
      <c r="T329">
        <f t="shared" ca="1" si="92"/>
        <v>60.045953718730551</v>
      </c>
      <c r="U329">
        <f>70</f>
        <v>70</v>
      </c>
      <c r="V329">
        <f>30</f>
        <v>30</v>
      </c>
      <c r="W329">
        <f t="shared" ca="1" si="90"/>
        <v>72.111937895923973</v>
      </c>
      <c r="X329">
        <f t="shared" ca="1" si="100"/>
        <v>71.18625544040259</v>
      </c>
      <c r="Y329">
        <f t="shared" ca="1" si="99"/>
        <v>0.88966534746032266</v>
      </c>
      <c r="Z329">
        <f t="shared" ca="1" si="101"/>
        <v>0.7244254183006672</v>
      </c>
      <c r="AA329">
        <f t="shared" ca="1" si="102"/>
        <v>0.16523992915965546</v>
      </c>
      <c r="AB329">
        <f t="shared" ca="1" si="103"/>
        <v>66.626100000000008</v>
      </c>
    </row>
    <row r="330" spans="1:28" x14ac:dyDescent="0.25">
      <c r="A330" s="20">
        <f t="shared" ca="1" si="104"/>
        <v>45768</v>
      </c>
      <c r="B330" vm="932">
        <f ca="1"/>
        <v>45771</v>
      </c>
      <c r="C330" vm="933">
        <f ca="1"/>
        <v>72.52</v>
      </c>
      <c r="D330" vm="934">
        <f ca="1"/>
        <v>16893861</v>
      </c>
      <c r="E330">
        <f t="shared" ca="1" si="105"/>
        <v>1225142799.72</v>
      </c>
      <c r="F330">
        <f ca="1">SUM($E$2:E330)/SUM($D$2:D330)</f>
        <v>65.204266111364021</v>
      </c>
      <c r="G330">
        <f ca="1">_xlfn.STDEV.P($C$2:C330)</f>
        <v>4.3388263560620297</v>
      </c>
      <c r="H330">
        <f t="shared" ca="1" si="106"/>
        <v>69.54309246742605</v>
      </c>
      <c r="I330">
        <f t="shared" ca="1" si="107"/>
        <v>60.865439755301992</v>
      </c>
      <c r="J330">
        <f t="shared" ca="1" si="95"/>
        <v>71.472499999999997</v>
      </c>
      <c r="K330">
        <f t="shared" ca="1" si="96"/>
        <v>1.5306169206874509</v>
      </c>
      <c r="L330">
        <f t="shared" ca="1" si="97"/>
        <v>74.533733841374897</v>
      </c>
      <c r="M330">
        <f t="shared" ca="1" si="98"/>
        <v>68.411266158625097</v>
      </c>
      <c r="N330">
        <f t="shared" ca="1" si="108"/>
        <v>-0.78000000000000114</v>
      </c>
      <c r="O330">
        <f t="shared" ca="1" si="109"/>
        <v>0</v>
      </c>
      <c r="P330">
        <f t="shared" ca="1" si="110"/>
        <v>0.78000000000000114</v>
      </c>
      <c r="Q330">
        <f t="shared" ca="1" si="93"/>
        <v>0.46325799373068505</v>
      </c>
      <c r="R330">
        <f t="shared" ca="1" si="94"/>
        <v>0.36396205555377409</v>
      </c>
      <c r="S330">
        <f t="shared" ca="1" si="91"/>
        <v>1.2728194784641234</v>
      </c>
      <c r="T330">
        <f t="shared" ca="1" si="92"/>
        <v>56.001785030645806</v>
      </c>
      <c r="U330">
        <f>70</f>
        <v>70</v>
      </c>
      <c r="V330">
        <f>30</f>
        <v>30</v>
      </c>
      <c r="W330">
        <f t="shared" ca="1" si="90"/>
        <v>72.17471668116643</v>
      </c>
      <c r="X330">
        <f t="shared" ca="1" si="100"/>
        <v>71.285051333706107</v>
      </c>
      <c r="Y330">
        <f t="shared" ca="1" si="99"/>
        <v>0.80264721040438758</v>
      </c>
      <c r="Z330">
        <f t="shared" ca="1" si="101"/>
        <v>0.74006977672141128</v>
      </c>
      <c r="AA330">
        <f t="shared" ca="1" si="102"/>
        <v>6.2577433682976302E-2</v>
      </c>
      <c r="AB330">
        <f t="shared" ca="1" si="103"/>
        <v>66.705800000000011</v>
      </c>
    </row>
    <row r="331" spans="1:28" x14ac:dyDescent="0.25">
      <c r="A331" s="20">
        <f t="shared" ca="1" si="104"/>
        <v>45768</v>
      </c>
      <c r="B331" vm="935">
        <f ca="1"/>
        <v>45772</v>
      </c>
      <c r="C331" vm="936">
        <f ca="1"/>
        <v>71.91</v>
      </c>
      <c r="D331" vm="937">
        <f ca="1"/>
        <v>16315984</v>
      </c>
      <c r="E331">
        <f t="shared" ca="1" si="105"/>
        <v>1173282409.4400001</v>
      </c>
      <c r="F331">
        <f ca="1">SUM($E$2:E331)/SUM($D$2:D331)</f>
        <v>65.226285586201286</v>
      </c>
      <c r="G331">
        <f ca="1">_xlfn.STDEV.P($C$2:C331)</f>
        <v>4.3494083061270299</v>
      </c>
      <c r="H331">
        <f t="shared" ca="1" si="106"/>
        <v>69.575693892328317</v>
      </c>
      <c r="I331">
        <f t="shared" ca="1" si="107"/>
        <v>60.876877280074254</v>
      </c>
      <c r="J331">
        <f t="shared" ca="1" si="95"/>
        <v>71.531000000000006</v>
      </c>
      <c r="K331">
        <f t="shared" ca="1" si="96"/>
        <v>1.5234894157820713</v>
      </c>
      <c r="L331">
        <f t="shared" ca="1" si="97"/>
        <v>74.577978831564153</v>
      </c>
      <c r="M331">
        <f t="shared" ca="1" si="98"/>
        <v>68.484021168435859</v>
      </c>
      <c r="N331">
        <f t="shared" ca="1" si="108"/>
        <v>-0.60999999999999943</v>
      </c>
      <c r="O331">
        <f t="shared" ca="1" si="109"/>
        <v>0</v>
      </c>
      <c r="P331">
        <f t="shared" ca="1" si="110"/>
        <v>0.60999999999999943</v>
      </c>
      <c r="Q331">
        <f t="shared" ca="1" si="93"/>
        <v>0.43016813703563611</v>
      </c>
      <c r="R331">
        <f t="shared" ca="1" si="94"/>
        <v>0.38153619444279013</v>
      </c>
      <c r="S331">
        <f t="shared" ca="1" si="91"/>
        <v>1.1274635101497248</v>
      </c>
      <c r="T331">
        <f t="shared" ca="1" si="92"/>
        <v>52.99566854006239</v>
      </c>
      <c r="U331">
        <f>70</f>
        <v>70</v>
      </c>
      <c r="V331">
        <f>30</f>
        <v>30</v>
      </c>
      <c r="W331">
        <f t="shared" ca="1" si="90"/>
        <v>72.13399103791005</v>
      </c>
      <c r="X331">
        <f t="shared" ca="1" si="100"/>
        <v>71.331343827505663</v>
      </c>
      <c r="Y331">
        <f t="shared" ca="1" si="99"/>
        <v>0.71575098096849388</v>
      </c>
      <c r="Z331">
        <f t="shared" ca="1" si="101"/>
        <v>0.73520601757082793</v>
      </c>
      <c r="AA331">
        <f t="shared" ca="1" si="102"/>
        <v>-1.9455036602334053E-2</v>
      </c>
      <c r="AB331">
        <f t="shared" ca="1" si="103"/>
        <v>66.780600000000007</v>
      </c>
    </row>
    <row r="332" spans="1:28" x14ac:dyDescent="0.25">
      <c r="A332" s="20">
        <f t="shared" ca="1" si="104"/>
        <v>45775</v>
      </c>
      <c r="B332" vm="938">
        <f ca="1"/>
        <v>45775</v>
      </c>
      <c r="C332" vm="541">
        <f ca="1"/>
        <v>71.790000000000006</v>
      </c>
      <c r="D332" vm="939">
        <f ca="1"/>
        <v>15997495</v>
      </c>
      <c r="E332">
        <f t="shared" ca="1" si="105"/>
        <v>1148460166.0500002</v>
      </c>
      <c r="F332">
        <f ca="1">SUM($E$2:E332)/SUM($D$2:D332)</f>
        <v>65.247350177192473</v>
      </c>
      <c r="G332">
        <f ca="1">_xlfn.STDEV.P($C$2:C332)</f>
        <v>4.3592224550225716</v>
      </c>
      <c r="H332">
        <f t="shared" ca="1" si="106"/>
        <v>69.606572632215048</v>
      </c>
      <c r="I332">
        <f t="shared" ca="1" si="107"/>
        <v>60.888127722169898</v>
      </c>
      <c r="J332">
        <f t="shared" ca="1" si="95"/>
        <v>71.602000000000004</v>
      </c>
      <c r="K332">
        <f t="shared" ca="1" si="96"/>
        <v>1.4994335772656207</v>
      </c>
      <c r="L332">
        <f t="shared" ca="1" si="97"/>
        <v>74.600867154531244</v>
      </c>
      <c r="M332">
        <f t="shared" ca="1" si="98"/>
        <v>68.603132845468764</v>
      </c>
      <c r="N332">
        <f t="shared" ca="1" si="108"/>
        <v>-0.11999999999999034</v>
      </c>
      <c r="O332">
        <f t="shared" ca="1" si="109"/>
        <v>0</v>
      </c>
      <c r="P332">
        <f t="shared" ca="1" si="110"/>
        <v>0.11999999999999034</v>
      </c>
      <c r="Q332">
        <f t="shared" ca="1" si="93"/>
        <v>0.3994418415330907</v>
      </c>
      <c r="R332">
        <f t="shared" ca="1" si="94"/>
        <v>0.36285503769687588</v>
      </c>
      <c r="S332">
        <f t="shared" ca="1" si="91"/>
        <v>1.100830359331483</v>
      </c>
      <c r="T332">
        <f t="shared" ca="1" si="92"/>
        <v>52.399773948515502</v>
      </c>
      <c r="U332">
        <f>70</f>
        <v>70</v>
      </c>
      <c r="V332">
        <f>30</f>
        <v>30</v>
      </c>
      <c r="W332">
        <f t="shared" ca="1" si="90"/>
        <v>72.081069339770039</v>
      </c>
      <c r="X332">
        <f t="shared" ca="1" si="100"/>
        <v>71.365318358801545</v>
      </c>
      <c r="Y332">
        <f t="shared" ca="1" si="99"/>
        <v>0.68418554786664743</v>
      </c>
      <c r="Z332">
        <f t="shared" ca="1" si="101"/>
        <v>0.72500192362999183</v>
      </c>
      <c r="AA332">
        <f t="shared" ca="1" si="102"/>
        <v>-4.0816375763344404E-2</v>
      </c>
      <c r="AB332">
        <f t="shared" ca="1" si="103"/>
        <v>66.857700000000008</v>
      </c>
    </row>
    <row r="333" spans="1:28" x14ac:dyDescent="0.25">
      <c r="A333" s="20">
        <f t="shared" ca="1" si="104"/>
        <v>45775</v>
      </c>
      <c r="B333" vm="940">
        <f ca="1"/>
        <v>45776</v>
      </c>
      <c r="C333" vm="941">
        <f ca="1"/>
        <v>72.349999999999994</v>
      </c>
      <c r="D333" vm="942">
        <f ca="1"/>
        <v>16244057</v>
      </c>
      <c r="E333">
        <f t="shared" ca="1" si="105"/>
        <v>1175257523.9499998</v>
      </c>
      <c r="F333">
        <f ca="1">SUM($E$2:E333)/SUM($D$2:D333)</f>
        <v>65.270420482394741</v>
      </c>
      <c r="G333">
        <f ca="1">_xlfn.STDEV.P($C$2:C333)</f>
        <v>4.3716052192102062</v>
      </c>
      <c r="H333">
        <f t="shared" ca="1" si="106"/>
        <v>69.64202570160495</v>
      </c>
      <c r="I333">
        <f t="shared" ca="1" si="107"/>
        <v>60.898815263184531</v>
      </c>
      <c r="J333">
        <f t="shared" ca="1" si="95"/>
        <v>71.638499999999993</v>
      </c>
      <c r="K333">
        <f t="shared" ca="1" si="96"/>
        <v>1.5087508775561036</v>
      </c>
      <c r="L333">
        <f t="shared" ca="1" si="97"/>
        <v>74.6560017551122</v>
      </c>
      <c r="M333">
        <f t="shared" ca="1" si="98"/>
        <v>68.620998244887787</v>
      </c>
      <c r="N333">
        <f t="shared" ca="1" si="108"/>
        <v>0.55999999999998806</v>
      </c>
      <c r="O333">
        <f t="shared" ca="1" si="109"/>
        <v>0.55999999999998806</v>
      </c>
      <c r="P333">
        <f t="shared" ca="1" si="110"/>
        <v>0</v>
      </c>
      <c r="Q333">
        <f t="shared" ca="1" si="93"/>
        <v>0.41091028142358338</v>
      </c>
      <c r="R333">
        <f t="shared" ca="1" si="94"/>
        <v>0.3369368207185276</v>
      </c>
      <c r="S333">
        <f t="shared" ca="1" si="91"/>
        <v>1.2195469778200709</v>
      </c>
      <c r="T333">
        <f t="shared" ca="1" si="92"/>
        <v>54.945761004700586</v>
      </c>
      <c r="U333">
        <f>70</f>
        <v>70</v>
      </c>
      <c r="V333">
        <f>30</f>
        <v>30</v>
      </c>
      <c r="W333">
        <f t="shared" ca="1" si="90"/>
        <v>72.122443287497717</v>
      </c>
      <c r="X333">
        <f t="shared" ca="1" si="100"/>
        <v>71.438257739631069</v>
      </c>
      <c r="Y333">
        <f t="shared" ca="1" si="99"/>
        <v>0.66761222509038021</v>
      </c>
      <c r="Z333">
        <f t="shared" ca="1" si="101"/>
        <v>0.71352398392206962</v>
      </c>
      <c r="AA333">
        <f t="shared" ca="1" si="102"/>
        <v>-4.5911758831689409E-2</v>
      </c>
      <c r="AB333">
        <f t="shared" ca="1" si="103"/>
        <v>66.944700000000026</v>
      </c>
    </row>
    <row r="334" spans="1:28" x14ac:dyDescent="0.25">
      <c r="A334" s="20">
        <f t="shared" ca="1" si="104"/>
        <v>45775</v>
      </c>
      <c r="B334" vm="943">
        <f ca="1"/>
        <v>45777</v>
      </c>
      <c r="C334" vm="944">
        <f ca="1"/>
        <v>72.55</v>
      </c>
      <c r="D334" vm="945">
        <f ca="1"/>
        <v>21074652</v>
      </c>
      <c r="E334">
        <f t="shared" ca="1" si="105"/>
        <v>1528966002.5999999</v>
      </c>
      <c r="F334">
        <f ca="1">SUM($E$2:E334)/SUM($D$2:D334)</f>
        <v>65.300968205704336</v>
      </c>
      <c r="G334">
        <f ca="1">_xlfn.STDEV.P($C$2:C334)</f>
        <v>4.3847900885969446</v>
      </c>
      <c r="H334">
        <f t="shared" ca="1" si="106"/>
        <v>69.68575829430128</v>
      </c>
      <c r="I334">
        <f t="shared" ca="1" si="107"/>
        <v>60.916178117107393</v>
      </c>
      <c r="J334">
        <f t="shared" ca="1" si="95"/>
        <v>71.672499999999999</v>
      </c>
      <c r="K334">
        <f t="shared" ca="1" si="96"/>
        <v>1.5218474748942818</v>
      </c>
      <c r="L334">
        <f t="shared" ca="1" si="97"/>
        <v>74.716194949788559</v>
      </c>
      <c r="M334">
        <f t="shared" ca="1" si="98"/>
        <v>68.62880505021144</v>
      </c>
      <c r="N334">
        <f t="shared" ca="1" si="108"/>
        <v>0.20000000000000284</v>
      </c>
      <c r="O334">
        <f t="shared" ca="1" si="109"/>
        <v>0.20000000000000284</v>
      </c>
      <c r="P334">
        <f t="shared" ca="1" si="110"/>
        <v>0</v>
      </c>
      <c r="Q334">
        <f t="shared" ca="1" si="93"/>
        <v>0.39584526132189907</v>
      </c>
      <c r="R334">
        <f t="shared" ca="1" si="94"/>
        <v>0.3128699049529185</v>
      </c>
      <c r="S334">
        <f t="shared" ca="1" si="91"/>
        <v>1.2652072157002985</v>
      </c>
      <c r="T334">
        <f t="shared" ca="1" si="92"/>
        <v>55.85392837048483</v>
      </c>
      <c r="U334">
        <f>70</f>
        <v>70</v>
      </c>
      <c r="V334">
        <f>30</f>
        <v>30</v>
      </c>
      <c r="W334">
        <f t="shared" ca="1" si="90"/>
        <v>72.188221243267293</v>
      </c>
      <c r="X334">
        <f t="shared" ca="1" si="100"/>
        <v>71.520609018176913</v>
      </c>
      <c r="Y334">
        <f t="shared" ca="1" si="99"/>
        <v>0.54650649100537407</v>
      </c>
      <c r="Z334">
        <f t="shared" ca="1" si="101"/>
        <v>0.68012048533873048</v>
      </c>
      <c r="AA334">
        <f t="shared" ca="1" si="102"/>
        <v>-0.13361399433335641</v>
      </c>
      <c r="AB334">
        <f t="shared" ca="1" si="103"/>
        <v>67.035000000000025</v>
      </c>
    </row>
    <row r="335" spans="1:28" x14ac:dyDescent="0.25">
      <c r="A335" s="20">
        <f t="shared" ca="1" si="104"/>
        <v>45775</v>
      </c>
      <c r="B335" vm="946">
        <f ca="1"/>
        <v>45778</v>
      </c>
      <c r="C335" vm="947">
        <f ca="1"/>
        <v>71.290000000000006</v>
      </c>
      <c r="D335" vm="948">
        <f ca="1"/>
        <v>18034163</v>
      </c>
      <c r="E335">
        <f t="shared" ca="1" si="105"/>
        <v>1285655480.2700002</v>
      </c>
      <c r="F335">
        <f ca="1">SUM($E$2:E335)/SUM($D$2:D335)</f>
        <v>65.322397507406436</v>
      </c>
      <c r="G335">
        <f ca="1">_xlfn.STDEV.P($C$2:C335)</f>
        <v>4.3917956295254141</v>
      </c>
      <c r="H335">
        <f t="shared" ca="1" si="106"/>
        <v>69.714193136931854</v>
      </c>
      <c r="I335">
        <f t="shared" ca="1" si="107"/>
        <v>60.930601877881024</v>
      </c>
      <c r="J335">
        <f t="shared" ca="1" si="95"/>
        <v>71.67049999999999</v>
      </c>
      <c r="K335">
        <f t="shared" ca="1" si="96"/>
        <v>1.5223474774522598</v>
      </c>
      <c r="L335">
        <f t="shared" ca="1" si="97"/>
        <v>74.715194954904504</v>
      </c>
      <c r="M335">
        <f t="shared" ca="1" si="98"/>
        <v>68.625805045095476</v>
      </c>
      <c r="N335">
        <f t="shared" ca="1" si="108"/>
        <v>-1.2599999999999909</v>
      </c>
      <c r="O335">
        <f t="shared" ca="1" si="109"/>
        <v>0</v>
      </c>
      <c r="P335">
        <f t="shared" ca="1" si="110"/>
        <v>1.2599999999999909</v>
      </c>
      <c r="Q335">
        <f t="shared" ca="1" si="93"/>
        <v>0.36757059979890627</v>
      </c>
      <c r="R335">
        <f t="shared" ca="1" si="94"/>
        <v>0.38052205459913796</v>
      </c>
      <c r="S335">
        <f t="shared" ca="1" si="91"/>
        <v>0.96596398383826809</v>
      </c>
      <c r="T335">
        <f t="shared" ca="1" si="92"/>
        <v>49.134368268149011</v>
      </c>
      <c r="U335">
        <f>70</f>
        <v>70</v>
      </c>
      <c r="V335">
        <f>30</f>
        <v>30</v>
      </c>
      <c r="W335">
        <f t="shared" ref="W335:W398" ca="1" si="111">C335*(2/(12+1)) + W334*(1-(2/(12+1)))</f>
        <v>72.050033359687703</v>
      </c>
      <c r="X335">
        <f t="shared" ca="1" si="100"/>
        <v>71.503526868682329</v>
      </c>
      <c r="Y335">
        <f t="shared" ca="1" si="99"/>
        <v>0.47411303562817864</v>
      </c>
      <c r="Z335">
        <f t="shared" ca="1" si="101"/>
        <v>0.63891899539662012</v>
      </c>
      <c r="AA335">
        <f t="shared" ca="1" si="102"/>
        <v>-0.16480595976844148</v>
      </c>
      <c r="AB335">
        <f t="shared" ca="1" si="103"/>
        <v>67.125800000000012</v>
      </c>
    </row>
    <row r="336" spans="1:28" x14ac:dyDescent="0.25">
      <c r="A336" s="20">
        <f t="shared" ca="1" si="104"/>
        <v>45775</v>
      </c>
      <c r="B336" vm="949">
        <f ca="1"/>
        <v>45779</v>
      </c>
      <c r="C336" vm="950">
        <f ca="1"/>
        <v>71.650000000000006</v>
      </c>
      <c r="D336" vm="951">
        <f ca="1"/>
        <v>12629593</v>
      </c>
      <c r="E336">
        <f t="shared" ca="1" si="105"/>
        <v>904910338.45000005</v>
      </c>
      <c r="F336">
        <f ca="1">SUM($E$2:E336)/SUM($D$2:D336)</f>
        <v>65.338213522248495</v>
      </c>
      <c r="G336">
        <f ca="1">_xlfn.STDEV.P($C$2:C336)</f>
        <v>4.4002449394145566</v>
      </c>
      <c r="H336">
        <f t="shared" ca="1" si="106"/>
        <v>69.738458461663058</v>
      </c>
      <c r="I336">
        <f t="shared" ca="1" si="107"/>
        <v>60.937968582833939</v>
      </c>
      <c r="J336">
        <f t="shared" ca="1" si="95"/>
        <v>71.59399999999998</v>
      </c>
      <c r="K336">
        <f t="shared" ca="1" si="96"/>
        <v>1.4803641088383754</v>
      </c>
      <c r="L336">
        <f t="shared" ca="1" si="97"/>
        <v>74.554728217676725</v>
      </c>
      <c r="M336">
        <f t="shared" ca="1" si="98"/>
        <v>68.633271782323234</v>
      </c>
      <c r="N336">
        <f t="shared" ca="1" si="108"/>
        <v>0.35999999999999943</v>
      </c>
      <c r="O336">
        <f t="shared" ca="1" si="109"/>
        <v>0.35999999999999943</v>
      </c>
      <c r="P336">
        <f t="shared" ca="1" si="110"/>
        <v>0</v>
      </c>
      <c r="Q336">
        <f t="shared" ca="1" si="93"/>
        <v>0.36702984267041294</v>
      </c>
      <c r="R336">
        <f t="shared" ca="1" si="94"/>
        <v>0.35334190784205666</v>
      </c>
      <c r="S336">
        <f t="shared" ref="S336:S399" ca="1" si="112">IF(R336=0,NA(),Q336/R336)</f>
        <v>1.0387384981078291</v>
      </c>
      <c r="T336">
        <f t="shared" ref="T336:T399" ca="1" si="113">100-(100/(1+S336))</f>
        <v>50.950060494364102</v>
      </c>
      <c r="U336">
        <f>70</f>
        <v>70</v>
      </c>
      <c r="V336">
        <f>30</f>
        <v>30</v>
      </c>
      <c r="W336">
        <f t="shared" ca="1" si="111"/>
        <v>71.988489765889597</v>
      </c>
      <c r="X336">
        <f t="shared" ca="1" si="100"/>
        <v>71.514376730261418</v>
      </c>
      <c r="Y336">
        <f t="shared" ca="1" si="99"/>
        <v>0.41598012288960717</v>
      </c>
      <c r="Z336">
        <f t="shared" ca="1" si="101"/>
        <v>0.5943312208952175</v>
      </c>
      <c r="AA336">
        <f t="shared" ca="1" si="102"/>
        <v>-0.17835109800561033</v>
      </c>
      <c r="AB336">
        <f t="shared" ca="1" si="103"/>
        <v>67.213100000000011</v>
      </c>
    </row>
    <row r="337" spans="1:28" x14ac:dyDescent="0.25">
      <c r="A337" s="20">
        <f t="shared" ca="1" si="104"/>
        <v>45782</v>
      </c>
      <c r="B337" vm="952">
        <f ca="1"/>
        <v>45782</v>
      </c>
      <c r="C337" vm="953">
        <f ca="1"/>
        <v>71.7</v>
      </c>
      <c r="D337" vm="954">
        <f ca="1"/>
        <v>11932687</v>
      </c>
      <c r="E337">
        <f t="shared" ca="1" si="105"/>
        <v>855573657.89999998</v>
      </c>
      <c r="F337">
        <f ca="1">SUM($E$2:E337)/SUM($D$2:D337)</f>
        <v>65.353202134893621</v>
      </c>
      <c r="G337">
        <f ca="1">_xlfn.STDEV.P($C$2:C337)</f>
        <v>4.4087633328044662</v>
      </c>
      <c r="H337">
        <f t="shared" ca="1" si="106"/>
        <v>69.76196546769809</v>
      </c>
      <c r="I337">
        <f t="shared" ca="1" si="107"/>
        <v>60.944438802089152</v>
      </c>
      <c r="J337">
        <f t="shared" ca="1" si="95"/>
        <v>71.68249999999999</v>
      </c>
      <c r="K337">
        <f t="shared" ca="1" si="96"/>
        <v>1.4276180935574569</v>
      </c>
      <c r="L337">
        <f t="shared" ca="1" si="97"/>
        <v>74.537736187114902</v>
      </c>
      <c r="M337">
        <f t="shared" ca="1" si="98"/>
        <v>68.827263812885079</v>
      </c>
      <c r="N337">
        <f t="shared" ca="1" si="108"/>
        <v>4.9999999999997158E-2</v>
      </c>
      <c r="O337">
        <f t="shared" ca="1" si="109"/>
        <v>4.9999999999997158E-2</v>
      </c>
      <c r="P337">
        <f t="shared" ca="1" si="110"/>
        <v>0</v>
      </c>
      <c r="Q337">
        <f t="shared" ref="Q337:Q400" ca="1" si="114">(Q336*13+O337)/14</f>
        <v>0.34438485390824036</v>
      </c>
      <c r="R337">
        <f t="shared" ref="R337:R400" ca="1" si="115">(R336*13+P337)/14</f>
        <v>0.32810320013905259</v>
      </c>
      <c r="S337">
        <f t="shared" ca="1" si="112"/>
        <v>1.0496235750284895</v>
      </c>
      <c r="T337">
        <f t="shared" ca="1" si="113"/>
        <v>51.210553382413146</v>
      </c>
      <c r="U337">
        <f>70</f>
        <v>70</v>
      </c>
      <c r="V337">
        <f>30</f>
        <v>30</v>
      </c>
      <c r="W337">
        <f t="shared" ca="1" si="111"/>
        <v>71.944106724983513</v>
      </c>
      <c r="X337">
        <f t="shared" ca="1" si="100"/>
        <v>71.528126602093906</v>
      </c>
      <c r="Y337">
        <f t="shared" ca="1" si="99"/>
        <v>0.36728932091048705</v>
      </c>
      <c r="Z337">
        <f t="shared" ca="1" si="101"/>
        <v>0.54892284089827148</v>
      </c>
      <c r="AA337">
        <f t="shared" ca="1" si="102"/>
        <v>-0.18163351998778443</v>
      </c>
      <c r="AB337">
        <f t="shared" ca="1" si="103"/>
        <v>67.3048</v>
      </c>
    </row>
    <row r="338" spans="1:28" x14ac:dyDescent="0.25">
      <c r="A338" s="20">
        <f t="shared" ca="1" si="104"/>
        <v>45782</v>
      </c>
      <c r="B338" vm="955">
        <f ca="1"/>
        <v>45783</v>
      </c>
      <c r="C338" vm="956">
        <f ca="1"/>
        <v>71.72</v>
      </c>
      <c r="D338" vm="957">
        <f ca="1"/>
        <v>12705475</v>
      </c>
      <c r="E338">
        <f t="shared" ca="1" si="105"/>
        <v>911236667</v>
      </c>
      <c r="F338">
        <f ca="1">SUM($E$2:E338)/SUM($D$2:D338)</f>
        <v>65.369134048787672</v>
      </c>
      <c r="G338">
        <f ca="1">_xlfn.STDEV.P($C$2:C338)</f>
        <v>4.4172154708100022</v>
      </c>
      <c r="H338">
        <f t="shared" ca="1" si="106"/>
        <v>69.786349519597678</v>
      </c>
      <c r="I338">
        <f t="shared" ca="1" si="107"/>
        <v>60.951918577977672</v>
      </c>
      <c r="J338">
        <f t="shared" ca="1" si="95"/>
        <v>71.849999999999994</v>
      </c>
      <c r="K338">
        <f t="shared" ca="1" si="96"/>
        <v>1.1962969179051957</v>
      </c>
      <c r="L338">
        <f t="shared" ca="1" si="97"/>
        <v>74.242593835810382</v>
      </c>
      <c r="M338">
        <f t="shared" ca="1" si="98"/>
        <v>69.457406164189607</v>
      </c>
      <c r="N338">
        <f t="shared" ca="1" si="108"/>
        <v>1.9999999999996021E-2</v>
      </c>
      <c r="O338">
        <f t="shared" ca="1" si="109"/>
        <v>1.9999999999996021E-2</v>
      </c>
      <c r="P338">
        <f t="shared" ca="1" si="110"/>
        <v>0</v>
      </c>
      <c r="Q338">
        <f t="shared" ca="1" si="114"/>
        <v>0.32121450720050859</v>
      </c>
      <c r="R338">
        <f t="shared" ca="1" si="115"/>
        <v>0.30466725727197741</v>
      </c>
      <c r="S338">
        <f t="shared" ca="1" si="112"/>
        <v>1.0543125312404653</v>
      </c>
      <c r="T338">
        <f t="shared" ca="1" si="113"/>
        <v>51.321915005981822</v>
      </c>
      <c r="U338">
        <f>70</f>
        <v>70</v>
      </c>
      <c r="V338">
        <f>30</f>
        <v>30</v>
      </c>
      <c r="W338">
        <f t="shared" ca="1" si="111"/>
        <v>71.909628767293739</v>
      </c>
      <c r="X338">
        <f t="shared" ca="1" si="100"/>
        <v>71.542339446383252</v>
      </c>
      <c r="Y338">
        <f t="shared" ca="1" si="99"/>
        <v>0.37920063764012468</v>
      </c>
      <c r="Z338">
        <f t="shared" ca="1" si="101"/>
        <v>0.51497840024664221</v>
      </c>
      <c r="AA338">
        <f t="shared" ca="1" si="102"/>
        <v>-0.13577776260651753</v>
      </c>
      <c r="AB338">
        <f t="shared" ca="1" si="103"/>
        <v>67.396000000000015</v>
      </c>
    </row>
    <row r="339" spans="1:28" x14ac:dyDescent="0.25">
      <c r="A339" s="20">
        <f t="shared" ca="1" si="104"/>
        <v>45782</v>
      </c>
      <c r="B339" vm="958">
        <f ca="1"/>
        <v>45784</v>
      </c>
      <c r="C339" vm="959">
        <f ca="1"/>
        <v>72.400000000000006</v>
      </c>
      <c r="D339" vm="960">
        <f ca="1"/>
        <v>15025786</v>
      </c>
      <c r="E339">
        <f t="shared" ca="1" si="105"/>
        <v>1087866906.4000001</v>
      </c>
      <c r="F339">
        <f ca="1">SUM($E$2:E339)/SUM($D$2:D339)</f>
        <v>65.38987929901343</v>
      </c>
      <c r="G339">
        <f ca="1">_xlfn.STDEV.P($C$2:C339)</f>
        <v>4.4286880959192194</v>
      </c>
      <c r="H339">
        <f t="shared" ca="1" si="106"/>
        <v>69.818567394932643</v>
      </c>
      <c r="I339">
        <f t="shared" ca="1" si="107"/>
        <v>60.961191203094209</v>
      </c>
      <c r="J339">
        <f t="shared" ca="1" si="95"/>
        <v>72.049000000000007</v>
      </c>
      <c r="K339">
        <f t="shared" ca="1" si="96"/>
        <v>0.88665486075770228</v>
      </c>
      <c r="L339">
        <f t="shared" ca="1" si="97"/>
        <v>73.82230972151541</v>
      </c>
      <c r="M339">
        <f t="shared" ca="1" si="98"/>
        <v>70.275690278484603</v>
      </c>
      <c r="N339">
        <f t="shared" ca="1" si="108"/>
        <v>0.68000000000000682</v>
      </c>
      <c r="O339">
        <f t="shared" ca="1" si="109"/>
        <v>0.68000000000000682</v>
      </c>
      <c r="P339">
        <f t="shared" ca="1" si="110"/>
        <v>0</v>
      </c>
      <c r="Q339">
        <f t="shared" ca="1" si="114"/>
        <v>0.34684204240047273</v>
      </c>
      <c r="R339">
        <f t="shared" ca="1" si="115"/>
        <v>0.28290531032397903</v>
      </c>
      <c r="S339">
        <f t="shared" ca="1" si="112"/>
        <v>1.2260004663867012</v>
      </c>
      <c r="T339">
        <f t="shared" ca="1" si="113"/>
        <v>55.076379583009491</v>
      </c>
      <c r="U339">
        <f>70</f>
        <v>70</v>
      </c>
      <c r="V339">
        <f>30</f>
        <v>30</v>
      </c>
      <c r="W339">
        <f t="shared" ca="1" si="111"/>
        <v>71.985070495402397</v>
      </c>
      <c r="X339">
        <f t="shared" ca="1" si="100"/>
        <v>71.605869857762272</v>
      </c>
      <c r="Y339">
        <f t="shared" ca="1" si="99"/>
        <v>0.28609183293951901</v>
      </c>
      <c r="Z339">
        <f t="shared" ca="1" si="101"/>
        <v>0.4692010867852176</v>
      </c>
      <c r="AA339">
        <f t="shared" ca="1" si="102"/>
        <v>-0.18310925384569859</v>
      </c>
      <c r="AB339">
        <f t="shared" ca="1" si="103"/>
        <v>67.490900000000011</v>
      </c>
    </row>
    <row r="340" spans="1:28" x14ac:dyDescent="0.25">
      <c r="A340" s="20">
        <f t="shared" ca="1" si="104"/>
        <v>45782</v>
      </c>
      <c r="B340" vm="961">
        <f ca="1"/>
        <v>45785</v>
      </c>
      <c r="C340" vm="494">
        <f ca="1"/>
        <v>71.17</v>
      </c>
      <c r="D340" vm="962">
        <f ca="1"/>
        <v>14371061</v>
      </c>
      <c r="E340">
        <f t="shared" ca="1" si="105"/>
        <v>1022788411.37</v>
      </c>
      <c r="F340">
        <f ca="1">SUM($E$2:E340)/SUM($D$2:D340)</f>
        <v>65.406145065573369</v>
      </c>
      <c r="G340">
        <f ca="1">_xlfn.STDEV.P($C$2:C340)</f>
        <v>4.4344876523610264</v>
      </c>
      <c r="H340">
        <f t="shared" ca="1" si="106"/>
        <v>69.840632717934398</v>
      </c>
      <c r="I340">
        <f t="shared" ca="1" si="107"/>
        <v>60.971657413212341</v>
      </c>
      <c r="J340">
        <f t="shared" ca="1" si="95"/>
        <v>72.110000000000014</v>
      </c>
      <c r="K340">
        <f t="shared" ca="1" si="96"/>
        <v>0.76877893612635917</v>
      </c>
      <c r="L340">
        <f t="shared" ca="1" si="97"/>
        <v>73.647557872252733</v>
      </c>
      <c r="M340">
        <f t="shared" ca="1" si="98"/>
        <v>70.572442127747294</v>
      </c>
      <c r="N340">
        <f t="shared" ca="1" si="108"/>
        <v>-1.230000000000004</v>
      </c>
      <c r="O340">
        <f t="shared" ca="1" si="109"/>
        <v>0</v>
      </c>
      <c r="P340">
        <f t="shared" ca="1" si="110"/>
        <v>1.230000000000004</v>
      </c>
      <c r="Q340">
        <f t="shared" ca="1" si="114"/>
        <v>0.32206761080043894</v>
      </c>
      <c r="R340">
        <f t="shared" ca="1" si="115"/>
        <v>0.35055493101512364</v>
      </c>
      <c r="S340">
        <f t="shared" ca="1" si="112"/>
        <v>0.91873650120341421</v>
      </c>
      <c r="T340">
        <f t="shared" ca="1" si="113"/>
        <v>47.8823694982188</v>
      </c>
      <c r="U340">
        <f>70</f>
        <v>70</v>
      </c>
      <c r="V340">
        <f>30</f>
        <v>30</v>
      </c>
      <c r="W340">
        <f t="shared" ca="1" si="111"/>
        <v>71.859675034571254</v>
      </c>
      <c r="X340">
        <f t="shared" ca="1" si="100"/>
        <v>71.573583201631735</v>
      </c>
      <c r="Y340">
        <f t="shared" ca="1" si="99"/>
        <v>0.1580311815878872</v>
      </c>
      <c r="Z340">
        <f t="shared" ca="1" si="101"/>
        <v>0.40696710574575151</v>
      </c>
      <c r="AA340">
        <f t="shared" ca="1" si="102"/>
        <v>-0.24893592415786431</v>
      </c>
      <c r="AB340">
        <f t="shared" ca="1" si="103"/>
        <v>67.576200000000014</v>
      </c>
    </row>
    <row r="341" spans="1:28" x14ac:dyDescent="0.25">
      <c r="A341" s="20">
        <f t="shared" ca="1" si="104"/>
        <v>45782</v>
      </c>
      <c r="B341" vm="963">
        <f ca="1"/>
        <v>45786</v>
      </c>
      <c r="C341" vm="553">
        <f ca="1"/>
        <v>70.52</v>
      </c>
      <c r="D341" vm="964">
        <f ca="1"/>
        <v>11228947</v>
      </c>
      <c r="E341">
        <f t="shared" ca="1" si="105"/>
        <v>791865342.43999994</v>
      </c>
      <c r="F341">
        <f ca="1">SUM($E$2:E341)/SUM($D$2:D341)</f>
        <v>65.417364794079432</v>
      </c>
      <c r="G341">
        <f ca="1">_xlfn.STDEV.P($C$2:C341)</f>
        <v>4.4377034534966944</v>
      </c>
      <c r="H341">
        <f t="shared" ca="1" si="106"/>
        <v>69.855068247576128</v>
      </c>
      <c r="I341">
        <f t="shared" ca="1" si="107"/>
        <v>60.979661340582737</v>
      </c>
      <c r="J341">
        <f t="shared" ca="1" si="95"/>
        <v>72.097999999999999</v>
      </c>
      <c r="K341">
        <f t="shared" ca="1" si="96"/>
        <v>0.7924684951400105</v>
      </c>
      <c r="L341">
        <f t="shared" ca="1" si="97"/>
        <v>73.682936990280027</v>
      </c>
      <c r="M341">
        <f t="shared" ca="1" si="98"/>
        <v>70.513063009719971</v>
      </c>
      <c r="N341">
        <f t="shared" ca="1" si="108"/>
        <v>-0.65000000000000568</v>
      </c>
      <c r="O341">
        <f t="shared" ca="1" si="109"/>
        <v>0</v>
      </c>
      <c r="P341">
        <f t="shared" ca="1" si="110"/>
        <v>0.65000000000000568</v>
      </c>
      <c r="Q341">
        <f t="shared" ca="1" si="114"/>
        <v>0.29906278145755044</v>
      </c>
      <c r="R341">
        <f t="shared" ca="1" si="115"/>
        <v>0.37194386451404376</v>
      </c>
      <c r="S341">
        <f t="shared" ca="1" si="112"/>
        <v>0.80405354138126539</v>
      </c>
      <c r="T341">
        <f t="shared" ca="1" si="113"/>
        <v>44.569272637310164</v>
      </c>
      <c r="U341">
        <f>70</f>
        <v>70</v>
      </c>
      <c r="V341">
        <f>30</f>
        <v>30</v>
      </c>
      <c r="W341">
        <f t="shared" ca="1" si="111"/>
        <v>71.653571183098748</v>
      </c>
      <c r="X341">
        <f t="shared" ca="1" si="100"/>
        <v>71.495540001510861</v>
      </c>
      <c r="Y341">
        <f t="shared" ca="1" si="99"/>
        <v>-2.3076521682909856E-2</v>
      </c>
      <c r="Z341">
        <f t="shared" ca="1" si="101"/>
        <v>0.32095838026001927</v>
      </c>
      <c r="AA341">
        <f t="shared" ca="1" si="102"/>
        <v>-0.34403490194292913</v>
      </c>
      <c r="AB341">
        <f t="shared" ca="1" si="103"/>
        <v>67.643000000000015</v>
      </c>
    </row>
    <row r="342" spans="1:28" x14ac:dyDescent="0.25">
      <c r="A342" s="20">
        <f t="shared" ca="1" si="104"/>
        <v>45789</v>
      </c>
      <c r="B342" vm="965">
        <f ca="1"/>
        <v>45789</v>
      </c>
      <c r="C342" vm="966">
        <f ca="1"/>
        <v>69.53</v>
      </c>
      <c r="D342" vm="967">
        <f ca="1"/>
        <v>21539013</v>
      </c>
      <c r="E342">
        <f t="shared" ca="1" si="105"/>
        <v>1497607573.8900001</v>
      </c>
      <c r="F342">
        <f ca="1">SUM($E$2:E342)/SUM($D$2:D342)</f>
        <v>65.434600022116086</v>
      </c>
      <c r="G342">
        <f ca="1">_xlfn.STDEV.P($C$2:C342)</f>
        <v>4.4376356229996272</v>
      </c>
      <c r="H342">
        <f t="shared" ca="1" si="106"/>
        <v>69.872235645115708</v>
      </c>
      <c r="I342">
        <f t="shared" ca="1" si="107"/>
        <v>60.996964399116457</v>
      </c>
      <c r="J342">
        <f t="shared" ref="J342:J405" ca="1" si="116">AVERAGE(C323:C342)</f>
        <v>72.003</v>
      </c>
      <c r="K342">
        <f t="shared" ref="K342:K405" ca="1" si="117">_xlfn.STDEV.S(C323:C342)</f>
        <v>0.97062161308589923</v>
      </c>
      <c r="L342">
        <f t="shared" ref="L342:L405" ca="1" si="118">J342 + 2*K342</f>
        <v>73.944243226171793</v>
      </c>
      <c r="M342">
        <f t="shared" ref="M342:M405" ca="1" si="119">J342-2*K342</f>
        <v>70.061756773828208</v>
      </c>
      <c r="N342">
        <f t="shared" ca="1" si="108"/>
        <v>-0.98999999999999488</v>
      </c>
      <c r="O342">
        <f t="shared" ca="1" si="109"/>
        <v>0</v>
      </c>
      <c r="P342">
        <f t="shared" ca="1" si="110"/>
        <v>0.98999999999999488</v>
      </c>
      <c r="Q342">
        <f t="shared" ca="1" si="114"/>
        <v>0.27770115421058256</v>
      </c>
      <c r="R342">
        <f t="shared" ca="1" si="115"/>
        <v>0.41609073133446889</v>
      </c>
      <c r="S342">
        <f t="shared" ca="1" si="112"/>
        <v>0.66740528759184559</v>
      </c>
      <c r="T342">
        <f t="shared" ca="1" si="113"/>
        <v>40.026578574411701</v>
      </c>
      <c r="U342">
        <f>70</f>
        <v>70</v>
      </c>
      <c r="V342">
        <f>30</f>
        <v>30</v>
      </c>
      <c r="W342">
        <f t="shared" ca="1" si="111"/>
        <v>71.326867924160481</v>
      </c>
      <c r="X342">
        <f t="shared" ca="1" si="100"/>
        <v>71.349944445843391</v>
      </c>
      <c r="Y342">
        <f t="shared" ca="1" si="99"/>
        <v>-0.21017712656249898</v>
      </c>
      <c r="Z342">
        <f t="shared" ca="1" si="101"/>
        <v>0.21473127889551566</v>
      </c>
      <c r="AA342">
        <f t="shared" ca="1" si="102"/>
        <v>-0.42490840545801467</v>
      </c>
      <c r="AB342">
        <f t="shared" ca="1" si="103"/>
        <v>67.707100000000011</v>
      </c>
    </row>
    <row r="343" spans="1:28" x14ac:dyDescent="0.25">
      <c r="A343" s="20">
        <f t="shared" ca="1" si="104"/>
        <v>45789</v>
      </c>
      <c r="B343" vm="968">
        <f ca="1"/>
        <v>45790</v>
      </c>
      <c r="C343" vm="969">
        <f ca="1"/>
        <v>68.959999999999994</v>
      </c>
      <c r="D343" vm="970">
        <f ca="1"/>
        <v>14389053</v>
      </c>
      <c r="E343">
        <f t="shared" ca="1" si="105"/>
        <v>992269094.87999988</v>
      </c>
      <c r="F343">
        <f ca="1">SUM($E$2:E343)/SUM($D$2:D343)</f>
        <v>65.444442342181489</v>
      </c>
      <c r="G343">
        <f ca="1">_xlfn.STDEV.P($C$2:C343)</f>
        <v>4.4359863536639681</v>
      </c>
      <c r="H343">
        <f t="shared" ca="1" si="106"/>
        <v>69.880428695845453</v>
      </c>
      <c r="I343">
        <f t="shared" ca="1" si="107"/>
        <v>61.008455988517518</v>
      </c>
      <c r="J343">
        <f t="shared" ca="1" si="116"/>
        <v>71.828500000000005</v>
      </c>
      <c r="K343">
        <f t="shared" ca="1" si="117"/>
        <v>1.1776661800268142</v>
      </c>
      <c r="L343">
        <f t="shared" ca="1" si="118"/>
        <v>74.183832360053628</v>
      </c>
      <c r="M343">
        <f t="shared" ca="1" si="119"/>
        <v>69.473167639946382</v>
      </c>
      <c r="N343">
        <f t="shared" ca="1" si="108"/>
        <v>-0.57000000000000739</v>
      </c>
      <c r="O343">
        <f t="shared" ca="1" si="109"/>
        <v>0</v>
      </c>
      <c r="P343">
        <f t="shared" ca="1" si="110"/>
        <v>0.57000000000000739</v>
      </c>
      <c r="Q343">
        <f t="shared" ca="1" si="114"/>
        <v>0.25786535748125522</v>
      </c>
      <c r="R343">
        <f t="shared" ca="1" si="115"/>
        <v>0.42708425052486454</v>
      </c>
      <c r="S343">
        <f t="shared" ca="1" si="112"/>
        <v>0.60378100378169408</v>
      </c>
      <c r="T343">
        <f t="shared" ca="1" si="113"/>
        <v>37.647347259880661</v>
      </c>
      <c r="U343">
        <f>70</f>
        <v>70</v>
      </c>
      <c r="V343">
        <f>30</f>
        <v>30</v>
      </c>
      <c r="W343">
        <f t="shared" ca="1" si="111"/>
        <v>70.96273439736656</v>
      </c>
      <c r="X343">
        <f t="shared" ca="1" si="100"/>
        <v>71.172911523929059</v>
      </c>
      <c r="Y343">
        <f t="shared" ca="1" si="99"/>
        <v>-0.33841632267541399</v>
      </c>
      <c r="Z343">
        <f t="shared" ca="1" si="101"/>
        <v>0.10410175858132972</v>
      </c>
      <c r="AA343">
        <f t="shared" ca="1" si="102"/>
        <v>-0.44251808125674374</v>
      </c>
      <c r="AB343">
        <f t="shared" ca="1" si="103"/>
        <v>67.771200000000022</v>
      </c>
    </row>
    <row r="344" spans="1:28" x14ac:dyDescent="0.25">
      <c r="A344" s="20">
        <f t="shared" ca="1" si="104"/>
        <v>45789</v>
      </c>
      <c r="B344" vm="971">
        <f ca="1"/>
        <v>45791</v>
      </c>
      <c r="C344" vm="853">
        <f ca="1"/>
        <v>69.16</v>
      </c>
      <c r="D344" vm="972">
        <f ca="1"/>
        <v>16286799</v>
      </c>
      <c r="E344">
        <f t="shared" ca="1" si="105"/>
        <v>1126395018.8399999</v>
      </c>
      <c r="F344">
        <f ca="1">SUM($E$2:E344)/SUM($D$2:D344)</f>
        <v>65.456146667697169</v>
      </c>
      <c r="G344">
        <f ca="1">_xlfn.STDEV.P($C$2:C344)</f>
        <v>4.4348327604052207</v>
      </c>
      <c r="H344">
        <f t="shared" ca="1" si="106"/>
        <v>69.890979428102384</v>
      </c>
      <c r="I344">
        <f t="shared" ca="1" si="107"/>
        <v>61.021313907291947</v>
      </c>
      <c r="J344">
        <f t="shared" ca="1" si="116"/>
        <v>71.6935</v>
      </c>
      <c r="K344">
        <f t="shared" ca="1" si="117"/>
        <v>1.3200170453444917</v>
      </c>
      <c r="L344">
        <f t="shared" ca="1" si="118"/>
        <v>74.333534090688985</v>
      </c>
      <c r="M344">
        <f t="shared" ca="1" si="119"/>
        <v>69.053465909311015</v>
      </c>
      <c r="N344">
        <f t="shared" ca="1" si="108"/>
        <v>0.20000000000000284</v>
      </c>
      <c r="O344">
        <f t="shared" ca="1" si="109"/>
        <v>0.20000000000000284</v>
      </c>
      <c r="P344">
        <f t="shared" ca="1" si="110"/>
        <v>0</v>
      </c>
      <c r="Q344">
        <f t="shared" ca="1" si="114"/>
        <v>0.25373211766116577</v>
      </c>
      <c r="R344">
        <f t="shared" ca="1" si="115"/>
        <v>0.39657823263023134</v>
      </c>
      <c r="S344">
        <f t="shared" ca="1" si="112"/>
        <v>0.63980344049226989</v>
      </c>
      <c r="T344">
        <f t="shared" ca="1" si="113"/>
        <v>39.017081236285279</v>
      </c>
      <c r="U344">
        <f>70</f>
        <v>70</v>
      </c>
      <c r="V344">
        <f>30</f>
        <v>30</v>
      </c>
      <c r="W344">
        <f t="shared" ca="1" si="111"/>
        <v>70.685390643925558</v>
      </c>
      <c r="X344">
        <f t="shared" ca="1" si="100"/>
        <v>71.023806966600972</v>
      </c>
      <c r="Y344">
        <f t="shared" ca="1" si="99"/>
        <v>-0.23959043561090709</v>
      </c>
      <c r="Z344">
        <f t="shared" ca="1" si="101"/>
        <v>3.5363319742882364E-2</v>
      </c>
      <c r="AA344">
        <f t="shared" ca="1" si="102"/>
        <v>-0.27495375535378946</v>
      </c>
      <c r="AB344">
        <f t="shared" ca="1" si="103"/>
        <v>67.828800000000015</v>
      </c>
    </row>
    <row r="345" spans="1:28" x14ac:dyDescent="0.25">
      <c r="A345" s="20">
        <f t="shared" ca="1" si="104"/>
        <v>45789</v>
      </c>
      <c r="B345" vm="973">
        <f ca="1"/>
        <v>45792</v>
      </c>
      <c r="C345" vm="974">
        <f ca="1"/>
        <v>71.61</v>
      </c>
      <c r="D345" vm="975">
        <f ca="1"/>
        <v>19817096</v>
      </c>
      <c r="E345">
        <f t="shared" ca="1" si="105"/>
        <v>1419102244.5599999</v>
      </c>
      <c r="F345">
        <f ca="1">SUM($E$2:E345)/SUM($D$2:D345)</f>
        <v>65.479643665829087</v>
      </c>
      <c r="G345">
        <f ca="1">_xlfn.STDEV.P($C$2:C345)</f>
        <v>4.4420398615301062</v>
      </c>
      <c r="H345">
        <f t="shared" ca="1" si="106"/>
        <v>69.921683527359193</v>
      </c>
      <c r="I345">
        <f t="shared" ca="1" si="107"/>
        <v>61.037603804298982</v>
      </c>
      <c r="J345">
        <f t="shared" ca="1" si="116"/>
        <v>71.69</v>
      </c>
      <c r="K345">
        <f t="shared" ca="1" si="117"/>
        <v>1.320147519667485</v>
      </c>
      <c r="L345">
        <f t="shared" ca="1" si="118"/>
        <v>74.33029503933497</v>
      </c>
      <c r="M345">
        <f t="shared" ca="1" si="119"/>
        <v>69.049704960665025</v>
      </c>
      <c r="N345">
        <f t="shared" ca="1" si="108"/>
        <v>2.4500000000000028</v>
      </c>
      <c r="O345">
        <f t="shared" ca="1" si="109"/>
        <v>2.4500000000000028</v>
      </c>
      <c r="P345">
        <f t="shared" ca="1" si="110"/>
        <v>0</v>
      </c>
      <c r="Q345">
        <f t="shared" ca="1" si="114"/>
        <v>0.4106083949710827</v>
      </c>
      <c r="R345">
        <f t="shared" ca="1" si="115"/>
        <v>0.36825121601378624</v>
      </c>
      <c r="S345">
        <f t="shared" ca="1" si="112"/>
        <v>1.1150225094048589</v>
      </c>
      <c r="T345">
        <f t="shared" ca="1" si="113"/>
        <v>52.719179320631078</v>
      </c>
      <c r="U345">
        <f>70</f>
        <v>70</v>
      </c>
      <c r="V345">
        <f>30</f>
        <v>30</v>
      </c>
      <c r="W345">
        <f t="shared" ca="1" si="111"/>
        <v>70.827638237167776</v>
      </c>
      <c r="X345">
        <f t="shared" ca="1" si="100"/>
        <v>71.067228672778683</v>
      </c>
      <c r="Y345">
        <f t="shared" ca="1" si="99"/>
        <v>-0.12832125986962239</v>
      </c>
      <c r="Z345">
        <f t="shared" ca="1" si="101"/>
        <v>2.6264038203814115E-3</v>
      </c>
      <c r="AA345">
        <f t="shared" ca="1" si="102"/>
        <v>-0.1309476636900038</v>
      </c>
      <c r="AB345">
        <f t="shared" ca="1" si="103"/>
        <v>67.91640000000001</v>
      </c>
    </row>
    <row r="346" spans="1:28" x14ac:dyDescent="0.25">
      <c r="A346" s="20">
        <f t="shared" ca="1" si="104"/>
        <v>45789</v>
      </c>
      <c r="B346" vm="976">
        <f ca="1"/>
        <v>45793</v>
      </c>
      <c r="C346" vm="977">
        <f ca="1"/>
        <v>72</v>
      </c>
      <c r="D346" vm="978">
        <f ca="1"/>
        <v>18441200</v>
      </c>
      <c r="E346">
        <f t="shared" ca="1" si="105"/>
        <v>1327766400</v>
      </c>
      <c r="F346">
        <f ca="1">SUM($E$2:E346)/SUM($D$2:D346)</f>
        <v>65.502729488456865</v>
      </c>
      <c r="G346">
        <f ca="1">_xlfn.STDEV.P($C$2:C346)</f>
        <v>4.4507971231337846</v>
      </c>
      <c r="H346">
        <f t="shared" ca="1" si="106"/>
        <v>69.953526611590647</v>
      </c>
      <c r="I346">
        <f t="shared" ca="1" si="107"/>
        <v>61.051932365323083</v>
      </c>
      <c r="J346">
        <f t="shared" ca="1" si="116"/>
        <v>71.64</v>
      </c>
      <c r="K346">
        <f t="shared" ca="1" si="117"/>
        <v>1.2864271206881901</v>
      </c>
      <c r="L346">
        <f t="shared" ca="1" si="118"/>
        <v>74.212854241376377</v>
      </c>
      <c r="M346">
        <f t="shared" ca="1" si="119"/>
        <v>69.067145758623624</v>
      </c>
      <c r="N346">
        <f t="shared" ca="1" si="108"/>
        <v>0.39000000000000057</v>
      </c>
      <c r="O346">
        <f t="shared" ca="1" si="109"/>
        <v>0.39000000000000057</v>
      </c>
      <c r="P346">
        <f t="shared" ca="1" si="110"/>
        <v>0</v>
      </c>
      <c r="Q346">
        <f t="shared" ca="1" si="114"/>
        <v>0.40913636675886256</v>
      </c>
      <c r="R346">
        <f t="shared" ca="1" si="115"/>
        <v>0.34194755772708724</v>
      </c>
      <c r="S346">
        <f t="shared" ca="1" si="112"/>
        <v>1.19648863550416</v>
      </c>
      <c r="T346">
        <f t="shared" ca="1" si="113"/>
        <v>54.472789713730066</v>
      </c>
      <c r="U346">
        <f>70</f>
        <v>70</v>
      </c>
      <c r="V346">
        <f>30</f>
        <v>30</v>
      </c>
      <c r="W346">
        <f t="shared" ca="1" si="111"/>
        <v>71.008001585295816</v>
      </c>
      <c r="X346">
        <f t="shared" ca="1" si="100"/>
        <v>71.136322845165438</v>
      </c>
      <c r="Y346">
        <f t="shared" ca="1" si="99"/>
        <v>-4.5266250273243713E-2</v>
      </c>
      <c r="Z346">
        <f t="shared" ca="1" si="101"/>
        <v>-6.9521269983436138E-3</v>
      </c>
      <c r="AA346">
        <f t="shared" ca="1" si="102"/>
        <v>-3.8314123274900101E-2</v>
      </c>
      <c r="AB346">
        <f t="shared" ca="1" si="103"/>
        <v>68.011900000000011</v>
      </c>
    </row>
    <row r="347" spans="1:28" x14ac:dyDescent="0.25">
      <c r="A347" s="20">
        <f t="shared" ca="1" si="104"/>
        <v>45796</v>
      </c>
      <c r="B347" vm="979">
        <f ca="1"/>
        <v>45796</v>
      </c>
      <c r="C347" vm="980">
        <f ca="1"/>
        <v>71.930000000000007</v>
      </c>
      <c r="D347" vm="981">
        <f ca="1"/>
        <v>13282775</v>
      </c>
      <c r="E347">
        <f t="shared" ca="1" si="105"/>
        <v>955430005.75000012</v>
      </c>
      <c r="F347">
        <f ca="1">SUM($E$2:E347)/SUM($D$2:D347)</f>
        <v>65.519078598418403</v>
      </c>
      <c r="G347">
        <f ca="1">_xlfn.STDEV.P($C$2:C347)</f>
        <v>4.459092650382261</v>
      </c>
      <c r="H347">
        <f t="shared" ca="1" si="106"/>
        <v>69.978171248800663</v>
      </c>
      <c r="I347">
        <f t="shared" ca="1" si="107"/>
        <v>61.059985948036143</v>
      </c>
      <c r="J347">
        <f t="shared" ca="1" si="116"/>
        <v>71.597999999999999</v>
      </c>
      <c r="K347">
        <f t="shared" ca="1" si="117"/>
        <v>1.2610546964221752</v>
      </c>
      <c r="L347">
        <f t="shared" ca="1" si="118"/>
        <v>74.120109392844356</v>
      </c>
      <c r="M347">
        <f t="shared" ca="1" si="119"/>
        <v>69.075890607155642</v>
      </c>
      <c r="N347">
        <f t="shared" ca="1" si="108"/>
        <v>-6.9999999999993179E-2</v>
      </c>
      <c r="O347">
        <f t="shared" ca="1" si="109"/>
        <v>0</v>
      </c>
      <c r="P347">
        <f t="shared" ca="1" si="110"/>
        <v>6.9999999999993179E-2</v>
      </c>
      <c r="Q347">
        <f t="shared" ca="1" si="114"/>
        <v>0.37991234056180095</v>
      </c>
      <c r="R347">
        <f t="shared" ca="1" si="115"/>
        <v>0.32252273217515193</v>
      </c>
      <c r="S347">
        <f t="shared" ca="1" si="112"/>
        <v>1.1779397315643554</v>
      </c>
      <c r="T347">
        <f t="shared" ca="1" si="113"/>
        <v>54.085047188990529</v>
      </c>
      <c r="U347">
        <f>70</f>
        <v>70</v>
      </c>
      <c r="V347">
        <f>30</f>
        <v>30</v>
      </c>
      <c r="W347">
        <f t="shared" ca="1" si="111"/>
        <v>71.149847495250313</v>
      </c>
      <c r="X347">
        <f t="shared" ca="1" si="100"/>
        <v>71.195113745523557</v>
      </c>
      <c r="Y347">
        <f t="shared" ca="1" si="99"/>
        <v>1.1758940005393015E-3</v>
      </c>
      <c r="Z347">
        <f t="shared" ca="1" si="101"/>
        <v>-5.3265227985670313E-3</v>
      </c>
      <c r="AA347">
        <f t="shared" ca="1" si="102"/>
        <v>6.5024167991063328E-3</v>
      </c>
      <c r="AB347">
        <f t="shared" ca="1" si="103"/>
        <v>68.105700000000013</v>
      </c>
    </row>
    <row r="348" spans="1:28" x14ac:dyDescent="0.25">
      <c r="A348" s="20">
        <f t="shared" ca="1" si="104"/>
        <v>45796</v>
      </c>
      <c r="B348" vm="982">
        <f ca="1"/>
        <v>45797</v>
      </c>
      <c r="C348" vm="983">
        <f ca="1"/>
        <v>71.69</v>
      </c>
      <c r="D348" vm="984">
        <f ca="1"/>
        <v>12137798</v>
      </c>
      <c r="E348">
        <f t="shared" ca="1" si="105"/>
        <v>870158738.62</v>
      </c>
      <c r="F348">
        <f ca="1">SUM($E$2:E348)/SUM($D$2:D348)</f>
        <v>65.53338928003302</v>
      </c>
      <c r="G348">
        <f ca="1">_xlfn.STDEV.P($C$2:C348)</f>
        <v>4.4662206274642751</v>
      </c>
      <c r="H348">
        <f t="shared" ca="1" si="106"/>
        <v>69.999609907497302</v>
      </c>
      <c r="I348">
        <f t="shared" ca="1" si="107"/>
        <v>61.067168652568746</v>
      </c>
      <c r="J348">
        <f t="shared" ca="1" si="116"/>
        <v>71.487499999999997</v>
      </c>
      <c r="K348">
        <f t="shared" ca="1" si="117"/>
        <v>1.1397131448884759</v>
      </c>
      <c r="L348">
        <f t="shared" ca="1" si="118"/>
        <v>73.766926289776947</v>
      </c>
      <c r="M348">
        <f t="shared" ca="1" si="119"/>
        <v>69.208073710223047</v>
      </c>
      <c r="N348">
        <f t="shared" ca="1" si="108"/>
        <v>-0.24000000000000909</v>
      </c>
      <c r="O348">
        <f t="shared" ca="1" si="109"/>
        <v>0</v>
      </c>
      <c r="P348">
        <f t="shared" ca="1" si="110"/>
        <v>0.24000000000000909</v>
      </c>
      <c r="Q348">
        <f t="shared" ca="1" si="114"/>
        <v>0.3527757448073866</v>
      </c>
      <c r="R348">
        <f t="shared" ca="1" si="115"/>
        <v>0.31662825130549888</v>
      </c>
      <c r="S348">
        <f t="shared" ca="1" si="112"/>
        <v>1.1141638288840208</v>
      </c>
      <c r="T348">
        <f t="shared" ca="1" si="113"/>
        <v>52.699975927227051</v>
      </c>
      <c r="U348">
        <f>70</f>
        <v>70</v>
      </c>
      <c r="V348">
        <f>30</f>
        <v>30</v>
      </c>
      <c r="W348">
        <f t="shared" ca="1" si="111"/>
        <v>71.232947880596413</v>
      </c>
      <c r="X348">
        <f t="shared" ca="1" si="100"/>
        <v>71.231771986595874</v>
      </c>
      <c r="Y348">
        <f t="shared" ref="Y348:Y411" ca="1" si="120">W349-X349</f>
        <v>5.0312321633839474E-2</v>
      </c>
      <c r="Z348">
        <f t="shared" ca="1" si="101"/>
        <v>5.8012460879142708E-3</v>
      </c>
      <c r="AA348">
        <f t="shared" ca="1" si="102"/>
        <v>4.4511075545925205E-2</v>
      </c>
      <c r="AB348">
        <f t="shared" ca="1" si="103"/>
        <v>68.198799999999991</v>
      </c>
    </row>
    <row r="349" spans="1:28" x14ac:dyDescent="0.25">
      <c r="A349" s="20">
        <f t="shared" ca="1" si="104"/>
        <v>45796</v>
      </c>
      <c r="B349" vm="985">
        <f ca="1"/>
        <v>45798</v>
      </c>
      <c r="C349" vm="500">
        <f ca="1"/>
        <v>71.849999999999994</v>
      </c>
      <c r="D349" vm="986">
        <f ca="1"/>
        <v>12094424</v>
      </c>
      <c r="E349">
        <f t="shared" ca="1" si="105"/>
        <v>868984364.39999998</v>
      </c>
      <c r="F349">
        <f ca="1">SUM($E$2:E349)/SUM($D$2:D349)</f>
        <v>65.547951825945916</v>
      </c>
      <c r="G349">
        <f ca="1">_xlfn.STDEV.P($C$2:C349)</f>
        <v>4.4738899896418296</v>
      </c>
      <c r="H349">
        <f t="shared" ca="1" si="106"/>
        <v>70.021841815587749</v>
      </c>
      <c r="I349">
        <f t="shared" ca="1" si="107"/>
        <v>61.074061836304082</v>
      </c>
      <c r="J349">
        <f t="shared" ca="1" si="116"/>
        <v>71.414999999999992</v>
      </c>
      <c r="K349">
        <f t="shared" ca="1" si="117"/>
        <v>1.0618033319732405</v>
      </c>
      <c r="L349">
        <f t="shared" ca="1" si="118"/>
        <v>73.538606663946467</v>
      </c>
      <c r="M349">
        <f t="shared" ca="1" si="119"/>
        <v>69.291393336053517</v>
      </c>
      <c r="N349">
        <f t="shared" ca="1" si="108"/>
        <v>0.15999999999999659</v>
      </c>
      <c r="O349">
        <f t="shared" ca="1" si="109"/>
        <v>0.15999999999999659</v>
      </c>
      <c r="P349">
        <f t="shared" ca="1" si="110"/>
        <v>0</v>
      </c>
      <c r="Q349">
        <f t="shared" ca="1" si="114"/>
        <v>0.33900604874971585</v>
      </c>
      <c r="R349">
        <f t="shared" ca="1" si="115"/>
        <v>0.29401194764082039</v>
      </c>
      <c r="S349">
        <f t="shared" ca="1" si="112"/>
        <v>1.1530349411645764</v>
      </c>
      <c r="T349">
        <f t="shared" ca="1" si="113"/>
        <v>53.553935382994759</v>
      </c>
      <c r="U349">
        <f>70</f>
        <v>70</v>
      </c>
      <c r="V349">
        <f>30</f>
        <v>30</v>
      </c>
      <c r="W349">
        <f t="shared" ca="1" si="111"/>
        <v>71.327878975889277</v>
      </c>
      <c r="X349">
        <f t="shared" ref="X349:X412" ca="1" si="121">C349*(2/(26+1)) + X348*(1-(2/(26+1)))</f>
        <v>71.277566654255438</v>
      </c>
      <c r="Y349">
        <f t="shared" ca="1" si="120"/>
        <v>3.1597986342163153E-2</v>
      </c>
      <c r="Z349">
        <f t="shared" ca="1" si="101"/>
        <v>1.0960594138764048E-2</v>
      </c>
      <c r="AA349">
        <f t="shared" ca="1" si="102"/>
        <v>2.0637392203399108E-2</v>
      </c>
      <c r="AB349">
        <f t="shared" ca="1" si="103"/>
        <v>68.288899999999998</v>
      </c>
    </row>
    <row r="350" spans="1:28" x14ac:dyDescent="0.25">
      <c r="A350" s="20">
        <f t="shared" ca="1" si="104"/>
        <v>45796</v>
      </c>
      <c r="B350" vm="987">
        <f ca="1"/>
        <v>45799</v>
      </c>
      <c r="C350" vm="497">
        <f ca="1"/>
        <v>71.14</v>
      </c>
      <c r="D350" vm="988">
        <f ca="1"/>
        <v>11101798</v>
      </c>
      <c r="E350">
        <f t="shared" ca="1" si="105"/>
        <v>789781909.72000003</v>
      </c>
      <c r="F350">
        <f ca="1">SUM($E$2:E350)/SUM($D$2:D350)</f>
        <v>65.559760853534115</v>
      </c>
      <c r="G350">
        <f ca="1">_xlfn.STDEV.P($C$2:C350)</f>
        <v>4.4785902087647935</v>
      </c>
      <c r="H350">
        <f t="shared" ca="1" si="106"/>
        <v>70.038351062298915</v>
      </c>
      <c r="I350">
        <f t="shared" ca="1" si="107"/>
        <v>61.081170644769323</v>
      </c>
      <c r="J350">
        <f t="shared" ca="1" si="116"/>
        <v>71.345999999999989</v>
      </c>
      <c r="K350">
        <f t="shared" ca="1" si="117"/>
        <v>1.0305971697592575</v>
      </c>
      <c r="L350">
        <f t="shared" ca="1" si="118"/>
        <v>73.407194339518497</v>
      </c>
      <c r="M350">
        <f t="shared" ca="1" si="119"/>
        <v>69.284805660481481</v>
      </c>
      <c r="N350">
        <f t="shared" ca="1" si="108"/>
        <v>-0.70999999999999375</v>
      </c>
      <c r="O350">
        <f t="shared" ca="1" si="109"/>
        <v>0</v>
      </c>
      <c r="P350">
        <f t="shared" ca="1" si="110"/>
        <v>0.70999999999999375</v>
      </c>
      <c r="Q350">
        <f t="shared" ca="1" si="114"/>
        <v>0.314791330981879</v>
      </c>
      <c r="R350">
        <f t="shared" ca="1" si="115"/>
        <v>0.32372537995218992</v>
      </c>
      <c r="S350">
        <f t="shared" ca="1" si="112"/>
        <v>0.97240238324338257</v>
      </c>
      <c r="T350">
        <f t="shared" ca="1" si="113"/>
        <v>49.300406017781313</v>
      </c>
      <c r="U350">
        <f>70</f>
        <v>70</v>
      </c>
      <c r="V350">
        <f>30</f>
        <v>30</v>
      </c>
      <c r="W350">
        <f t="shared" ca="1" si="111"/>
        <v>71.298974518060163</v>
      </c>
      <c r="X350">
        <f t="shared" ca="1" si="121"/>
        <v>71.267376531718</v>
      </c>
      <c r="Y350">
        <f t="shared" ca="1" si="120"/>
        <v>6.6832077081244279E-2</v>
      </c>
      <c r="Z350">
        <f t="shared" ca="1" si="101"/>
        <v>2.2134890727260097E-2</v>
      </c>
      <c r="AA350">
        <f t="shared" ca="1" si="102"/>
        <v>4.4697186353984182E-2</v>
      </c>
      <c r="AB350">
        <f t="shared" ca="1" si="103"/>
        <v>68.374600000000001</v>
      </c>
    </row>
    <row r="351" spans="1:28" x14ac:dyDescent="0.25">
      <c r="A351" s="20">
        <f t="shared" ca="1" si="104"/>
        <v>45796</v>
      </c>
      <c r="B351" vm="989">
        <f ca="1"/>
        <v>45800</v>
      </c>
      <c r="C351" vm="990">
        <f ca="1"/>
        <v>71.77</v>
      </c>
      <c r="D351" vm="991">
        <f ca="1"/>
        <v>12822145</v>
      </c>
      <c r="E351">
        <f t="shared" ca="1" si="105"/>
        <v>920245346.64999998</v>
      </c>
      <c r="F351">
        <f ca="1">SUM($E$2:E351)/SUM($D$2:D351)</f>
        <v>65.5748707319174</v>
      </c>
      <c r="G351">
        <f ca="1">_xlfn.STDEV.P($C$2:C351)</f>
        <v>4.4856759234028392</v>
      </c>
      <c r="H351">
        <f t="shared" ca="1" si="106"/>
        <v>70.060546655320238</v>
      </c>
      <c r="I351">
        <f t="shared" ca="1" si="107"/>
        <v>61.089194808514563</v>
      </c>
      <c r="J351">
        <f t="shared" ca="1" si="116"/>
        <v>71.338999999999999</v>
      </c>
      <c r="K351">
        <f t="shared" ca="1" si="117"/>
        <v>1.0270340536556826</v>
      </c>
      <c r="L351">
        <f t="shared" ca="1" si="118"/>
        <v>73.393068107311365</v>
      </c>
      <c r="M351">
        <f t="shared" ca="1" si="119"/>
        <v>69.284931892688633</v>
      </c>
      <c r="N351">
        <f t="shared" ca="1" si="108"/>
        <v>0.62999999999999545</v>
      </c>
      <c r="O351">
        <f t="shared" ca="1" si="109"/>
        <v>0.62999999999999545</v>
      </c>
      <c r="P351">
        <f t="shared" ca="1" si="110"/>
        <v>0</v>
      </c>
      <c r="Q351">
        <f t="shared" ca="1" si="114"/>
        <v>0.33730623591174441</v>
      </c>
      <c r="R351">
        <f t="shared" ca="1" si="115"/>
        <v>0.30060213852703349</v>
      </c>
      <c r="S351">
        <f t="shared" ca="1" si="112"/>
        <v>1.1221019170540933</v>
      </c>
      <c r="T351">
        <f t="shared" ca="1" si="113"/>
        <v>52.876909824001181</v>
      </c>
      <c r="U351">
        <f>70</f>
        <v>70</v>
      </c>
      <c r="V351">
        <f>30</f>
        <v>30</v>
      </c>
      <c r="W351">
        <f t="shared" ca="1" si="111"/>
        <v>71.371439976820142</v>
      </c>
      <c r="X351">
        <f t="shared" ca="1" si="121"/>
        <v>71.304607899738897</v>
      </c>
      <c r="Y351">
        <f t="shared" ca="1" si="120"/>
        <v>9.4473235613790507E-2</v>
      </c>
      <c r="Z351">
        <f t="shared" ca="1" si="101"/>
        <v>3.6602559704566176E-2</v>
      </c>
      <c r="AA351">
        <f t="shared" ca="1" si="102"/>
        <v>5.7870675909224331E-2</v>
      </c>
      <c r="AB351">
        <f t="shared" ca="1" si="103"/>
        <v>68.467800000000011</v>
      </c>
    </row>
    <row r="352" spans="1:28" x14ac:dyDescent="0.25">
      <c r="A352" s="20">
        <f t="shared" ca="1" si="104"/>
        <v>45803</v>
      </c>
      <c r="B352" vm="992">
        <f ca="1"/>
        <v>45804</v>
      </c>
      <c r="C352" vm="993">
        <f ca="1"/>
        <v>71.78</v>
      </c>
      <c r="D352" vm="994">
        <f ca="1"/>
        <v>10666102</v>
      </c>
      <c r="E352">
        <f t="shared" ca="1" si="105"/>
        <v>765612801.56000006</v>
      </c>
      <c r="F352">
        <f ca="1">SUM($E$2:E352)/SUM($D$2:D352)</f>
        <v>65.587404176022929</v>
      </c>
      <c r="G352">
        <f ca="1">_xlfn.STDEV.P($C$2:C352)</f>
        <v>4.4926748747053811</v>
      </c>
      <c r="H352">
        <f t="shared" ca="1" si="106"/>
        <v>70.080079050728315</v>
      </c>
      <c r="I352">
        <f t="shared" ca="1" si="107"/>
        <v>61.09472930131755</v>
      </c>
      <c r="J352">
        <f t="shared" ca="1" si="116"/>
        <v>71.338499999999996</v>
      </c>
      <c r="K352">
        <f t="shared" ca="1" si="117"/>
        <v>1.0268053420811161</v>
      </c>
      <c r="L352">
        <f t="shared" ca="1" si="118"/>
        <v>73.392110684162233</v>
      </c>
      <c r="M352">
        <f t="shared" ca="1" si="119"/>
        <v>69.284889315837759</v>
      </c>
      <c r="N352">
        <f t="shared" ca="1" si="108"/>
        <v>1.0000000000005116E-2</v>
      </c>
      <c r="O352">
        <f t="shared" ca="1" si="109"/>
        <v>1.0000000000005116E-2</v>
      </c>
      <c r="P352">
        <f t="shared" ca="1" si="110"/>
        <v>0</v>
      </c>
      <c r="Q352">
        <f t="shared" ca="1" si="114"/>
        <v>0.31392721906090587</v>
      </c>
      <c r="R352">
        <f t="shared" ca="1" si="115"/>
        <v>0.27913055720367397</v>
      </c>
      <c r="S352">
        <f t="shared" ca="1" si="112"/>
        <v>1.1246608834440213</v>
      </c>
      <c r="T352">
        <f t="shared" ca="1" si="113"/>
        <v>52.933665424337022</v>
      </c>
      <c r="U352">
        <f>70</f>
        <v>70</v>
      </c>
      <c r="V352">
        <f>30</f>
        <v>30</v>
      </c>
      <c r="W352">
        <f t="shared" ca="1" si="111"/>
        <v>71.43429536500166</v>
      </c>
      <c r="X352">
        <f t="shared" ca="1" si="121"/>
        <v>71.339822129387869</v>
      </c>
      <c r="Y352">
        <f t="shared" ca="1" si="120"/>
        <v>6.4796385625172093E-2</v>
      </c>
      <c r="Z352">
        <f t="shared" ca="1" si="101"/>
        <v>4.2241324888687357E-2</v>
      </c>
      <c r="AA352">
        <f t="shared" ca="1" si="102"/>
        <v>2.2555060736484736E-2</v>
      </c>
      <c r="AB352">
        <f t="shared" ca="1" si="103"/>
        <v>68.565299999999993</v>
      </c>
    </row>
    <row r="353" spans="1:28" x14ac:dyDescent="0.25">
      <c r="A353" s="20">
        <f t="shared" ca="1" si="104"/>
        <v>45803</v>
      </c>
      <c r="B353" vm="995">
        <f ca="1"/>
        <v>45805</v>
      </c>
      <c r="C353" vm="996">
        <f ca="1"/>
        <v>71.150000000000006</v>
      </c>
      <c r="D353" vm="997">
        <f ca="1"/>
        <v>8710896</v>
      </c>
      <c r="E353">
        <f t="shared" ca="1" si="105"/>
        <v>619780250.4000001</v>
      </c>
      <c r="F353">
        <f ca="1">SUM($E$2:E353)/SUM($D$2:D353)</f>
        <v>65.596565080994367</v>
      </c>
      <c r="G353">
        <f ca="1">_xlfn.STDEV.P($C$2:C353)</f>
        <v>4.4970996212077505</v>
      </c>
      <c r="H353">
        <f t="shared" ca="1" si="106"/>
        <v>70.093664702202119</v>
      </c>
      <c r="I353">
        <f t="shared" ca="1" si="107"/>
        <v>61.099465459786614</v>
      </c>
      <c r="J353">
        <f t="shared" ca="1" si="116"/>
        <v>71.278500000000008</v>
      </c>
      <c r="K353">
        <f t="shared" ca="1" si="117"/>
        <v>0.99928013563449125</v>
      </c>
      <c r="L353">
        <f t="shared" ca="1" si="118"/>
        <v>73.277060271268994</v>
      </c>
      <c r="M353">
        <f t="shared" ca="1" si="119"/>
        <v>69.279939728731023</v>
      </c>
      <c r="N353">
        <f t="shared" ca="1" si="108"/>
        <v>-0.62999999999999545</v>
      </c>
      <c r="O353">
        <f t="shared" ca="1" si="109"/>
        <v>0</v>
      </c>
      <c r="P353">
        <f t="shared" ca="1" si="110"/>
        <v>0.62999999999999545</v>
      </c>
      <c r="Q353">
        <f t="shared" ca="1" si="114"/>
        <v>0.29150384627084114</v>
      </c>
      <c r="R353">
        <f t="shared" ca="1" si="115"/>
        <v>0.30419266026055408</v>
      </c>
      <c r="S353">
        <f t="shared" ca="1" si="112"/>
        <v>0.9582869159997337</v>
      </c>
      <c r="T353">
        <f t="shared" ca="1" si="113"/>
        <v>48.934959845274477</v>
      </c>
      <c r="U353">
        <f>70</f>
        <v>70</v>
      </c>
      <c r="V353">
        <f>30</f>
        <v>30</v>
      </c>
      <c r="W353">
        <f t="shared" ca="1" si="111"/>
        <v>71.390557616539866</v>
      </c>
      <c r="X353">
        <f t="shared" ca="1" si="121"/>
        <v>71.325761230914694</v>
      </c>
      <c r="Y353">
        <f t="shared" ca="1" si="120"/>
        <v>6.7929379102750431E-2</v>
      </c>
      <c r="Z353">
        <f t="shared" ca="1" si="101"/>
        <v>4.7378935731499969E-2</v>
      </c>
      <c r="AA353">
        <f t="shared" ca="1" si="102"/>
        <v>2.0550443371250462E-2</v>
      </c>
      <c r="AB353">
        <f t="shared" ca="1" si="103"/>
        <v>68.654200000000003</v>
      </c>
    </row>
    <row r="354" spans="1:28" x14ac:dyDescent="0.25">
      <c r="A354" s="20">
        <f t="shared" ca="1" si="104"/>
        <v>45803</v>
      </c>
      <c r="B354" vm="998">
        <f ca="1"/>
        <v>45806</v>
      </c>
      <c r="C354" vm="815">
        <f ca="1"/>
        <v>71.489999999999995</v>
      </c>
      <c r="D354" vm="999">
        <f ca="1"/>
        <v>10294095</v>
      </c>
      <c r="E354">
        <f t="shared" ca="1" si="105"/>
        <v>735924851.54999995</v>
      </c>
      <c r="F354">
        <f ca="1">SUM($E$2:E354)/SUM($D$2:D354)</f>
        <v>65.608012571915836</v>
      </c>
      <c r="G354">
        <f ca="1">_xlfn.STDEV.P($C$2:C354)</f>
        <v>4.5027158666910134</v>
      </c>
      <c r="H354">
        <f t="shared" ca="1" si="106"/>
        <v>70.110728438606856</v>
      </c>
      <c r="I354">
        <f t="shared" ca="1" si="107"/>
        <v>61.105296705224823</v>
      </c>
      <c r="J354">
        <f t="shared" ca="1" si="116"/>
        <v>71.225500000000011</v>
      </c>
      <c r="K354">
        <f t="shared" ca="1" si="117"/>
        <v>0.95544134194347063</v>
      </c>
      <c r="L354">
        <f t="shared" ca="1" si="118"/>
        <v>73.13638268388695</v>
      </c>
      <c r="M354">
        <f t="shared" ca="1" si="119"/>
        <v>69.314617316113072</v>
      </c>
      <c r="N354">
        <f t="shared" ca="1" si="108"/>
        <v>0.3399999999999892</v>
      </c>
      <c r="O354">
        <f t="shared" ca="1" si="109"/>
        <v>0.3399999999999892</v>
      </c>
      <c r="P354">
        <f t="shared" ca="1" si="110"/>
        <v>0</v>
      </c>
      <c r="Q354">
        <f t="shared" ca="1" si="114"/>
        <v>0.29496785725149455</v>
      </c>
      <c r="R354">
        <f t="shared" ca="1" si="115"/>
        <v>0.28246461309908594</v>
      </c>
      <c r="S354">
        <f t="shared" ca="1" si="112"/>
        <v>1.0442648160958221</v>
      </c>
      <c r="T354">
        <f t="shared" ca="1" si="113"/>
        <v>51.082658561339422</v>
      </c>
      <c r="U354">
        <f>70</f>
        <v>70</v>
      </c>
      <c r="V354">
        <f>30</f>
        <v>30</v>
      </c>
      <c r="W354">
        <f t="shared" ca="1" si="111"/>
        <v>71.405856444764495</v>
      </c>
      <c r="X354">
        <f t="shared" ca="1" si="121"/>
        <v>71.337927065661745</v>
      </c>
      <c r="Y354">
        <f t="shared" ca="1" si="120"/>
        <v>0.11827084830480317</v>
      </c>
      <c r="Z354">
        <f t="shared" ca="1" si="101"/>
        <v>6.1557318246160612E-2</v>
      </c>
      <c r="AA354">
        <f t="shared" ca="1" si="102"/>
        <v>5.6713530058642554E-2</v>
      </c>
      <c r="AB354">
        <f t="shared" ca="1" si="103"/>
        <v>68.750699999999995</v>
      </c>
    </row>
    <row r="355" spans="1:28" x14ac:dyDescent="0.25">
      <c r="A355" s="20">
        <f t="shared" ca="1" si="104"/>
        <v>45803</v>
      </c>
      <c r="B355" vm="1000">
        <f ca="1"/>
        <v>45807</v>
      </c>
      <c r="C355" vm="515">
        <f ca="1"/>
        <v>72.099999999999994</v>
      </c>
      <c r="D355" vm="1001">
        <f ca="1"/>
        <v>28019547</v>
      </c>
      <c r="E355">
        <f t="shared" ca="1" si="105"/>
        <v>2020209338.6999998</v>
      </c>
      <c r="F355">
        <f ca="1">SUM($E$2:E355)/SUM($D$2:D355)</f>
        <v>65.642155623060731</v>
      </c>
      <c r="G355">
        <f ca="1">_xlfn.STDEV.P($C$2:C355)</f>
        <v>4.5106899060755721</v>
      </c>
      <c r="H355">
        <f t="shared" ca="1" si="106"/>
        <v>70.1528455291363</v>
      </c>
      <c r="I355">
        <f t="shared" ca="1" si="107"/>
        <v>61.131465716985161</v>
      </c>
      <c r="J355">
        <f t="shared" ca="1" si="116"/>
        <v>71.266000000000005</v>
      </c>
      <c r="K355">
        <f t="shared" ca="1" si="117"/>
        <v>0.97528079627302722</v>
      </c>
      <c r="L355">
        <f t="shared" ca="1" si="118"/>
        <v>73.216561592546057</v>
      </c>
      <c r="M355">
        <f t="shared" ca="1" si="119"/>
        <v>69.315438407453954</v>
      </c>
      <c r="N355">
        <f t="shared" ca="1" si="108"/>
        <v>0.60999999999999943</v>
      </c>
      <c r="O355">
        <f t="shared" ca="1" si="109"/>
        <v>0.60999999999999943</v>
      </c>
      <c r="P355">
        <f t="shared" ca="1" si="110"/>
        <v>0</v>
      </c>
      <c r="Q355">
        <f t="shared" ca="1" si="114"/>
        <v>0.31747015316210209</v>
      </c>
      <c r="R355">
        <f t="shared" ca="1" si="115"/>
        <v>0.26228856930629407</v>
      </c>
      <c r="S355">
        <f t="shared" ca="1" si="112"/>
        <v>1.2103850122090847</v>
      </c>
      <c r="T355">
        <f t="shared" ca="1" si="113"/>
        <v>54.759012820097425</v>
      </c>
      <c r="U355">
        <f>70</f>
        <v>70</v>
      </c>
      <c r="V355">
        <f>30</f>
        <v>30</v>
      </c>
      <c r="W355">
        <f t="shared" ca="1" si="111"/>
        <v>71.512647760954565</v>
      </c>
      <c r="X355">
        <f t="shared" ca="1" si="121"/>
        <v>71.394376912649761</v>
      </c>
      <c r="Y355">
        <f t="shared" ca="1" si="120"/>
        <v>0.14838714641690842</v>
      </c>
      <c r="Z355">
        <f t="shared" ca="1" si="101"/>
        <v>7.8923283880310169E-2</v>
      </c>
      <c r="AA355">
        <f t="shared" ca="1" si="102"/>
        <v>6.9463862536598253E-2</v>
      </c>
      <c r="AB355">
        <f t="shared" ca="1" si="103"/>
        <v>68.854199999999992</v>
      </c>
    </row>
    <row r="356" spans="1:28" x14ac:dyDescent="0.25">
      <c r="A356" s="20">
        <f t="shared" ca="1" si="104"/>
        <v>45810</v>
      </c>
      <c r="B356" vm="1002">
        <f ca="1"/>
        <v>45810</v>
      </c>
      <c r="C356" vm="977">
        <f ca="1"/>
        <v>72</v>
      </c>
      <c r="D356" vm="1003">
        <f ca="1"/>
        <v>10202737</v>
      </c>
      <c r="E356">
        <f t="shared" ca="1" si="105"/>
        <v>734597064</v>
      </c>
      <c r="F356">
        <f ca="1">SUM($E$2:E356)/SUM($D$2:D356)</f>
        <v>65.654307944080315</v>
      </c>
      <c r="G356">
        <f ca="1">_xlfn.STDEV.P($C$2:C356)</f>
        <v>4.5181081367635487</v>
      </c>
      <c r="H356">
        <f t="shared" ca="1" si="106"/>
        <v>70.17241608084386</v>
      </c>
      <c r="I356">
        <f t="shared" ca="1" si="107"/>
        <v>61.136199807316764</v>
      </c>
      <c r="J356">
        <f t="shared" ca="1" si="116"/>
        <v>71.283500000000004</v>
      </c>
      <c r="K356">
        <f t="shared" ca="1" si="117"/>
        <v>0.98561909478256482</v>
      </c>
      <c r="L356">
        <f t="shared" ca="1" si="118"/>
        <v>73.254738189565131</v>
      </c>
      <c r="M356">
        <f t="shared" ca="1" si="119"/>
        <v>69.312261810434876</v>
      </c>
      <c r="N356">
        <f t="shared" ca="1" si="108"/>
        <v>-9.9999999999994316E-2</v>
      </c>
      <c r="O356">
        <f t="shared" ca="1" si="109"/>
        <v>0</v>
      </c>
      <c r="P356">
        <f t="shared" ca="1" si="110"/>
        <v>9.9999999999994316E-2</v>
      </c>
      <c r="Q356">
        <f t="shared" ca="1" si="114"/>
        <v>0.29479371365052337</v>
      </c>
      <c r="R356">
        <f t="shared" ca="1" si="115"/>
        <v>0.25069652864155839</v>
      </c>
      <c r="S356">
        <f t="shared" ca="1" si="112"/>
        <v>1.1758986661997797</v>
      </c>
      <c r="T356">
        <f t="shared" ca="1" si="113"/>
        <v>54.041977435166778</v>
      </c>
      <c r="U356">
        <f>70</f>
        <v>70</v>
      </c>
      <c r="V356">
        <f>30</f>
        <v>30</v>
      </c>
      <c r="W356">
        <f t="shared" ca="1" si="111"/>
        <v>71.587625028500014</v>
      </c>
      <c r="X356">
        <f t="shared" ca="1" si="121"/>
        <v>71.439237882083106</v>
      </c>
      <c r="Y356">
        <f t="shared" ca="1" si="120"/>
        <v>0.10328296805553805</v>
      </c>
      <c r="Z356">
        <f t="shared" ca="1" si="101"/>
        <v>8.379522071535575E-2</v>
      </c>
      <c r="AA356">
        <f t="shared" ca="1" si="102"/>
        <v>1.9487747340182299E-2</v>
      </c>
      <c r="AB356">
        <f t="shared" ca="1" si="103"/>
        <v>68.966099999999983</v>
      </c>
    </row>
    <row r="357" spans="1:28" x14ac:dyDescent="0.25">
      <c r="A357" s="20">
        <f t="shared" ca="1" si="104"/>
        <v>45810</v>
      </c>
      <c r="B357" vm="1004">
        <f ca="1"/>
        <v>45811</v>
      </c>
      <c r="C357" vm="1005">
        <f ca="1"/>
        <v>71.16</v>
      </c>
      <c r="D357" vm="1006">
        <f ca="1"/>
        <v>20139767</v>
      </c>
      <c r="E357">
        <f t="shared" ca="1" si="105"/>
        <v>1433145819.72</v>
      </c>
      <c r="F357">
        <f ca="1">SUM($E$2:E357)/SUM($D$2:D357)</f>
        <v>65.675002851898029</v>
      </c>
      <c r="G357">
        <f ca="1">_xlfn.STDEV.P($C$2:C357)</f>
        <v>4.5221640815746893</v>
      </c>
      <c r="H357">
        <f t="shared" ca="1" si="106"/>
        <v>70.197166933472715</v>
      </c>
      <c r="I357">
        <f t="shared" ca="1" si="107"/>
        <v>61.152838770323342</v>
      </c>
      <c r="J357">
        <f t="shared" ca="1" si="116"/>
        <v>71.256500000000003</v>
      </c>
      <c r="K357">
        <f t="shared" ca="1" si="117"/>
        <v>0.98099452758814942</v>
      </c>
      <c r="L357">
        <f t="shared" ca="1" si="118"/>
        <v>73.218489055176306</v>
      </c>
      <c r="M357">
        <f t="shared" ca="1" si="119"/>
        <v>69.294510944823699</v>
      </c>
      <c r="N357">
        <f t="shared" ca="1" si="108"/>
        <v>-0.84000000000000341</v>
      </c>
      <c r="O357">
        <f t="shared" ca="1" si="109"/>
        <v>0</v>
      </c>
      <c r="P357">
        <f t="shared" ca="1" si="110"/>
        <v>0.84000000000000341</v>
      </c>
      <c r="Q357">
        <f t="shared" ca="1" si="114"/>
        <v>0.27373701981834314</v>
      </c>
      <c r="R357">
        <f t="shared" ca="1" si="115"/>
        <v>0.29278963373859018</v>
      </c>
      <c r="S357">
        <f t="shared" ca="1" si="112"/>
        <v>0.93492729343943348</v>
      </c>
      <c r="T357">
        <f t="shared" ca="1" si="113"/>
        <v>48.318471531690051</v>
      </c>
      <c r="U357">
        <f>70</f>
        <v>70</v>
      </c>
      <c r="V357">
        <f>30</f>
        <v>30</v>
      </c>
      <c r="W357">
        <f t="shared" ca="1" si="111"/>
        <v>71.521836562576937</v>
      </c>
      <c r="X357">
        <f t="shared" ca="1" si="121"/>
        <v>71.418553594521399</v>
      </c>
      <c r="Y357">
        <f t="shared" ca="1" si="120"/>
        <v>8.3520059447010908E-2</v>
      </c>
      <c r="Z357">
        <f t="shared" ca="1" si="101"/>
        <v>8.3740188461686779E-2</v>
      </c>
      <c r="AA357">
        <f t="shared" ca="1" si="102"/>
        <v>-2.2012901467587109E-4</v>
      </c>
      <c r="AB357">
        <f t="shared" ca="1" si="103"/>
        <v>69.069299999999998</v>
      </c>
    </row>
    <row r="358" spans="1:28" x14ac:dyDescent="0.25">
      <c r="A358" s="20">
        <f t="shared" ca="1" si="104"/>
        <v>45810</v>
      </c>
      <c r="B358" vm="1007">
        <f ca="1"/>
        <v>45812</v>
      </c>
      <c r="C358" vm="1008">
        <f ca="1"/>
        <v>71.37</v>
      </c>
      <c r="D358" vm="1009">
        <f ca="1"/>
        <v>13565891</v>
      </c>
      <c r="E358">
        <f t="shared" ca="1" si="105"/>
        <v>968197640.67000008</v>
      </c>
      <c r="F358">
        <f ca="1">SUM($E$2:E358)/SUM($D$2:D358)</f>
        <v>65.689385563560734</v>
      </c>
      <c r="G358">
        <f ca="1">_xlfn.STDEV.P($C$2:C358)</f>
        <v>4.5268979160446134</v>
      </c>
      <c r="H358">
        <f t="shared" ca="1" si="106"/>
        <v>70.216283479605352</v>
      </c>
      <c r="I358">
        <f t="shared" ca="1" si="107"/>
        <v>61.162487647516123</v>
      </c>
      <c r="J358">
        <f t="shared" ca="1" si="116"/>
        <v>71.239000000000004</v>
      </c>
      <c r="K358">
        <f t="shared" ca="1" si="117"/>
        <v>0.97539681533641653</v>
      </c>
      <c r="L358">
        <f t="shared" ca="1" si="118"/>
        <v>73.189793630672838</v>
      </c>
      <c r="M358">
        <f t="shared" ca="1" si="119"/>
        <v>69.28820636932717</v>
      </c>
      <c r="N358">
        <f t="shared" ca="1" si="108"/>
        <v>0.21000000000000796</v>
      </c>
      <c r="O358">
        <f t="shared" ca="1" si="109"/>
        <v>0.21000000000000796</v>
      </c>
      <c r="P358">
        <f t="shared" ca="1" si="110"/>
        <v>0</v>
      </c>
      <c r="Q358">
        <f t="shared" ca="1" si="114"/>
        <v>0.26918437554560493</v>
      </c>
      <c r="R358">
        <f t="shared" ca="1" si="115"/>
        <v>0.27187608847154804</v>
      </c>
      <c r="S358">
        <f t="shared" ca="1" si="112"/>
        <v>0.99009948634660894</v>
      </c>
      <c r="T358">
        <f t="shared" ca="1" si="113"/>
        <v>49.751255811045752</v>
      </c>
      <c r="U358">
        <f>70</f>
        <v>70</v>
      </c>
      <c r="V358">
        <f>30</f>
        <v>30</v>
      </c>
      <c r="W358">
        <f t="shared" ca="1" si="111"/>
        <v>71.49847709141126</v>
      </c>
      <c r="X358">
        <f t="shared" ca="1" si="121"/>
        <v>71.414957031964249</v>
      </c>
      <c r="Y358">
        <f t="shared" ca="1" si="120"/>
        <v>3.0389346896768643E-2</v>
      </c>
      <c r="Z358">
        <f t="shared" ref="Z358:Z421" ca="1" si="122">Y358*(2/(9+1)) + Z357*(1-(2/(9+1)))</f>
        <v>7.307002014870316E-2</v>
      </c>
      <c r="AA358">
        <f t="shared" ref="AA358:AA421" ca="1" si="123">Y358-Z358</f>
        <v>-4.2680673251934517E-2</v>
      </c>
      <c r="AB358">
        <f t="shared" ref="AB358:AB421" ca="1" si="124">AVERAGE(C259:C358)</f>
        <v>69.165899999999979</v>
      </c>
    </row>
    <row r="359" spans="1:28" x14ac:dyDescent="0.25">
      <c r="A359" s="20">
        <f t="shared" ca="1" si="104"/>
        <v>45810</v>
      </c>
      <c r="B359" vm="1010">
        <f ca="1"/>
        <v>45813</v>
      </c>
      <c r="C359" vm="1011">
        <f ca="1"/>
        <v>70.91</v>
      </c>
      <c r="D359" vm="1012">
        <f ca="1"/>
        <v>13535619</v>
      </c>
      <c r="E359">
        <f t="shared" ca="1" si="105"/>
        <v>959810743.28999996</v>
      </c>
      <c r="F359">
        <f ca="1">SUM($E$2:E359)/SUM($D$2:D359)</f>
        <v>65.702507734617029</v>
      </c>
      <c r="G359">
        <f ca="1">_xlfn.STDEV.P($C$2:C359)</f>
        <v>4.5299154996540976</v>
      </c>
      <c r="H359">
        <f t="shared" ca="1" si="106"/>
        <v>70.232423234271124</v>
      </c>
      <c r="I359">
        <f t="shared" ca="1" si="107"/>
        <v>61.172592234962934</v>
      </c>
      <c r="J359">
        <f t="shared" ca="1" si="116"/>
        <v>71.164500000000004</v>
      </c>
      <c r="K359">
        <f t="shared" ca="1" si="117"/>
        <v>0.93824850820978989</v>
      </c>
      <c r="L359">
        <f t="shared" ca="1" si="118"/>
        <v>73.040997016419581</v>
      </c>
      <c r="M359">
        <f t="shared" ca="1" si="119"/>
        <v>69.288002983580427</v>
      </c>
      <c r="N359">
        <f t="shared" ca="1" si="108"/>
        <v>-0.46000000000000796</v>
      </c>
      <c r="O359">
        <f t="shared" ca="1" si="109"/>
        <v>0</v>
      </c>
      <c r="P359">
        <f t="shared" ca="1" si="110"/>
        <v>0.46000000000000796</v>
      </c>
      <c r="Q359">
        <f t="shared" ca="1" si="114"/>
        <v>0.24995692014949028</v>
      </c>
      <c r="R359">
        <f t="shared" ca="1" si="115"/>
        <v>0.28531351072358085</v>
      </c>
      <c r="S359">
        <f t="shared" ca="1" si="112"/>
        <v>0.87607810620526494</v>
      </c>
      <c r="T359">
        <f t="shared" ca="1" si="113"/>
        <v>46.697315176141807</v>
      </c>
      <c r="U359">
        <f>70</f>
        <v>70</v>
      </c>
      <c r="V359">
        <f>30</f>
        <v>30</v>
      </c>
      <c r="W359">
        <f t="shared" ca="1" si="111"/>
        <v>71.407942154271069</v>
      </c>
      <c r="X359">
        <f t="shared" ca="1" si="121"/>
        <v>71.3775528073743</v>
      </c>
      <c r="Y359">
        <f t="shared" ca="1" si="120"/>
        <v>2.3516118010988407E-2</v>
      </c>
      <c r="Z359">
        <f t="shared" ca="1" si="122"/>
        <v>6.3159239721160221E-2</v>
      </c>
      <c r="AA359">
        <f t="shared" ca="1" si="123"/>
        <v>-3.9643121710171814E-2</v>
      </c>
      <c r="AB359">
        <f t="shared" ca="1" si="124"/>
        <v>69.264299999999992</v>
      </c>
    </row>
    <row r="360" spans="1:28" x14ac:dyDescent="0.25">
      <c r="A360" s="20">
        <f t="shared" ca="1" si="104"/>
        <v>45810</v>
      </c>
      <c r="B360" vm="1013">
        <f ca="1"/>
        <v>45814</v>
      </c>
      <c r="C360" vm="809">
        <f ca="1"/>
        <v>71.349999999999994</v>
      </c>
      <c r="D360" vm="1014">
        <f ca="1"/>
        <v>9524036</v>
      </c>
      <c r="E360">
        <f t="shared" ca="1" si="105"/>
        <v>679539968.5999999</v>
      </c>
      <c r="F360">
        <f ca="1">SUM($E$2:E360)/SUM($D$2:D360)</f>
        <v>65.712478195097063</v>
      </c>
      <c r="G360">
        <f ca="1">_xlfn.STDEV.P($C$2:C360)</f>
        <v>4.5344030816143945</v>
      </c>
      <c r="H360">
        <f t="shared" ca="1" si="106"/>
        <v>70.246881276711463</v>
      </c>
      <c r="I360">
        <f t="shared" ca="1" si="107"/>
        <v>61.17807511348267</v>
      </c>
      <c r="J360">
        <f t="shared" ca="1" si="116"/>
        <v>71.173500000000004</v>
      </c>
      <c r="K360">
        <f t="shared" ca="1" si="117"/>
        <v>0.93916690406136649</v>
      </c>
      <c r="L360">
        <f t="shared" ca="1" si="118"/>
        <v>73.051833808122737</v>
      </c>
      <c r="M360">
        <f t="shared" ca="1" si="119"/>
        <v>69.295166191877271</v>
      </c>
      <c r="N360">
        <f t="shared" ca="1" si="108"/>
        <v>0.43999999999999773</v>
      </c>
      <c r="O360">
        <f t="shared" ca="1" si="109"/>
        <v>0.43999999999999773</v>
      </c>
      <c r="P360">
        <f t="shared" ca="1" si="110"/>
        <v>0</v>
      </c>
      <c r="Q360">
        <f t="shared" ca="1" si="114"/>
        <v>0.26353142585309797</v>
      </c>
      <c r="R360">
        <f t="shared" ca="1" si="115"/>
        <v>0.2649339742433251</v>
      </c>
      <c r="S360">
        <f t="shared" ca="1" si="112"/>
        <v>0.99470604555632047</v>
      </c>
      <c r="T360">
        <f t="shared" ca="1" si="113"/>
        <v>49.86729988472554</v>
      </c>
      <c r="U360">
        <f>70</f>
        <v>70</v>
      </c>
      <c r="V360">
        <f>30</f>
        <v>30</v>
      </c>
      <c r="W360">
        <f t="shared" ca="1" si="111"/>
        <v>71.399027976690903</v>
      </c>
      <c r="X360">
        <f t="shared" ca="1" si="121"/>
        <v>71.375511858679914</v>
      </c>
      <c r="Y360">
        <f t="shared" ca="1" si="120"/>
        <v>5.1367393180129284E-2</v>
      </c>
      <c r="Z360">
        <f t="shared" ca="1" si="122"/>
        <v>6.0800870412954039E-2</v>
      </c>
      <c r="AA360">
        <f t="shared" ca="1" si="123"/>
        <v>-9.4334772328247551E-3</v>
      </c>
      <c r="AB360">
        <f t="shared" ca="1" si="124"/>
        <v>69.361299999999986</v>
      </c>
    </row>
    <row r="361" spans="1:28" x14ac:dyDescent="0.25">
      <c r="A361" s="20">
        <f t="shared" ca="1" si="104"/>
        <v>45817</v>
      </c>
      <c r="B361" vm="1015">
        <f ca="1"/>
        <v>45817</v>
      </c>
      <c r="C361" vm="990">
        <f ca="1"/>
        <v>71.77</v>
      </c>
      <c r="D361" vm="1016">
        <f ca="1"/>
        <v>12281339</v>
      </c>
      <c r="E361">
        <f t="shared" ca="1" si="105"/>
        <v>881431700.02999997</v>
      </c>
      <c r="F361">
        <f ca="1">SUM($E$2:E361)/SUM($D$2:D361)</f>
        <v>65.72623734693326</v>
      </c>
      <c r="G361">
        <f ca="1">_xlfn.STDEV.P($C$2:C361)</f>
        <v>4.5403721903103058</v>
      </c>
      <c r="H361">
        <f t="shared" ca="1" si="106"/>
        <v>70.266609537243568</v>
      </c>
      <c r="I361">
        <f t="shared" ca="1" si="107"/>
        <v>61.185865156622953</v>
      </c>
      <c r="J361">
        <f t="shared" ca="1" si="116"/>
        <v>71.236000000000004</v>
      </c>
      <c r="K361">
        <f t="shared" ca="1" si="117"/>
        <v>0.93497199507736506</v>
      </c>
      <c r="L361">
        <f t="shared" ca="1" si="118"/>
        <v>73.105943990154728</v>
      </c>
      <c r="M361">
        <f t="shared" ca="1" si="119"/>
        <v>69.366056009845281</v>
      </c>
      <c r="N361">
        <f t="shared" ca="1" si="108"/>
        <v>0.42000000000000171</v>
      </c>
      <c r="O361">
        <f t="shared" ca="1" si="109"/>
        <v>0.42000000000000171</v>
      </c>
      <c r="P361">
        <f t="shared" ca="1" si="110"/>
        <v>0</v>
      </c>
      <c r="Q361">
        <f t="shared" ca="1" si="114"/>
        <v>0.27470775257787683</v>
      </c>
      <c r="R361">
        <f t="shared" ca="1" si="115"/>
        <v>0.24601011894023045</v>
      </c>
      <c r="S361">
        <f t="shared" ca="1" si="112"/>
        <v>1.1166522489451689</v>
      </c>
      <c r="T361">
        <f t="shared" ca="1" si="113"/>
        <v>52.75558370543159</v>
      </c>
      <c r="U361">
        <f>70</f>
        <v>70</v>
      </c>
      <c r="V361">
        <f>30</f>
        <v>30</v>
      </c>
      <c r="W361">
        <f t="shared" ca="1" si="111"/>
        <v>71.456100595661539</v>
      </c>
      <c r="X361">
        <f t="shared" ca="1" si="121"/>
        <v>71.40473320248141</v>
      </c>
      <c r="Y361">
        <f t="shared" ca="1" si="120"/>
        <v>0.11887061568381796</v>
      </c>
      <c r="Z361">
        <f t="shared" ca="1" si="122"/>
        <v>7.2414819467126829E-2</v>
      </c>
      <c r="AA361">
        <f t="shared" ca="1" si="123"/>
        <v>4.6455796216691131E-2</v>
      </c>
      <c r="AB361">
        <f t="shared" ca="1" si="124"/>
        <v>69.45859999999999</v>
      </c>
    </row>
    <row r="362" spans="1:28" x14ac:dyDescent="0.25">
      <c r="A362" s="20">
        <f t="shared" ca="1" si="104"/>
        <v>45817</v>
      </c>
      <c r="B362" vm="1017">
        <f ca="1"/>
        <v>45818</v>
      </c>
      <c r="C362" vm="941">
        <f ca="1"/>
        <v>72.349999999999994</v>
      </c>
      <c r="D362" vm="1018">
        <f ca="1"/>
        <v>12264972</v>
      </c>
      <c r="E362">
        <f t="shared" ca="1" si="105"/>
        <v>887370724.19999993</v>
      </c>
      <c r="F362">
        <f ca="1">SUM($E$2:E362)/SUM($D$2:D362)</f>
        <v>65.741228610783125</v>
      </c>
      <c r="G362">
        <f ca="1">_xlfn.STDEV.P($C$2:C362)</f>
        <v>4.5485619755035307</v>
      </c>
      <c r="H362">
        <f t="shared" ca="1" si="106"/>
        <v>70.289790586286657</v>
      </c>
      <c r="I362">
        <f t="shared" ca="1" si="107"/>
        <v>61.192666635279593</v>
      </c>
      <c r="J362">
        <f t="shared" ca="1" si="116"/>
        <v>71.376999999999981</v>
      </c>
      <c r="K362">
        <f t="shared" ca="1" si="117"/>
        <v>0.87485998879820837</v>
      </c>
      <c r="L362">
        <f t="shared" ca="1" si="118"/>
        <v>73.126719977596395</v>
      </c>
      <c r="M362">
        <f t="shared" ca="1" si="119"/>
        <v>69.627280022403568</v>
      </c>
      <c r="N362">
        <f t="shared" ca="1" si="108"/>
        <v>0.57999999999999829</v>
      </c>
      <c r="O362">
        <f t="shared" ca="1" si="109"/>
        <v>0.57999999999999829</v>
      </c>
      <c r="P362">
        <f t="shared" ca="1" si="110"/>
        <v>0</v>
      </c>
      <c r="Q362">
        <f t="shared" ca="1" si="114"/>
        <v>0.29651434167945695</v>
      </c>
      <c r="R362">
        <f t="shared" ca="1" si="115"/>
        <v>0.22843796758735685</v>
      </c>
      <c r="S362">
        <f t="shared" ca="1" si="112"/>
        <v>1.2980081411644806</v>
      </c>
      <c r="T362">
        <f t="shared" ca="1" si="113"/>
        <v>56.484053207345674</v>
      </c>
      <c r="U362">
        <f>70</f>
        <v>70</v>
      </c>
      <c r="V362">
        <f>30</f>
        <v>30</v>
      </c>
      <c r="W362">
        <f t="shared" ca="1" si="111"/>
        <v>71.593623580944382</v>
      </c>
      <c r="X362">
        <f t="shared" ca="1" si="121"/>
        <v>71.474752965260564</v>
      </c>
      <c r="Y362">
        <f t="shared" ca="1" si="120"/>
        <v>0.14806692259487875</v>
      </c>
      <c r="Z362">
        <f t="shared" ca="1" si="122"/>
        <v>8.7545240092677223E-2</v>
      </c>
      <c r="AA362">
        <f t="shared" ca="1" si="123"/>
        <v>6.0521682502201524E-2</v>
      </c>
      <c r="AB362">
        <f t="shared" ca="1" si="124"/>
        <v>69.564399999999992</v>
      </c>
    </row>
    <row r="363" spans="1:28" x14ac:dyDescent="0.25">
      <c r="A363" s="20">
        <f t="shared" ca="1" si="104"/>
        <v>45817</v>
      </c>
      <c r="B363" vm="1019">
        <f ca="1"/>
        <v>45819</v>
      </c>
      <c r="C363" vm="1020">
        <f ca="1"/>
        <v>72.069999999999993</v>
      </c>
      <c r="D363" vm="1021">
        <f ca="1"/>
        <v>12718510</v>
      </c>
      <c r="E363">
        <f t="shared" ca="1" si="105"/>
        <v>916623015.69999993</v>
      </c>
      <c r="F363">
        <f ca="1">SUM($E$2:E363)/SUM($D$2:D363)</f>
        <v>65.756047119400009</v>
      </c>
      <c r="G363">
        <f ca="1">_xlfn.STDEV.P($C$2:C363)</f>
        <v>4.5554710454995115</v>
      </c>
      <c r="H363">
        <f t="shared" ca="1" si="106"/>
        <v>70.311518164899525</v>
      </c>
      <c r="I363">
        <f t="shared" ca="1" si="107"/>
        <v>61.2005760739005</v>
      </c>
      <c r="J363">
        <f t="shared" ca="1" si="116"/>
        <v>71.532499999999985</v>
      </c>
      <c r="K363">
        <f t="shared" ca="1" si="117"/>
        <v>0.67656154658374512</v>
      </c>
      <c r="L363">
        <f t="shared" ca="1" si="118"/>
        <v>72.885623093167482</v>
      </c>
      <c r="M363">
        <f t="shared" ca="1" si="119"/>
        <v>70.179376906832488</v>
      </c>
      <c r="N363">
        <f t="shared" ca="1" si="108"/>
        <v>-0.28000000000000114</v>
      </c>
      <c r="O363">
        <f t="shared" ca="1" si="109"/>
        <v>0</v>
      </c>
      <c r="P363">
        <f t="shared" ca="1" si="110"/>
        <v>0.28000000000000114</v>
      </c>
      <c r="Q363">
        <f t="shared" ca="1" si="114"/>
        <v>0.27533474584521006</v>
      </c>
      <c r="R363">
        <f t="shared" ca="1" si="115"/>
        <v>0.23212096990254572</v>
      </c>
      <c r="S363">
        <f t="shared" ca="1" si="112"/>
        <v>1.186169202897986</v>
      </c>
      <c r="T363">
        <f t="shared" ca="1" si="113"/>
        <v>54.257886412707677</v>
      </c>
      <c r="U363">
        <f>70</f>
        <v>70</v>
      </c>
      <c r="V363">
        <f>30</f>
        <v>30</v>
      </c>
      <c r="W363">
        <f t="shared" ca="1" si="111"/>
        <v>71.666912260799094</v>
      </c>
      <c r="X363">
        <f t="shared" ca="1" si="121"/>
        <v>71.518845338204216</v>
      </c>
      <c r="Y363">
        <f t="shared" ca="1" si="120"/>
        <v>0.18281540325060064</v>
      </c>
      <c r="Z363">
        <f t="shared" ca="1" si="122"/>
        <v>0.10659927272426192</v>
      </c>
      <c r="AA363">
        <f t="shared" ca="1" si="123"/>
        <v>7.6216130526338716E-2</v>
      </c>
      <c r="AB363">
        <f t="shared" ca="1" si="124"/>
        <v>69.662599999999998</v>
      </c>
    </row>
    <row r="364" spans="1:28" x14ac:dyDescent="0.25">
      <c r="A364" s="20">
        <f t="shared" ca="1" si="104"/>
        <v>45817</v>
      </c>
      <c r="B364" vm="1022">
        <f ca="1"/>
        <v>45820</v>
      </c>
      <c r="C364" vm="1023">
        <f ca="1"/>
        <v>72.239999999999995</v>
      </c>
      <c r="D364" vm="1024">
        <f ca="1"/>
        <v>12806911</v>
      </c>
      <c r="E364">
        <f t="shared" ca="1" si="105"/>
        <v>925171250.63999999</v>
      </c>
      <c r="F364">
        <f ca="1">SUM($E$2:E364)/SUM($D$2:D364)</f>
        <v>65.771298541916295</v>
      </c>
      <c r="G364">
        <f ca="1">_xlfn.STDEV.P($C$2:C364)</f>
        <v>4.5629419464299721</v>
      </c>
      <c r="H364">
        <f t="shared" ca="1" si="106"/>
        <v>70.334240488346268</v>
      </c>
      <c r="I364">
        <f t="shared" ca="1" si="107"/>
        <v>61.208356595486322</v>
      </c>
      <c r="J364">
        <f t="shared" ca="1" si="116"/>
        <v>71.686499999999995</v>
      </c>
      <c r="K364">
        <f t="shared" ca="1" si="117"/>
        <v>0.40356666442061095</v>
      </c>
      <c r="L364">
        <f t="shared" ca="1" si="118"/>
        <v>72.493633328841213</v>
      </c>
      <c r="M364">
        <f t="shared" ca="1" si="119"/>
        <v>70.879366671158778</v>
      </c>
      <c r="N364">
        <f t="shared" ca="1" si="108"/>
        <v>0.17000000000000171</v>
      </c>
      <c r="O364">
        <f t="shared" ca="1" si="109"/>
        <v>0.17000000000000171</v>
      </c>
      <c r="P364">
        <f t="shared" ca="1" si="110"/>
        <v>0</v>
      </c>
      <c r="Q364">
        <f t="shared" ca="1" si="114"/>
        <v>0.26781083542769518</v>
      </c>
      <c r="R364">
        <f t="shared" ca="1" si="115"/>
        <v>0.21554090062379247</v>
      </c>
      <c r="S364">
        <f t="shared" ca="1" si="112"/>
        <v>1.2425058754632154</v>
      </c>
      <c r="T364">
        <f t="shared" ca="1" si="113"/>
        <v>55.407028764487023</v>
      </c>
      <c r="U364">
        <f>70</f>
        <v>70</v>
      </c>
      <c r="V364">
        <f>30</f>
        <v>30</v>
      </c>
      <c r="W364">
        <f t="shared" ca="1" si="111"/>
        <v>71.755079605291542</v>
      </c>
      <c r="X364">
        <f t="shared" ca="1" si="121"/>
        <v>71.572264202040941</v>
      </c>
      <c r="Y364">
        <f t="shared" ca="1" si="120"/>
        <v>0.11063469261618764</v>
      </c>
      <c r="Z364">
        <f t="shared" ca="1" si="122"/>
        <v>0.10740635670264706</v>
      </c>
      <c r="AA364">
        <f t="shared" ca="1" si="123"/>
        <v>3.2283359135405754E-3</v>
      </c>
      <c r="AB364">
        <f t="shared" ca="1" si="124"/>
        <v>69.757899999999992</v>
      </c>
    </row>
    <row r="365" spans="1:28" x14ac:dyDescent="0.25">
      <c r="A365" s="20">
        <f t="shared" ca="1" si="104"/>
        <v>45817</v>
      </c>
      <c r="B365" vm="1025">
        <f ca="1"/>
        <v>45821</v>
      </c>
      <c r="C365" vm="1026">
        <f ca="1"/>
        <v>71.02</v>
      </c>
      <c r="D365" vm="1027">
        <f ca="1"/>
        <v>17467162</v>
      </c>
      <c r="E365">
        <f t="shared" ca="1" si="105"/>
        <v>1240517845.24</v>
      </c>
      <c r="F365">
        <f ca="1">SUM($E$2:E365)/SUM($D$2:D365)</f>
        <v>65.788083076318202</v>
      </c>
      <c r="G365">
        <f ca="1">_xlfn.STDEV.P($C$2:C365)</f>
        <v>4.5658031655638753</v>
      </c>
      <c r="H365">
        <f t="shared" ca="1" si="106"/>
        <v>70.35388624188208</v>
      </c>
      <c r="I365">
        <f t="shared" ca="1" si="107"/>
        <v>61.222279910754324</v>
      </c>
      <c r="J365">
        <f t="shared" ca="1" si="116"/>
        <v>71.656999999999982</v>
      </c>
      <c r="K365">
        <f t="shared" ca="1" si="117"/>
        <v>0.43014195943101979</v>
      </c>
      <c r="L365">
        <f t="shared" ca="1" si="118"/>
        <v>72.51728391886202</v>
      </c>
      <c r="M365">
        <f t="shared" ca="1" si="119"/>
        <v>70.796716081137944</v>
      </c>
      <c r="N365">
        <f t="shared" ca="1" si="108"/>
        <v>-1.2199999999999989</v>
      </c>
      <c r="O365">
        <f t="shared" ca="1" si="109"/>
        <v>0</v>
      </c>
      <c r="P365">
        <f t="shared" ca="1" si="110"/>
        <v>1.2199999999999989</v>
      </c>
      <c r="Q365">
        <f t="shared" ca="1" si="114"/>
        <v>0.24868149004000267</v>
      </c>
      <c r="R365">
        <f t="shared" ca="1" si="115"/>
        <v>0.28728797915066434</v>
      </c>
      <c r="S365">
        <f t="shared" ca="1" si="112"/>
        <v>0.86561745735133944</v>
      </c>
      <c r="T365">
        <f t="shared" ca="1" si="113"/>
        <v>46.398443257508788</v>
      </c>
      <c r="U365">
        <f>70</f>
        <v>70</v>
      </c>
      <c r="V365">
        <f>30</f>
        <v>30</v>
      </c>
      <c r="W365">
        <f t="shared" ca="1" si="111"/>
        <v>71.641990435246697</v>
      </c>
      <c r="X365">
        <f t="shared" ca="1" si="121"/>
        <v>71.53135574263051</v>
      </c>
      <c r="Y365">
        <f t="shared" ca="1" si="120"/>
        <v>1.2936019696169865E-2</v>
      </c>
      <c r="Z365">
        <f t="shared" ca="1" si="122"/>
        <v>8.8512289301351632E-2</v>
      </c>
      <c r="AA365">
        <f t="shared" ca="1" si="123"/>
        <v>-7.5576269605181767E-2</v>
      </c>
      <c r="AB365">
        <f t="shared" ca="1" si="124"/>
        <v>69.843899999999991</v>
      </c>
    </row>
    <row r="366" spans="1:28" x14ac:dyDescent="0.25">
      <c r="A366" s="20">
        <f t="shared" ca="1" si="104"/>
        <v>45824</v>
      </c>
      <c r="B366" vm="1028">
        <f ca="1"/>
        <v>45824</v>
      </c>
      <c r="C366" vm="553">
        <f ca="1"/>
        <v>70.52</v>
      </c>
      <c r="D366" vm="1029">
        <f ca="1"/>
        <v>15045880</v>
      </c>
      <c r="E366">
        <f t="shared" ca="1" si="105"/>
        <v>1061035457.5999999</v>
      </c>
      <c r="F366">
        <f ca="1">SUM($E$2:E366)/SUM($D$2:D366)</f>
        <v>65.801081633154581</v>
      </c>
      <c r="G366">
        <f ca="1">_xlfn.STDEV.P($C$2:C366)</f>
        <v>4.5670271157010758</v>
      </c>
      <c r="H366">
        <f t="shared" ca="1" si="106"/>
        <v>70.368108748855661</v>
      </c>
      <c r="I366">
        <f t="shared" ca="1" si="107"/>
        <v>61.234054517453508</v>
      </c>
      <c r="J366">
        <f t="shared" ca="1" si="116"/>
        <v>71.582999999999998</v>
      </c>
      <c r="K366">
        <f t="shared" ca="1" si="117"/>
        <v>0.49102577914960127</v>
      </c>
      <c r="L366">
        <f t="shared" ca="1" si="118"/>
        <v>72.565051558299203</v>
      </c>
      <c r="M366">
        <f t="shared" ca="1" si="119"/>
        <v>70.600948441700794</v>
      </c>
      <c r="N366">
        <f t="shared" ca="1" si="108"/>
        <v>-0.5</v>
      </c>
      <c r="O366">
        <f t="shared" ca="1" si="109"/>
        <v>0</v>
      </c>
      <c r="P366">
        <f t="shared" ca="1" si="110"/>
        <v>0.5</v>
      </c>
      <c r="Q366">
        <f t="shared" ca="1" si="114"/>
        <v>0.23091852646571676</v>
      </c>
      <c r="R366">
        <f t="shared" ca="1" si="115"/>
        <v>0.30248169492561688</v>
      </c>
      <c r="S366">
        <f t="shared" ca="1" si="112"/>
        <v>0.76341322579041293</v>
      </c>
      <c r="T366">
        <f t="shared" ca="1" si="113"/>
        <v>43.291794267235858</v>
      </c>
      <c r="U366">
        <f>70</f>
        <v>70</v>
      </c>
      <c r="V366">
        <f>30</f>
        <v>30</v>
      </c>
      <c r="W366">
        <f t="shared" ca="1" si="111"/>
        <v>71.469376522131824</v>
      </c>
      <c r="X366">
        <f t="shared" ca="1" si="121"/>
        <v>71.456440502435655</v>
      </c>
      <c r="Y366">
        <f t="shared" ca="1" si="120"/>
        <v>-0.13555081543714209</v>
      </c>
      <c r="Z366">
        <f t="shared" ca="1" si="122"/>
        <v>4.3699668353652896E-2</v>
      </c>
      <c r="AA366">
        <f t="shared" ca="1" si="123"/>
        <v>-0.179250483790795</v>
      </c>
      <c r="AB366">
        <f t="shared" ca="1" si="124"/>
        <v>69.931300000000007</v>
      </c>
    </row>
    <row r="367" spans="1:28" x14ac:dyDescent="0.25">
      <c r="A367" s="20">
        <f t="shared" ca="1" si="104"/>
        <v>45824</v>
      </c>
      <c r="B367" vm="1030">
        <f ca="1"/>
        <v>45825</v>
      </c>
      <c r="C367" vm="850">
        <f ca="1"/>
        <v>69.62</v>
      </c>
      <c r="D367" vm="1031">
        <f ca="1"/>
        <v>15437032</v>
      </c>
      <c r="E367">
        <f t="shared" ca="1" si="105"/>
        <v>1074726167.8400002</v>
      </c>
      <c r="F367">
        <f ca="1">SUM($E$2:E367)/SUM($D$2:D367)</f>
        <v>65.811814662417476</v>
      </c>
      <c r="G367">
        <f ca="1">_xlfn.STDEV.P($C$2:C367)</f>
        <v>4.5657677619818591</v>
      </c>
      <c r="H367">
        <f t="shared" ca="1" si="106"/>
        <v>70.377582424399336</v>
      </c>
      <c r="I367">
        <f t="shared" ca="1" si="107"/>
        <v>61.246046900435616</v>
      </c>
      <c r="J367">
        <f t="shared" ca="1" si="116"/>
        <v>71.467500000000001</v>
      </c>
      <c r="K367">
        <f t="shared" ca="1" si="117"/>
        <v>0.65079607122030703</v>
      </c>
      <c r="L367">
        <f t="shared" ca="1" si="118"/>
        <v>72.769092142440613</v>
      </c>
      <c r="M367">
        <f t="shared" ca="1" si="119"/>
        <v>70.16590785755939</v>
      </c>
      <c r="N367">
        <f t="shared" ca="1" si="108"/>
        <v>-0.89999999999999147</v>
      </c>
      <c r="O367">
        <f t="shared" ca="1" si="109"/>
        <v>0</v>
      </c>
      <c r="P367">
        <f t="shared" ca="1" si="110"/>
        <v>0.89999999999999147</v>
      </c>
      <c r="Q367">
        <f t="shared" ca="1" si="114"/>
        <v>0.21442434600387986</v>
      </c>
      <c r="R367">
        <f t="shared" ca="1" si="115"/>
        <v>0.3451615738595008</v>
      </c>
      <c r="S367">
        <f t="shared" ca="1" si="112"/>
        <v>0.62122890334009784</v>
      </c>
      <c r="T367">
        <f t="shared" ca="1" si="113"/>
        <v>38.318395512208419</v>
      </c>
      <c r="U367">
        <f>70</f>
        <v>70</v>
      </c>
      <c r="V367">
        <f>30</f>
        <v>30</v>
      </c>
      <c r="W367">
        <f t="shared" ca="1" si="111"/>
        <v>71.184857057188466</v>
      </c>
      <c r="X367">
        <f t="shared" ca="1" si="121"/>
        <v>71.320407872625609</v>
      </c>
      <c r="Y367">
        <f t="shared" ca="1" si="120"/>
        <v>-0.28304846899813185</v>
      </c>
      <c r="Z367">
        <f t="shared" ca="1" si="122"/>
        <v>-2.1649959116704059E-2</v>
      </c>
      <c r="AA367">
        <f t="shared" ca="1" si="123"/>
        <v>-0.26139850988142777</v>
      </c>
      <c r="AB367">
        <f t="shared" ca="1" si="124"/>
        <v>70.012199999999993</v>
      </c>
    </row>
    <row r="368" spans="1:28" x14ac:dyDescent="0.25">
      <c r="A368" s="20">
        <f t="shared" ca="1" si="104"/>
        <v>45824</v>
      </c>
      <c r="B368" vm="1032">
        <f ca="1"/>
        <v>45826</v>
      </c>
      <c r="C368" vm="1033">
        <f ca="1"/>
        <v>69.209999999999994</v>
      </c>
      <c r="D368" vm="1034">
        <f ca="1"/>
        <v>16227582</v>
      </c>
      <c r="E368">
        <f t="shared" ca="1" si="105"/>
        <v>1123110950.2199998</v>
      </c>
      <c r="F368">
        <f ca="1">SUM($E$2:E368)/SUM($D$2:D368)</f>
        <v>65.821824748500092</v>
      </c>
      <c r="G368">
        <f ca="1">_xlfn.STDEV.P($C$2:C368)</f>
        <v>4.5635432277287524</v>
      </c>
      <c r="H368">
        <f t="shared" ca="1" si="106"/>
        <v>70.385367976228849</v>
      </c>
      <c r="I368">
        <f t="shared" ca="1" si="107"/>
        <v>61.258281520771341</v>
      </c>
      <c r="J368">
        <f t="shared" ca="1" si="116"/>
        <v>71.343499999999992</v>
      </c>
      <c r="K368">
        <f t="shared" ca="1" si="117"/>
        <v>0.82034828931952553</v>
      </c>
      <c r="L368">
        <f t="shared" ca="1" si="118"/>
        <v>72.984196578639043</v>
      </c>
      <c r="M368">
        <f t="shared" ca="1" si="119"/>
        <v>69.70280342136094</v>
      </c>
      <c r="N368">
        <f t="shared" ca="1" si="108"/>
        <v>-0.4100000000000108</v>
      </c>
      <c r="O368">
        <f t="shared" ca="1" si="109"/>
        <v>0</v>
      </c>
      <c r="P368">
        <f t="shared" ca="1" si="110"/>
        <v>0.4100000000000108</v>
      </c>
      <c r="Q368">
        <f t="shared" ca="1" si="114"/>
        <v>0.19910832128931702</v>
      </c>
      <c r="R368">
        <f t="shared" ca="1" si="115"/>
        <v>0.34979289001239439</v>
      </c>
      <c r="S368">
        <f t="shared" ca="1" si="112"/>
        <v>0.56921774848614537</v>
      </c>
      <c r="T368">
        <f t="shared" ca="1" si="113"/>
        <v>36.273981035154662</v>
      </c>
      <c r="U368">
        <f>70</f>
        <v>70</v>
      </c>
      <c r="V368">
        <f>30</f>
        <v>30</v>
      </c>
      <c r="W368">
        <f t="shared" ca="1" si="111"/>
        <v>70.881032894544092</v>
      </c>
      <c r="X368">
        <f t="shared" ca="1" si="121"/>
        <v>71.164081363542223</v>
      </c>
      <c r="Y368">
        <f t="shared" ca="1" si="120"/>
        <v>-0.42489935462000972</v>
      </c>
      <c r="Z368">
        <f t="shared" ca="1" si="122"/>
        <v>-0.10229983821736519</v>
      </c>
      <c r="AA368">
        <f t="shared" ca="1" si="123"/>
        <v>-0.3225995164026445</v>
      </c>
      <c r="AB368">
        <f t="shared" ca="1" si="124"/>
        <v>70.085099999999997</v>
      </c>
    </row>
    <row r="369" spans="1:28" x14ac:dyDescent="0.25">
      <c r="A369" s="20">
        <f t="shared" ca="1" si="104"/>
        <v>45824</v>
      </c>
      <c r="B369" vm="1035">
        <f ca="1"/>
        <v>45828</v>
      </c>
      <c r="C369" vm="1036">
        <f ca="1"/>
        <v>68.84</v>
      </c>
      <c r="D369" vm="1037">
        <f ca="1"/>
        <v>40859425</v>
      </c>
      <c r="E369">
        <f t="shared" ca="1" si="105"/>
        <v>2812762817</v>
      </c>
      <c r="F369">
        <f ca="1">SUM($E$2:E369)/SUM($D$2:D369)</f>
        <v>65.84404578744946</v>
      </c>
      <c r="G369">
        <f ca="1">_xlfn.STDEV.P($C$2:C369)</f>
        <v>4.5605452339885728</v>
      </c>
      <c r="H369">
        <f t="shared" ca="1" si="106"/>
        <v>70.404591021438037</v>
      </c>
      <c r="I369">
        <f t="shared" ca="1" si="107"/>
        <v>61.28350055346089</v>
      </c>
      <c r="J369">
        <f t="shared" ca="1" si="116"/>
        <v>71.192999999999998</v>
      </c>
      <c r="K369">
        <f t="shared" ca="1" si="117"/>
        <v>0.98259645301297582</v>
      </c>
      <c r="L369">
        <f t="shared" ca="1" si="118"/>
        <v>73.158192906025945</v>
      </c>
      <c r="M369">
        <f t="shared" ca="1" si="119"/>
        <v>69.22780709397405</v>
      </c>
      <c r="N369">
        <f t="shared" ca="1" si="108"/>
        <v>-0.36999999999999034</v>
      </c>
      <c r="O369">
        <f t="shared" ca="1" si="109"/>
        <v>0</v>
      </c>
      <c r="P369">
        <f t="shared" ca="1" si="110"/>
        <v>0.36999999999999034</v>
      </c>
      <c r="Q369">
        <f t="shared" ca="1" si="114"/>
        <v>0.18488629834008008</v>
      </c>
      <c r="R369">
        <f t="shared" ca="1" si="115"/>
        <v>0.3512362550115084</v>
      </c>
      <c r="S369">
        <f t="shared" ca="1" si="112"/>
        <v>0.52638728406332147</v>
      </c>
      <c r="T369">
        <f t="shared" ca="1" si="113"/>
        <v>34.48582738858066</v>
      </c>
      <c r="U369">
        <f>70</f>
        <v>70</v>
      </c>
      <c r="V369">
        <f>30</f>
        <v>30</v>
      </c>
      <c r="W369">
        <f t="shared" ca="1" si="111"/>
        <v>70.567027833845003</v>
      </c>
      <c r="X369">
        <f t="shared" ca="1" si="121"/>
        <v>70.991927188465013</v>
      </c>
      <c r="Y369">
        <f t="shared" ca="1" si="120"/>
        <v>-0.45939905868706887</v>
      </c>
      <c r="Z369">
        <f t="shared" ca="1" si="122"/>
        <v>-0.17371968231130591</v>
      </c>
      <c r="AA369">
        <f t="shared" ca="1" si="123"/>
        <v>-0.28567937637576296</v>
      </c>
      <c r="AB369">
        <f t="shared" ca="1" si="124"/>
        <v>70.134799999999998</v>
      </c>
    </row>
    <row r="370" spans="1:28" x14ac:dyDescent="0.25">
      <c r="A370" s="20">
        <f t="shared" ca="1" si="104"/>
        <v>45831</v>
      </c>
      <c r="B370" vm="1038">
        <f ca="1"/>
        <v>45831</v>
      </c>
      <c r="C370" vm="1039">
        <f ca="1"/>
        <v>69.739999999999995</v>
      </c>
      <c r="D370" vm="1040">
        <f ca="1"/>
        <v>21822773</v>
      </c>
      <c r="E370">
        <f t="shared" ca="1" si="105"/>
        <v>1521920189.02</v>
      </c>
      <c r="F370">
        <f ca="1">SUM($E$2:E370)/SUM($D$2:D370)</f>
        <v>65.859305524280472</v>
      </c>
      <c r="G370">
        <f ca="1">_xlfn.STDEV.P($C$2:C370)</f>
        <v>4.5595322288154776</v>
      </c>
      <c r="H370">
        <f t="shared" ca="1" si="106"/>
        <v>70.418837753095943</v>
      </c>
      <c r="I370">
        <f t="shared" ca="1" si="107"/>
        <v>61.299773295464995</v>
      </c>
      <c r="J370">
        <f t="shared" ca="1" si="116"/>
        <v>71.123000000000005</v>
      </c>
      <c r="K370">
        <f t="shared" ca="1" si="117"/>
        <v>1.0350392822446264</v>
      </c>
      <c r="L370">
        <f t="shared" ca="1" si="118"/>
        <v>73.193078564489255</v>
      </c>
      <c r="M370">
        <f t="shared" ca="1" si="119"/>
        <v>69.052921435510754</v>
      </c>
      <c r="N370">
        <f t="shared" ca="1" si="108"/>
        <v>0.89999999999999147</v>
      </c>
      <c r="O370">
        <f t="shared" ca="1" si="109"/>
        <v>0.89999999999999147</v>
      </c>
      <c r="P370">
        <f t="shared" ca="1" si="110"/>
        <v>0</v>
      </c>
      <c r="Q370">
        <f t="shared" ca="1" si="114"/>
        <v>0.23596584845864518</v>
      </c>
      <c r="R370">
        <f t="shared" ca="1" si="115"/>
        <v>0.32614795108211497</v>
      </c>
      <c r="S370">
        <f t="shared" ca="1" si="112"/>
        <v>0.72349327253395979</v>
      </c>
      <c r="T370">
        <f t="shared" ca="1" si="113"/>
        <v>41.978305576455568</v>
      </c>
      <c r="U370">
        <f>70</f>
        <v>70</v>
      </c>
      <c r="V370">
        <f>30</f>
        <v>30</v>
      </c>
      <c r="W370">
        <f t="shared" ca="1" si="111"/>
        <v>70.439792782484233</v>
      </c>
      <c r="X370">
        <f t="shared" ca="1" si="121"/>
        <v>70.899191841171302</v>
      </c>
      <c r="Y370">
        <f t="shared" ca="1" si="120"/>
        <v>-0.44370054695970396</v>
      </c>
      <c r="Z370">
        <f t="shared" ca="1" si="122"/>
        <v>-0.22771585524098553</v>
      </c>
      <c r="AA370">
        <f t="shared" ca="1" si="123"/>
        <v>-0.21598469171871842</v>
      </c>
      <c r="AB370">
        <f t="shared" ca="1" si="124"/>
        <v>70.20859999999999</v>
      </c>
    </row>
    <row r="371" spans="1:28" x14ac:dyDescent="0.25">
      <c r="A371" s="20">
        <f t="shared" ca="1" si="104"/>
        <v>45831</v>
      </c>
      <c r="B371" vm="1041">
        <f ca="1"/>
        <v>45832</v>
      </c>
      <c r="C371" vm="1042">
        <f ca="1"/>
        <v>70.209999999999994</v>
      </c>
      <c r="D371" vm="1043">
        <f ca="1"/>
        <v>15216084</v>
      </c>
      <c r="E371">
        <f t="shared" ca="1" si="105"/>
        <v>1068321257.6399999</v>
      </c>
      <c r="F371">
        <f ca="1">SUM($E$2:E371)/SUM($D$2:D371)</f>
        <v>65.871155031618187</v>
      </c>
      <c r="G371">
        <f ca="1">_xlfn.STDEV.P($C$2:C371)</f>
        <v>4.5597190749394505</v>
      </c>
      <c r="H371">
        <f t="shared" ca="1" si="106"/>
        <v>70.430874106557638</v>
      </c>
      <c r="I371">
        <f t="shared" ca="1" si="107"/>
        <v>61.311435956678736</v>
      </c>
      <c r="J371">
        <f t="shared" ca="1" si="116"/>
        <v>71.045000000000002</v>
      </c>
      <c r="K371">
        <f t="shared" ca="1" si="117"/>
        <v>1.0424692346842452</v>
      </c>
      <c r="L371">
        <f t="shared" ca="1" si="118"/>
        <v>73.129938469368497</v>
      </c>
      <c r="M371">
        <f t="shared" ca="1" si="119"/>
        <v>68.960061530631506</v>
      </c>
      <c r="N371">
        <f t="shared" ca="1" si="108"/>
        <v>0.46999999999999886</v>
      </c>
      <c r="O371">
        <f t="shared" ca="1" si="109"/>
        <v>0.46999999999999886</v>
      </c>
      <c r="P371">
        <f t="shared" ca="1" si="110"/>
        <v>0</v>
      </c>
      <c r="Q371">
        <f t="shared" ca="1" si="114"/>
        <v>0.25268257356874185</v>
      </c>
      <c r="R371">
        <f t="shared" ca="1" si="115"/>
        <v>0.30285166886196391</v>
      </c>
      <c r="S371">
        <f t="shared" ca="1" si="112"/>
        <v>0.83434433271659292</v>
      </c>
      <c r="T371">
        <f t="shared" ca="1" si="113"/>
        <v>45.484608196813369</v>
      </c>
      <c r="U371">
        <f>70</f>
        <v>70</v>
      </c>
      <c r="V371">
        <f>30</f>
        <v>30</v>
      </c>
      <c r="W371">
        <f t="shared" ca="1" si="111"/>
        <v>70.404440046717426</v>
      </c>
      <c r="X371">
        <f t="shared" ca="1" si="121"/>
        <v>70.84814059367713</v>
      </c>
      <c r="Y371">
        <f t="shared" ca="1" si="120"/>
        <v>-0.47261253296294115</v>
      </c>
      <c r="Z371">
        <f t="shared" ca="1" si="122"/>
        <v>-0.27669519078537663</v>
      </c>
      <c r="AA371">
        <f t="shared" ca="1" si="123"/>
        <v>-0.19591734217756451</v>
      </c>
      <c r="AB371">
        <f t="shared" ca="1" si="124"/>
        <v>70.282399999999996</v>
      </c>
    </row>
    <row r="372" spans="1:28" x14ac:dyDescent="0.25">
      <c r="A372" s="20">
        <f t="shared" ca="1" si="104"/>
        <v>45831</v>
      </c>
      <c r="B372" vm="1044">
        <f ca="1"/>
        <v>45833</v>
      </c>
      <c r="C372" vm="1045">
        <f ca="1"/>
        <v>69.63</v>
      </c>
      <c r="D372" vm="1046">
        <f ca="1"/>
        <v>12540374</v>
      </c>
      <c r="E372">
        <f t="shared" ca="1" si="105"/>
        <v>873186241.61999989</v>
      </c>
      <c r="F372">
        <f ca="1">SUM($E$2:E372)/SUM($D$2:D372)</f>
        <v>65.879573439526851</v>
      </c>
      <c r="G372">
        <f ca="1">_xlfn.STDEV.P($C$2:C372)</f>
        <v>4.5583893603596053</v>
      </c>
      <c r="H372">
        <f t="shared" ca="1" si="106"/>
        <v>70.437962799886463</v>
      </c>
      <c r="I372">
        <f t="shared" ca="1" si="107"/>
        <v>61.321184079167246</v>
      </c>
      <c r="J372">
        <f t="shared" ca="1" si="116"/>
        <v>70.9375</v>
      </c>
      <c r="K372">
        <f t="shared" ca="1" si="117"/>
        <v>1.0730913288252768</v>
      </c>
      <c r="L372">
        <f t="shared" ca="1" si="118"/>
        <v>73.083682657650556</v>
      </c>
      <c r="M372">
        <f t="shared" ca="1" si="119"/>
        <v>68.791317342349444</v>
      </c>
      <c r="N372">
        <f t="shared" ca="1" si="108"/>
        <v>-0.57999999999999829</v>
      </c>
      <c r="O372">
        <f t="shared" ca="1" si="109"/>
        <v>0</v>
      </c>
      <c r="P372">
        <f t="shared" ca="1" si="110"/>
        <v>0.57999999999999829</v>
      </c>
      <c r="Q372">
        <f t="shared" ca="1" si="114"/>
        <v>0.2346338183138317</v>
      </c>
      <c r="R372">
        <f t="shared" ca="1" si="115"/>
        <v>0.32264797822896635</v>
      </c>
      <c r="S372">
        <f t="shared" ca="1" si="112"/>
        <v>0.72721304376909623</v>
      </c>
      <c r="T372">
        <f t="shared" ca="1" si="113"/>
        <v>42.103262616763459</v>
      </c>
      <c r="U372">
        <f>70</f>
        <v>70</v>
      </c>
      <c r="V372">
        <f>30</f>
        <v>30</v>
      </c>
      <c r="W372">
        <f t="shared" ca="1" si="111"/>
        <v>70.285295424145517</v>
      </c>
      <c r="X372">
        <f t="shared" ca="1" si="121"/>
        <v>70.757907957108458</v>
      </c>
      <c r="Y372">
        <f t="shared" ca="1" si="120"/>
        <v>-0.50264200880064891</v>
      </c>
      <c r="Z372">
        <f t="shared" ca="1" si="122"/>
        <v>-0.32188455438843111</v>
      </c>
      <c r="AA372">
        <f t="shared" ca="1" si="123"/>
        <v>-0.1807574544122178</v>
      </c>
      <c r="AB372">
        <f t="shared" ca="1" si="124"/>
        <v>70.338200000000001</v>
      </c>
    </row>
    <row r="373" spans="1:28" x14ac:dyDescent="0.25">
      <c r="A373" s="20">
        <f t="shared" ca="1" si="104"/>
        <v>45831</v>
      </c>
      <c r="B373" vm="1047">
        <f ca="1"/>
        <v>45834</v>
      </c>
      <c r="C373" vm="1048">
        <f ca="1"/>
        <v>69.47</v>
      </c>
      <c r="D373" vm="1049">
        <f ca="1"/>
        <v>14454090</v>
      </c>
      <c r="E373">
        <f t="shared" ca="1" si="105"/>
        <v>1004125632.3</v>
      </c>
      <c r="F373">
        <f ca="1">SUM($E$2:E373)/SUM($D$2:D373)</f>
        <v>65.888817913851213</v>
      </c>
      <c r="G373">
        <f ca="1">_xlfn.STDEV.P($C$2:C373)</f>
        <v>4.5566686537580345</v>
      </c>
      <c r="H373">
        <f t="shared" ca="1" si="106"/>
        <v>70.445486567609251</v>
      </c>
      <c r="I373">
        <f t="shared" ca="1" si="107"/>
        <v>61.332149260093175</v>
      </c>
      <c r="J373">
        <f t="shared" ca="1" si="116"/>
        <v>70.853499999999997</v>
      </c>
      <c r="K373">
        <f t="shared" ca="1" si="117"/>
        <v>1.1202973054647487</v>
      </c>
      <c r="L373">
        <f t="shared" ca="1" si="118"/>
        <v>73.094094610929488</v>
      </c>
      <c r="M373">
        <f t="shared" ca="1" si="119"/>
        <v>68.612905389070505</v>
      </c>
      <c r="N373">
        <f t="shared" ca="1" si="108"/>
        <v>-0.15999999999999659</v>
      </c>
      <c r="O373">
        <f t="shared" ca="1" si="109"/>
        <v>0</v>
      </c>
      <c r="P373">
        <f t="shared" ca="1" si="110"/>
        <v>0.15999999999999659</v>
      </c>
      <c r="Q373">
        <f t="shared" ca="1" si="114"/>
        <v>0.21787425986284373</v>
      </c>
      <c r="R373">
        <f t="shared" ca="1" si="115"/>
        <v>0.31103026549832563</v>
      </c>
      <c r="S373">
        <f t="shared" ca="1" si="112"/>
        <v>0.70049215150741206</v>
      </c>
      <c r="T373">
        <f t="shared" ca="1" si="113"/>
        <v>41.193495123541517</v>
      </c>
      <c r="U373">
        <f>70</f>
        <v>70</v>
      </c>
      <c r="V373">
        <f>30</f>
        <v>30</v>
      </c>
      <c r="W373">
        <f t="shared" ca="1" si="111"/>
        <v>70.159865358892361</v>
      </c>
      <c r="X373">
        <f t="shared" ca="1" si="121"/>
        <v>70.66250736769301</v>
      </c>
      <c r="Y373">
        <f t="shared" ca="1" si="120"/>
        <v>-0.45183727324558731</v>
      </c>
      <c r="Z373">
        <f t="shared" ca="1" si="122"/>
        <v>-0.34787509815986239</v>
      </c>
      <c r="AA373">
        <f t="shared" ca="1" si="123"/>
        <v>-0.10396217508572492</v>
      </c>
      <c r="AB373">
        <f t="shared" ca="1" si="124"/>
        <v>70.398100000000014</v>
      </c>
    </row>
    <row r="374" spans="1:28" x14ac:dyDescent="0.25">
      <c r="A374" s="20">
        <f t="shared" ca="1" si="104"/>
        <v>45831</v>
      </c>
      <c r="B374" vm="1050">
        <f ca="1"/>
        <v>45835</v>
      </c>
      <c r="C374" vm="1051">
        <f ca="1"/>
        <v>70.33</v>
      </c>
      <c r="D374" vm="1052">
        <f ca="1"/>
        <v>23470691</v>
      </c>
      <c r="E374">
        <f t="shared" ca="1" si="105"/>
        <v>1650693698.03</v>
      </c>
      <c r="F374">
        <f ca="1">SUM($E$2:E374)/SUM($D$2:D374)</f>
        <v>65.907308807907725</v>
      </c>
      <c r="G374">
        <f ca="1">_xlfn.STDEV.P($C$2:C374)</f>
        <v>4.5570984343803742</v>
      </c>
      <c r="H374">
        <f t="shared" ca="1" si="106"/>
        <v>70.464407242288104</v>
      </c>
      <c r="I374">
        <f t="shared" ca="1" si="107"/>
        <v>61.350210373527354</v>
      </c>
      <c r="J374">
        <f t="shared" ca="1" si="116"/>
        <v>70.795500000000004</v>
      </c>
      <c r="K374">
        <f t="shared" ca="1" si="117"/>
        <v>1.1156280978137725</v>
      </c>
      <c r="L374">
        <f t="shared" ca="1" si="118"/>
        <v>73.026756195627556</v>
      </c>
      <c r="M374">
        <f t="shared" ca="1" si="119"/>
        <v>68.564243804372452</v>
      </c>
      <c r="N374">
        <f t="shared" ca="1" si="108"/>
        <v>0.85999999999999943</v>
      </c>
      <c r="O374">
        <f t="shared" ca="1" si="109"/>
        <v>0.85999999999999943</v>
      </c>
      <c r="P374">
        <f t="shared" ca="1" si="110"/>
        <v>0</v>
      </c>
      <c r="Q374">
        <f t="shared" ca="1" si="114"/>
        <v>0.26374038415835488</v>
      </c>
      <c r="R374">
        <f t="shared" ca="1" si="115"/>
        <v>0.28881381796273098</v>
      </c>
      <c r="S374">
        <f t="shared" ca="1" si="112"/>
        <v>0.91318478464347019</v>
      </c>
      <c r="T374">
        <f t="shared" ca="1" si="113"/>
        <v>47.731133551412071</v>
      </c>
      <c r="U374">
        <f>70</f>
        <v>70</v>
      </c>
      <c r="V374">
        <f>30</f>
        <v>30</v>
      </c>
      <c r="W374">
        <f t="shared" ca="1" si="111"/>
        <v>70.186039919062765</v>
      </c>
      <c r="X374">
        <f t="shared" ca="1" si="121"/>
        <v>70.637877192308352</v>
      </c>
      <c r="Y374">
        <f t="shared" ca="1" si="120"/>
        <v>-0.37337957703296354</v>
      </c>
      <c r="Z374">
        <f t="shared" ca="1" si="122"/>
        <v>-0.35297599393448265</v>
      </c>
      <c r="AA374">
        <f t="shared" ca="1" si="123"/>
        <v>-2.0403583098480893E-2</v>
      </c>
      <c r="AB374">
        <f t="shared" ca="1" si="124"/>
        <v>70.467900000000014</v>
      </c>
    </row>
    <row r="375" spans="1:28" x14ac:dyDescent="0.25">
      <c r="A375" s="20">
        <f t="shared" ca="1" si="104"/>
        <v>45838</v>
      </c>
      <c r="B375" vm="1053">
        <f ca="1"/>
        <v>45838</v>
      </c>
      <c r="C375" vm="1054">
        <f ca="1"/>
        <v>70.75</v>
      </c>
      <c r="D375" vm="1055">
        <f ca="1"/>
        <v>15428966</v>
      </c>
      <c r="E375">
        <f t="shared" ca="1" si="105"/>
        <v>1091599344.5</v>
      </c>
      <c r="F375">
        <f ca="1">SUM($E$2:E375)/SUM($D$2:D375)</f>
        <v>65.920526938097893</v>
      </c>
      <c r="G375">
        <f ca="1">_xlfn.STDEV.P($C$2:C375)</f>
        <v>4.5586994243461492</v>
      </c>
      <c r="H375">
        <f t="shared" ca="1" si="106"/>
        <v>70.479226362444038</v>
      </c>
      <c r="I375">
        <f t="shared" ca="1" si="107"/>
        <v>61.361827513751741</v>
      </c>
      <c r="J375">
        <f t="shared" ca="1" si="116"/>
        <v>70.728000000000009</v>
      </c>
      <c r="K375">
        <f t="shared" ca="1" si="117"/>
        <v>1.0725552371985805</v>
      </c>
      <c r="L375">
        <f t="shared" ca="1" si="118"/>
        <v>72.873110474397166</v>
      </c>
      <c r="M375">
        <f t="shared" ca="1" si="119"/>
        <v>68.582889525602852</v>
      </c>
      <c r="N375">
        <f t="shared" ca="1" si="108"/>
        <v>0.42000000000000171</v>
      </c>
      <c r="O375">
        <f t="shared" ca="1" si="109"/>
        <v>0.42000000000000171</v>
      </c>
      <c r="P375">
        <f t="shared" ca="1" si="110"/>
        <v>0</v>
      </c>
      <c r="Q375">
        <f t="shared" ca="1" si="114"/>
        <v>0.27490178528990106</v>
      </c>
      <c r="R375">
        <f t="shared" ca="1" si="115"/>
        <v>0.26818425953682162</v>
      </c>
      <c r="S375">
        <f t="shared" ca="1" si="112"/>
        <v>1.0250481730906997</v>
      </c>
      <c r="T375">
        <f t="shared" ca="1" si="113"/>
        <v>50.618458697021282</v>
      </c>
      <c r="U375">
        <f>70</f>
        <v>70</v>
      </c>
      <c r="V375">
        <f>30</f>
        <v>30</v>
      </c>
      <c r="W375">
        <f t="shared" ca="1" si="111"/>
        <v>70.27280300843772</v>
      </c>
      <c r="X375">
        <f t="shared" ca="1" si="121"/>
        <v>70.646182585470683</v>
      </c>
      <c r="Y375">
        <f t="shared" ca="1" si="120"/>
        <v>-0.23426452071785775</v>
      </c>
      <c r="Z375">
        <f t="shared" ca="1" si="122"/>
        <v>-0.3292336992911577</v>
      </c>
      <c r="AA375">
        <f t="shared" ca="1" si="123"/>
        <v>9.496917857329995E-2</v>
      </c>
      <c r="AB375">
        <f t="shared" ca="1" si="124"/>
        <v>70.548699999999997</v>
      </c>
    </row>
    <row r="376" spans="1:28" x14ac:dyDescent="0.25">
      <c r="A376" s="20">
        <f t="shared" ca="1" si="104"/>
        <v>45838</v>
      </c>
      <c r="B376" vm="1056">
        <f ca="1"/>
        <v>45839</v>
      </c>
      <c r="C376" vm="1057">
        <f ca="1"/>
        <v>71.67</v>
      </c>
      <c r="D376" vm="1058">
        <f ca="1"/>
        <v>21729276</v>
      </c>
      <c r="E376">
        <f t="shared" ca="1" si="105"/>
        <v>1557337210.9200001</v>
      </c>
      <c r="F376">
        <f ca="1">SUM($E$2:E376)/SUM($D$2:D376)</f>
        <v>65.942543701103276</v>
      </c>
      <c r="G376">
        <f ca="1">_xlfn.STDEV.P($C$2:C376)</f>
        <v>4.5632402795479532</v>
      </c>
      <c r="H376">
        <f t="shared" ca="1" si="106"/>
        <v>70.505783980651231</v>
      </c>
      <c r="I376">
        <f t="shared" ca="1" si="107"/>
        <v>61.379303421555321</v>
      </c>
      <c r="J376">
        <f t="shared" ca="1" si="116"/>
        <v>70.711499999999987</v>
      </c>
      <c r="K376">
        <f t="shared" ca="1" si="117"/>
        <v>1.0543407768289192</v>
      </c>
      <c r="L376">
        <f t="shared" ca="1" si="118"/>
        <v>72.820181553657818</v>
      </c>
      <c r="M376">
        <f t="shared" ca="1" si="119"/>
        <v>68.602818446342155</v>
      </c>
      <c r="N376">
        <f t="shared" ca="1" si="108"/>
        <v>0.92000000000000171</v>
      </c>
      <c r="O376">
        <f t="shared" ca="1" si="109"/>
        <v>0.92000000000000171</v>
      </c>
      <c r="P376">
        <f t="shared" ca="1" si="110"/>
        <v>0</v>
      </c>
      <c r="Q376">
        <f t="shared" ca="1" si="114"/>
        <v>0.32098022919776537</v>
      </c>
      <c r="R376">
        <f t="shared" ca="1" si="115"/>
        <v>0.24902824099847723</v>
      </c>
      <c r="S376">
        <f t="shared" ca="1" si="112"/>
        <v>1.2889310381457022</v>
      </c>
      <c r="T376">
        <f t="shared" ca="1" si="113"/>
        <v>56.311484123605794</v>
      </c>
      <c r="U376">
        <f>70</f>
        <v>70</v>
      </c>
      <c r="V376">
        <f>30</f>
        <v>30</v>
      </c>
      <c r="W376">
        <f t="shared" ca="1" si="111"/>
        <v>70.487756391754999</v>
      </c>
      <c r="X376">
        <f t="shared" ca="1" si="121"/>
        <v>70.722020912472857</v>
      </c>
      <c r="Y376">
        <f t="shared" ca="1" si="120"/>
        <v>-0.18322834245711306</v>
      </c>
      <c r="Z376">
        <f t="shared" ca="1" si="122"/>
        <v>-0.30003262792434876</v>
      </c>
      <c r="AA376">
        <f t="shared" ca="1" si="123"/>
        <v>0.1168042854672357</v>
      </c>
      <c r="AB376">
        <f t="shared" ca="1" si="124"/>
        <v>70.634200000000007</v>
      </c>
    </row>
    <row r="377" spans="1:28" x14ac:dyDescent="0.25">
      <c r="A377" s="20">
        <f t="shared" ca="1" si="104"/>
        <v>45838</v>
      </c>
      <c r="B377" vm="1059">
        <f ca="1"/>
        <v>45840</v>
      </c>
      <c r="C377" vm="1011">
        <f ca="1"/>
        <v>70.91</v>
      </c>
      <c r="D377" vm="1060">
        <f ca="1"/>
        <v>13050239</v>
      </c>
      <c r="E377">
        <f t="shared" ca="1" si="105"/>
        <v>925392447.49000001</v>
      </c>
      <c r="F377">
        <f ca="1">SUM($E$2:E377)/SUM($D$2:D377)</f>
        <v>65.953941868343946</v>
      </c>
      <c r="G377">
        <f ca="1">_xlfn.STDEV.P($C$2:C377)</f>
        <v>4.5652072637281993</v>
      </c>
      <c r="H377">
        <f t="shared" ca="1" si="106"/>
        <v>70.519149132072144</v>
      </c>
      <c r="I377">
        <f t="shared" ca="1" si="107"/>
        <v>61.388734604615749</v>
      </c>
      <c r="J377">
        <f t="shared" ca="1" si="116"/>
        <v>70.699000000000012</v>
      </c>
      <c r="K377">
        <f t="shared" ca="1" si="117"/>
        <v>1.0502175213284444</v>
      </c>
      <c r="L377">
        <f t="shared" ca="1" si="118"/>
        <v>72.799435042656896</v>
      </c>
      <c r="M377">
        <f t="shared" ca="1" si="119"/>
        <v>68.598564957343129</v>
      </c>
      <c r="N377">
        <f t="shared" ca="1" si="108"/>
        <v>-0.76000000000000512</v>
      </c>
      <c r="O377">
        <f t="shared" ca="1" si="109"/>
        <v>0</v>
      </c>
      <c r="P377">
        <f t="shared" ca="1" si="110"/>
        <v>0.76000000000000512</v>
      </c>
      <c r="Q377">
        <f t="shared" ca="1" si="114"/>
        <v>0.2980530699693536</v>
      </c>
      <c r="R377">
        <f t="shared" ca="1" si="115"/>
        <v>0.28552622378430065</v>
      </c>
      <c r="S377">
        <f t="shared" ca="1" si="112"/>
        <v>1.043872839485722</v>
      </c>
      <c r="T377">
        <f t="shared" ca="1" si="113"/>
        <v>51.073277129529288</v>
      </c>
      <c r="U377">
        <f>70</f>
        <v>70</v>
      </c>
      <c r="V377">
        <f>30</f>
        <v>30</v>
      </c>
      <c r="W377">
        <f t="shared" ca="1" si="111"/>
        <v>70.552716946869609</v>
      </c>
      <c r="X377">
        <f t="shared" ca="1" si="121"/>
        <v>70.735945289326722</v>
      </c>
      <c r="Y377">
        <f t="shared" ca="1" si="120"/>
        <v>-0.10605494533022863</v>
      </c>
      <c r="Z377">
        <f t="shared" ca="1" si="122"/>
        <v>-0.26123709140552476</v>
      </c>
      <c r="AA377">
        <f t="shared" ca="1" si="123"/>
        <v>0.15518214607529612</v>
      </c>
      <c r="AB377">
        <f t="shared" ca="1" si="124"/>
        <v>70.709699999999998</v>
      </c>
    </row>
    <row r="378" spans="1:28" x14ac:dyDescent="0.25">
      <c r="A378" s="20">
        <f t="shared" ca="1" si="104"/>
        <v>45838</v>
      </c>
      <c r="B378" vm="1061">
        <f ca="1"/>
        <v>45841</v>
      </c>
      <c r="C378" vm="809">
        <f ca="1"/>
        <v>71.349999999999994</v>
      </c>
      <c r="D378" vm="1062">
        <f ca="1"/>
        <v>9440457</v>
      </c>
      <c r="E378">
        <f t="shared" ca="1" si="105"/>
        <v>673576606.94999993</v>
      </c>
      <c r="F378">
        <f ca="1">SUM($E$2:E378)/SUM($D$2:D378)</f>
        <v>65.962883810690187</v>
      </c>
      <c r="G378">
        <f ca="1">_xlfn.STDEV.P($C$2:C378)</f>
        <v>4.5685129176451387</v>
      </c>
      <c r="H378">
        <f t="shared" ca="1" si="106"/>
        <v>70.531396728335324</v>
      </c>
      <c r="I378">
        <f t="shared" ca="1" si="107"/>
        <v>61.39437089304505</v>
      </c>
      <c r="J378">
        <f t="shared" ca="1" si="116"/>
        <v>70.698000000000008</v>
      </c>
      <c r="K378">
        <f t="shared" ca="1" si="117"/>
        <v>1.0495542913667273</v>
      </c>
      <c r="L378">
        <f t="shared" ca="1" si="118"/>
        <v>72.797108582733458</v>
      </c>
      <c r="M378">
        <f t="shared" ca="1" si="119"/>
        <v>68.598891417266557</v>
      </c>
      <c r="N378">
        <f t="shared" ca="1" si="108"/>
        <v>0.43999999999999773</v>
      </c>
      <c r="O378">
        <f t="shared" ca="1" si="109"/>
        <v>0.43999999999999773</v>
      </c>
      <c r="P378">
        <f t="shared" ca="1" si="110"/>
        <v>0</v>
      </c>
      <c r="Q378">
        <f t="shared" ca="1" si="114"/>
        <v>0.30819213640011389</v>
      </c>
      <c r="R378">
        <f t="shared" ca="1" si="115"/>
        <v>0.26513149351399345</v>
      </c>
      <c r="S378">
        <f t="shared" ca="1" si="112"/>
        <v>1.1624124026738745</v>
      </c>
      <c r="T378">
        <f t="shared" ca="1" si="113"/>
        <v>53.755352181504499</v>
      </c>
      <c r="U378">
        <f>70</f>
        <v>70</v>
      </c>
      <c r="V378">
        <f>30</f>
        <v>30</v>
      </c>
      <c r="W378">
        <f t="shared" ca="1" si="111"/>
        <v>70.675375878120434</v>
      </c>
      <c r="X378">
        <f t="shared" ca="1" si="121"/>
        <v>70.781430823450663</v>
      </c>
      <c r="Y378">
        <f t="shared" ca="1" si="120"/>
        <v>-7.1505361309689874E-2</v>
      </c>
      <c r="Z378">
        <f t="shared" ca="1" si="122"/>
        <v>-0.22329074538635779</v>
      </c>
      <c r="AA378">
        <f t="shared" ca="1" si="123"/>
        <v>0.15178538407666792</v>
      </c>
      <c r="AB378">
        <f t="shared" ca="1" si="124"/>
        <v>70.784800000000004</v>
      </c>
    </row>
    <row r="379" spans="1:28" x14ac:dyDescent="0.25">
      <c r="A379" s="20">
        <f t="shared" ca="1" si="104"/>
        <v>45845</v>
      </c>
      <c r="B379" vm="1063">
        <f ca="1"/>
        <v>45845</v>
      </c>
      <c r="C379" vm="550">
        <f ca="1"/>
        <v>71.010000000000005</v>
      </c>
      <c r="D379" vm="1064">
        <f ca="1"/>
        <v>16984675</v>
      </c>
      <c r="E379">
        <f t="shared" ca="1" si="105"/>
        <v>1206081771.75</v>
      </c>
      <c r="F379">
        <f ca="1">SUM($E$2:E379)/SUM($D$2:D379)</f>
        <v>65.977886526897791</v>
      </c>
      <c r="G379">
        <f ca="1">_xlfn.STDEV.P($C$2:C379)</f>
        <v>4.57067019784858</v>
      </c>
      <c r="H379">
        <f t="shared" ca="1" si="106"/>
        <v>70.548556724746376</v>
      </c>
      <c r="I379">
        <f t="shared" ca="1" si="107"/>
        <v>61.407216329049213</v>
      </c>
      <c r="J379">
        <f t="shared" ca="1" si="116"/>
        <v>70.703000000000003</v>
      </c>
      <c r="K379">
        <f t="shared" ca="1" si="117"/>
        <v>1.050854789908521</v>
      </c>
      <c r="L379">
        <f t="shared" ca="1" si="118"/>
        <v>72.804709579817043</v>
      </c>
      <c r="M379">
        <f t="shared" ca="1" si="119"/>
        <v>68.601290420182963</v>
      </c>
      <c r="N379">
        <f t="shared" ca="1" si="108"/>
        <v>-0.3399999999999892</v>
      </c>
      <c r="O379">
        <f t="shared" ca="1" si="109"/>
        <v>0</v>
      </c>
      <c r="P379">
        <f t="shared" ca="1" si="110"/>
        <v>0.3399999999999892</v>
      </c>
      <c r="Q379">
        <f t="shared" ca="1" si="114"/>
        <v>0.28617841237153435</v>
      </c>
      <c r="R379">
        <f t="shared" ca="1" si="115"/>
        <v>0.27047924397727885</v>
      </c>
      <c r="S379">
        <f t="shared" ca="1" si="112"/>
        <v>1.058042044792074</v>
      </c>
      <c r="T379">
        <f t="shared" ca="1" si="113"/>
        <v>51.410127770201555</v>
      </c>
      <c r="U379">
        <f>70</f>
        <v>70</v>
      </c>
      <c r="V379">
        <f>30</f>
        <v>30</v>
      </c>
      <c r="W379">
        <f t="shared" ca="1" si="111"/>
        <v>70.72685651225575</v>
      </c>
      <c r="X379">
        <f t="shared" ca="1" si="121"/>
        <v>70.79836187356544</v>
      </c>
      <c r="Y379">
        <f t="shared" ca="1" si="120"/>
        <v>-0.10504622441256117</v>
      </c>
      <c r="Z379">
        <f t="shared" ca="1" si="122"/>
        <v>-0.19964184119159847</v>
      </c>
      <c r="AA379">
        <f t="shared" ca="1" si="123"/>
        <v>9.45956167790373E-2</v>
      </c>
      <c r="AB379">
        <f t="shared" ca="1" si="124"/>
        <v>70.849400000000017</v>
      </c>
    </row>
    <row r="380" spans="1:28" x14ac:dyDescent="0.25">
      <c r="A380" s="20">
        <f t="shared" ca="1" si="104"/>
        <v>45845</v>
      </c>
      <c r="B380" vm="1065">
        <f ca="1"/>
        <v>45846</v>
      </c>
      <c r="C380" vm="1066">
        <f ca="1"/>
        <v>70.239999999999995</v>
      </c>
      <c r="D380" vm="1067">
        <f ca="1"/>
        <v>17115521</v>
      </c>
      <c r="E380">
        <f t="shared" ca="1" si="105"/>
        <v>1202194195.04</v>
      </c>
      <c r="F380">
        <f ca="1">SUM($E$2:E380)/SUM($D$2:D380)</f>
        <v>65.990615270163232</v>
      </c>
      <c r="G380">
        <f ca="1">_xlfn.STDEV.P($C$2:C380)</f>
        <v>4.5705868548303563</v>
      </c>
      <c r="H380">
        <f t="shared" ca="1" si="106"/>
        <v>70.561202124993585</v>
      </c>
      <c r="I380">
        <f t="shared" ca="1" si="107"/>
        <v>61.420028415332879</v>
      </c>
      <c r="J380">
        <f t="shared" ca="1" si="116"/>
        <v>70.647500000000008</v>
      </c>
      <c r="K380">
        <f t="shared" ca="1" si="117"/>
        <v>1.044176205134181</v>
      </c>
      <c r="L380">
        <f t="shared" ca="1" si="118"/>
        <v>72.735852410268365</v>
      </c>
      <c r="M380">
        <f t="shared" ca="1" si="119"/>
        <v>68.559147589731651</v>
      </c>
      <c r="N380">
        <f t="shared" ca="1" si="108"/>
        <v>-0.77000000000001023</v>
      </c>
      <c r="O380">
        <f t="shared" ca="1" si="109"/>
        <v>0</v>
      </c>
      <c r="P380">
        <f t="shared" ca="1" si="110"/>
        <v>0.77000000000001023</v>
      </c>
      <c r="Q380">
        <f t="shared" ca="1" si="114"/>
        <v>0.26573709720213906</v>
      </c>
      <c r="R380">
        <f t="shared" ca="1" si="115"/>
        <v>0.30615929797890251</v>
      </c>
      <c r="S380">
        <f t="shared" ca="1" si="112"/>
        <v>0.86797003702448727</v>
      </c>
      <c r="T380">
        <f t="shared" ca="1" si="113"/>
        <v>46.465950728368611</v>
      </c>
      <c r="U380">
        <f>70</f>
        <v>70</v>
      </c>
      <c r="V380">
        <f>30</f>
        <v>30</v>
      </c>
      <c r="W380">
        <f t="shared" ca="1" si="111"/>
        <v>70.651955510370243</v>
      </c>
      <c r="X380">
        <f t="shared" ca="1" si="121"/>
        <v>70.757001734782804</v>
      </c>
      <c r="Y380">
        <f t="shared" ca="1" si="120"/>
        <v>-0.19075435106680061</v>
      </c>
      <c r="Z380">
        <f t="shared" ca="1" si="122"/>
        <v>-0.19786434316663892</v>
      </c>
      <c r="AA380">
        <f t="shared" ca="1" si="123"/>
        <v>7.1099920998383137E-3</v>
      </c>
      <c r="AB380">
        <f t="shared" ca="1" si="124"/>
        <v>70.875800000000012</v>
      </c>
    </row>
    <row r="381" spans="1:28" x14ac:dyDescent="0.25">
      <c r="A381" s="20">
        <f t="shared" ca="1" si="104"/>
        <v>45845</v>
      </c>
      <c r="B381" vm="1068">
        <f ca="1"/>
        <v>45847</v>
      </c>
      <c r="C381" vm="1069">
        <f ca="1"/>
        <v>69.48</v>
      </c>
      <c r="D381" vm="1070">
        <f ca="1"/>
        <v>33704119</v>
      </c>
      <c r="E381">
        <f t="shared" ca="1" si="105"/>
        <v>2341762188.1200004</v>
      </c>
      <c r="F381">
        <f ca="1">SUM($E$2:E381)/SUM($D$2:D381)</f>
        <v>66.011016465457658</v>
      </c>
      <c r="G381">
        <f ca="1">_xlfn.STDEV.P($C$2:C381)</f>
        <v>4.568659845808571</v>
      </c>
      <c r="H381">
        <f t="shared" ca="1" si="106"/>
        <v>70.579676311266226</v>
      </c>
      <c r="I381">
        <f t="shared" ca="1" si="107"/>
        <v>61.44235661964909</v>
      </c>
      <c r="J381">
        <f t="shared" ca="1" si="116"/>
        <v>70.533000000000001</v>
      </c>
      <c r="K381">
        <f t="shared" ca="1" si="117"/>
        <v>1.0401573767565415</v>
      </c>
      <c r="L381">
        <f t="shared" ca="1" si="118"/>
        <v>72.61331475351308</v>
      </c>
      <c r="M381">
        <f t="shared" ca="1" si="119"/>
        <v>68.452685246486922</v>
      </c>
      <c r="N381">
        <f t="shared" ca="1" si="108"/>
        <v>-0.75999999999999091</v>
      </c>
      <c r="O381">
        <f t="shared" ca="1" si="109"/>
        <v>0</v>
      </c>
      <c r="P381">
        <f t="shared" ca="1" si="110"/>
        <v>0.75999999999999091</v>
      </c>
      <c r="Q381">
        <f t="shared" ca="1" si="114"/>
        <v>0.24675587597341483</v>
      </c>
      <c r="R381">
        <f t="shared" ca="1" si="115"/>
        <v>0.33857649098040887</v>
      </c>
      <c r="S381">
        <f t="shared" ca="1" si="112"/>
        <v>0.72880392628232693</v>
      </c>
      <c r="T381">
        <f t="shared" ca="1" si="113"/>
        <v>42.156540438311552</v>
      </c>
      <c r="U381">
        <f>70</f>
        <v>70</v>
      </c>
      <c r="V381">
        <f>30</f>
        <v>30</v>
      </c>
      <c r="W381">
        <f t="shared" ca="1" si="111"/>
        <v>70.471654662620978</v>
      </c>
      <c r="X381">
        <f t="shared" ca="1" si="121"/>
        <v>70.662409013687778</v>
      </c>
      <c r="Y381">
        <f t="shared" ca="1" si="120"/>
        <v>-0.23259685085497495</v>
      </c>
      <c r="Z381">
        <f t="shared" ca="1" si="122"/>
        <v>-0.20481084470430616</v>
      </c>
      <c r="AA381">
        <f t="shared" ca="1" si="123"/>
        <v>-2.7786006150668785E-2</v>
      </c>
      <c r="AB381">
        <f t="shared" ca="1" si="124"/>
        <v>70.883499999999998</v>
      </c>
    </row>
    <row r="382" spans="1:28" x14ac:dyDescent="0.25">
      <c r="A382" s="20">
        <f t="shared" ca="1" si="104"/>
        <v>45845</v>
      </c>
      <c r="B382" vm="1071">
        <f ca="1"/>
        <v>45848</v>
      </c>
      <c r="C382" vm="1072">
        <f ca="1"/>
        <v>69.77</v>
      </c>
      <c r="D382" vm="1073">
        <f ca="1"/>
        <v>14615046</v>
      </c>
      <c r="E382">
        <f t="shared" ca="1" si="105"/>
        <v>1019691759.42</v>
      </c>
      <c r="F382">
        <f ca="1">SUM($E$2:E382)/SUM($D$2:D382)</f>
        <v>66.020522397994355</v>
      </c>
      <c r="G382">
        <f ca="1">_xlfn.STDEV.P($C$2:C382)</f>
        <v>4.5673703440296469</v>
      </c>
      <c r="H382">
        <f t="shared" ca="1" si="106"/>
        <v>70.587892742023996</v>
      </c>
      <c r="I382">
        <f t="shared" ca="1" si="107"/>
        <v>61.453152053964708</v>
      </c>
      <c r="J382">
        <f t="shared" ca="1" si="116"/>
        <v>70.403999999999996</v>
      </c>
      <c r="K382">
        <f t="shared" ca="1" si="117"/>
        <v>0.95983770557976611</v>
      </c>
      <c r="L382">
        <f t="shared" ca="1" si="118"/>
        <v>72.323675411159527</v>
      </c>
      <c r="M382">
        <f t="shared" ca="1" si="119"/>
        <v>68.484324588840465</v>
      </c>
      <c r="N382">
        <f t="shared" ca="1" si="108"/>
        <v>0.28999999999999204</v>
      </c>
      <c r="O382">
        <f t="shared" ca="1" si="109"/>
        <v>0.28999999999999204</v>
      </c>
      <c r="P382">
        <f t="shared" ca="1" si="110"/>
        <v>0</v>
      </c>
      <c r="Q382">
        <f t="shared" ca="1" si="114"/>
        <v>0.2498447419753132</v>
      </c>
      <c r="R382">
        <f t="shared" ca="1" si="115"/>
        <v>0.31439245591037962</v>
      </c>
      <c r="S382">
        <f t="shared" ca="1" si="112"/>
        <v>0.79469063992595823</v>
      </c>
      <c r="T382">
        <f t="shared" ca="1" si="113"/>
        <v>44.280090520711909</v>
      </c>
      <c r="U382">
        <f>70</f>
        <v>70</v>
      </c>
      <c r="V382">
        <f>30</f>
        <v>30</v>
      </c>
      <c r="W382">
        <f t="shared" ca="1" si="111"/>
        <v>70.363707791448519</v>
      </c>
      <c r="X382">
        <f t="shared" ca="1" si="121"/>
        <v>70.596304642303494</v>
      </c>
      <c r="Y382">
        <f t="shared" ca="1" si="120"/>
        <v>-0.25475155181887033</v>
      </c>
      <c r="Z382">
        <f t="shared" ca="1" si="122"/>
        <v>-0.21479898612721901</v>
      </c>
      <c r="AA382">
        <f t="shared" ca="1" si="123"/>
        <v>-3.9952565691651315E-2</v>
      </c>
      <c r="AB382">
        <f t="shared" ca="1" si="124"/>
        <v>70.886200000000017</v>
      </c>
    </row>
    <row r="383" spans="1:28" x14ac:dyDescent="0.25">
      <c r="A383" s="20">
        <f t="shared" ca="1" si="104"/>
        <v>45845</v>
      </c>
      <c r="B383" vm="1074">
        <f ca="1"/>
        <v>45849</v>
      </c>
      <c r="C383" vm="1075">
        <f ca="1"/>
        <v>69.87</v>
      </c>
      <c r="D383" vm="1076">
        <f ca="1"/>
        <v>12916670</v>
      </c>
      <c r="E383">
        <f t="shared" ca="1" si="105"/>
        <v>902487732.9000001</v>
      </c>
      <c r="F383">
        <f ca="1">SUM($E$2:E383)/SUM($D$2:D383)</f>
        <v>66.029106738190336</v>
      </c>
      <c r="G383">
        <f ca="1">_xlfn.STDEV.P($C$2:C383)</f>
        <v>4.5662966474189304</v>
      </c>
      <c r="H383">
        <f t="shared" ca="1" si="106"/>
        <v>70.595403385609274</v>
      </c>
      <c r="I383">
        <f t="shared" ca="1" si="107"/>
        <v>61.462810090771406</v>
      </c>
      <c r="J383">
        <f t="shared" ca="1" si="116"/>
        <v>70.294000000000011</v>
      </c>
      <c r="K383">
        <f t="shared" ca="1" si="117"/>
        <v>0.88174706959356586</v>
      </c>
      <c r="L383">
        <f t="shared" ca="1" si="118"/>
        <v>72.057494139187142</v>
      </c>
      <c r="M383">
        <f t="shared" ca="1" si="119"/>
        <v>68.53050586081288</v>
      </c>
      <c r="N383">
        <f t="shared" ca="1" si="108"/>
        <v>0.10000000000000853</v>
      </c>
      <c r="O383">
        <f t="shared" ca="1" si="109"/>
        <v>0.10000000000000853</v>
      </c>
      <c r="P383">
        <f t="shared" ca="1" si="110"/>
        <v>0</v>
      </c>
      <c r="Q383">
        <f t="shared" ca="1" si="114"/>
        <v>0.2391415461199343</v>
      </c>
      <c r="R383">
        <f t="shared" ca="1" si="115"/>
        <v>0.29193585191678106</v>
      </c>
      <c r="S383">
        <f t="shared" ca="1" si="112"/>
        <v>0.81915785454163315</v>
      </c>
      <c r="T383">
        <f t="shared" ca="1" si="113"/>
        <v>45.029509258724197</v>
      </c>
      <c r="U383">
        <f>70</f>
        <v>70</v>
      </c>
      <c r="V383">
        <f>30</f>
        <v>30</v>
      </c>
      <c r="W383">
        <f t="shared" ca="1" si="111"/>
        <v>70.287752746610295</v>
      </c>
      <c r="X383">
        <f t="shared" ca="1" si="121"/>
        <v>70.542504298429165</v>
      </c>
      <c r="Y383">
        <f t="shared" ca="1" si="120"/>
        <v>-0.30111490383538353</v>
      </c>
      <c r="Z383">
        <f t="shared" ca="1" si="122"/>
        <v>-0.23206216966885193</v>
      </c>
      <c r="AA383">
        <f t="shared" ca="1" si="123"/>
        <v>-6.9052734166531599E-2</v>
      </c>
      <c r="AB383">
        <f t="shared" ca="1" si="124"/>
        <v>70.896200000000007</v>
      </c>
    </row>
    <row r="384" spans="1:28" x14ac:dyDescent="0.25">
      <c r="A384" s="20">
        <f t="shared" ca="1" si="104"/>
        <v>45852</v>
      </c>
      <c r="B384" vm="1077">
        <f ca="1"/>
        <v>45852</v>
      </c>
      <c r="C384" vm="1048">
        <f ca="1"/>
        <v>69.47</v>
      </c>
      <c r="D384" vm="1078">
        <f ca="1"/>
        <v>13983246</v>
      </c>
      <c r="E384">
        <f t="shared" ca="1" si="105"/>
        <v>971416099.62</v>
      </c>
      <c r="F384">
        <f ca="1">SUM($E$2:E384)/SUM($D$2:D384)</f>
        <v>66.03739353277355</v>
      </c>
      <c r="G384">
        <f ca="1">_xlfn.STDEV.P($C$2:C384)</f>
        <v>4.5643055805287105</v>
      </c>
      <c r="H384">
        <f t="shared" ca="1" si="106"/>
        <v>70.60169911330226</v>
      </c>
      <c r="I384">
        <f t="shared" ca="1" si="107"/>
        <v>61.473087952244839</v>
      </c>
      <c r="J384">
        <f t="shared" ca="1" si="116"/>
        <v>70.155499999999989</v>
      </c>
      <c r="K384">
        <f t="shared" ca="1" si="117"/>
        <v>0.77052596527170603</v>
      </c>
      <c r="L384">
        <f t="shared" ca="1" si="118"/>
        <v>71.696551930543407</v>
      </c>
      <c r="M384">
        <f t="shared" ca="1" si="119"/>
        <v>68.614448069456571</v>
      </c>
      <c r="N384">
        <f t="shared" ca="1" si="108"/>
        <v>-0.40000000000000568</v>
      </c>
      <c r="O384">
        <f t="shared" ca="1" si="109"/>
        <v>0</v>
      </c>
      <c r="P384">
        <f t="shared" ca="1" si="110"/>
        <v>0.40000000000000568</v>
      </c>
      <c r="Q384">
        <f t="shared" ca="1" si="114"/>
        <v>0.22206000711136756</v>
      </c>
      <c r="R384">
        <f t="shared" ca="1" si="115"/>
        <v>0.29965471963701135</v>
      </c>
      <c r="S384">
        <f t="shared" ca="1" si="112"/>
        <v>0.7410529271167875</v>
      </c>
      <c r="T384">
        <f t="shared" ca="1" si="113"/>
        <v>42.563492216401684</v>
      </c>
      <c r="U384">
        <f>70</f>
        <v>70</v>
      </c>
      <c r="V384">
        <f>30</f>
        <v>30</v>
      </c>
      <c r="W384">
        <f t="shared" ca="1" si="111"/>
        <v>70.161944631747176</v>
      </c>
      <c r="X384">
        <f t="shared" ca="1" si="121"/>
        <v>70.463059535582559</v>
      </c>
      <c r="Y384">
        <f t="shared" ca="1" si="120"/>
        <v>-0.34278288728039286</v>
      </c>
      <c r="Z384">
        <f t="shared" ca="1" si="122"/>
        <v>-0.25420631319116016</v>
      </c>
      <c r="AA384">
        <f t="shared" ca="1" si="123"/>
        <v>-8.8576574089232696E-2</v>
      </c>
      <c r="AB384">
        <f t="shared" ca="1" si="124"/>
        <v>70.900400000000019</v>
      </c>
    </row>
    <row r="385" spans="1:28" x14ac:dyDescent="0.25">
      <c r="A385" s="20">
        <f t="shared" ca="1" si="104"/>
        <v>45852</v>
      </c>
      <c r="B385" vm="1079">
        <f ca="1"/>
        <v>45853</v>
      </c>
      <c r="C385" vm="1080">
        <f ca="1"/>
        <v>69.36</v>
      </c>
      <c r="D385" vm="1081">
        <f ca="1"/>
        <v>12639808</v>
      </c>
      <c r="E385">
        <f t="shared" ca="1" si="105"/>
        <v>876697082.88</v>
      </c>
      <c r="F385">
        <f ca="1">SUM($E$2:E385)/SUM($D$2:D385)</f>
        <v>66.04461095893123</v>
      </c>
      <c r="G385">
        <f ca="1">_xlfn.STDEV.P($C$2:C385)</f>
        <v>4.562073737980513</v>
      </c>
      <c r="H385">
        <f t="shared" ca="1" si="106"/>
        <v>70.606684696911742</v>
      </c>
      <c r="I385">
        <f t="shared" ca="1" si="107"/>
        <v>61.482537220950718</v>
      </c>
      <c r="J385">
        <f t="shared" ca="1" si="116"/>
        <v>70.072499999999991</v>
      </c>
      <c r="K385">
        <f t="shared" ca="1" si="117"/>
        <v>0.76185973981953814</v>
      </c>
      <c r="L385">
        <f t="shared" ca="1" si="118"/>
        <v>71.596219479639061</v>
      </c>
      <c r="M385">
        <f t="shared" ca="1" si="119"/>
        <v>68.548780520360921</v>
      </c>
      <c r="N385">
        <f t="shared" ca="1" si="108"/>
        <v>-0.10999999999999943</v>
      </c>
      <c r="O385">
        <f t="shared" ca="1" si="109"/>
        <v>0</v>
      </c>
      <c r="P385">
        <f t="shared" ca="1" si="110"/>
        <v>0.10999999999999943</v>
      </c>
      <c r="Q385">
        <f t="shared" ca="1" si="114"/>
        <v>0.20619857803198416</v>
      </c>
      <c r="R385">
        <f t="shared" ca="1" si="115"/>
        <v>0.28610795394865335</v>
      </c>
      <c r="S385">
        <f t="shared" ca="1" si="112"/>
        <v>0.72070201190208716</v>
      </c>
      <c r="T385">
        <f t="shared" ca="1" si="113"/>
        <v>41.884184880182325</v>
      </c>
      <c r="U385">
        <f>70</f>
        <v>70</v>
      </c>
      <c r="V385">
        <f>30</f>
        <v>30</v>
      </c>
      <c r="W385">
        <f t="shared" ca="1" si="111"/>
        <v>70.03856853455531</v>
      </c>
      <c r="X385">
        <f t="shared" ca="1" si="121"/>
        <v>70.381351421835703</v>
      </c>
      <c r="Y385">
        <f t="shared" ca="1" si="120"/>
        <v>-0.37870187274552336</v>
      </c>
      <c r="Z385">
        <f t="shared" ca="1" si="122"/>
        <v>-0.27910542510203284</v>
      </c>
      <c r="AA385">
        <f t="shared" ca="1" si="123"/>
        <v>-9.9596447643490515E-2</v>
      </c>
      <c r="AB385">
        <f t="shared" ca="1" si="124"/>
        <v>70.893300000000011</v>
      </c>
    </row>
    <row r="386" spans="1:28" x14ac:dyDescent="0.25">
      <c r="A386" s="20">
        <f t="shared" ca="1" si="104"/>
        <v>45852</v>
      </c>
      <c r="B386" vm="1082">
        <f ca="1"/>
        <v>45854</v>
      </c>
      <c r="C386" vm="1083">
        <f ca="1"/>
        <v>69.27</v>
      </c>
      <c r="D386" vm="1084">
        <f ca="1"/>
        <v>13178292</v>
      </c>
      <c r="E386">
        <f t="shared" ca="1" si="105"/>
        <v>912860286.83999991</v>
      </c>
      <c r="F386">
        <f ca="1">SUM($E$2:E386)/SUM($D$2:D386)</f>
        <v>66.051899183367496</v>
      </c>
      <c r="G386">
        <f ca="1">_xlfn.STDEV.P($C$2:C386)</f>
        <v>4.5596512485254976</v>
      </c>
      <c r="H386">
        <f t="shared" ca="1" si="106"/>
        <v>70.611550431892994</v>
      </c>
      <c r="I386">
        <f t="shared" ca="1" si="107"/>
        <v>61.492247934841998</v>
      </c>
      <c r="J386">
        <f t="shared" ca="1" si="116"/>
        <v>70.009999999999991</v>
      </c>
      <c r="K386">
        <f t="shared" ca="1" si="117"/>
        <v>0.7743860046582236</v>
      </c>
      <c r="L386">
        <f t="shared" ca="1" si="118"/>
        <v>71.558772009316442</v>
      </c>
      <c r="M386">
        <f t="shared" ca="1" si="119"/>
        <v>68.46122799068354</v>
      </c>
      <c r="N386">
        <f t="shared" ca="1" si="108"/>
        <v>-9.0000000000003411E-2</v>
      </c>
      <c r="O386">
        <f t="shared" ca="1" si="109"/>
        <v>0</v>
      </c>
      <c r="P386">
        <f t="shared" ca="1" si="110"/>
        <v>9.0000000000003411E-2</v>
      </c>
      <c r="Q386">
        <f t="shared" ca="1" si="114"/>
        <v>0.19147010817255672</v>
      </c>
      <c r="R386">
        <f t="shared" ca="1" si="115"/>
        <v>0.27210024295232121</v>
      </c>
      <c r="S386">
        <f t="shared" ca="1" si="112"/>
        <v>0.70367488869205852</v>
      </c>
      <c r="T386">
        <f t="shared" ca="1" si="113"/>
        <v>41.303355080398127</v>
      </c>
      <c r="U386">
        <f>70</f>
        <v>70</v>
      </c>
      <c r="V386">
        <f>30</f>
        <v>30</v>
      </c>
      <c r="W386">
        <f t="shared" ca="1" si="111"/>
        <v>69.920327221546799</v>
      </c>
      <c r="X386">
        <f t="shared" ca="1" si="121"/>
        <v>70.299029094292322</v>
      </c>
      <c r="Y386">
        <f t="shared" ca="1" si="120"/>
        <v>-0.29722869186781509</v>
      </c>
      <c r="Z386">
        <f t="shared" ca="1" si="122"/>
        <v>-0.28273007845518933</v>
      </c>
      <c r="AA386">
        <f t="shared" ca="1" si="123"/>
        <v>-1.449861341262576E-2</v>
      </c>
      <c r="AB386">
        <f t="shared" ca="1" si="124"/>
        <v>70.885600000000025</v>
      </c>
    </row>
    <row r="387" spans="1:28" x14ac:dyDescent="0.25">
      <c r="A387" s="20">
        <f t="shared" ref="A387:A450" ca="1" si="125">B387 - WEEKDAY(B387, 2) + 1</f>
        <v>45852</v>
      </c>
      <c r="B387" vm="1085">
        <f ca="1"/>
        <v>45855</v>
      </c>
      <c r="C387" vm="812">
        <f ca="1"/>
        <v>70.59</v>
      </c>
      <c r="D387" vm="1086">
        <f ca="1"/>
        <v>20464657</v>
      </c>
      <c r="E387">
        <f t="shared" ref="E387:E450" ca="1" si="126">C387*D387</f>
        <v>1444600137.6300001</v>
      </c>
      <c r="F387">
        <f ca="1">SUM($E$2:E387)/SUM($D$2:D387)</f>
        <v>66.067767755051293</v>
      </c>
      <c r="G387">
        <f ca="1">_xlfn.STDEV.P($C$2:C387)</f>
        <v>4.5603368464340113</v>
      </c>
      <c r="H387">
        <f t="shared" ref="H387:H450" ca="1" si="127">F387 + G387</f>
        <v>70.628104601485305</v>
      </c>
      <c r="I387">
        <f t="shared" ref="I387:I450" ca="1" si="128">F387 - G387</f>
        <v>61.50743090861728</v>
      </c>
      <c r="J387">
        <f t="shared" ca="1" si="116"/>
        <v>70.058499999999995</v>
      </c>
      <c r="K387">
        <f t="shared" ca="1" si="117"/>
        <v>0.77903634804734745</v>
      </c>
      <c r="L387">
        <f t="shared" ca="1" si="118"/>
        <v>71.616572696094693</v>
      </c>
      <c r="M387">
        <f t="shared" ca="1" si="119"/>
        <v>68.500427303905298</v>
      </c>
      <c r="N387">
        <f t="shared" ca="1" si="108"/>
        <v>1.3200000000000074</v>
      </c>
      <c r="O387">
        <f t="shared" ca="1" si="109"/>
        <v>1.3200000000000074</v>
      </c>
      <c r="P387">
        <f t="shared" ca="1" si="110"/>
        <v>0</v>
      </c>
      <c r="Q387">
        <f t="shared" ca="1" si="114"/>
        <v>0.27207938616023181</v>
      </c>
      <c r="R387">
        <f t="shared" ca="1" si="115"/>
        <v>0.25266451131286971</v>
      </c>
      <c r="S387">
        <f t="shared" ca="1" si="112"/>
        <v>1.0768405295483743</v>
      </c>
      <c r="T387">
        <f t="shared" ca="1" si="113"/>
        <v>51.84993812608915</v>
      </c>
      <c r="U387">
        <f>70</f>
        <v>70</v>
      </c>
      <c r="V387">
        <f>30</f>
        <v>30</v>
      </c>
      <c r="W387">
        <f t="shared" ca="1" si="111"/>
        <v>70.023353802847296</v>
      </c>
      <c r="X387">
        <f t="shared" ca="1" si="121"/>
        <v>70.320582494715111</v>
      </c>
      <c r="Y387">
        <f t="shared" ca="1" si="120"/>
        <v>-0.28904054511899346</v>
      </c>
      <c r="Z387">
        <f t="shared" ca="1" si="122"/>
        <v>-0.28399217178795017</v>
      </c>
      <c r="AA387">
        <f t="shared" ca="1" si="123"/>
        <v>-5.0483733310432988E-3</v>
      </c>
      <c r="AB387">
        <f t="shared" ca="1" si="124"/>
        <v>70.878000000000014</v>
      </c>
    </row>
    <row r="388" spans="1:28" x14ac:dyDescent="0.25">
      <c r="A388" s="20">
        <f t="shared" ca="1" si="125"/>
        <v>45852</v>
      </c>
      <c r="B388" vm="1087">
        <f ca="1"/>
        <v>45856</v>
      </c>
      <c r="C388" vm="1088">
        <f ca="1"/>
        <v>69.849999999999994</v>
      </c>
      <c r="D388" vm="1089">
        <f ca="1"/>
        <v>14927950</v>
      </c>
      <c r="E388">
        <f t="shared" ca="1" si="126"/>
        <v>1042717307.4999999</v>
      </c>
      <c r="F388">
        <f ca="1">SUM($E$2:E388)/SUM($D$2:D388)</f>
        <v>66.077390550370595</v>
      </c>
      <c r="G388">
        <f ca="1">_xlfn.STDEV.P($C$2:C388)</f>
        <v>4.559127502983392</v>
      </c>
      <c r="H388">
        <f t="shared" ca="1" si="127"/>
        <v>70.636518053353981</v>
      </c>
      <c r="I388">
        <f t="shared" ca="1" si="128"/>
        <v>61.518263047387201</v>
      </c>
      <c r="J388">
        <f t="shared" ca="1" si="116"/>
        <v>70.090499999999992</v>
      </c>
      <c r="K388">
        <f t="shared" ca="1" si="117"/>
        <v>0.75512616582647274</v>
      </c>
      <c r="L388">
        <f t="shared" ca="1" si="118"/>
        <v>71.600752331652942</v>
      </c>
      <c r="M388">
        <f t="shared" ca="1" si="119"/>
        <v>68.580247668347042</v>
      </c>
      <c r="N388">
        <f t="shared" ref="N388:N451" ca="1" si="129">C388-C387</f>
        <v>-0.74000000000000909</v>
      </c>
      <c r="O388">
        <f t="shared" ref="O388:O451" ca="1" si="130">MAX(N388,0)</f>
        <v>0</v>
      </c>
      <c r="P388">
        <f t="shared" ref="P388:P451" ca="1" si="131">MAX(-N388,0)</f>
        <v>0.74000000000000909</v>
      </c>
      <c r="Q388">
        <f t="shared" ca="1" si="114"/>
        <v>0.25264514429164381</v>
      </c>
      <c r="R388">
        <f t="shared" ca="1" si="115"/>
        <v>0.28747418907623679</v>
      </c>
      <c r="S388">
        <f t="shared" ca="1" si="112"/>
        <v>0.87884461941953163</v>
      </c>
      <c r="T388">
        <f t="shared" ca="1" si="113"/>
        <v>46.77580095426147</v>
      </c>
      <c r="U388">
        <f>70</f>
        <v>70</v>
      </c>
      <c r="V388">
        <f>30</f>
        <v>30</v>
      </c>
      <c r="W388">
        <f t="shared" ca="1" si="111"/>
        <v>69.996683987024625</v>
      </c>
      <c r="X388">
        <f t="shared" ca="1" si="121"/>
        <v>70.285724532143618</v>
      </c>
      <c r="Y388">
        <f t="shared" ca="1" si="120"/>
        <v>-0.26178156353380189</v>
      </c>
      <c r="Z388">
        <f t="shared" ca="1" si="122"/>
        <v>-0.27955005013712053</v>
      </c>
      <c r="AA388">
        <f t="shared" ca="1" si="123"/>
        <v>1.7768486603318645E-2</v>
      </c>
      <c r="AB388">
        <f t="shared" ca="1" si="124"/>
        <v>70.870600000000024</v>
      </c>
    </row>
    <row r="389" spans="1:28" x14ac:dyDescent="0.25">
      <c r="A389" s="20">
        <f t="shared" ca="1" si="125"/>
        <v>45859</v>
      </c>
      <c r="B389" vm="1090">
        <f ca="1"/>
        <v>45859</v>
      </c>
      <c r="C389" vm="803">
        <f ca="1"/>
        <v>70.069999999999993</v>
      </c>
      <c r="D389" vm="1091">
        <f ca="1"/>
        <v>17811719</v>
      </c>
      <c r="E389">
        <f t="shared" ca="1" si="126"/>
        <v>1248067150.3299999</v>
      </c>
      <c r="F389">
        <f ca="1">SUM($E$2:E389)/SUM($D$2:D389)</f>
        <v>66.089474228783544</v>
      </c>
      <c r="G389">
        <f ca="1">_xlfn.STDEV.P($C$2:C389)</f>
        <v>4.5584174103212778</v>
      </c>
      <c r="H389">
        <f t="shared" ca="1" si="127"/>
        <v>70.647891639104827</v>
      </c>
      <c r="I389">
        <f t="shared" ca="1" si="128"/>
        <v>61.531056818462268</v>
      </c>
      <c r="J389">
        <f t="shared" ca="1" si="116"/>
        <v>70.151999999999973</v>
      </c>
      <c r="K389">
        <f t="shared" ca="1" si="117"/>
        <v>0.69566779730739803</v>
      </c>
      <c r="L389">
        <f t="shared" ca="1" si="118"/>
        <v>71.543335594614774</v>
      </c>
      <c r="M389">
        <f t="shared" ca="1" si="119"/>
        <v>68.760664405385171</v>
      </c>
      <c r="N389">
        <f t="shared" ca="1" si="129"/>
        <v>0.21999999999999886</v>
      </c>
      <c r="O389">
        <f t="shared" ca="1" si="130"/>
        <v>0.21999999999999886</v>
      </c>
      <c r="P389">
        <f t="shared" ca="1" si="131"/>
        <v>0</v>
      </c>
      <c r="Q389">
        <f t="shared" ca="1" si="114"/>
        <v>0.25031334827081203</v>
      </c>
      <c r="R389">
        <f t="shared" ca="1" si="115"/>
        <v>0.26694031842793414</v>
      </c>
      <c r="S389">
        <f t="shared" ca="1" si="112"/>
        <v>0.93771278068805142</v>
      </c>
      <c r="T389">
        <f t="shared" ca="1" si="113"/>
        <v>48.39276439901915</v>
      </c>
      <c r="U389">
        <f>70</f>
        <v>70</v>
      </c>
      <c r="V389">
        <f>30</f>
        <v>30</v>
      </c>
      <c r="W389">
        <f t="shared" ca="1" si="111"/>
        <v>70.007963373636215</v>
      </c>
      <c r="X389">
        <f t="shared" ca="1" si="121"/>
        <v>70.269744937170017</v>
      </c>
      <c r="Y389">
        <f t="shared" ca="1" si="120"/>
        <v>-0.27014809860483524</v>
      </c>
      <c r="Z389">
        <f t="shared" ca="1" si="122"/>
        <v>-0.2776696598306635</v>
      </c>
      <c r="AA389">
        <f t="shared" ca="1" si="123"/>
        <v>7.5215612258282549E-3</v>
      </c>
      <c r="AB389">
        <f t="shared" ca="1" si="124"/>
        <v>70.856400000000022</v>
      </c>
    </row>
    <row r="390" spans="1:28" x14ac:dyDescent="0.25">
      <c r="A390" s="20">
        <f t="shared" ca="1" si="125"/>
        <v>45859</v>
      </c>
      <c r="B390" vm="1092">
        <f ca="1"/>
        <v>45860</v>
      </c>
      <c r="C390" vm="1093">
        <f ca="1"/>
        <v>69.66</v>
      </c>
      <c r="D390" vm="1094">
        <f ca="1"/>
        <v>22339884</v>
      </c>
      <c r="E390">
        <f t="shared" ca="1" si="126"/>
        <v>1556196319.4399998</v>
      </c>
      <c r="F390">
        <f ca="1">SUM($E$2:E390)/SUM($D$2:D390)</f>
        <v>66.102976416814954</v>
      </c>
      <c r="G390">
        <f ca="1">_xlfn.STDEV.P($C$2:C390)</f>
        <v>4.5567468061744636</v>
      </c>
      <c r="H390">
        <f t="shared" ca="1" si="127"/>
        <v>70.659723222989413</v>
      </c>
      <c r="I390">
        <f t="shared" ca="1" si="128"/>
        <v>61.546229610640488</v>
      </c>
      <c r="J390">
        <f t="shared" ca="1" si="116"/>
        <v>70.147999999999996</v>
      </c>
      <c r="K390">
        <f t="shared" ca="1" si="117"/>
        <v>0.69838610946577229</v>
      </c>
      <c r="L390">
        <f t="shared" ca="1" si="118"/>
        <v>71.544772218931541</v>
      </c>
      <c r="M390">
        <f t="shared" ca="1" si="119"/>
        <v>68.751227781068451</v>
      </c>
      <c r="N390">
        <f t="shared" ca="1" si="129"/>
        <v>-0.40999999999999659</v>
      </c>
      <c r="O390">
        <f t="shared" ca="1" si="130"/>
        <v>0</v>
      </c>
      <c r="P390">
        <f t="shared" ca="1" si="131"/>
        <v>0.40999999999999659</v>
      </c>
      <c r="Q390">
        <f t="shared" ca="1" si="114"/>
        <v>0.23243382339432547</v>
      </c>
      <c r="R390">
        <f t="shared" ca="1" si="115"/>
        <v>0.27715886711165288</v>
      </c>
      <c r="S390">
        <f t="shared" ca="1" si="112"/>
        <v>0.83863029827109947</v>
      </c>
      <c r="T390">
        <f t="shared" ca="1" si="113"/>
        <v>45.61168708356869</v>
      </c>
      <c r="U390">
        <f>70</f>
        <v>70</v>
      </c>
      <c r="V390">
        <f>30</f>
        <v>30</v>
      </c>
      <c r="W390">
        <f t="shared" ca="1" si="111"/>
        <v>69.95443054692295</v>
      </c>
      <c r="X390">
        <f t="shared" ca="1" si="121"/>
        <v>70.224578645527785</v>
      </c>
      <c r="Y390">
        <f t="shared" ca="1" si="120"/>
        <v>-0.31351050530032865</v>
      </c>
      <c r="Z390">
        <f t="shared" ca="1" si="122"/>
        <v>-0.28483782892459653</v>
      </c>
      <c r="AA390">
        <f t="shared" ca="1" si="123"/>
        <v>-2.867267637573212E-2</v>
      </c>
      <c r="AB390">
        <f t="shared" ca="1" si="124"/>
        <v>70.845000000000013</v>
      </c>
    </row>
    <row r="391" spans="1:28" x14ac:dyDescent="0.25">
      <c r="A391" s="20">
        <f t="shared" ca="1" si="125"/>
        <v>45859</v>
      </c>
      <c r="B391" vm="1095">
        <f ca="1"/>
        <v>45861</v>
      </c>
      <c r="C391" vm="853">
        <f ca="1"/>
        <v>69.16</v>
      </c>
      <c r="D391" vm="1096">
        <f ca="1"/>
        <v>21029993</v>
      </c>
      <c r="E391">
        <f t="shared" ca="1" si="126"/>
        <v>1454434315.8799999</v>
      </c>
      <c r="F391">
        <f ca="1">SUM($E$2:E391)/SUM($D$2:D391)</f>
        <v>66.113820321972781</v>
      </c>
      <c r="G391">
        <f ca="1">_xlfn.STDEV.P($C$2:C391)</f>
        <v>4.5540521500676565</v>
      </c>
      <c r="H391">
        <f t="shared" ca="1" si="127"/>
        <v>70.667872472040443</v>
      </c>
      <c r="I391">
        <f t="shared" ca="1" si="128"/>
        <v>61.559768171905127</v>
      </c>
      <c r="J391">
        <f t="shared" ca="1" si="116"/>
        <v>70.095500000000001</v>
      </c>
      <c r="K391">
        <f t="shared" ca="1" si="117"/>
        <v>0.73213081229776866</v>
      </c>
      <c r="L391">
        <f t="shared" ca="1" si="118"/>
        <v>71.559761624595538</v>
      </c>
      <c r="M391">
        <f t="shared" ca="1" si="119"/>
        <v>68.631238375404465</v>
      </c>
      <c r="N391">
        <f t="shared" ca="1" si="129"/>
        <v>-0.5</v>
      </c>
      <c r="O391">
        <f t="shared" ca="1" si="130"/>
        <v>0</v>
      </c>
      <c r="P391">
        <f t="shared" ca="1" si="131"/>
        <v>0.5</v>
      </c>
      <c r="Q391">
        <f t="shared" ca="1" si="114"/>
        <v>0.21583140743758794</v>
      </c>
      <c r="R391">
        <f t="shared" ca="1" si="115"/>
        <v>0.29307609088939202</v>
      </c>
      <c r="S391">
        <f t="shared" ca="1" si="112"/>
        <v>0.73643471489813028</v>
      </c>
      <c r="T391">
        <f t="shared" ca="1" si="113"/>
        <v>42.410734396158048</v>
      </c>
      <c r="U391">
        <f>70</f>
        <v>70</v>
      </c>
      <c r="V391">
        <f>30</f>
        <v>30</v>
      </c>
      <c r="W391">
        <f t="shared" ca="1" si="111"/>
        <v>69.832210462780949</v>
      </c>
      <c r="X391">
        <f t="shared" ca="1" si="121"/>
        <v>70.145720968081278</v>
      </c>
      <c r="Y391">
        <f t="shared" ca="1" si="120"/>
        <v>-0.34869745635462834</v>
      </c>
      <c r="Z391">
        <f t="shared" ca="1" si="122"/>
        <v>-0.29760975441060289</v>
      </c>
      <c r="AA391">
        <f t="shared" ca="1" si="123"/>
        <v>-5.1087701944025454E-2</v>
      </c>
      <c r="AB391">
        <f t="shared" ca="1" si="124"/>
        <v>70.827900000000014</v>
      </c>
    </row>
    <row r="392" spans="1:28" x14ac:dyDescent="0.25">
      <c r="A392" s="20">
        <f t="shared" ca="1" si="125"/>
        <v>45859</v>
      </c>
      <c r="B392" vm="1097">
        <f ca="1"/>
        <v>45862</v>
      </c>
      <c r="C392" vm="1098">
        <f ca="1"/>
        <v>69.099999999999994</v>
      </c>
      <c r="D392" vm="1099">
        <f ca="1"/>
        <v>12511367</v>
      </c>
      <c r="E392">
        <f t="shared" ca="1" si="126"/>
        <v>864535459.69999993</v>
      </c>
      <c r="F392">
        <f ca="1">SUM($E$2:E392)/SUM($D$2:D392)</f>
        <v>66.120108907168259</v>
      </c>
      <c r="G392">
        <f ca="1">_xlfn.STDEV.P($C$2:C392)</f>
        <v>4.5512422730913498</v>
      </c>
      <c r="H392">
        <f t="shared" ca="1" si="127"/>
        <v>70.671351180259606</v>
      </c>
      <c r="I392">
        <f t="shared" ca="1" si="128"/>
        <v>61.568866634076912</v>
      </c>
      <c r="J392">
        <f t="shared" ca="1" si="116"/>
        <v>70.068999999999988</v>
      </c>
      <c r="K392">
        <f t="shared" ca="1" si="117"/>
        <v>0.7589667491503107</v>
      </c>
      <c r="L392">
        <f t="shared" ca="1" si="118"/>
        <v>71.58693349830061</v>
      </c>
      <c r="M392">
        <f t="shared" ca="1" si="119"/>
        <v>68.551066501699367</v>
      </c>
      <c r="N392">
        <f t="shared" ca="1" si="129"/>
        <v>-6.0000000000002274E-2</v>
      </c>
      <c r="O392">
        <f t="shared" ca="1" si="130"/>
        <v>0</v>
      </c>
      <c r="P392">
        <f t="shared" ca="1" si="131"/>
        <v>6.0000000000002274E-2</v>
      </c>
      <c r="Q392">
        <f t="shared" ca="1" si="114"/>
        <v>0.2004148783349031</v>
      </c>
      <c r="R392">
        <f t="shared" ca="1" si="115"/>
        <v>0.27642779868300704</v>
      </c>
      <c r="S392">
        <f t="shared" ca="1" si="112"/>
        <v>0.72501709050155416</v>
      </c>
      <c r="T392">
        <f t="shared" ca="1" si="113"/>
        <v>42.029559851534749</v>
      </c>
      <c r="U392">
        <f>70</f>
        <v>70</v>
      </c>
      <c r="V392">
        <f>30</f>
        <v>30</v>
      </c>
      <c r="W392">
        <f t="shared" ca="1" si="111"/>
        <v>69.719562699276182</v>
      </c>
      <c r="X392">
        <f t="shared" ca="1" si="121"/>
        <v>70.06826015563081</v>
      </c>
      <c r="Y392">
        <f t="shared" ca="1" si="120"/>
        <v>-0.3667077746295746</v>
      </c>
      <c r="Z392">
        <f t="shared" ca="1" si="122"/>
        <v>-0.31142935845439723</v>
      </c>
      <c r="AA392">
        <f t="shared" ca="1" si="123"/>
        <v>-5.5278416175177369E-2</v>
      </c>
      <c r="AB392">
        <f t="shared" ca="1" si="124"/>
        <v>70.80680000000001</v>
      </c>
    </row>
    <row r="393" spans="1:28" x14ac:dyDescent="0.25">
      <c r="A393" s="20">
        <f t="shared" ca="1" si="125"/>
        <v>45859</v>
      </c>
      <c r="B393" vm="1100">
        <f ca="1"/>
        <v>45863</v>
      </c>
      <c r="C393" vm="1101">
        <f ca="1"/>
        <v>69.17</v>
      </c>
      <c r="D393" vm="1102">
        <f ca="1"/>
        <v>12574823</v>
      </c>
      <c r="E393">
        <f t="shared" ca="1" si="126"/>
        <v>869800506.90999997</v>
      </c>
      <c r="F393">
        <f ca="1">SUM($E$2:E393)/SUM($D$2:D393)</f>
        <v>66.126550603022906</v>
      </c>
      <c r="G393">
        <f ca="1">_xlfn.STDEV.P($C$2:C393)</f>
        <v>4.5485591630432012</v>
      </c>
      <c r="H393">
        <f t="shared" ca="1" si="127"/>
        <v>70.6751097660661</v>
      </c>
      <c r="I393">
        <f t="shared" ca="1" si="128"/>
        <v>61.577991439979705</v>
      </c>
      <c r="J393">
        <f t="shared" ca="1" si="116"/>
        <v>70.054000000000002</v>
      </c>
      <c r="K393">
        <f t="shared" ca="1" si="117"/>
        <v>0.77423918512916579</v>
      </c>
      <c r="L393">
        <f t="shared" ca="1" si="118"/>
        <v>71.602478370258339</v>
      </c>
      <c r="M393">
        <f t="shared" ca="1" si="119"/>
        <v>68.505521629741665</v>
      </c>
      <c r="N393">
        <f t="shared" ca="1" si="129"/>
        <v>7.000000000000739E-2</v>
      </c>
      <c r="O393">
        <f t="shared" ca="1" si="130"/>
        <v>7.000000000000739E-2</v>
      </c>
      <c r="P393">
        <f t="shared" ca="1" si="131"/>
        <v>0</v>
      </c>
      <c r="Q393">
        <f t="shared" ca="1" si="114"/>
        <v>0.19109952988241055</v>
      </c>
      <c r="R393">
        <f t="shared" ca="1" si="115"/>
        <v>0.25668295591993512</v>
      </c>
      <c r="S393">
        <f t="shared" ca="1" si="112"/>
        <v>0.74449637373670641</v>
      </c>
      <c r="T393">
        <f t="shared" ca="1" si="113"/>
        <v>42.676865652749804</v>
      </c>
      <c r="U393">
        <f>70</f>
        <v>70</v>
      </c>
      <c r="V393">
        <f>30</f>
        <v>30</v>
      </c>
      <c r="W393">
        <f t="shared" ca="1" si="111"/>
        <v>69.635014591695239</v>
      </c>
      <c r="X393">
        <f t="shared" ca="1" si="121"/>
        <v>70.001722366324813</v>
      </c>
      <c r="Y393">
        <f t="shared" ca="1" si="120"/>
        <v>-0.46279326302585844</v>
      </c>
      <c r="Z393">
        <f t="shared" ca="1" si="122"/>
        <v>-0.34170213936868948</v>
      </c>
      <c r="AA393">
        <f t="shared" ca="1" si="123"/>
        <v>-0.12109112365716895</v>
      </c>
      <c r="AB393">
        <f t="shared" ca="1" si="124"/>
        <v>70.775300000000016</v>
      </c>
    </row>
    <row r="394" spans="1:28" x14ac:dyDescent="0.25">
      <c r="A394" s="20">
        <f t="shared" ca="1" si="125"/>
        <v>45866</v>
      </c>
      <c r="B394" vm="1103">
        <f ca="1"/>
        <v>45866</v>
      </c>
      <c r="C394" vm="1104">
        <f ca="1"/>
        <v>68.09</v>
      </c>
      <c r="D394" vm="1105">
        <f ca="1"/>
        <v>13668798</v>
      </c>
      <c r="E394">
        <f t="shared" ca="1" si="126"/>
        <v>930708455.82000005</v>
      </c>
      <c r="F394">
        <f ca="1">SUM($E$2:E394)/SUM($D$2:D394)</f>
        <v>66.131048071289072</v>
      </c>
      <c r="G394">
        <f ca="1">_xlfn.STDEV.P($C$2:C394)</f>
        <v>4.5441873137838327</v>
      </c>
      <c r="H394">
        <f t="shared" ca="1" si="127"/>
        <v>70.675235385072909</v>
      </c>
      <c r="I394">
        <f t="shared" ca="1" si="128"/>
        <v>61.586860757505242</v>
      </c>
      <c r="J394">
        <f t="shared" ca="1" si="116"/>
        <v>69.942000000000007</v>
      </c>
      <c r="K394">
        <f t="shared" ca="1" si="117"/>
        <v>0.88614243835437179</v>
      </c>
      <c r="L394">
        <f t="shared" ca="1" si="118"/>
        <v>71.714284876708746</v>
      </c>
      <c r="M394">
        <f t="shared" ca="1" si="119"/>
        <v>68.169715123291269</v>
      </c>
      <c r="N394">
        <f t="shared" ca="1" si="129"/>
        <v>-1.0799999999999983</v>
      </c>
      <c r="O394">
        <f t="shared" ca="1" si="130"/>
        <v>0</v>
      </c>
      <c r="P394">
        <f t="shared" ca="1" si="131"/>
        <v>1.0799999999999983</v>
      </c>
      <c r="Q394">
        <f t="shared" ca="1" si="114"/>
        <v>0.17744956346223836</v>
      </c>
      <c r="R394">
        <f t="shared" ca="1" si="115"/>
        <v>0.31549131621136822</v>
      </c>
      <c r="S394">
        <f t="shared" ca="1" si="112"/>
        <v>0.56245466782785658</v>
      </c>
      <c r="T394">
        <f t="shared" ca="1" si="113"/>
        <v>35.998143140356703</v>
      </c>
      <c r="U394">
        <f>70</f>
        <v>70</v>
      </c>
      <c r="V394">
        <f>30</f>
        <v>30</v>
      </c>
      <c r="W394">
        <f t="shared" ca="1" si="111"/>
        <v>69.39732003912674</v>
      </c>
      <c r="X394">
        <f t="shared" ca="1" si="121"/>
        <v>69.860113302152598</v>
      </c>
      <c r="Y394">
        <f t="shared" ca="1" si="120"/>
        <v>-0.42989393612238302</v>
      </c>
      <c r="Z394">
        <f t="shared" ca="1" si="122"/>
        <v>-0.35934049871942819</v>
      </c>
      <c r="AA394">
        <f t="shared" ca="1" si="123"/>
        <v>-7.0553437402954833E-2</v>
      </c>
      <c r="AB394">
        <f t="shared" ca="1" si="124"/>
        <v>70.754300000000015</v>
      </c>
    </row>
    <row r="395" spans="1:28" x14ac:dyDescent="0.25">
      <c r="A395" s="20">
        <f t="shared" ca="1" si="125"/>
        <v>45866</v>
      </c>
      <c r="B395" vm="1106">
        <f ca="1"/>
        <v>45867</v>
      </c>
      <c r="C395" vm="462">
        <f ca="1"/>
        <v>69.38</v>
      </c>
      <c r="D395" vm="1107">
        <f ca="1"/>
        <v>16223379</v>
      </c>
      <c r="E395">
        <f t="shared" ca="1" si="126"/>
        <v>1125578035.02</v>
      </c>
      <c r="F395">
        <f ca="1">SUM($E$2:E395)/SUM($D$2:D395)</f>
        <v>66.13985700942041</v>
      </c>
      <c r="G395">
        <f ca="1">_xlfn.STDEV.P($C$2:C395)</f>
        <v>4.5419070071546299</v>
      </c>
      <c r="H395">
        <f t="shared" ca="1" si="127"/>
        <v>70.681764016575045</v>
      </c>
      <c r="I395">
        <f t="shared" ca="1" si="128"/>
        <v>61.597950002265783</v>
      </c>
      <c r="J395">
        <f t="shared" ca="1" si="116"/>
        <v>69.873500000000007</v>
      </c>
      <c r="K395">
        <f t="shared" ca="1" si="117"/>
        <v>0.87325329417613629</v>
      </c>
      <c r="L395">
        <f t="shared" ca="1" si="118"/>
        <v>71.620006588352283</v>
      </c>
      <c r="M395">
        <f t="shared" ca="1" si="119"/>
        <v>68.126993411647732</v>
      </c>
      <c r="N395">
        <f t="shared" ca="1" si="129"/>
        <v>1.289999999999992</v>
      </c>
      <c r="O395">
        <f t="shared" ca="1" si="130"/>
        <v>1.289999999999992</v>
      </c>
      <c r="P395">
        <f t="shared" ca="1" si="131"/>
        <v>0</v>
      </c>
      <c r="Q395">
        <f t="shared" ca="1" si="114"/>
        <v>0.2569174517863636</v>
      </c>
      <c r="R395">
        <f t="shared" ca="1" si="115"/>
        <v>0.29295622219627049</v>
      </c>
      <c r="S395">
        <f t="shared" ca="1" si="112"/>
        <v>0.87698240324193499</v>
      </c>
      <c r="T395">
        <f t="shared" ca="1" si="113"/>
        <v>46.722995470133647</v>
      </c>
      <c r="U395">
        <f>70</f>
        <v>70</v>
      </c>
      <c r="V395">
        <f>30</f>
        <v>30</v>
      </c>
      <c r="W395">
        <f t="shared" ca="1" si="111"/>
        <v>69.394655417722618</v>
      </c>
      <c r="X395">
        <f t="shared" ca="1" si="121"/>
        <v>69.824549353845001</v>
      </c>
      <c r="Y395">
        <f t="shared" ca="1" si="120"/>
        <v>-0.44947544426213426</v>
      </c>
      <c r="Z395">
        <f t="shared" ca="1" si="122"/>
        <v>-0.37736748782796942</v>
      </c>
      <c r="AA395">
        <f t="shared" ca="1" si="123"/>
        <v>-7.2107956434164844E-2</v>
      </c>
      <c r="AB395">
        <f t="shared" ca="1" si="124"/>
        <v>70.747300000000024</v>
      </c>
    </row>
    <row r="396" spans="1:28" x14ac:dyDescent="0.25">
      <c r="A396" s="20">
        <f t="shared" ca="1" si="125"/>
        <v>45866</v>
      </c>
      <c r="B396" vm="1108">
        <f ca="1"/>
        <v>45868</v>
      </c>
      <c r="C396" vm="1109">
        <f ca="1"/>
        <v>68.75</v>
      </c>
      <c r="D396" vm="1110">
        <f ca="1"/>
        <v>10448179</v>
      </c>
      <c r="E396">
        <f t="shared" ca="1" si="126"/>
        <v>718312306.25</v>
      </c>
      <c r="F396">
        <f ca="1">SUM($E$2:E396)/SUM($D$2:D396)</f>
        <v>66.144406745300316</v>
      </c>
      <c r="G396">
        <f ca="1">_xlfn.STDEV.P($C$2:C396)</f>
        <v>4.5384929633596416</v>
      </c>
      <c r="H396">
        <f t="shared" ca="1" si="127"/>
        <v>70.68289970865996</v>
      </c>
      <c r="I396">
        <f t="shared" ca="1" si="128"/>
        <v>61.605913781940671</v>
      </c>
      <c r="J396">
        <f t="shared" ca="1" si="116"/>
        <v>69.727499999999992</v>
      </c>
      <c r="K396">
        <f t="shared" ca="1" si="117"/>
        <v>0.79793730791862361</v>
      </c>
      <c r="L396">
        <f t="shared" ca="1" si="118"/>
        <v>71.323374615837238</v>
      </c>
      <c r="M396">
        <f t="shared" ca="1" si="119"/>
        <v>68.131625384162746</v>
      </c>
      <c r="N396">
        <f t="shared" ca="1" si="129"/>
        <v>-0.62999999999999545</v>
      </c>
      <c r="O396">
        <f t="shared" ca="1" si="130"/>
        <v>0</v>
      </c>
      <c r="P396">
        <f t="shared" ca="1" si="131"/>
        <v>0.62999999999999545</v>
      </c>
      <c r="Q396">
        <f t="shared" ca="1" si="114"/>
        <v>0.23856620523019476</v>
      </c>
      <c r="R396">
        <f t="shared" ca="1" si="115"/>
        <v>0.31703077775367944</v>
      </c>
      <c r="S396">
        <f t="shared" ca="1" si="112"/>
        <v>0.75250171898310581</v>
      </c>
      <c r="T396">
        <f t="shared" ca="1" si="113"/>
        <v>42.938715028464969</v>
      </c>
      <c r="U396">
        <f>70</f>
        <v>70</v>
      </c>
      <c r="V396">
        <f>30</f>
        <v>30</v>
      </c>
      <c r="W396">
        <f t="shared" ca="1" si="111"/>
        <v>69.295477661149903</v>
      </c>
      <c r="X396">
        <f t="shared" ca="1" si="121"/>
        <v>69.744953105412037</v>
      </c>
      <c r="Y396">
        <f t="shared" ca="1" si="120"/>
        <v>-0.52829884301250729</v>
      </c>
      <c r="Z396">
        <f t="shared" ca="1" si="122"/>
        <v>-0.40755375886487705</v>
      </c>
      <c r="AA396">
        <f t="shared" ca="1" si="123"/>
        <v>-0.12074508414763024</v>
      </c>
      <c r="AB396">
        <f t="shared" ca="1" si="124"/>
        <v>70.730200000000025</v>
      </c>
    </row>
    <row r="397" spans="1:28" x14ac:dyDescent="0.25">
      <c r="A397" s="20">
        <f t="shared" ca="1" si="125"/>
        <v>45866</v>
      </c>
      <c r="B397" vm="1111">
        <f ca="1"/>
        <v>45869</v>
      </c>
      <c r="C397" vm="1112">
        <f ca="1"/>
        <v>67.89</v>
      </c>
      <c r="D397" vm="1113">
        <f ca="1"/>
        <v>17193418</v>
      </c>
      <c r="E397">
        <f t="shared" ca="1" si="126"/>
        <v>1167261148.02</v>
      </c>
      <c r="F397">
        <f ca="1">SUM($E$2:E397)/SUM($D$2:D397)</f>
        <v>66.149399527261622</v>
      </c>
      <c r="G397">
        <f ca="1">_xlfn.STDEV.P($C$2:C397)</f>
        <v>4.5339057774383562</v>
      </c>
      <c r="H397">
        <f t="shared" ca="1" si="127"/>
        <v>70.683305304699985</v>
      </c>
      <c r="I397">
        <f t="shared" ca="1" si="128"/>
        <v>61.615493749823266</v>
      </c>
      <c r="J397">
        <f t="shared" ca="1" si="116"/>
        <v>69.576499999999996</v>
      </c>
      <c r="K397">
        <f t="shared" ca="1" si="117"/>
        <v>0.84664834556776336</v>
      </c>
      <c r="L397">
        <f t="shared" ca="1" si="118"/>
        <v>71.269796691135525</v>
      </c>
      <c r="M397">
        <f t="shared" ca="1" si="119"/>
        <v>67.883203308864466</v>
      </c>
      <c r="N397">
        <f t="shared" ca="1" si="129"/>
        <v>-0.85999999999999943</v>
      </c>
      <c r="O397">
        <f t="shared" ca="1" si="130"/>
        <v>0</v>
      </c>
      <c r="P397">
        <f t="shared" ca="1" si="131"/>
        <v>0.85999999999999943</v>
      </c>
      <c r="Q397">
        <f t="shared" ca="1" si="114"/>
        <v>0.22152576199946655</v>
      </c>
      <c r="R397">
        <f t="shared" ca="1" si="115"/>
        <v>0.3558142936284166</v>
      </c>
      <c r="S397">
        <f t="shared" ca="1" si="112"/>
        <v>0.62258814771171045</v>
      </c>
      <c r="T397">
        <f t="shared" ca="1" si="113"/>
        <v>38.370066278970953</v>
      </c>
      <c r="U397">
        <f>70</f>
        <v>70</v>
      </c>
      <c r="V397">
        <f>30</f>
        <v>30</v>
      </c>
      <c r="W397">
        <f t="shared" ca="1" si="111"/>
        <v>69.079250328665296</v>
      </c>
      <c r="X397">
        <f t="shared" ca="1" si="121"/>
        <v>69.607549171677803</v>
      </c>
      <c r="Y397">
        <f t="shared" ca="1" si="120"/>
        <v>-0.50665565009029478</v>
      </c>
      <c r="Z397">
        <f t="shared" ca="1" si="122"/>
        <v>-0.42737413710996064</v>
      </c>
      <c r="AA397">
        <f t="shared" ca="1" si="123"/>
        <v>-7.9281512980334146E-2</v>
      </c>
      <c r="AB397">
        <f t="shared" ca="1" si="124"/>
        <v>70.694800000000029</v>
      </c>
    </row>
    <row r="398" spans="1:28" x14ac:dyDescent="0.25">
      <c r="A398" s="20">
        <f t="shared" ca="1" si="125"/>
        <v>45866</v>
      </c>
      <c r="B398" vm="1114">
        <f ca="1"/>
        <v>45870</v>
      </c>
      <c r="C398" vm="1115">
        <f ca="1"/>
        <v>68.86</v>
      </c>
      <c r="D398" vm="1116">
        <f ca="1"/>
        <v>16107506</v>
      </c>
      <c r="E398">
        <f t="shared" ca="1" si="126"/>
        <v>1109162863.1600001</v>
      </c>
      <c r="F398">
        <f ca="1">SUM($E$2:E398)/SUM($D$2:D398)</f>
        <v>66.156643369239646</v>
      </c>
      <c r="G398">
        <f ca="1">_xlfn.STDEV.P($C$2:C398)</f>
        <v>4.530682599788836</v>
      </c>
      <c r="H398">
        <f t="shared" ca="1" si="127"/>
        <v>70.687325969028478</v>
      </c>
      <c r="I398">
        <f t="shared" ca="1" si="128"/>
        <v>61.625960769450813</v>
      </c>
      <c r="J398">
        <f t="shared" ca="1" si="116"/>
        <v>69.451999999999998</v>
      </c>
      <c r="K398">
        <f t="shared" ca="1" si="117"/>
        <v>0.74964974277465424</v>
      </c>
      <c r="L398">
        <f t="shared" ca="1" si="118"/>
        <v>70.951299485549313</v>
      </c>
      <c r="M398">
        <f t="shared" ca="1" si="119"/>
        <v>67.952700514450683</v>
      </c>
      <c r="N398">
        <f t="shared" ca="1" si="129"/>
        <v>0.96999999999999886</v>
      </c>
      <c r="O398">
        <f t="shared" ca="1" si="130"/>
        <v>0.96999999999999886</v>
      </c>
      <c r="P398">
        <f t="shared" ca="1" si="131"/>
        <v>0</v>
      </c>
      <c r="Q398">
        <f t="shared" ca="1" si="114"/>
        <v>0.27498820757093317</v>
      </c>
      <c r="R398">
        <f t="shared" ca="1" si="115"/>
        <v>0.33039898694067255</v>
      </c>
      <c r="S398">
        <f t="shared" ca="1" si="112"/>
        <v>0.83229131577304416</v>
      </c>
      <c r="T398">
        <f t="shared" ca="1" si="113"/>
        <v>45.423525648371054</v>
      </c>
      <c r="U398">
        <f>70</f>
        <v>70</v>
      </c>
      <c r="V398">
        <f>30</f>
        <v>30</v>
      </c>
      <c r="W398">
        <f t="shared" ca="1" si="111"/>
        <v>69.04551950887064</v>
      </c>
      <c r="X398">
        <f t="shared" ca="1" si="121"/>
        <v>69.552175158960935</v>
      </c>
      <c r="Y398">
        <f t="shared" ca="1" si="120"/>
        <v>-0.47594767101915636</v>
      </c>
      <c r="Z398">
        <f t="shared" ca="1" si="122"/>
        <v>-0.43708884389179981</v>
      </c>
      <c r="AA398">
        <f t="shared" ca="1" si="123"/>
        <v>-3.8858827127356554E-2</v>
      </c>
      <c r="AB398">
        <f t="shared" ca="1" si="124"/>
        <v>70.668900000000036</v>
      </c>
    </row>
    <row r="399" spans="1:28" x14ac:dyDescent="0.25">
      <c r="A399" s="20">
        <f t="shared" ca="1" si="125"/>
        <v>45873</v>
      </c>
      <c r="B399" vm="1117">
        <f ca="1"/>
        <v>45873</v>
      </c>
      <c r="C399" vm="969">
        <f ca="1"/>
        <v>68.959999999999994</v>
      </c>
      <c r="D399" vm="1118">
        <f ca="1"/>
        <v>10701525</v>
      </c>
      <c r="E399">
        <f t="shared" ca="1" si="126"/>
        <v>737977163.99999988</v>
      </c>
      <c r="F399">
        <f ca="1">SUM($E$2:E399)/SUM($D$2:D399)</f>
        <v>66.161611909011043</v>
      </c>
      <c r="G399">
        <f ca="1">_xlfn.STDEV.P($C$2:C399)</f>
        <v>4.5276290827659773</v>
      </c>
      <c r="H399">
        <f t="shared" ca="1" si="127"/>
        <v>70.689240991777027</v>
      </c>
      <c r="I399">
        <f t="shared" ca="1" si="128"/>
        <v>61.633982826245067</v>
      </c>
      <c r="J399">
        <f t="shared" ca="1" si="116"/>
        <v>69.349499999999992</v>
      </c>
      <c r="K399">
        <f t="shared" ca="1" si="117"/>
        <v>0.66022703431630581</v>
      </c>
      <c r="L399">
        <f t="shared" ca="1" si="118"/>
        <v>70.669954068632606</v>
      </c>
      <c r="M399">
        <f t="shared" ca="1" si="119"/>
        <v>68.029045931367378</v>
      </c>
      <c r="N399">
        <f t="shared" ca="1" si="129"/>
        <v>9.9999999999994316E-2</v>
      </c>
      <c r="O399">
        <f t="shared" ca="1" si="130"/>
        <v>9.9999999999994316E-2</v>
      </c>
      <c r="P399">
        <f t="shared" ca="1" si="131"/>
        <v>0</v>
      </c>
      <c r="Q399">
        <f t="shared" ca="1" si="114"/>
        <v>0.26248904988729466</v>
      </c>
      <c r="R399">
        <f t="shared" ca="1" si="115"/>
        <v>0.30679905930205303</v>
      </c>
      <c r="S399">
        <f t="shared" ca="1" si="112"/>
        <v>0.85557319010181898</v>
      </c>
      <c r="T399">
        <f t="shared" ca="1" si="113"/>
        <v>46.10829659890009</v>
      </c>
      <c r="U399">
        <f>70</f>
        <v>70</v>
      </c>
      <c r="V399">
        <f>30</f>
        <v>30</v>
      </c>
      <c r="W399">
        <f t="shared" ref="W399:W462" ca="1" si="132">C399*(2/(12+1)) + W398*(1-(2/(12+1)))</f>
        <v>69.032362661352082</v>
      </c>
      <c r="X399">
        <f t="shared" ca="1" si="121"/>
        <v>69.508310332371238</v>
      </c>
      <c r="Y399">
        <f t="shared" ca="1" si="120"/>
        <v>-0.43928532079510774</v>
      </c>
      <c r="Z399">
        <f t="shared" ca="1" si="122"/>
        <v>-0.43752813927246142</v>
      </c>
      <c r="AA399">
        <f t="shared" ca="1" si="123"/>
        <v>-1.7571815226463117E-3</v>
      </c>
      <c r="AB399">
        <f t="shared" ca="1" si="124"/>
        <v>70.648100000000028</v>
      </c>
    </row>
    <row r="400" spans="1:28" x14ac:dyDescent="0.25">
      <c r="A400" s="20">
        <f t="shared" ca="1" si="125"/>
        <v>45873</v>
      </c>
      <c r="B400" vm="1119">
        <f ca="1"/>
        <v>45874</v>
      </c>
      <c r="C400" vm="800">
        <f ca="1"/>
        <v>69.05</v>
      </c>
      <c r="D400" vm="1120">
        <f ca="1"/>
        <v>11993391</v>
      </c>
      <c r="E400">
        <f t="shared" ca="1" si="126"/>
        <v>828143648.54999995</v>
      </c>
      <c r="F400">
        <f ca="1">SUM($E$2:E400)/SUM($D$2:D400)</f>
        <v>66.167337766052569</v>
      </c>
      <c r="G400">
        <f ca="1">_xlfn.STDEV.P($C$2:C400)</f>
        <v>4.5247310758872539</v>
      </c>
      <c r="H400">
        <f t="shared" ca="1" si="127"/>
        <v>70.692068841939829</v>
      </c>
      <c r="I400">
        <f t="shared" ca="1" si="128"/>
        <v>61.642606690165316</v>
      </c>
      <c r="J400">
        <f t="shared" ca="1" si="116"/>
        <v>69.289999999999992</v>
      </c>
      <c r="K400">
        <f t="shared" ca="1" si="117"/>
        <v>0.62861585625630023</v>
      </c>
      <c r="L400">
        <f t="shared" ca="1" si="118"/>
        <v>70.547231712512598</v>
      </c>
      <c r="M400">
        <f t="shared" ca="1" si="119"/>
        <v>68.032768287487386</v>
      </c>
      <c r="N400">
        <f t="shared" ca="1" si="129"/>
        <v>9.0000000000003411E-2</v>
      </c>
      <c r="O400">
        <f t="shared" ca="1" si="130"/>
        <v>9.0000000000003411E-2</v>
      </c>
      <c r="P400">
        <f t="shared" ca="1" si="131"/>
        <v>0</v>
      </c>
      <c r="Q400">
        <f t="shared" ca="1" si="114"/>
        <v>0.25016840346677383</v>
      </c>
      <c r="R400">
        <f t="shared" ca="1" si="115"/>
        <v>0.28488484078047782</v>
      </c>
      <c r="S400">
        <f t="shared" ref="S400:S463" ca="1" si="133">IF(R400=0,NA(),Q400/R400)</f>
        <v>0.87813869906663355</v>
      </c>
      <c r="T400">
        <f t="shared" ref="T400:T463" ca="1" si="134">100-(100/(1+S400))</f>
        <v>46.755796017782735</v>
      </c>
      <c r="U400">
        <f>70</f>
        <v>70</v>
      </c>
      <c r="V400">
        <f>30</f>
        <v>30</v>
      </c>
      <c r="W400">
        <f t="shared" ca="1" si="132"/>
        <v>69.035076098067151</v>
      </c>
      <c r="X400">
        <f t="shared" ca="1" si="121"/>
        <v>69.474361418862259</v>
      </c>
      <c r="Y400">
        <f t="shared" ca="1" si="120"/>
        <v>-0.3688600000122193</v>
      </c>
      <c r="Z400">
        <f t="shared" ca="1" si="122"/>
        <v>-0.42379451142041302</v>
      </c>
      <c r="AA400">
        <f t="shared" ca="1" si="123"/>
        <v>5.493451140819372E-2</v>
      </c>
      <c r="AB400">
        <f t="shared" ca="1" si="124"/>
        <v>70.639200000000031</v>
      </c>
    </row>
    <row r="401" spans="1:28" x14ac:dyDescent="0.25">
      <c r="A401" s="20">
        <f t="shared" ca="1" si="125"/>
        <v>45873</v>
      </c>
      <c r="B401" vm="1121">
        <f ca="1"/>
        <v>45875</v>
      </c>
      <c r="C401" vm="1122">
        <f ca="1"/>
        <v>69.510000000000005</v>
      </c>
      <c r="D401" vm="1123">
        <f ca="1"/>
        <v>10782977</v>
      </c>
      <c r="E401">
        <f t="shared" ca="1" si="126"/>
        <v>749524731.2700001</v>
      </c>
      <c r="F401">
        <f ca="1">SUM($E$2:E401)/SUM($D$2:D401)</f>
        <v>66.173284804969313</v>
      </c>
      <c r="G401">
        <f ca="1">_xlfn.STDEV.P($C$2:C401)</f>
        <v>4.5226926210361684</v>
      </c>
      <c r="H401">
        <f t="shared" ca="1" si="127"/>
        <v>70.695977426005484</v>
      </c>
      <c r="I401">
        <f t="shared" ca="1" si="128"/>
        <v>61.650592183933142</v>
      </c>
      <c r="J401">
        <f t="shared" ca="1" si="116"/>
        <v>69.291499999999999</v>
      </c>
      <c r="K401">
        <f t="shared" ca="1" si="117"/>
        <v>0.62912867899726332</v>
      </c>
      <c r="L401">
        <f t="shared" ca="1" si="118"/>
        <v>70.549757357994523</v>
      </c>
      <c r="M401">
        <f t="shared" ca="1" si="119"/>
        <v>68.033242642005476</v>
      </c>
      <c r="N401">
        <f t="shared" ca="1" si="129"/>
        <v>0.46000000000000796</v>
      </c>
      <c r="O401">
        <f t="shared" ca="1" si="130"/>
        <v>0.46000000000000796</v>
      </c>
      <c r="P401">
        <f t="shared" ca="1" si="131"/>
        <v>0</v>
      </c>
      <c r="Q401">
        <f t="shared" ref="Q401:Q464" ca="1" si="135">(Q400*13+O401)/14</f>
        <v>0.26515637464771913</v>
      </c>
      <c r="R401">
        <f t="shared" ref="R401:R464" ca="1" si="136">(R400*13+P401)/14</f>
        <v>0.26453592358187228</v>
      </c>
      <c r="S401">
        <f t="shared" ca="1" si="133"/>
        <v>1.0023454321721066</v>
      </c>
      <c r="T401">
        <f t="shared" ca="1" si="134"/>
        <v>50.058567121696939</v>
      </c>
      <c r="U401">
        <f>70</f>
        <v>70</v>
      </c>
      <c r="V401">
        <f>30</f>
        <v>30</v>
      </c>
      <c r="W401">
        <f t="shared" ca="1" si="132"/>
        <v>69.10814131374913</v>
      </c>
      <c r="X401">
        <f t="shared" ca="1" si="121"/>
        <v>69.477001313761349</v>
      </c>
      <c r="Y401">
        <f t="shared" ca="1" si="120"/>
        <v>-0.23608962048132298</v>
      </c>
      <c r="Z401">
        <f t="shared" ca="1" si="122"/>
        <v>-0.38625353323259504</v>
      </c>
      <c r="AA401">
        <f t="shared" ca="1" si="123"/>
        <v>0.15016391275127206</v>
      </c>
      <c r="AB401">
        <f t="shared" ca="1" si="124"/>
        <v>70.638100000000037</v>
      </c>
    </row>
    <row r="402" spans="1:28" x14ac:dyDescent="0.25">
      <c r="A402" s="20">
        <f t="shared" ca="1" si="125"/>
        <v>45873</v>
      </c>
      <c r="B402" vm="1124">
        <f ca="1"/>
        <v>45876</v>
      </c>
      <c r="C402" vm="1125">
        <f ca="1"/>
        <v>70.430000000000007</v>
      </c>
      <c r="D402" vm="1126">
        <f ca="1"/>
        <v>15790802</v>
      </c>
      <c r="E402">
        <f t="shared" ca="1" si="126"/>
        <v>1112146184.8600001</v>
      </c>
      <c r="F402">
        <f ca="1">SUM($E$2:E402)/SUM($D$2:D402)</f>
        <v>66.184346415183981</v>
      </c>
      <c r="G402">
        <f ca="1">_xlfn.STDEV.P($C$2:C402)</f>
        <v>4.522707531298078</v>
      </c>
      <c r="H402">
        <f t="shared" ca="1" si="127"/>
        <v>70.707053946482063</v>
      </c>
      <c r="I402">
        <f t="shared" ca="1" si="128"/>
        <v>61.6616388838859</v>
      </c>
      <c r="J402">
        <f t="shared" ca="1" si="116"/>
        <v>69.3245</v>
      </c>
      <c r="K402">
        <f t="shared" ca="1" si="117"/>
        <v>0.67143581423065257</v>
      </c>
      <c r="L402">
        <f t="shared" ca="1" si="118"/>
        <v>70.667371628461311</v>
      </c>
      <c r="M402">
        <f t="shared" ca="1" si="119"/>
        <v>67.98162837153869</v>
      </c>
      <c r="N402">
        <f t="shared" ca="1" si="129"/>
        <v>0.92000000000000171</v>
      </c>
      <c r="O402">
        <f t="shared" ca="1" si="130"/>
        <v>0.92000000000000171</v>
      </c>
      <c r="P402">
        <f t="shared" ca="1" si="131"/>
        <v>0</v>
      </c>
      <c r="Q402">
        <f t="shared" ca="1" si="135"/>
        <v>0.31193091931573935</v>
      </c>
      <c r="R402">
        <f t="shared" ca="1" si="136"/>
        <v>0.24564050046888139</v>
      </c>
      <c r="S402">
        <f t="shared" ca="1" si="133"/>
        <v>1.2698676265531215</v>
      </c>
      <c r="T402">
        <f t="shared" ca="1" si="134"/>
        <v>55.944567502443427</v>
      </c>
      <c r="U402">
        <f>70</f>
        <v>70</v>
      </c>
      <c r="V402">
        <f>30</f>
        <v>30</v>
      </c>
      <c r="W402">
        <f t="shared" ca="1" si="132"/>
        <v>69.311504188556952</v>
      </c>
      <c r="X402">
        <f t="shared" ca="1" si="121"/>
        <v>69.547593809038275</v>
      </c>
      <c r="Y402">
        <f t="shared" ca="1" si="120"/>
        <v>-0.13655625052999198</v>
      </c>
      <c r="Z402">
        <f t="shared" ca="1" si="122"/>
        <v>-0.33631407669207442</v>
      </c>
      <c r="AA402">
        <f t="shared" ca="1" si="123"/>
        <v>0.19975782616208243</v>
      </c>
      <c r="AB402">
        <f t="shared" ca="1" si="124"/>
        <v>70.650800000000032</v>
      </c>
    </row>
    <row r="403" spans="1:28" x14ac:dyDescent="0.25">
      <c r="A403" s="20">
        <f t="shared" ca="1" si="125"/>
        <v>45873</v>
      </c>
      <c r="B403" vm="1127">
        <f ca="1"/>
        <v>45877</v>
      </c>
      <c r="C403" vm="571">
        <f ca="1"/>
        <v>70.34</v>
      </c>
      <c r="D403" vm="1128">
        <f ca="1"/>
        <v>9232651</v>
      </c>
      <c r="E403">
        <f t="shared" ca="1" si="126"/>
        <v>649424671.34000003</v>
      </c>
      <c r="F403">
        <f ca="1">SUM($E$2:E403)/SUM($D$2:D403)</f>
        <v>66.190650847247511</v>
      </c>
      <c r="G403">
        <f ca="1">_xlfn.STDEV.P($C$2:C403)</f>
        <v>4.5224731841541672</v>
      </c>
      <c r="H403">
        <f t="shared" ca="1" si="127"/>
        <v>70.713124031401676</v>
      </c>
      <c r="I403">
        <f t="shared" ca="1" si="128"/>
        <v>61.668177663093346</v>
      </c>
      <c r="J403">
        <f t="shared" ca="1" si="116"/>
        <v>69.347999999999985</v>
      </c>
      <c r="K403">
        <f t="shared" ca="1" si="117"/>
        <v>0.69918448736254279</v>
      </c>
      <c r="L403">
        <f t="shared" ca="1" si="118"/>
        <v>70.746368974725073</v>
      </c>
      <c r="M403">
        <f t="shared" ca="1" si="119"/>
        <v>67.949631025274897</v>
      </c>
      <c r="N403">
        <f t="shared" ca="1" si="129"/>
        <v>-9.0000000000003411E-2</v>
      </c>
      <c r="O403">
        <f t="shared" ca="1" si="130"/>
        <v>0</v>
      </c>
      <c r="P403">
        <f t="shared" ca="1" si="131"/>
        <v>9.0000000000003411E-2</v>
      </c>
      <c r="Q403">
        <f t="shared" ca="1" si="135"/>
        <v>0.28965013936461509</v>
      </c>
      <c r="R403">
        <f t="shared" ca="1" si="136"/>
        <v>0.23452332186396152</v>
      </c>
      <c r="S403">
        <f t="shared" ca="1" si="133"/>
        <v>1.2350589999430019</v>
      </c>
      <c r="T403">
        <f t="shared" ca="1" si="134"/>
        <v>55.258451789169683</v>
      </c>
      <c r="U403">
        <f>70</f>
        <v>70</v>
      </c>
      <c r="V403">
        <f>30</f>
        <v>30</v>
      </c>
      <c r="W403">
        <f t="shared" ca="1" si="132"/>
        <v>69.469734313394341</v>
      </c>
      <c r="X403">
        <f t="shared" ca="1" si="121"/>
        <v>69.606290563924333</v>
      </c>
      <c r="Y403">
        <f t="shared" ca="1" si="120"/>
        <v>-2.4311516231605879E-2</v>
      </c>
      <c r="Z403">
        <f t="shared" ca="1" si="122"/>
        <v>-0.27391356459998073</v>
      </c>
      <c r="AA403">
        <f t="shared" ca="1" si="123"/>
        <v>0.24960204836837485</v>
      </c>
      <c r="AB403">
        <f t="shared" ca="1" si="124"/>
        <v>70.653000000000034</v>
      </c>
    </row>
    <row r="404" spans="1:28" x14ac:dyDescent="0.25">
      <c r="A404" s="20">
        <f t="shared" ca="1" si="125"/>
        <v>45880</v>
      </c>
      <c r="B404" vm="1129">
        <f ca="1"/>
        <v>45880</v>
      </c>
      <c r="C404" vm="1054">
        <f ca="1"/>
        <v>70.75</v>
      </c>
      <c r="D404" vm="1130">
        <f ca="1"/>
        <v>10909371</v>
      </c>
      <c r="E404">
        <f t="shared" ca="1" si="126"/>
        <v>771837998.25</v>
      </c>
      <c r="F404">
        <f ca="1">SUM($E$2:E404)/SUM($D$2:D404)</f>
        <v>66.198809246633061</v>
      </c>
      <c r="G404">
        <f ca="1">_xlfn.STDEV.P($C$2:C404)</f>
        <v>4.5232515369478676</v>
      </c>
      <c r="H404">
        <f t="shared" ca="1" si="127"/>
        <v>70.722060783580929</v>
      </c>
      <c r="I404">
        <f t="shared" ca="1" si="128"/>
        <v>61.675557709685194</v>
      </c>
      <c r="J404">
        <f t="shared" ca="1" si="116"/>
        <v>69.411999999999992</v>
      </c>
      <c r="K404">
        <f t="shared" ca="1" si="117"/>
        <v>0.76630075173215384</v>
      </c>
      <c r="L404">
        <f t="shared" ca="1" si="118"/>
        <v>70.944601503464298</v>
      </c>
      <c r="M404">
        <f t="shared" ca="1" si="119"/>
        <v>67.879398496535686</v>
      </c>
      <c r="N404">
        <f t="shared" ca="1" si="129"/>
        <v>0.40999999999999659</v>
      </c>
      <c r="O404">
        <f t="shared" ca="1" si="130"/>
        <v>0.40999999999999659</v>
      </c>
      <c r="P404">
        <f t="shared" ca="1" si="131"/>
        <v>0</v>
      </c>
      <c r="Q404">
        <f t="shared" ca="1" si="135"/>
        <v>0.29824655798142807</v>
      </c>
      <c r="R404">
        <f t="shared" ca="1" si="136"/>
        <v>0.2177716560165357</v>
      </c>
      <c r="S404">
        <f t="shared" ca="1" si="133"/>
        <v>1.3695379988237855</v>
      </c>
      <c r="T404">
        <f t="shared" ca="1" si="134"/>
        <v>57.797680370756254</v>
      </c>
      <c r="U404">
        <f>70</f>
        <v>70</v>
      </c>
      <c r="V404">
        <f>30</f>
        <v>30</v>
      </c>
      <c r="W404">
        <f t="shared" ca="1" si="132"/>
        <v>69.666698265179818</v>
      </c>
      <c r="X404">
        <f t="shared" ca="1" si="121"/>
        <v>69.691009781411424</v>
      </c>
      <c r="Y404">
        <f t="shared" ca="1" si="120"/>
        <v>6.0715686039003458E-2</v>
      </c>
      <c r="Z404">
        <f t="shared" ca="1" si="122"/>
        <v>-0.20698771447218389</v>
      </c>
      <c r="AA404">
        <f t="shared" ca="1" si="123"/>
        <v>0.26770340051118735</v>
      </c>
      <c r="AB404">
        <f t="shared" ca="1" si="124"/>
        <v>70.66670000000002</v>
      </c>
    </row>
    <row r="405" spans="1:28" x14ac:dyDescent="0.25">
      <c r="A405" s="20">
        <f t="shared" ca="1" si="125"/>
        <v>45880</v>
      </c>
      <c r="B405" vm="1131">
        <f ca="1"/>
        <v>45881</v>
      </c>
      <c r="C405" vm="1132">
        <f ca="1"/>
        <v>70.709999999999994</v>
      </c>
      <c r="D405" vm="1133">
        <f ca="1"/>
        <v>11065044</v>
      </c>
      <c r="E405">
        <f t="shared" ca="1" si="126"/>
        <v>782409261.23999989</v>
      </c>
      <c r="F405">
        <f ca="1">SUM($E$2:E405)/SUM($D$2:D405)</f>
        <v>66.206981827826695</v>
      </c>
      <c r="G405">
        <f ca="1">_xlfn.STDEV.P($C$2:C405)</f>
        <v>4.5238895701549318</v>
      </c>
      <c r="H405">
        <f t="shared" ca="1" si="127"/>
        <v>70.73087139798163</v>
      </c>
      <c r="I405">
        <f t="shared" ca="1" si="128"/>
        <v>61.68309225767176</v>
      </c>
      <c r="J405">
        <f t="shared" ca="1" si="116"/>
        <v>69.479500000000002</v>
      </c>
      <c r="K405">
        <f t="shared" ca="1" si="117"/>
        <v>0.81911682220612025</v>
      </c>
      <c r="L405">
        <f t="shared" ca="1" si="118"/>
        <v>71.11773364441224</v>
      </c>
      <c r="M405">
        <f t="shared" ca="1" si="119"/>
        <v>67.841266355587763</v>
      </c>
      <c r="N405">
        <f t="shared" ca="1" si="129"/>
        <v>-4.0000000000006253E-2</v>
      </c>
      <c r="O405">
        <f t="shared" ca="1" si="130"/>
        <v>0</v>
      </c>
      <c r="P405">
        <f t="shared" ca="1" si="131"/>
        <v>4.0000000000006253E-2</v>
      </c>
      <c r="Q405">
        <f t="shared" ca="1" si="135"/>
        <v>0.27694323241132607</v>
      </c>
      <c r="R405">
        <f t="shared" ca="1" si="136"/>
        <v>0.2050736805867836</v>
      </c>
      <c r="S405">
        <f t="shared" ca="1" si="133"/>
        <v>1.3504572191755662</v>
      </c>
      <c r="T405">
        <f t="shared" ca="1" si="134"/>
        <v>57.455086106576545</v>
      </c>
      <c r="U405">
        <f>70</f>
        <v>70</v>
      </c>
      <c r="V405">
        <f>30</f>
        <v>30</v>
      </c>
      <c r="W405">
        <f t="shared" ca="1" si="132"/>
        <v>69.82720622438292</v>
      </c>
      <c r="X405">
        <f t="shared" ca="1" si="121"/>
        <v>69.766490538343916</v>
      </c>
      <c r="Y405">
        <f t="shared" ca="1" si="120"/>
        <v>0.10669750336168704</v>
      </c>
      <c r="Z405">
        <f t="shared" ca="1" si="122"/>
        <v>-0.14425067090540972</v>
      </c>
      <c r="AA405">
        <f t="shared" ca="1" si="123"/>
        <v>0.25094817426709676</v>
      </c>
      <c r="AB405">
        <f t="shared" ca="1" si="124"/>
        <v>70.681000000000026</v>
      </c>
    </row>
    <row r="406" spans="1:28" x14ac:dyDescent="0.25">
      <c r="A406" s="20">
        <f t="shared" ca="1" si="125"/>
        <v>45880</v>
      </c>
      <c r="B406" vm="1134">
        <f ca="1"/>
        <v>45882</v>
      </c>
      <c r="C406" vm="836">
        <f ca="1"/>
        <v>70.459999999999994</v>
      </c>
      <c r="D406" vm="1135">
        <f ca="1"/>
        <v>10356518</v>
      </c>
      <c r="E406">
        <f t="shared" ca="1" si="126"/>
        <v>729720258.27999997</v>
      </c>
      <c r="F406">
        <f ca="1">SUM($E$2:E406)/SUM($D$2:D406)</f>
        <v>66.214181125566611</v>
      </c>
      <c r="G406">
        <f ca="1">_xlfn.STDEV.P($C$2:C406)</f>
        <v>4.5238616970646408</v>
      </c>
      <c r="H406">
        <f t="shared" ca="1" si="127"/>
        <v>70.738042822631257</v>
      </c>
      <c r="I406">
        <f t="shared" ca="1" si="128"/>
        <v>61.690319428501972</v>
      </c>
      <c r="J406">
        <f t="shared" ref="J406:J469" ca="1" si="137">AVERAGE(C387:C406)</f>
        <v>69.539000000000001</v>
      </c>
      <c r="K406">
        <f t="shared" ref="K406:K469" ca="1" si="138">_xlfn.STDEV.S(C387:C406)</f>
        <v>0.84588104177957846</v>
      </c>
      <c r="L406">
        <f t="shared" ref="L406:L469" ca="1" si="139">J406 + 2*K406</f>
        <v>71.230762083559156</v>
      </c>
      <c r="M406">
        <f t="shared" ref="M406:M469" ca="1" si="140">J406-2*K406</f>
        <v>67.847237916440847</v>
      </c>
      <c r="N406">
        <f t="shared" ca="1" si="129"/>
        <v>-0.25</v>
      </c>
      <c r="O406">
        <f t="shared" ca="1" si="130"/>
        <v>0</v>
      </c>
      <c r="P406">
        <f t="shared" ca="1" si="131"/>
        <v>0.25</v>
      </c>
      <c r="Q406">
        <f t="shared" ca="1" si="135"/>
        <v>0.25716157295337422</v>
      </c>
      <c r="R406">
        <f t="shared" ca="1" si="136"/>
        <v>0.20828270340201335</v>
      </c>
      <c r="S406">
        <f t="shared" ca="1" si="133"/>
        <v>1.2346756055735368</v>
      </c>
      <c r="T406">
        <f t="shared" ca="1" si="134"/>
        <v>55.250775660418654</v>
      </c>
      <c r="U406">
        <f>70</f>
        <v>70</v>
      </c>
      <c r="V406">
        <f>30</f>
        <v>30</v>
      </c>
      <c r="W406">
        <f t="shared" ca="1" si="132"/>
        <v>69.924559112939392</v>
      </c>
      <c r="X406">
        <f t="shared" ca="1" si="121"/>
        <v>69.817861609577704</v>
      </c>
      <c r="Y406">
        <f t="shared" ca="1" si="120"/>
        <v>6.891462515740443E-2</v>
      </c>
      <c r="Z406">
        <f t="shared" ca="1" si="122"/>
        <v>-0.10161761169284689</v>
      </c>
      <c r="AA406">
        <f t="shared" ca="1" si="123"/>
        <v>0.17053223685025132</v>
      </c>
      <c r="AB406">
        <f t="shared" ca="1" si="124"/>
        <v>70.688500000000019</v>
      </c>
    </row>
    <row r="407" spans="1:28" x14ac:dyDescent="0.25">
      <c r="A407" s="20">
        <f t="shared" ca="1" si="125"/>
        <v>45880</v>
      </c>
      <c r="B407" vm="1136">
        <f ca="1"/>
        <v>45883</v>
      </c>
      <c r="C407" vm="1137">
        <f ca="1"/>
        <v>69.55</v>
      </c>
      <c r="D407" vm="1138">
        <f ca="1"/>
        <v>10722373</v>
      </c>
      <c r="E407">
        <f t="shared" ca="1" si="126"/>
        <v>745741042.14999998</v>
      </c>
      <c r="F407">
        <f ca="1">SUM($E$2:E407)/SUM($D$2:D407)</f>
        <v>66.220017082104818</v>
      </c>
      <c r="G407">
        <f ca="1">_xlfn.STDEV.P($C$2:C407)</f>
        <v>4.5218035316287564</v>
      </c>
      <c r="H407">
        <f t="shared" ca="1" si="127"/>
        <v>70.74182061373358</v>
      </c>
      <c r="I407">
        <f t="shared" ca="1" si="128"/>
        <v>61.698213550476062</v>
      </c>
      <c r="J407">
        <f t="shared" ca="1" si="137"/>
        <v>69.486999999999995</v>
      </c>
      <c r="K407">
        <f t="shared" ca="1" si="138"/>
        <v>0.80903516285563326</v>
      </c>
      <c r="L407">
        <f t="shared" ca="1" si="139"/>
        <v>71.105070325711267</v>
      </c>
      <c r="M407">
        <f t="shared" ca="1" si="140"/>
        <v>67.868929674288722</v>
      </c>
      <c r="N407">
        <f t="shared" ca="1" si="129"/>
        <v>-0.90999999999999659</v>
      </c>
      <c r="O407">
        <f t="shared" ca="1" si="130"/>
        <v>0</v>
      </c>
      <c r="P407">
        <f t="shared" ca="1" si="131"/>
        <v>0.90999999999999659</v>
      </c>
      <c r="Q407">
        <f t="shared" ca="1" si="135"/>
        <v>0.23879288917099034</v>
      </c>
      <c r="R407">
        <f t="shared" ca="1" si="136"/>
        <v>0.25840536744472647</v>
      </c>
      <c r="S407">
        <f t="shared" ca="1" si="133"/>
        <v>0.92410189282182276</v>
      </c>
      <c r="T407">
        <f t="shared" ca="1" si="134"/>
        <v>48.027700418015087</v>
      </c>
      <c r="U407">
        <f>70</f>
        <v>70</v>
      </c>
      <c r="V407">
        <f>30</f>
        <v>30</v>
      </c>
      <c r="W407">
        <f t="shared" ca="1" si="132"/>
        <v>69.86693463402564</v>
      </c>
      <c r="X407">
        <f t="shared" ca="1" si="121"/>
        <v>69.798020008868235</v>
      </c>
      <c r="Y407">
        <f t="shared" ca="1" si="120"/>
        <v>6.8042972716355621E-2</v>
      </c>
      <c r="Z407">
        <f t="shared" ca="1" si="122"/>
        <v>-6.7685494811006386E-2</v>
      </c>
      <c r="AA407">
        <f t="shared" ca="1" si="123"/>
        <v>0.13572846752736201</v>
      </c>
      <c r="AB407">
        <f t="shared" ca="1" si="124"/>
        <v>70.697300000000027</v>
      </c>
    </row>
    <row r="408" spans="1:28" x14ac:dyDescent="0.25">
      <c r="A408" s="20">
        <f t="shared" ca="1" si="125"/>
        <v>45880</v>
      </c>
      <c r="B408" vm="1139">
        <f ca="1"/>
        <v>45884</v>
      </c>
      <c r="C408" vm="1140">
        <f ca="1"/>
        <v>69.92</v>
      </c>
      <c r="D408" vm="1141">
        <f ca="1"/>
        <v>12381112</v>
      </c>
      <c r="E408">
        <f t="shared" ca="1" si="126"/>
        <v>865687351.03999996</v>
      </c>
      <c r="F408">
        <f ca="1">SUM($E$2:E408)/SUM($D$2:D408)</f>
        <v>66.22747644272097</v>
      </c>
      <c r="G408">
        <f ca="1">_xlfn.STDEV.P($C$2:C408)</f>
        <v>4.5204943070833474</v>
      </c>
      <c r="H408">
        <f t="shared" ca="1" si="127"/>
        <v>70.747970749804324</v>
      </c>
      <c r="I408">
        <f t="shared" ca="1" si="128"/>
        <v>61.706982135637624</v>
      </c>
      <c r="J408">
        <f t="shared" ca="1" si="137"/>
        <v>69.490499999999997</v>
      </c>
      <c r="K408">
        <f t="shared" ca="1" si="138"/>
        <v>0.81083761110283159</v>
      </c>
      <c r="L408">
        <f t="shared" ca="1" si="139"/>
        <v>71.112175222205664</v>
      </c>
      <c r="M408">
        <f t="shared" ca="1" si="140"/>
        <v>67.86882477779433</v>
      </c>
      <c r="N408">
        <f t="shared" ca="1" si="129"/>
        <v>0.37000000000000455</v>
      </c>
      <c r="O408">
        <f t="shared" ca="1" si="130"/>
        <v>0.37000000000000455</v>
      </c>
      <c r="P408">
        <f t="shared" ca="1" si="131"/>
        <v>0</v>
      </c>
      <c r="Q408">
        <f t="shared" ca="1" si="135"/>
        <v>0.24816482565877709</v>
      </c>
      <c r="R408">
        <f t="shared" ca="1" si="136"/>
        <v>0.2399478411986746</v>
      </c>
      <c r="S408">
        <f t="shared" ca="1" si="133"/>
        <v>1.0342448776327973</v>
      </c>
      <c r="T408">
        <f t="shared" ca="1" si="134"/>
        <v>50.841709815994406</v>
      </c>
      <c r="U408">
        <f>70</f>
        <v>70</v>
      </c>
      <c r="V408">
        <f>30</f>
        <v>30</v>
      </c>
      <c r="W408">
        <f t="shared" ca="1" si="132"/>
        <v>69.875098536483236</v>
      </c>
      <c r="X408">
        <f t="shared" ca="1" si="121"/>
        <v>69.80705556376688</v>
      </c>
      <c r="Y408">
        <f t="shared" ca="1" si="120"/>
        <v>3.564692624735244E-3</v>
      </c>
      <c r="Z408">
        <f t="shared" ca="1" si="122"/>
        <v>-5.3435457323858064E-2</v>
      </c>
      <c r="AA408">
        <f t="shared" ca="1" si="123"/>
        <v>5.7000149948593308E-2</v>
      </c>
      <c r="AB408">
        <f t="shared" ca="1" si="124"/>
        <v>70.707000000000022</v>
      </c>
    </row>
    <row r="409" spans="1:28" x14ac:dyDescent="0.25">
      <c r="A409" s="20">
        <f t="shared" ca="1" si="125"/>
        <v>45887</v>
      </c>
      <c r="B409" vm="1142">
        <f ca="1"/>
        <v>45887</v>
      </c>
      <c r="C409" vm="1143">
        <f ca="1"/>
        <v>69.13</v>
      </c>
      <c r="D409" vm="1144">
        <f ca="1"/>
        <v>14094881</v>
      </c>
      <c r="E409">
        <f t="shared" ca="1" si="126"/>
        <v>974379123.52999997</v>
      </c>
      <c r="F409">
        <f ca="1">SUM($E$2:E409)/SUM($D$2:D409)</f>
        <v>66.234122801584974</v>
      </c>
      <c r="G409">
        <f ca="1">_xlfn.STDEV.P($C$2:C409)</f>
        <v>4.5176513310164967</v>
      </c>
      <c r="H409">
        <f t="shared" ca="1" si="127"/>
        <v>70.751774132601469</v>
      </c>
      <c r="I409">
        <f t="shared" ca="1" si="128"/>
        <v>61.716471470568479</v>
      </c>
      <c r="J409">
        <f t="shared" ca="1" si="137"/>
        <v>69.4435</v>
      </c>
      <c r="K409">
        <f t="shared" ca="1" si="138"/>
        <v>0.8026815256245452</v>
      </c>
      <c r="L409">
        <f t="shared" ca="1" si="139"/>
        <v>71.048863051249086</v>
      </c>
      <c r="M409">
        <f t="shared" ca="1" si="140"/>
        <v>67.838136948750915</v>
      </c>
      <c r="N409">
        <f t="shared" ca="1" si="129"/>
        <v>-0.79000000000000625</v>
      </c>
      <c r="O409">
        <f t="shared" ca="1" si="130"/>
        <v>0</v>
      </c>
      <c r="P409">
        <f t="shared" ca="1" si="131"/>
        <v>0.79000000000000625</v>
      </c>
      <c r="Q409">
        <f t="shared" ca="1" si="135"/>
        <v>0.23043876668315016</v>
      </c>
      <c r="R409">
        <f t="shared" ca="1" si="136"/>
        <v>0.2792372811130554</v>
      </c>
      <c r="S409">
        <f t="shared" ca="1" si="133"/>
        <v>0.82524355546153572</v>
      </c>
      <c r="T409">
        <f t="shared" ca="1" si="134"/>
        <v>45.212791081618839</v>
      </c>
      <c r="U409">
        <f>70</f>
        <v>70</v>
      </c>
      <c r="V409">
        <f>30</f>
        <v>30</v>
      </c>
      <c r="W409">
        <f t="shared" ca="1" si="132"/>
        <v>69.760467992408891</v>
      </c>
      <c r="X409">
        <f t="shared" ca="1" si="121"/>
        <v>69.756903299784156</v>
      </c>
      <c r="Y409">
        <f t="shared" ca="1" si="120"/>
        <v>3.2778978107074863E-2</v>
      </c>
      <c r="Z409">
        <f t="shared" ca="1" si="122"/>
        <v>-3.619257023767148E-2</v>
      </c>
      <c r="AA409">
        <f t="shared" ca="1" si="123"/>
        <v>6.8971548344746336E-2</v>
      </c>
      <c r="AB409">
        <f t="shared" ca="1" si="124"/>
        <v>70.710200000000029</v>
      </c>
    </row>
    <row r="410" spans="1:28" x14ac:dyDescent="0.25">
      <c r="A410" s="20">
        <f t="shared" ca="1" si="125"/>
        <v>45887</v>
      </c>
      <c r="B410" vm="1145">
        <f ca="1"/>
        <v>45888</v>
      </c>
      <c r="C410" vm="1146">
        <f ca="1"/>
        <v>70.13</v>
      </c>
      <c r="D410" vm="1147">
        <f ca="1"/>
        <v>13862214</v>
      </c>
      <c r="E410">
        <f t="shared" ca="1" si="126"/>
        <v>972157067.81999993</v>
      </c>
      <c r="F410">
        <f ca="1">SUM($E$2:E410)/SUM($D$2:D410)</f>
        <v>66.242876821339721</v>
      </c>
      <c r="G410">
        <f ca="1">_xlfn.STDEV.P($C$2:C410)</f>
        <v>4.5167790635805387</v>
      </c>
      <c r="H410">
        <f t="shared" ca="1" si="127"/>
        <v>70.759655884920264</v>
      </c>
      <c r="I410">
        <f t="shared" ca="1" si="128"/>
        <v>61.726097757759185</v>
      </c>
      <c r="J410">
        <f t="shared" ca="1" si="137"/>
        <v>69.467000000000013</v>
      </c>
      <c r="K410">
        <f t="shared" ca="1" si="138"/>
        <v>0.81612112104180101</v>
      </c>
      <c r="L410">
        <f t="shared" ca="1" si="139"/>
        <v>71.099242242083619</v>
      </c>
      <c r="M410">
        <f t="shared" ca="1" si="140"/>
        <v>67.834757757916407</v>
      </c>
      <c r="N410">
        <f t="shared" ca="1" si="129"/>
        <v>1</v>
      </c>
      <c r="O410">
        <f t="shared" ca="1" si="130"/>
        <v>1</v>
      </c>
      <c r="P410">
        <f t="shared" ca="1" si="131"/>
        <v>0</v>
      </c>
      <c r="Q410">
        <f t="shared" ca="1" si="135"/>
        <v>0.2854074262057823</v>
      </c>
      <c r="R410">
        <f t="shared" ca="1" si="136"/>
        <v>0.25929176103355145</v>
      </c>
      <c r="S410">
        <f t="shared" ca="1" si="133"/>
        <v>1.100719224815059</v>
      </c>
      <c r="T410">
        <f t="shared" ca="1" si="134"/>
        <v>52.39725574996644</v>
      </c>
      <c r="U410">
        <f>70</f>
        <v>70</v>
      </c>
      <c r="V410">
        <f>30</f>
        <v>30</v>
      </c>
      <c r="W410">
        <f t="shared" ca="1" si="132"/>
        <v>69.817319070499821</v>
      </c>
      <c r="X410">
        <f t="shared" ca="1" si="121"/>
        <v>69.784540092392746</v>
      </c>
      <c r="Y410">
        <f t="shared" ca="1" si="120"/>
        <v>0.10076419917606927</v>
      </c>
      <c r="Z410">
        <f t="shared" ca="1" si="122"/>
        <v>-8.8012163549233309E-3</v>
      </c>
      <c r="AA410">
        <f t="shared" ca="1" si="123"/>
        <v>0.1095654155309926</v>
      </c>
      <c r="AB410">
        <f t="shared" ca="1" si="124"/>
        <v>70.711300000000023</v>
      </c>
    </row>
    <row r="411" spans="1:28" x14ac:dyDescent="0.25">
      <c r="A411" s="20">
        <f t="shared" ca="1" si="125"/>
        <v>45887</v>
      </c>
      <c r="B411" vm="1148">
        <f ca="1"/>
        <v>45889</v>
      </c>
      <c r="C411" vm="1149">
        <f ca="1"/>
        <v>70.7</v>
      </c>
      <c r="D411" vm="1150">
        <f ca="1"/>
        <v>17530847</v>
      </c>
      <c r="E411">
        <f t="shared" ca="1" si="126"/>
        <v>1239430882.9000001</v>
      </c>
      <c r="F411">
        <f ca="1">SUM($E$2:E411)/SUM($D$2:D411)</f>
        <v>66.255506573604933</v>
      </c>
      <c r="G411">
        <f ca="1">_xlfn.STDEV.P($C$2:C411)</f>
        <v>4.5172471460069854</v>
      </c>
      <c r="H411">
        <f t="shared" ca="1" si="127"/>
        <v>70.772753719611913</v>
      </c>
      <c r="I411">
        <f t="shared" ca="1" si="128"/>
        <v>61.738259427597946</v>
      </c>
      <c r="J411">
        <f t="shared" ca="1" si="137"/>
        <v>69.544000000000011</v>
      </c>
      <c r="K411">
        <f t="shared" ca="1" si="138"/>
        <v>0.85724405417655281</v>
      </c>
      <c r="L411">
        <f t="shared" ca="1" si="139"/>
        <v>71.25848810835312</v>
      </c>
      <c r="M411">
        <f t="shared" ca="1" si="140"/>
        <v>67.829511891646902</v>
      </c>
      <c r="N411">
        <f t="shared" ca="1" si="129"/>
        <v>0.57000000000000739</v>
      </c>
      <c r="O411">
        <f t="shared" ca="1" si="130"/>
        <v>0.57000000000000739</v>
      </c>
      <c r="P411">
        <f t="shared" ca="1" si="131"/>
        <v>0</v>
      </c>
      <c r="Q411">
        <f t="shared" ca="1" si="135"/>
        <v>0.30573546719108408</v>
      </c>
      <c r="R411">
        <f t="shared" ca="1" si="136"/>
        <v>0.24077092095972635</v>
      </c>
      <c r="S411">
        <f t="shared" ca="1" si="133"/>
        <v>1.2698189049259163</v>
      </c>
      <c r="T411">
        <f t="shared" ca="1" si="134"/>
        <v>55.943621853275623</v>
      </c>
      <c r="U411">
        <f>70</f>
        <v>70</v>
      </c>
      <c r="V411">
        <f>30</f>
        <v>30</v>
      </c>
      <c r="W411">
        <f t="shared" ca="1" si="132"/>
        <v>69.953116136576767</v>
      </c>
      <c r="X411">
        <f t="shared" ca="1" si="121"/>
        <v>69.852351937400698</v>
      </c>
      <c r="Y411">
        <f t="shared" ca="1" si="120"/>
        <v>0.14968978036488068</v>
      </c>
      <c r="Z411">
        <f t="shared" ca="1" si="122"/>
        <v>2.2896982989037473E-2</v>
      </c>
      <c r="AA411">
        <f t="shared" ca="1" si="123"/>
        <v>0.1267927973758432</v>
      </c>
      <c r="AB411">
        <f t="shared" ca="1" si="124"/>
        <v>70.710900000000024</v>
      </c>
    </row>
    <row r="412" spans="1:28" x14ac:dyDescent="0.25">
      <c r="A412" s="20">
        <f t="shared" ca="1" si="125"/>
        <v>45887</v>
      </c>
      <c r="B412" vm="1151">
        <f ca="1"/>
        <v>45890</v>
      </c>
      <c r="C412" vm="1152">
        <f ca="1"/>
        <v>70.66</v>
      </c>
      <c r="D412" vm="1153">
        <f ca="1"/>
        <v>8840427</v>
      </c>
      <c r="E412">
        <f t="shared" ca="1" si="126"/>
        <v>624664571.81999993</v>
      </c>
      <c r="F412">
        <f ca="1">SUM($E$2:E412)/SUM($D$2:D412)</f>
        <v>66.261791299941578</v>
      </c>
      <c r="G412">
        <f ca="1">_xlfn.STDEV.P($C$2:C412)</f>
        <v>4.5175833413494537</v>
      </c>
      <c r="H412">
        <f t="shared" ca="1" si="127"/>
        <v>70.779374641291028</v>
      </c>
      <c r="I412">
        <f t="shared" ca="1" si="128"/>
        <v>61.744207958592128</v>
      </c>
      <c r="J412">
        <f t="shared" ca="1" si="137"/>
        <v>69.622000000000028</v>
      </c>
      <c r="K412">
        <f t="shared" ca="1" si="138"/>
        <v>0.88523324312682794</v>
      </c>
      <c r="L412">
        <f t="shared" ca="1" si="139"/>
        <v>71.392466486253682</v>
      </c>
      <c r="M412">
        <f t="shared" ca="1" si="140"/>
        <v>67.851533513746375</v>
      </c>
      <c r="N412">
        <f t="shared" ca="1" si="129"/>
        <v>-4.0000000000006253E-2</v>
      </c>
      <c r="O412">
        <f t="shared" ca="1" si="130"/>
        <v>0</v>
      </c>
      <c r="P412">
        <f t="shared" ca="1" si="131"/>
        <v>4.0000000000006253E-2</v>
      </c>
      <c r="Q412">
        <f t="shared" ca="1" si="135"/>
        <v>0.28389721953457808</v>
      </c>
      <c r="R412">
        <f t="shared" ca="1" si="136"/>
        <v>0.22643014089117491</v>
      </c>
      <c r="S412">
        <f t="shared" ca="1" si="133"/>
        <v>1.2537960645046038</v>
      </c>
      <c r="T412">
        <f t="shared" ca="1" si="134"/>
        <v>55.630413250375199</v>
      </c>
      <c r="U412">
        <f>70</f>
        <v>70</v>
      </c>
      <c r="V412">
        <f>30</f>
        <v>30</v>
      </c>
      <c r="W412">
        <f t="shared" ca="1" si="132"/>
        <v>70.061867500180341</v>
      </c>
      <c r="X412">
        <f t="shared" ca="1" si="121"/>
        <v>69.91217771981546</v>
      </c>
      <c r="Y412">
        <f t="shared" ref="Y412:Y475" ca="1" si="141">W413-X413</f>
        <v>0.14403671969668608</v>
      </c>
      <c r="Z412">
        <f t="shared" ca="1" si="122"/>
        <v>4.7124930330567194E-2</v>
      </c>
      <c r="AA412">
        <f t="shared" ca="1" si="123"/>
        <v>9.6911789366118883E-2</v>
      </c>
      <c r="AB412">
        <f t="shared" ca="1" si="124"/>
        <v>70.71380000000002</v>
      </c>
    </row>
    <row r="413" spans="1:28" x14ac:dyDescent="0.25">
      <c r="A413" s="20">
        <f t="shared" ca="1" si="125"/>
        <v>45887</v>
      </c>
      <c r="B413" vm="1154">
        <f ca="1"/>
        <v>45891</v>
      </c>
      <c r="C413" vm="1146">
        <f ca="1"/>
        <v>70.13</v>
      </c>
      <c r="D413" vm="1155">
        <f ca="1"/>
        <v>12999606</v>
      </c>
      <c r="E413">
        <f t="shared" ca="1" si="126"/>
        <v>911662368.77999997</v>
      </c>
      <c r="F413">
        <f ca="1">SUM($E$2:E413)/SUM($D$2:D413)</f>
        <v>66.269890590268901</v>
      </c>
      <c r="G413">
        <f ca="1">_xlfn.STDEV.P($C$2:C413)</f>
        <v>4.5166445830571735</v>
      </c>
      <c r="H413">
        <f t="shared" ca="1" si="127"/>
        <v>70.786535173326072</v>
      </c>
      <c r="I413">
        <f t="shared" ca="1" si="128"/>
        <v>61.753246007211729</v>
      </c>
      <c r="J413">
        <f t="shared" ca="1" si="137"/>
        <v>69.67000000000003</v>
      </c>
      <c r="K413">
        <f t="shared" ca="1" si="138"/>
        <v>0.88546152105168152</v>
      </c>
      <c r="L413">
        <f t="shared" ca="1" si="139"/>
        <v>71.440923042103393</v>
      </c>
      <c r="M413">
        <f t="shared" ca="1" si="140"/>
        <v>67.899076957896668</v>
      </c>
      <c r="N413">
        <f t="shared" ca="1" si="129"/>
        <v>-0.53000000000000114</v>
      </c>
      <c r="O413">
        <f t="shared" ca="1" si="130"/>
        <v>0</v>
      </c>
      <c r="P413">
        <f t="shared" ca="1" si="131"/>
        <v>0.53000000000000114</v>
      </c>
      <c r="Q413">
        <f t="shared" ca="1" si="135"/>
        <v>0.26361884671067964</v>
      </c>
      <c r="R413">
        <f t="shared" ca="1" si="136"/>
        <v>0.24811370225609108</v>
      </c>
      <c r="S413">
        <f t="shared" ca="1" si="133"/>
        <v>1.0624920925914236</v>
      </c>
      <c r="T413">
        <f t="shared" ca="1" si="134"/>
        <v>51.514965628617396</v>
      </c>
      <c r="U413">
        <f>70</f>
        <v>70</v>
      </c>
      <c r="V413">
        <f>30</f>
        <v>30</v>
      </c>
      <c r="W413">
        <f t="shared" ca="1" si="132"/>
        <v>70.072349423229525</v>
      </c>
      <c r="X413">
        <f t="shared" ref="X413:X476" ca="1" si="142">C413*(2/(26+1)) + X412*(1-(2/(26+1)))</f>
        <v>69.928312703532839</v>
      </c>
      <c r="Y413">
        <f t="shared" ca="1" si="141"/>
        <v>4.2239743735024149E-2</v>
      </c>
      <c r="Z413">
        <f t="shared" ca="1" si="122"/>
        <v>4.6147893011458586E-2</v>
      </c>
      <c r="AA413">
        <f t="shared" ca="1" si="123"/>
        <v>-3.9081492764344375E-3</v>
      </c>
      <c r="AB413">
        <f t="shared" ca="1" si="124"/>
        <v>70.698900000000009</v>
      </c>
    </row>
    <row r="414" spans="1:28" x14ac:dyDescent="0.25">
      <c r="A414" s="20">
        <f t="shared" ca="1" si="125"/>
        <v>45894</v>
      </c>
      <c r="B414" vm="1156">
        <f ca="1"/>
        <v>45894</v>
      </c>
      <c r="C414" vm="1157">
        <f ca="1"/>
        <v>68.930000000000007</v>
      </c>
      <c r="D414" vm="1158">
        <f ca="1"/>
        <v>13634562</v>
      </c>
      <c r="E414">
        <f t="shared" ca="1" si="126"/>
        <v>939830358.66000009</v>
      </c>
      <c r="F414">
        <f ca="1">SUM($E$2:E414)/SUM($D$2:D414)</f>
        <v>66.275719601216679</v>
      </c>
      <c r="G414">
        <f ca="1">_xlfn.STDEV.P($C$2:C414)</f>
        <v>4.5134361182618647</v>
      </c>
      <c r="H414">
        <f t="shared" ca="1" si="127"/>
        <v>70.789155719478543</v>
      </c>
      <c r="I414">
        <f t="shared" ca="1" si="128"/>
        <v>61.762283482954814</v>
      </c>
      <c r="J414">
        <f t="shared" ca="1" si="137"/>
        <v>69.712000000000018</v>
      </c>
      <c r="K414">
        <f t="shared" ca="1" si="138"/>
        <v>0.82438876878889056</v>
      </c>
      <c r="L414">
        <f t="shared" ca="1" si="139"/>
        <v>71.360777537577803</v>
      </c>
      <c r="M414">
        <f t="shared" ca="1" si="140"/>
        <v>68.063222462422232</v>
      </c>
      <c r="N414">
        <f t="shared" ca="1" si="129"/>
        <v>-1.1999999999999886</v>
      </c>
      <c r="O414">
        <f t="shared" ca="1" si="130"/>
        <v>0</v>
      </c>
      <c r="P414">
        <f t="shared" ca="1" si="131"/>
        <v>1.1999999999999886</v>
      </c>
      <c r="Q414">
        <f t="shared" ca="1" si="135"/>
        <v>0.24478892908848823</v>
      </c>
      <c r="R414">
        <f t="shared" ca="1" si="136"/>
        <v>0.31610558066636951</v>
      </c>
      <c r="S414">
        <f t="shared" ca="1" si="133"/>
        <v>0.77438977373464424</v>
      </c>
      <c r="T414">
        <f t="shared" ca="1" si="134"/>
        <v>43.642596750585888</v>
      </c>
      <c r="U414">
        <f>70</f>
        <v>70</v>
      </c>
      <c r="V414">
        <f>30</f>
        <v>30</v>
      </c>
      <c r="W414">
        <f t="shared" ca="1" si="132"/>
        <v>69.896603358117289</v>
      </c>
      <c r="X414">
        <f t="shared" ca="1" si="142"/>
        <v>69.854363614382265</v>
      </c>
      <c r="Y414">
        <f t="shared" ca="1" si="141"/>
        <v>-5.3951502317374889E-2</v>
      </c>
      <c r="Z414">
        <f t="shared" ca="1" si="122"/>
        <v>2.6128013945691891E-2</v>
      </c>
      <c r="AA414">
        <f t="shared" ca="1" si="123"/>
        <v>-8.007951626306678E-2</v>
      </c>
      <c r="AB414">
        <f t="shared" ca="1" si="124"/>
        <v>70.669500000000014</v>
      </c>
    </row>
    <row r="415" spans="1:28" x14ac:dyDescent="0.25">
      <c r="A415" s="20">
        <f t="shared" ca="1" si="125"/>
        <v>45894</v>
      </c>
      <c r="B415" vm="1159">
        <f ca="1"/>
        <v>45895</v>
      </c>
      <c r="C415" vm="439">
        <f ca="1"/>
        <v>68.73</v>
      </c>
      <c r="D415" vm="1160">
        <f ca="1"/>
        <v>17964231</v>
      </c>
      <c r="E415">
        <f t="shared" ca="1" si="126"/>
        <v>1234681596.6300001</v>
      </c>
      <c r="F415">
        <f ca="1">SUM($E$2:E415)/SUM($D$2:D415)</f>
        <v>66.282784971744107</v>
      </c>
      <c r="G415">
        <f ca="1">_xlfn.STDEV.P($C$2:C415)</f>
        <v>4.5099307101017123</v>
      </c>
      <c r="H415">
        <f t="shared" ca="1" si="127"/>
        <v>70.79271568184582</v>
      </c>
      <c r="I415">
        <f t="shared" ca="1" si="128"/>
        <v>61.772854261642394</v>
      </c>
      <c r="J415">
        <f t="shared" ca="1" si="137"/>
        <v>69.679500000000019</v>
      </c>
      <c r="K415">
        <f t="shared" ca="1" si="138"/>
        <v>0.85056312615757468</v>
      </c>
      <c r="L415">
        <f t="shared" ca="1" si="139"/>
        <v>71.380626252315167</v>
      </c>
      <c r="M415">
        <f t="shared" ca="1" si="140"/>
        <v>67.97837374768487</v>
      </c>
      <c r="N415">
        <f t="shared" ca="1" si="129"/>
        <v>-0.20000000000000284</v>
      </c>
      <c r="O415">
        <f t="shared" ca="1" si="130"/>
        <v>0</v>
      </c>
      <c r="P415">
        <f t="shared" ca="1" si="131"/>
        <v>0.20000000000000284</v>
      </c>
      <c r="Q415">
        <f t="shared" ca="1" si="135"/>
        <v>0.22730400558216762</v>
      </c>
      <c r="R415">
        <f t="shared" ca="1" si="136"/>
        <v>0.30781232490448618</v>
      </c>
      <c r="S415">
        <f t="shared" ca="1" si="133"/>
        <v>0.73844998134074002</v>
      </c>
      <c r="T415">
        <f t="shared" ca="1" si="134"/>
        <v>42.477493702247749</v>
      </c>
      <c r="U415">
        <f>70</f>
        <v>70</v>
      </c>
      <c r="V415">
        <f>30</f>
        <v>30</v>
      </c>
      <c r="W415">
        <f t="shared" ca="1" si="132"/>
        <v>69.717125918406936</v>
      </c>
      <c r="X415">
        <f t="shared" ca="1" si="142"/>
        <v>69.771077420724311</v>
      </c>
      <c r="Y415">
        <f t="shared" ca="1" si="141"/>
        <v>-0.12072297426934142</v>
      </c>
      <c r="Z415">
        <f t="shared" ca="1" si="122"/>
        <v>-3.2421836973147711E-3</v>
      </c>
      <c r="AA415">
        <f t="shared" ca="1" si="123"/>
        <v>-0.11748079057202665</v>
      </c>
      <c r="AB415">
        <f t="shared" ca="1" si="124"/>
        <v>70.643500000000017</v>
      </c>
    </row>
    <row r="416" spans="1:28" x14ac:dyDescent="0.25">
      <c r="A416" s="20">
        <f t="shared" ca="1" si="125"/>
        <v>45894</v>
      </c>
      <c r="B416" vm="1161">
        <f ca="1"/>
        <v>45896</v>
      </c>
      <c r="C416" vm="1162">
        <f ca="1"/>
        <v>68.83</v>
      </c>
      <c r="D416" vm="1163">
        <f ca="1"/>
        <v>11562741</v>
      </c>
      <c r="E416">
        <f t="shared" ca="1" si="126"/>
        <v>795863463.02999997</v>
      </c>
      <c r="F416">
        <f ca="1">SUM($E$2:E416)/SUM($D$2:D416)</f>
        <v>66.287496095998151</v>
      </c>
      <c r="G416">
        <f ca="1">_xlfn.STDEV.P($C$2:C416)</f>
        <v>4.5065764905916961</v>
      </c>
      <c r="H416">
        <f t="shared" ca="1" si="127"/>
        <v>70.794072586589849</v>
      </c>
      <c r="I416">
        <f t="shared" ca="1" si="128"/>
        <v>61.780919605406453</v>
      </c>
      <c r="J416">
        <f t="shared" ca="1" si="137"/>
        <v>69.683499999999995</v>
      </c>
      <c r="K416">
        <f t="shared" ca="1" si="138"/>
        <v>0.84613844207546429</v>
      </c>
      <c r="L416">
        <f t="shared" ca="1" si="139"/>
        <v>71.375776884150923</v>
      </c>
      <c r="M416">
        <f t="shared" ca="1" si="140"/>
        <v>67.991223115849067</v>
      </c>
      <c r="N416">
        <f t="shared" ca="1" si="129"/>
        <v>9.9999999999994316E-2</v>
      </c>
      <c r="O416">
        <f t="shared" ca="1" si="130"/>
        <v>9.9999999999994316E-2</v>
      </c>
      <c r="P416">
        <f t="shared" ca="1" si="131"/>
        <v>0</v>
      </c>
      <c r="Q416">
        <f t="shared" ca="1" si="135"/>
        <v>0.21821086232629811</v>
      </c>
      <c r="R416">
        <f t="shared" ca="1" si="136"/>
        <v>0.28582573026845143</v>
      </c>
      <c r="S416">
        <f t="shared" ca="1" si="133"/>
        <v>0.76344023374435699</v>
      </c>
      <c r="T416">
        <f t="shared" ca="1" si="134"/>
        <v>43.292662781279809</v>
      </c>
      <c r="U416">
        <f>70</f>
        <v>70</v>
      </c>
      <c r="V416">
        <f>30</f>
        <v>30</v>
      </c>
      <c r="W416">
        <f t="shared" ca="1" si="132"/>
        <v>69.580645007882794</v>
      </c>
      <c r="X416">
        <f t="shared" ca="1" si="142"/>
        <v>69.701367982152135</v>
      </c>
      <c r="Y416">
        <f t="shared" ca="1" si="141"/>
        <v>-0.20915392267308164</v>
      </c>
      <c r="Z416">
        <f t="shared" ca="1" si="122"/>
        <v>-4.4424531492468153E-2</v>
      </c>
      <c r="AA416">
        <f t="shared" ca="1" si="123"/>
        <v>-0.16472939118061347</v>
      </c>
      <c r="AB416">
        <f t="shared" ca="1" si="124"/>
        <v>70.600000000000009</v>
      </c>
    </row>
    <row r="417" spans="1:28" x14ac:dyDescent="0.25">
      <c r="A417" s="20">
        <f t="shared" ca="1" si="125"/>
        <v>45894</v>
      </c>
      <c r="B417" vm="1164">
        <f ca="1"/>
        <v>45897</v>
      </c>
      <c r="C417" vm="1165">
        <f ca="1"/>
        <v>68.36</v>
      </c>
      <c r="D417" vm="1166">
        <f ca="1"/>
        <v>16209870</v>
      </c>
      <c r="E417">
        <f t="shared" ca="1" si="126"/>
        <v>1108106713.2</v>
      </c>
      <c r="F417">
        <f ca="1">SUM($E$2:E417)/SUM($D$2:D417)</f>
        <v>66.292855894191391</v>
      </c>
      <c r="G417">
        <f ca="1">_xlfn.STDEV.P($C$2:C417)</f>
        <v>4.5025870434181234</v>
      </c>
      <c r="H417">
        <f t="shared" ca="1" si="127"/>
        <v>70.795442937609508</v>
      </c>
      <c r="I417">
        <f t="shared" ca="1" si="128"/>
        <v>61.790268850773266</v>
      </c>
      <c r="J417">
        <f t="shared" ca="1" si="137"/>
        <v>69.706999999999994</v>
      </c>
      <c r="K417">
        <f t="shared" ca="1" si="138"/>
        <v>0.7989143949925519</v>
      </c>
      <c r="L417">
        <f t="shared" ca="1" si="139"/>
        <v>71.304828789985095</v>
      </c>
      <c r="M417">
        <f t="shared" ca="1" si="140"/>
        <v>68.109171210014892</v>
      </c>
      <c r="N417">
        <f t="shared" ca="1" si="129"/>
        <v>-0.46999999999999886</v>
      </c>
      <c r="O417">
        <f t="shared" ca="1" si="130"/>
        <v>0</v>
      </c>
      <c r="P417">
        <f t="shared" ca="1" si="131"/>
        <v>0.46999999999999886</v>
      </c>
      <c r="Q417">
        <f t="shared" ca="1" si="135"/>
        <v>0.20262437216013396</v>
      </c>
      <c r="R417">
        <f t="shared" ca="1" si="136"/>
        <v>0.29898103524927627</v>
      </c>
      <c r="S417">
        <f t="shared" ca="1" si="133"/>
        <v>0.6777164711841851</v>
      </c>
      <c r="T417">
        <f t="shared" ca="1" si="134"/>
        <v>40.395173011911339</v>
      </c>
      <c r="U417">
        <f>70</f>
        <v>70</v>
      </c>
      <c r="V417">
        <f>30</f>
        <v>30</v>
      </c>
      <c r="W417">
        <f t="shared" ca="1" si="132"/>
        <v>69.392853468208529</v>
      </c>
      <c r="X417">
        <f t="shared" ca="1" si="142"/>
        <v>69.60200739088161</v>
      </c>
      <c r="Y417">
        <f t="shared" ca="1" si="141"/>
        <v>-0.2257974985145097</v>
      </c>
      <c r="Z417">
        <f t="shared" ca="1" si="122"/>
        <v>-8.0699124896876473E-2</v>
      </c>
      <c r="AA417">
        <f t="shared" ca="1" si="123"/>
        <v>-0.14509837361763323</v>
      </c>
      <c r="AB417">
        <f t="shared" ca="1" si="124"/>
        <v>70.584299999999999</v>
      </c>
    </row>
    <row r="418" spans="1:28" x14ac:dyDescent="0.25">
      <c r="A418" s="20">
        <f t="shared" ca="1" si="125"/>
        <v>45894</v>
      </c>
      <c r="B418" vm="1167">
        <f ca="1"/>
        <v>45898</v>
      </c>
      <c r="C418" vm="1168">
        <f ca="1"/>
        <v>68.989999999999995</v>
      </c>
      <c r="D418" vm="1169">
        <f ca="1"/>
        <v>14601094</v>
      </c>
      <c r="E418">
        <f t="shared" ca="1" si="126"/>
        <v>1007329475.0599999</v>
      </c>
      <c r="F418">
        <f ca="1">SUM($E$2:E418)/SUM($D$2:D418)</f>
        <v>66.299124234884829</v>
      </c>
      <c r="G418">
        <f ca="1">_xlfn.STDEV.P($C$2:C418)</f>
        <v>4.4994863569563277</v>
      </c>
      <c r="H418">
        <f t="shared" ca="1" si="127"/>
        <v>70.798610591841154</v>
      </c>
      <c r="I418">
        <f t="shared" ca="1" si="128"/>
        <v>61.799637877928504</v>
      </c>
      <c r="J418">
        <f t="shared" ca="1" si="137"/>
        <v>69.713499999999982</v>
      </c>
      <c r="K418">
        <f t="shared" ca="1" si="138"/>
        <v>0.79216076916906586</v>
      </c>
      <c r="L418">
        <f t="shared" ca="1" si="139"/>
        <v>71.297821538338113</v>
      </c>
      <c r="M418">
        <f t="shared" ca="1" si="140"/>
        <v>68.129178461661851</v>
      </c>
      <c r="N418">
        <f t="shared" ca="1" si="129"/>
        <v>0.62999999999999545</v>
      </c>
      <c r="O418">
        <f t="shared" ca="1" si="130"/>
        <v>0.62999999999999545</v>
      </c>
      <c r="P418">
        <f t="shared" ca="1" si="131"/>
        <v>0</v>
      </c>
      <c r="Q418">
        <f t="shared" ca="1" si="135"/>
        <v>0.23315120272012407</v>
      </c>
      <c r="R418">
        <f t="shared" ca="1" si="136"/>
        <v>0.27762524701718511</v>
      </c>
      <c r="S418">
        <f t="shared" ca="1" si="133"/>
        <v>0.83980547599726019</v>
      </c>
      <c r="T418">
        <f t="shared" ca="1" si="134"/>
        <v>45.646427676928539</v>
      </c>
      <c r="U418">
        <f>70</f>
        <v>70</v>
      </c>
      <c r="V418">
        <f>30</f>
        <v>30</v>
      </c>
      <c r="W418">
        <f t="shared" ca="1" si="132"/>
        <v>69.33087601156106</v>
      </c>
      <c r="X418">
        <f t="shared" ca="1" si="142"/>
        <v>69.556673510075569</v>
      </c>
      <c r="Y418">
        <f t="shared" ca="1" si="141"/>
        <v>-0.23068010068639921</v>
      </c>
      <c r="Z418">
        <f t="shared" ca="1" si="122"/>
        <v>-0.11069532005478103</v>
      </c>
      <c r="AA418">
        <f t="shared" ca="1" si="123"/>
        <v>-0.11998478063161819</v>
      </c>
      <c r="AB418">
        <f t="shared" ca="1" si="124"/>
        <v>70.590500000000006</v>
      </c>
    </row>
    <row r="419" spans="1:28" x14ac:dyDescent="0.25">
      <c r="A419" s="20">
        <f t="shared" ca="1" si="125"/>
        <v>45901</v>
      </c>
      <c r="B419" vm="1170">
        <f ca="1"/>
        <v>45902</v>
      </c>
      <c r="C419" vm="1171">
        <f ca="1"/>
        <v>69.06</v>
      </c>
      <c r="D419" vm="1172">
        <f ca="1"/>
        <v>24770073</v>
      </c>
      <c r="E419">
        <f t="shared" ca="1" si="126"/>
        <v>1710621241.3800001</v>
      </c>
      <c r="F419">
        <f ca="1">SUM($E$2:E419)/SUM($D$2:D419)</f>
        <v>66.309966706235755</v>
      </c>
      <c r="G419">
        <f ca="1">_xlfn.STDEV.P($C$2:C419)</f>
        <v>4.4964977353873214</v>
      </c>
      <c r="H419">
        <f t="shared" ca="1" si="127"/>
        <v>70.806464441623078</v>
      </c>
      <c r="I419">
        <f t="shared" ca="1" si="128"/>
        <v>61.813468970848433</v>
      </c>
      <c r="J419">
        <f t="shared" ca="1" si="137"/>
        <v>69.718499999999977</v>
      </c>
      <c r="K419">
        <f t="shared" ca="1" si="138"/>
        <v>0.78745609735600941</v>
      </c>
      <c r="L419">
        <f t="shared" ca="1" si="139"/>
        <v>71.293412194711991</v>
      </c>
      <c r="M419">
        <f t="shared" ca="1" si="140"/>
        <v>68.143587805287964</v>
      </c>
      <c r="N419">
        <f t="shared" ca="1" si="129"/>
        <v>7.000000000000739E-2</v>
      </c>
      <c r="O419">
        <f t="shared" ca="1" si="130"/>
        <v>7.000000000000739E-2</v>
      </c>
      <c r="P419">
        <f t="shared" ca="1" si="131"/>
        <v>0</v>
      </c>
      <c r="Q419">
        <f t="shared" ca="1" si="135"/>
        <v>0.22149754538297287</v>
      </c>
      <c r="R419">
        <f t="shared" ca="1" si="136"/>
        <v>0.25779487223024333</v>
      </c>
      <c r="S419">
        <f t="shared" ca="1" si="133"/>
        <v>0.85920074153045067</v>
      </c>
      <c r="T419">
        <f t="shared" ca="1" si="134"/>
        <v>46.21344658152281</v>
      </c>
      <c r="U419">
        <f>70</f>
        <v>70</v>
      </c>
      <c r="V419">
        <f>30</f>
        <v>30</v>
      </c>
      <c r="W419">
        <f t="shared" ca="1" si="132"/>
        <v>69.289202779013209</v>
      </c>
      <c r="X419">
        <f t="shared" ca="1" si="142"/>
        <v>69.519882879699608</v>
      </c>
      <c r="Y419">
        <f t="shared" ca="1" si="141"/>
        <v>-0.23746071377620126</v>
      </c>
      <c r="Z419">
        <f t="shared" ca="1" si="122"/>
        <v>-0.13604839879906508</v>
      </c>
      <c r="AA419">
        <f t="shared" ca="1" si="123"/>
        <v>-0.10141231497713618</v>
      </c>
      <c r="AB419">
        <f t="shared" ca="1" si="124"/>
        <v>70.596900000000019</v>
      </c>
    </row>
    <row r="420" spans="1:28" x14ac:dyDescent="0.25">
      <c r="A420" s="20">
        <f t="shared" ca="1" si="125"/>
        <v>45901</v>
      </c>
      <c r="B420" vm="1173">
        <f ca="1"/>
        <v>45903</v>
      </c>
      <c r="C420" vm="1168">
        <f ca="1"/>
        <v>68.989999999999995</v>
      </c>
      <c r="D420" vm="1174">
        <f ca="1"/>
        <v>33581491</v>
      </c>
      <c r="E420">
        <f t="shared" ca="1" si="126"/>
        <v>2316787064.0899997</v>
      </c>
      <c r="F420">
        <f ca="1">SUM($E$2:E420)/SUM($D$2:D420)</f>
        <v>66.324160162392374</v>
      </c>
      <c r="G420">
        <f ca="1">_xlfn.STDEV.P($C$2:C420)</f>
        <v>4.4934001027822728</v>
      </c>
      <c r="H420">
        <f t="shared" ca="1" si="127"/>
        <v>70.817560265174649</v>
      </c>
      <c r="I420">
        <f t="shared" ca="1" si="128"/>
        <v>61.8307600596101</v>
      </c>
      <c r="J420">
        <f t="shared" ca="1" si="137"/>
        <v>69.715499999999992</v>
      </c>
      <c r="K420">
        <f t="shared" ca="1" si="138"/>
        <v>0.79024629738222441</v>
      </c>
      <c r="L420">
        <f t="shared" ca="1" si="139"/>
        <v>71.295992594764442</v>
      </c>
      <c r="M420">
        <f t="shared" ca="1" si="140"/>
        <v>68.135007405235541</v>
      </c>
      <c r="N420">
        <f t="shared" ca="1" si="129"/>
        <v>-7.000000000000739E-2</v>
      </c>
      <c r="O420">
        <f t="shared" ca="1" si="130"/>
        <v>0</v>
      </c>
      <c r="P420">
        <f t="shared" ca="1" si="131"/>
        <v>7.000000000000739E-2</v>
      </c>
      <c r="Q420">
        <f t="shared" ca="1" si="135"/>
        <v>0.20567629214133196</v>
      </c>
      <c r="R420">
        <f t="shared" ca="1" si="136"/>
        <v>0.24438095278522648</v>
      </c>
      <c r="S420">
        <f t="shared" ca="1" si="133"/>
        <v>0.84162161493039922</v>
      </c>
      <c r="T420">
        <f t="shared" ca="1" si="134"/>
        <v>45.700029154045673</v>
      </c>
      <c r="U420">
        <f>70</f>
        <v>70</v>
      </c>
      <c r="V420">
        <f>30</f>
        <v>30</v>
      </c>
      <c r="W420">
        <f t="shared" ca="1" si="132"/>
        <v>69.243171582241956</v>
      </c>
      <c r="X420">
        <f t="shared" ca="1" si="142"/>
        <v>69.480632296018157</v>
      </c>
      <c r="Y420">
        <f t="shared" ca="1" si="141"/>
        <v>-0.29909839396023585</v>
      </c>
      <c r="Z420">
        <f t="shared" ca="1" si="122"/>
        <v>-0.16865839783129924</v>
      </c>
      <c r="AA420">
        <f t="shared" ca="1" si="123"/>
        <v>-0.13043999612893661</v>
      </c>
      <c r="AB420">
        <f t="shared" ca="1" si="124"/>
        <v>70.587299999999999</v>
      </c>
    </row>
    <row r="421" spans="1:28" x14ac:dyDescent="0.25">
      <c r="A421" s="20">
        <f t="shared" ca="1" si="125"/>
        <v>45901</v>
      </c>
      <c r="B421" vm="1175">
        <f ca="1"/>
        <v>45904</v>
      </c>
      <c r="C421" vm="1176">
        <f ca="1"/>
        <v>68.25</v>
      </c>
      <c r="D421" vm="1177">
        <f ca="1"/>
        <v>16736009</v>
      </c>
      <c r="E421">
        <f t="shared" ca="1" si="126"/>
        <v>1142232614.25</v>
      </c>
      <c r="F421">
        <f ca="1">SUM($E$2:E421)/SUM($D$2:D421)</f>
        <v>66.32922978126436</v>
      </c>
      <c r="G421">
        <f ca="1">_xlfn.STDEV.P($C$2:C421)</f>
        <v>4.4893057642466223</v>
      </c>
      <c r="H421">
        <f t="shared" ca="1" si="127"/>
        <v>70.818535545510983</v>
      </c>
      <c r="I421">
        <f t="shared" ca="1" si="128"/>
        <v>61.839924017017736</v>
      </c>
      <c r="J421">
        <f t="shared" ca="1" si="137"/>
        <v>69.652499999999989</v>
      </c>
      <c r="K421">
        <f t="shared" ca="1" si="138"/>
        <v>0.85505847753238451</v>
      </c>
      <c r="L421">
        <f t="shared" ca="1" si="139"/>
        <v>71.362616955064752</v>
      </c>
      <c r="M421">
        <f t="shared" ca="1" si="140"/>
        <v>67.942383044935227</v>
      </c>
      <c r="N421">
        <f t="shared" ca="1" si="129"/>
        <v>-0.73999999999999488</v>
      </c>
      <c r="O421">
        <f t="shared" ca="1" si="130"/>
        <v>0</v>
      </c>
      <c r="P421">
        <f t="shared" ca="1" si="131"/>
        <v>0.73999999999999488</v>
      </c>
      <c r="Q421">
        <f t="shared" ca="1" si="135"/>
        <v>0.19098512841695109</v>
      </c>
      <c r="R421">
        <f t="shared" ca="1" si="136"/>
        <v>0.27978231330056708</v>
      </c>
      <c r="S421">
        <f t="shared" ca="1" si="133"/>
        <v>0.68262044931974619</v>
      </c>
      <c r="T421">
        <f t="shared" ca="1" si="134"/>
        <v>40.56889060130689</v>
      </c>
      <c r="U421">
        <f>70</f>
        <v>70</v>
      </c>
      <c r="V421">
        <f>30</f>
        <v>30</v>
      </c>
      <c r="W421">
        <f t="shared" ca="1" si="132"/>
        <v>69.090375954204731</v>
      </c>
      <c r="X421">
        <f t="shared" ca="1" si="142"/>
        <v>69.389474348164967</v>
      </c>
      <c r="Y421">
        <f t="shared" ca="1" si="141"/>
        <v>-0.36711539816184313</v>
      </c>
      <c r="Z421">
        <f t="shared" ca="1" si="122"/>
        <v>-0.20834979789740804</v>
      </c>
      <c r="AA421">
        <f t="shared" ca="1" si="123"/>
        <v>-0.15876560026443509</v>
      </c>
      <c r="AB421">
        <f t="shared" ca="1" si="124"/>
        <v>70.562200000000004</v>
      </c>
    </row>
    <row r="422" spans="1:28" x14ac:dyDescent="0.25">
      <c r="A422" s="20">
        <f t="shared" ca="1" si="125"/>
        <v>45901</v>
      </c>
      <c r="B422" vm="1178">
        <f ca="1"/>
        <v>45905</v>
      </c>
      <c r="C422" vm="424">
        <f ca="1"/>
        <v>67.959999999999994</v>
      </c>
      <c r="D422" vm="1179">
        <f ca="1"/>
        <v>23977995</v>
      </c>
      <c r="E422">
        <f t="shared" ca="1" si="126"/>
        <v>1629544540.1999998</v>
      </c>
      <c r="F422">
        <f ca="1">SUM($E$2:E422)/SUM($D$2:D422)</f>
        <v>66.335357149950141</v>
      </c>
      <c r="G422">
        <f ca="1">_xlfn.STDEV.P($C$2:C422)</f>
        <v>4.4849100966138664</v>
      </c>
      <c r="H422">
        <f t="shared" ca="1" si="127"/>
        <v>70.820267246564015</v>
      </c>
      <c r="I422">
        <f t="shared" ca="1" si="128"/>
        <v>61.850447053336275</v>
      </c>
      <c r="J422">
        <f t="shared" ca="1" si="137"/>
        <v>69.529000000000011</v>
      </c>
      <c r="K422">
        <f t="shared" ca="1" si="138"/>
        <v>0.91324695455281946</v>
      </c>
      <c r="L422">
        <f t="shared" ca="1" si="139"/>
        <v>71.355493909105647</v>
      </c>
      <c r="M422">
        <f t="shared" ca="1" si="140"/>
        <v>67.702506090894374</v>
      </c>
      <c r="N422">
        <f t="shared" ca="1" si="129"/>
        <v>-0.29000000000000625</v>
      </c>
      <c r="O422">
        <f t="shared" ca="1" si="130"/>
        <v>0</v>
      </c>
      <c r="P422">
        <f t="shared" ca="1" si="131"/>
        <v>0.29000000000000625</v>
      </c>
      <c r="Q422">
        <f t="shared" ca="1" si="135"/>
        <v>0.17734333353002601</v>
      </c>
      <c r="R422">
        <f t="shared" ca="1" si="136"/>
        <v>0.28051214806481273</v>
      </c>
      <c r="S422">
        <f t="shared" ca="1" si="133"/>
        <v>0.63221266798417086</v>
      </c>
      <c r="T422">
        <f t="shared" ca="1" si="134"/>
        <v>38.733473914583172</v>
      </c>
      <c r="U422">
        <f>70</f>
        <v>70</v>
      </c>
      <c r="V422">
        <f>30</f>
        <v>30</v>
      </c>
      <c r="W422">
        <f t="shared" ca="1" si="132"/>
        <v>68.916471961250153</v>
      </c>
      <c r="X422">
        <f t="shared" ca="1" si="142"/>
        <v>69.283587359411996</v>
      </c>
      <c r="Y422">
        <f t="shared" ca="1" si="141"/>
        <v>-0.45850062483647491</v>
      </c>
      <c r="Z422">
        <f t="shared" ref="Z422:Z485" ca="1" si="143">Y422*(2/(9+1)) + Z421*(1-(2/(9+1)))</f>
        <v>-0.25837996328522139</v>
      </c>
      <c r="AA422">
        <f t="shared" ref="AA422:AA485" ca="1" si="144">Y422-Z422</f>
        <v>-0.20012066155125352</v>
      </c>
      <c r="AB422">
        <f t="shared" ref="AB422:AB485" ca="1" si="145">AVERAGE(C323:C422)</f>
        <v>70.527500000000003</v>
      </c>
    </row>
    <row r="423" spans="1:28" x14ac:dyDescent="0.25">
      <c r="A423" s="20">
        <f t="shared" ca="1" si="125"/>
        <v>45908</v>
      </c>
      <c r="B423" vm="1180">
        <f ca="1"/>
        <v>45908</v>
      </c>
      <c r="C423" vm="1181">
        <f ca="1"/>
        <v>67.430000000000007</v>
      </c>
      <c r="D423" vm="1182">
        <f ca="1"/>
        <v>21671747</v>
      </c>
      <c r="E423">
        <f t="shared" ca="1" si="126"/>
        <v>1461325900.21</v>
      </c>
      <c r="F423">
        <f ca="1">SUM($E$2:E423)/SUM($D$2:D423)</f>
        <v>66.339061929709487</v>
      </c>
      <c r="G423">
        <f ca="1">_xlfn.STDEV.P($C$2:C423)</f>
        <v>4.4800746231340103</v>
      </c>
      <c r="H423">
        <f t="shared" ca="1" si="127"/>
        <v>70.819136552843503</v>
      </c>
      <c r="I423">
        <f t="shared" ca="1" si="128"/>
        <v>61.858987306575479</v>
      </c>
      <c r="J423">
        <f t="shared" ca="1" si="137"/>
        <v>69.383499999999998</v>
      </c>
      <c r="K423">
        <f t="shared" ca="1" si="138"/>
        <v>1.0044913612056798</v>
      </c>
      <c r="L423">
        <f t="shared" ca="1" si="139"/>
        <v>71.392482722411359</v>
      </c>
      <c r="M423">
        <f t="shared" ca="1" si="140"/>
        <v>67.374517277588637</v>
      </c>
      <c r="N423">
        <f t="shared" ca="1" si="129"/>
        <v>-0.52999999999998693</v>
      </c>
      <c r="O423">
        <f t="shared" ca="1" si="130"/>
        <v>0</v>
      </c>
      <c r="P423">
        <f t="shared" ca="1" si="131"/>
        <v>0.52999999999998693</v>
      </c>
      <c r="Q423">
        <f t="shared" ca="1" si="135"/>
        <v>0.1646759525635956</v>
      </c>
      <c r="R423">
        <f t="shared" ca="1" si="136"/>
        <v>0.29833270891732516</v>
      </c>
      <c r="S423">
        <f t="shared" ca="1" si="133"/>
        <v>0.55198758849211904</v>
      </c>
      <c r="T423">
        <f t="shared" ca="1" si="134"/>
        <v>35.566495027735328</v>
      </c>
      <c r="U423">
        <f>70</f>
        <v>70</v>
      </c>
      <c r="V423">
        <f>30</f>
        <v>30</v>
      </c>
      <c r="W423">
        <f t="shared" ca="1" si="132"/>
        <v>68.687783967211672</v>
      </c>
      <c r="X423">
        <f t="shared" ca="1" si="142"/>
        <v>69.146284592048147</v>
      </c>
      <c r="Y423">
        <f t="shared" ca="1" si="141"/>
        <v>-0.49057166425579624</v>
      </c>
      <c r="Z423">
        <f t="shared" ca="1" si="143"/>
        <v>-0.30481830347933636</v>
      </c>
      <c r="AA423">
        <f t="shared" ca="1" si="144"/>
        <v>-0.18575336077645987</v>
      </c>
      <c r="AB423">
        <f t="shared" ca="1" si="145"/>
        <v>70.477300000000014</v>
      </c>
    </row>
    <row r="424" spans="1:28" x14ac:dyDescent="0.25">
      <c r="A424" s="20">
        <f t="shared" ca="1" si="125"/>
        <v>45908</v>
      </c>
      <c r="B424" vm="1183">
        <f ca="1"/>
        <v>45909</v>
      </c>
      <c r="C424" vm="1184">
        <f ca="1"/>
        <v>67.86</v>
      </c>
      <c r="D424" vm="1185">
        <f ca="1"/>
        <v>14120570</v>
      </c>
      <c r="E424">
        <f t="shared" ca="1" si="126"/>
        <v>958221880.20000005</v>
      </c>
      <c r="F424">
        <f ca="1">SUM($E$2:E424)/SUM($D$2:D424)</f>
        <v>66.342408524533539</v>
      </c>
      <c r="G424">
        <f ca="1">_xlfn.STDEV.P($C$2:C424)</f>
        <v>4.4756086741778551</v>
      </c>
      <c r="H424">
        <f t="shared" ca="1" si="127"/>
        <v>70.818017198711388</v>
      </c>
      <c r="I424">
        <f t="shared" ca="1" si="128"/>
        <v>61.866799850355683</v>
      </c>
      <c r="J424">
        <f t="shared" ca="1" si="137"/>
        <v>69.239000000000004</v>
      </c>
      <c r="K424">
        <f t="shared" ca="1" si="138"/>
        <v>1.0054373230223317</v>
      </c>
      <c r="L424">
        <f t="shared" ca="1" si="139"/>
        <v>71.249874646044674</v>
      </c>
      <c r="M424">
        <f t="shared" ca="1" si="140"/>
        <v>67.228125353955335</v>
      </c>
      <c r="N424">
        <f t="shared" ca="1" si="129"/>
        <v>0.42999999999999261</v>
      </c>
      <c r="O424">
        <f t="shared" ca="1" si="130"/>
        <v>0.42999999999999261</v>
      </c>
      <c r="P424">
        <f t="shared" ca="1" si="131"/>
        <v>0</v>
      </c>
      <c r="Q424">
        <f t="shared" ca="1" si="135"/>
        <v>0.18362767023762397</v>
      </c>
      <c r="R424">
        <f t="shared" ca="1" si="136"/>
        <v>0.27702322970894483</v>
      </c>
      <c r="S424">
        <f t="shared" ca="1" si="133"/>
        <v>0.66286018840569016</v>
      </c>
      <c r="T424">
        <f t="shared" ca="1" si="134"/>
        <v>39.862653097806401</v>
      </c>
      <c r="U424">
        <f>70</f>
        <v>70</v>
      </c>
      <c r="V424">
        <f>30</f>
        <v>30</v>
      </c>
      <c r="W424">
        <f t="shared" ca="1" si="132"/>
        <v>68.560432587640648</v>
      </c>
      <c r="X424">
        <f t="shared" ca="1" si="142"/>
        <v>69.051004251896444</v>
      </c>
      <c r="Y424">
        <f t="shared" ca="1" si="141"/>
        <v>-0.51329886990617979</v>
      </c>
      <c r="Z424">
        <f t="shared" ca="1" si="143"/>
        <v>-0.34651441676470507</v>
      </c>
      <c r="AA424">
        <f t="shared" ca="1" si="144"/>
        <v>-0.16678445314147472</v>
      </c>
      <c r="AB424">
        <f t="shared" ca="1" si="145"/>
        <v>70.437300000000008</v>
      </c>
    </row>
    <row r="425" spans="1:28" x14ac:dyDescent="0.25">
      <c r="A425" s="20">
        <f t="shared" ca="1" si="125"/>
        <v>45908</v>
      </c>
      <c r="B425" vm="1186">
        <f ca="1"/>
        <v>45910</v>
      </c>
      <c r="C425" vm="1187">
        <f ca="1"/>
        <v>67.819999999999993</v>
      </c>
      <c r="D425" vm="1188">
        <f ca="1"/>
        <v>16041934</v>
      </c>
      <c r="E425">
        <f t="shared" ca="1" si="126"/>
        <v>1087963963.8799999</v>
      </c>
      <c r="F425">
        <f ca="1">SUM($E$2:E425)/SUM($D$2:D425)</f>
        <v>66.346092919722253</v>
      </c>
      <c r="G425">
        <f ca="1">_xlfn.STDEV.P($C$2:C425)</f>
        <v>4.4711185272804173</v>
      </c>
      <c r="H425">
        <f t="shared" ca="1" si="127"/>
        <v>70.817211447002677</v>
      </c>
      <c r="I425">
        <f t="shared" ca="1" si="128"/>
        <v>61.874974392441835</v>
      </c>
      <c r="J425">
        <f t="shared" ca="1" si="137"/>
        <v>69.094499999999996</v>
      </c>
      <c r="K425">
        <f t="shared" ca="1" si="138"/>
        <v>0.99046227909789075</v>
      </c>
      <c r="L425">
        <f t="shared" ca="1" si="139"/>
        <v>71.075424558195778</v>
      </c>
      <c r="M425">
        <f t="shared" ca="1" si="140"/>
        <v>67.113575441804215</v>
      </c>
      <c r="N425">
        <f t="shared" ca="1" si="129"/>
        <v>-4.0000000000006253E-2</v>
      </c>
      <c r="O425">
        <f t="shared" ca="1" si="130"/>
        <v>0</v>
      </c>
      <c r="P425">
        <f t="shared" ca="1" si="131"/>
        <v>4.0000000000006253E-2</v>
      </c>
      <c r="Q425">
        <f t="shared" ca="1" si="135"/>
        <v>0.17051140807779369</v>
      </c>
      <c r="R425">
        <f t="shared" ca="1" si="136"/>
        <v>0.26009299901544919</v>
      </c>
      <c r="S425">
        <f t="shared" ca="1" si="133"/>
        <v>0.65557861504632631</v>
      </c>
      <c r="T425">
        <f t="shared" ca="1" si="134"/>
        <v>39.598156746424387</v>
      </c>
      <c r="U425">
        <f>70</f>
        <v>70</v>
      </c>
      <c r="V425">
        <f>30</f>
        <v>30</v>
      </c>
      <c r="W425">
        <f t="shared" ca="1" si="132"/>
        <v>68.446519881849781</v>
      </c>
      <c r="X425">
        <f t="shared" ca="1" si="142"/>
        <v>68.959818751755961</v>
      </c>
      <c r="Y425">
        <f t="shared" ca="1" si="141"/>
        <v>-0.54120994134275691</v>
      </c>
      <c r="Z425">
        <f t="shared" ca="1" si="143"/>
        <v>-0.38545352168031544</v>
      </c>
      <c r="AA425">
        <f t="shared" ca="1" si="144"/>
        <v>-0.15575641966244147</v>
      </c>
      <c r="AB425">
        <f t="shared" ca="1" si="145"/>
        <v>70.398700000000005</v>
      </c>
    </row>
    <row r="426" spans="1:28" x14ac:dyDescent="0.25">
      <c r="A426" s="20">
        <f t="shared" ca="1" si="125"/>
        <v>45908</v>
      </c>
      <c r="B426" vm="1189">
        <f ca="1"/>
        <v>45911</v>
      </c>
      <c r="C426" vm="1190">
        <f ca="1"/>
        <v>67.62</v>
      </c>
      <c r="D426" vm="1191">
        <f ca="1"/>
        <v>15128731</v>
      </c>
      <c r="E426">
        <f t="shared" ca="1" si="126"/>
        <v>1023004790.22</v>
      </c>
      <c r="F426">
        <f ca="1">SUM($E$2:E426)/SUM($D$2:D426)</f>
        <v>66.349081571267149</v>
      </c>
      <c r="G426">
        <f ca="1">_xlfn.STDEV.P($C$2:C426)</f>
        <v>4.4664700396804786</v>
      </c>
      <c r="H426">
        <f t="shared" ca="1" si="127"/>
        <v>70.815551610947622</v>
      </c>
      <c r="I426">
        <f t="shared" ca="1" si="128"/>
        <v>61.882611531586669</v>
      </c>
      <c r="J426">
        <f t="shared" ca="1" si="137"/>
        <v>68.952500000000015</v>
      </c>
      <c r="K426">
        <f t="shared" ca="1" si="138"/>
        <v>0.9879690757998657</v>
      </c>
      <c r="L426">
        <f t="shared" ca="1" si="139"/>
        <v>70.92843815159975</v>
      </c>
      <c r="M426">
        <f t="shared" ca="1" si="140"/>
        <v>66.97656184840028</v>
      </c>
      <c r="N426">
        <f t="shared" ca="1" si="129"/>
        <v>-0.19999999999998863</v>
      </c>
      <c r="O426">
        <f t="shared" ca="1" si="130"/>
        <v>0</v>
      </c>
      <c r="P426">
        <f t="shared" ca="1" si="131"/>
        <v>0.19999999999998863</v>
      </c>
      <c r="Q426">
        <f t="shared" ca="1" si="135"/>
        <v>0.15833202178652273</v>
      </c>
      <c r="R426">
        <f t="shared" ca="1" si="136"/>
        <v>0.2558006419429163</v>
      </c>
      <c r="S426">
        <f t="shared" ca="1" si="133"/>
        <v>0.61896647554878159</v>
      </c>
      <c r="T426">
        <f t="shared" ca="1" si="134"/>
        <v>38.23219843628759</v>
      </c>
      <c r="U426">
        <f>70</f>
        <v>70</v>
      </c>
      <c r="V426">
        <f>30</f>
        <v>30</v>
      </c>
      <c r="W426">
        <f t="shared" ca="1" si="132"/>
        <v>68.319362976949805</v>
      </c>
      <c r="X426">
        <f t="shared" ca="1" si="142"/>
        <v>68.860572918292561</v>
      </c>
      <c r="Y426">
        <f t="shared" ca="1" si="141"/>
        <v>-0.60557092390595813</v>
      </c>
      <c r="Z426">
        <f t="shared" ca="1" si="143"/>
        <v>-0.42947700212544399</v>
      </c>
      <c r="AA426">
        <f t="shared" ca="1" si="144"/>
        <v>-0.17609392178051414</v>
      </c>
      <c r="AB426">
        <f t="shared" ca="1" si="145"/>
        <v>70.344899999999996</v>
      </c>
    </row>
    <row r="427" spans="1:28" x14ac:dyDescent="0.25">
      <c r="A427" s="20">
        <f t="shared" ca="1" si="125"/>
        <v>45908</v>
      </c>
      <c r="B427" vm="1192">
        <f ca="1"/>
        <v>45912</v>
      </c>
      <c r="C427" vm="1193">
        <f ca="1"/>
        <v>67.010000000000005</v>
      </c>
      <c r="D427" vm="1194">
        <f ca="1"/>
        <v>18712351</v>
      </c>
      <c r="E427">
        <f t="shared" ca="1" si="126"/>
        <v>1253914640.51</v>
      </c>
      <c r="F427">
        <f ca="1">SUM($E$2:E427)/SUM($D$2:D427)</f>
        <v>66.35099385727851</v>
      </c>
      <c r="G427">
        <f ca="1">_xlfn.STDEV.P($C$2:C427)</f>
        <v>4.4614447805947357</v>
      </c>
      <c r="H427">
        <f t="shared" ca="1" si="127"/>
        <v>70.812438637873242</v>
      </c>
      <c r="I427">
        <f t="shared" ca="1" si="128"/>
        <v>61.889549076683778</v>
      </c>
      <c r="J427">
        <f t="shared" ca="1" si="137"/>
        <v>68.825500000000005</v>
      </c>
      <c r="K427">
        <f t="shared" ca="1" si="138"/>
        <v>1.0671973871584826</v>
      </c>
      <c r="L427">
        <f t="shared" ca="1" si="139"/>
        <v>70.959894774316965</v>
      </c>
      <c r="M427">
        <f t="shared" ca="1" si="140"/>
        <v>66.691105225683046</v>
      </c>
      <c r="N427">
        <f t="shared" ca="1" si="129"/>
        <v>-0.60999999999999943</v>
      </c>
      <c r="O427">
        <f t="shared" ca="1" si="130"/>
        <v>0</v>
      </c>
      <c r="P427">
        <f t="shared" ca="1" si="131"/>
        <v>0.60999999999999943</v>
      </c>
      <c r="Q427">
        <f t="shared" ca="1" si="135"/>
        <v>0.14702259165891393</v>
      </c>
      <c r="R427">
        <f t="shared" ca="1" si="136"/>
        <v>0.28110059608985083</v>
      </c>
      <c r="S427">
        <f t="shared" ca="1" si="133"/>
        <v>0.52302483062654093</v>
      </c>
      <c r="T427">
        <f t="shared" ca="1" si="134"/>
        <v>34.34118867329164</v>
      </c>
      <c r="U427">
        <f>70</f>
        <v>70</v>
      </c>
      <c r="V427">
        <f>30</f>
        <v>30</v>
      </c>
      <c r="W427">
        <f t="shared" ca="1" si="132"/>
        <v>68.117922518957528</v>
      </c>
      <c r="X427">
        <f t="shared" ca="1" si="142"/>
        <v>68.723493442863486</v>
      </c>
      <c r="Y427">
        <f t="shared" ca="1" si="141"/>
        <v>-0.71291276581267482</v>
      </c>
      <c r="Z427">
        <f t="shared" ca="1" si="143"/>
        <v>-0.48616415486289022</v>
      </c>
      <c r="AA427">
        <f t="shared" ca="1" si="144"/>
        <v>-0.2267486109497846</v>
      </c>
      <c r="AB427">
        <f t="shared" ca="1" si="145"/>
        <v>70.287300000000002</v>
      </c>
    </row>
    <row r="428" spans="1:28" x14ac:dyDescent="0.25">
      <c r="A428" s="20">
        <f t="shared" ca="1" si="125"/>
        <v>45915</v>
      </c>
      <c r="B428" vm="1195">
        <f ca="1"/>
        <v>45915</v>
      </c>
      <c r="C428" vm="1196">
        <f ca="1"/>
        <v>66.209999999999994</v>
      </c>
      <c r="D428" vm="1197">
        <f ca="1"/>
        <v>15986132</v>
      </c>
      <c r="E428">
        <f t="shared" ca="1" si="126"/>
        <v>1058441799.7199999</v>
      </c>
      <c r="F428">
        <f ca="1">SUM($E$2:E428)/SUM($D$2:D428)</f>
        <v>66.350646202633115</v>
      </c>
      <c r="G428">
        <f ca="1">_xlfn.STDEV.P($C$2:C428)</f>
        <v>4.4562209337255618</v>
      </c>
      <c r="H428">
        <f t="shared" ca="1" si="127"/>
        <v>70.806867136358676</v>
      </c>
      <c r="I428">
        <f t="shared" ca="1" si="128"/>
        <v>61.894425268907554</v>
      </c>
      <c r="J428">
        <f t="shared" ca="1" si="137"/>
        <v>68.64</v>
      </c>
      <c r="K428">
        <f t="shared" ca="1" si="138"/>
        <v>1.1830825036853154</v>
      </c>
      <c r="L428">
        <f t="shared" ca="1" si="139"/>
        <v>71.006165007370626</v>
      </c>
      <c r="M428">
        <f t="shared" ca="1" si="140"/>
        <v>66.273834992629375</v>
      </c>
      <c r="N428">
        <f t="shared" ca="1" si="129"/>
        <v>-0.80000000000001137</v>
      </c>
      <c r="O428">
        <f t="shared" ca="1" si="130"/>
        <v>0</v>
      </c>
      <c r="P428">
        <f t="shared" ca="1" si="131"/>
        <v>0.80000000000001137</v>
      </c>
      <c r="Q428">
        <f t="shared" ca="1" si="135"/>
        <v>0.13652097796899151</v>
      </c>
      <c r="R428">
        <f t="shared" ca="1" si="136"/>
        <v>0.31816483922629085</v>
      </c>
      <c r="S428">
        <f t="shared" ca="1" si="133"/>
        <v>0.42908882798294579</v>
      </c>
      <c r="T428">
        <f t="shared" ca="1" si="134"/>
        <v>30.025343392304961</v>
      </c>
      <c r="U428">
        <f>70</f>
        <v>70</v>
      </c>
      <c r="V428">
        <f>30</f>
        <v>30</v>
      </c>
      <c r="W428">
        <f t="shared" ca="1" si="132"/>
        <v>67.824395977579442</v>
      </c>
      <c r="X428">
        <f t="shared" ca="1" si="142"/>
        <v>68.537308743392117</v>
      </c>
      <c r="Y428">
        <f t="shared" ca="1" si="141"/>
        <v>-0.78649497510355104</v>
      </c>
      <c r="Z428">
        <f t="shared" ca="1" si="143"/>
        <v>-0.54623031891102247</v>
      </c>
      <c r="AA428">
        <f t="shared" ca="1" si="144"/>
        <v>-0.24026465619252857</v>
      </c>
      <c r="AB428">
        <f t="shared" ca="1" si="145"/>
        <v>70.210399999999993</v>
      </c>
    </row>
    <row r="429" spans="1:28" x14ac:dyDescent="0.25">
      <c r="A429" s="20">
        <f t="shared" ca="1" si="125"/>
        <v>45915</v>
      </c>
      <c r="B429" vm="1198">
        <f ca="1"/>
        <v>45916</v>
      </c>
      <c r="C429" vm="1199">
        <f ca="1"/>
        <v>66.239999999999995</v>
      </c>
      <c r="D429" vm="1200">
        <f ca="1"/>
        <v>18555912</v>
      </c>
      <c r="E429">
        <f t="shared" ca="1" si="126"/>
        <v>1229143610.8799999</v>
      </c>
      <c r="F429">
        <f ca="1">SUM($E$2:E429)/SUM($D$2:D429)</f>
        <v>66.35033042450678</v>
      </c>
      <c r="G429">
        <f ca="1">_xlfn.STDEV.P($C$2:C429)</f>
        <v>4.4510174115357657</v>
      </c>
      <c r="H429">
        <f t="shared" ca="1" si="127"/>
        <v>70.801347836042538</v>
      </c>
      <c r="I429">
        <f t="shared" ca="1" si="128"/>
        <v>61.899313012971014</v>
      </c>
      <c r="J429">
        <f t="shared" ca="1" si="137"/>
        <v>68.495499999999993</v>
      </c>
      <c r="K429">
        <f t="shared" ca="1" si="138"/>
        <v>1.2915982551209872</v>
      </c>
      <c r="L429">
        <f t="shared" ca="1" si="139"/>
        <v>71.078696510241969</v>
      </c>
      <c r="M429">
        <f t="shared" ca="1" si="140"/>
        <v>65.912303489758017</v>
      </c>
      <c r="N429">
        <f t="shared" ca="1" si="129"/>
        <v>3.0000000000001137E-2</v>
      </c>
      <c r="O429">
        <f t="shared" ca="1" si="130"/>
        <v>3.0000000000001137E-2</v>
      </c>
      <c r="P429">
        <f t="shared" ca="1" si="131"/>
        <v>0</v>
      </c>
      <c r="Q429">
        <f t="shared" ca="1" si="135"/>
        <v>0.12891233668549221</v>
      </c>
      <c r="R429">
        <f t="shared" ca="1" si="136"/>
        <v>0.29543877928155576</v>
      </c>
      <c r="S429">
        <f t="shared" ca="1" si="133"/>
        <v>0.43634196228057665</v>
      </c>
      <c r="T429">
        <f t="shared" ca="1" si="134"/>
        <v>30.378696281195261</v>
      </c>
      <c r="U429">
        <f>70</f>
        <v>70</v>
      </c>
      <c r="V429">
        <f>30</f>
        <v>30</v>
      </c>
      <c r="W429">
        <f t="shared" ca="1" si="132"/>
        <v>67.580642750259528</v>
      </c>
      <c r="X429">
        <f t="shared" ca="1" si="142"/>
        <v>68.367137725363079</v>
      </c>
      <c r="Y429">
        <f t="shared" ca="1" si="141"/>
        <v>-0.77136428466073426</v>
      </c>
      <c r="Z429">
        <f t="shared" ca="1" si="143"/>
        <v>-0.59125711206096487</v>
      </c>
      <c r="AA429">
        <f t="shared" ca="1" si="144"/>
        <v>-0.18010717259976938</v>
      </c>
      <c r="AB429">
        <f t="shared" ca="1" si="145"/>
        <v>70.139799999999994</v>
      </c>
    </row>
    <row r="430" spans="1:28" x14ac:dyDescent="0.25">
      <c r="A430" s="20">
        <f t="shared" ca="1" si="125"/>
        <v>45915</v>
      </c>
      <c r="B430" vm="1201">
        <f ca="1"/>
        <v>45917</v>
      </c>
      <c r="C430" vm="1202">
        <f ca="1"/>
        <v>67.040000000000006</v>
      </c>
      <c r="D430" vm="1203">
        <f ca="1"/>
        <v>17372334</v>
      </c>
      <c r="E430">
        <f t="shared" ca="1" si="126"/>
        <v>1164641271.3600001</v>
      </c>
      <c r="F430">
        <f ca="1">SUM($E$2:E430)/SUM($D$2:D430)</f>
        <v>66.352168247229258</v>
      </c>
      <c r="G430">
        <f ca="1">_xlfn.STDEV.P($C$2:C430)</f>
        <v>4.4460593445992425</v>
      </c>
      <c r="H430">
        <f t="shared" ca="1" si="127"/>
        <v>70.798227591828507</v>
      </c>
      <c r="I430">
        <f t="shared" ca="1" si="128"/>
        <v>61.906108902630017</v>
      </c>
      <c r="J430">
        <f t="shared" ca="1" si="137"/>
        <v>68.341000000000008</v>
      </c>
      <c r="K430">
        <f t="shared" ca="1" si="138"/>
        <v>1.2704284399574151</v>
      </c>
      <c r="L430">
        <f t="shared" ca="1" si="139"/>
        <v>70.881856879914835</v>
      </c>
      <c r="M430">
        <f t="shared" ca="1" si="140"/>
        <v>65.800143120085181</v>
      </c>
      <c r="N430">
        <f t="shared" ca="1" si="129"/>
        <v>0.80000000000001137</v>
      </c>
      <c r="O430">
        <f t="shared" ca="1" si="130"/>
        <v>0.80000000000001137</v>
      </c>
      <c r="P430">
        <f t="shared" ca="1" si="131"/>
        <v>0</v>
      </c>
      <c r="Q430">
        <f t="shared" ca="1" si="135"/>
        <v>0.17684716977938644</v>
      </c>
      <c r="R430">
        <f t="shared" ca="1" si="136"/>
        <v>0.27433600933287322</v>
      </c>
      <c r="S430">
        <f t="shared" ca="1" si="133"/>
        <v>0.64463710108432759</v>
      </c>
      <c r="T430">
        <f t="shared" ca="1" si="134"/>
        <v>39.196312709917045</v>
      </c>
      <c r="U430">
        <f>70</f>
        <v>70</v>
      </c>
      <c r="V430">
        <f>30</f>
        <v>30</v>
      </c>
      <c r="W430">
        <f t="shared" ca="1" si="132"/>
        <v>67.497466942527296</v>
      </c>
      <c r="X430">
        <f t="shared" ca="1" si="142"/>
        <v>68.268831227188031</v>
      </c>
      <c r="Y430">
        <f t="shared" ca="1" si="141"/>
        <v>-0.79698708520085404</v>
      </c>
      <c r="Z430">
        <f t="shared" ca="1" si="143"/>
        <v>-0.63240310668894273</v>
      </c>
      <c r="AA430">
        <f t="shared" ca="1" si="144"/>
        <v>-0.16458397851191131</v>
      </c>
      <c r="AB430">
        <f t="shared" ca="1" si="145"/>
        <v>70.084999999999994</v>
      </c>
    </row>
    <row r="431" spans="1:28" x14ac:dyDescent="0.25">
      <c r="A431" s="20">
        <f t="shared" ca="1" si="125"/>
        <v>45915</v>
      </c>
      <c r="B431" vm="1204">
        <f ca="1"/>
        <v>45918</v>
      </c>
      <c r="C431" vm="1205">
        <f ca="1"/>
        <v>66.459999999999994</v>
      </c>
      <c r="D431" vm="1206">
        <f ca="1"/>
        <v>17722919</v>
      </c>
      <c r="E431">
        <f t="shared" ca="1" si="126"/>
        <v>1177865196.7399998</v>
      </c>
      <c r="F431">
        <f ca="1">SUM($E$2:E431)/SUM($D$2:D431)</f>
        <v>66.352460600017508</v>
      </c>
      <c r="G431">
        <f ca="1">_xlfn.STDEV.P($C$2:C431)</f>
        <v>4.4409205252302772</v>
      </c>
      <c r="H431">
        <f t="shared" ca="1" si="127"/>
        <v>70.793381125247791</v>
      </c>
      <c r="I431">
        <f t="shared" ca="1" si="128"/>
        <v>61.911540074787233</v>
      </c>
      <c r="J431">
        <f t="shared" ca="1" si="137"/>
        <v>68.129000000000019</v>
      </c>
      <c r="K431">
        <f t="shared" ca="1" si="138"/>
        <v>1.2083085175915174</v>
      </c>
      <c r="L431">
        <f t="shared" ca="1" si="139"/>
        <v>70.545617035183056</v>
      </c>
      <c r="M431">
        <f t="shared" ca="1" si="140"/>
        <v>65.712382964816982</v>
      </c>
      <c r="N431">
        <f t="shared" ca="1" si="129"/>
        <v>-0.58000000000001251</v>
      </c>
      <c r="O431">
        <f t="shared" ca="1" si="130"/>
        <v>0</v>
      </c>
      <c r="P431">
        <f t="shared" ca="1" si="131"/>
        <v>0.58000000000001251</v>
      </c>
      <c r="Q431">
        <f t="shared" ca="1" si="135"/>
        <v>0.16421522908085887</v>
      </c>
      <c r="R431">
        <f t="shared" ca="1" si="136"/>
        <v>0.29616915152338319</v>
      </c>
      <c r="S431">
        <f t="shared" ca="1" si="133"/>
        <v>0.55446432633580245</v>
      </c>
      <c r="T431">
        <f t="shared" ca="1" si="134"/>
        <v>35.66915733877218</v>
      </c>
      <c r="U431">
        <f>70</f>
        <v>70</v>
      </c>
      <c r="V431">
        <f>30</f>
        <v>30</v>
      </c>
      <c r="W431">
        <f t="shared" ca="1" si="132"/>
        <v>67.337856643676943</v>
      </c>
      <c r="X431">
        <f t="shared" ca="1" si="142"/>
        <v>68.134843728877797</v>
      </c>
      <c r="Y431">
        <f t="shared" ca="1" si="141"/>
        <v>-0.81037261741661837</v>
      </c>
      <c r="Z431">
        <f t="shared" ca="1" si="143"/>
        <v>-0.66799700883447799</v>
      </c>
      <c r="AA431">
        <f t="shared" ca="1" si="144"/>
        <v>-0.14237560858214038</v>
      </c>
      <c r="AB431">
        <f t="shared" ca="1" si="145"/>
        <v>70.030500000000004</v>
      </c>
    </row>
    <row r="432" spans="1:28" x14ac:dyDescent="0.25">
      <c r="A432" s="20">
        <f t="shared" ca="1" si="125"/>
        <v>45915</v>
      </c>
      <c r="B432" vm="1207">
        <f ca="1"/>
        <v>45919</v>
      </c>
      <c r="C432" vm="1208">
        <f ca="1"/>
        <v>66.430000000000007</v>
      </c>
      <c r="D432" vm="1209">
        <f ca="1"/>
        <v>31192851</v>
      </c>
      <c r="E432">
        <f t="shared" ca="1" si="126"/>
        <v>2072141091.9300003</v>
      </c>
      <c r="F432">
        <f ca="1">SUM($E$2:E432)/SUM($D$2:D432)</f>
        <v>66.35282884378131</v>
      </c>
      <c r="G432">
        <f ca="1">_xlfn.STDEV.P($C$2:C432)</f>
        <v>4.4357940801027862</v>
      </c>
      <c r="H432">
        <f t="shared" ca="1" si="127"/>
        <v>70.788622923884091</v>
      </c>
      <c r="I432">
        <f t="shared" ca="1" si="128"/>
        <v>61.917034763678522</v>
      </c>
      <c r="J432">
        <f t="shared" ca="1" si="137"/>
        <v>67.917500000000018</v>
      </c>
      <c r="K432">
        <f t="shared" ca="1" si="138"/>
        <v>1.108013276568756</v>
      </c>
      <c r="L432">
        <f t="shared" ca="1" si="139"/>
        <v>70.133526553137528</v>
      </c>
      <c r="M432">
        <f t="shared" ca="1" si="140"/>
        <v>65.701473446862508</v>
      </c>
      <c r="N432">
        <f t="shared" ca="1" si="129"/>
        <v>-2.9999999999986926E-2</v>
      </c>
      <c r="O432">
        <f t="shared" ca="1" si="130"/>
        <v>0</v>
      </c>
      <c r="P432">
        <f t="shared" ca="1" si="131"/>
        <v>2.9999999999986926E-2</v>
      </c>
      <c r="Q432">
        <f t="shared" ca="1" si="135"/>
        <v>0.1524855698607975</v>
      </c>
      <c r="R432">
        <f t="shared" ca="1" si="136"/>
        <v>0.27715706927171202</v>
      </c>
      <c r="S432">
        <f t="shared" ca="1" si="133"/>
        <v>0.55017745086381931</v>
      </c>
      <c r="T432">
        <f t="shared" ca="1" si="134"/>
        <v>35.491256214392678</v>
      </c>
      <c r="U432">
        <f>70</f>
        <v>70</v>
      </c>
      <c r="V432">
        <f>30</f>
        <v>30</v>
      </c>
      <c r="W432">
        <f t="shared" ca="1" si="132"/>
        <v>67.198186390803571</v>
      </c>
      <c r="X432">
        <f t="shared" ca="1" si="142"/>
        <v>68.008559008220189</v>
      </c>
      <c r="Y432">
        <f t="shared" ca="1" si="141"/>
        <v>-0.82917469972336733</v>
      </c>
      <c r="Z432">
        <f t="shared" ca="1" si="143"/>
        <v>-0.7002325470122559</v>
      </c>
      <c r="AA432">
        <f t="shared" ca="1" si="144"/>
        <v>-0.12894215271111142</v>
      </c>
      <c r="AB432">
        <f t="shared" ca="1" si="145"/>
        <v>69.976900000000001</v>
      </c>
    </row>
    <row r="433" spans="1:28" x14ac:dyDescent="0.25">
      <c r="A433" s="20">
        <f t="shared" ca="1" si="125"/>
        <v>45922</v>
      </c>
      <c r="B433" vm="1210">
        <f ca="1"/>
        <v>45922</v>
      </c>
      <c r="C433" vm="1196">
        <f ca="1"/>
        <v>66.209999999999994</v>
      </c>
      <c r="D433" vm="1211">
        <f ca="1"/>
        <v>13298742</v>
      </c>
      <c r="E433">
        <f t="shared" ca="1" si="126"/>
        <v>880509707.81999993</v>
      </c>
      <c r="F433">
        <f ca="1">SUM($E$2:E433)/SUM($D$2:D433)</f>
        <v>66.352540237397974</v>
      </c>
      <c r="G433">
        <f ca="1">_xlfn.STDEV.P($C$2:C433)</f>
        <v>4.4306601984019096</v>
      </c>
      <c r="H433">
        <f t="shared" ca="1" si="127"/>
        <v>70.783200435799884</v>
      </c>
      <c r="I433">
        <f t="shared" ca="1" si="128"/>
        <v>61.921880038996065</v>
      </c>
      <c r="J433">
        <f t="shared" ca="1" si="137"/>
        <v>67.72150000000002</v>
      </c>
      <c r="K433">
        <f t="shared" ca="1" si="138"/>
        <v>1.0407045943165525</v>
      </c>
      <c r="L433">
        <f t="shared" ca="1" si="139"/>
        <v>69.802909188633123</v>
      </c>
      <c r="M433">
        <f t="shared" ca="1" si="140"/>
        <v>65.640090811366917</v>
      </c>
      <c r="N433">
        <f t="shared" ca="1" si="129"/>
        <v>-0.22000000000001307</v>
      </c>
      <c r="O433">
        <f t="shared" ca="1" si="130"/>
        <v>0</v>
      </c>
      <c r="P433">
        <f t="shared" ca="1" si="131"/>
        <v>0.22000000000001307</v>
      </c>
      <c r="Q433">
        <f t="shared" ca="1" si="135"/>
        <v>0.1415937434421691</v>
      </c>
      <c r="R433">
        <f t="shared" ca="1" si="136"/>
        <v>0.27307442146659067</v>
      </c>
      <c r="S433">
        <f t="shared" ca="1" si="133"/>
        <v>0.51851704997383807</v>
      </c>
      <c r="T433">
        <f t="shared" ca="1" si="134"/>
        <v>34.146277776912115</v>
      </c>
      <c r="U433">
        <f>70</f>
        <v>70</v>
      </c>
      <c r="V433">
        <f>30</f>
        <v>30</v>
      </c>
      <c r="W433">
        <f t="shared" ca="1" si="132"/>
        <v>67.046157715295323</v>
      </c>
      <c r="X433">
        <f t="shared" ca="1" si="142"/>
        <v>67.87533241501869</v>
      </c>
      <c r="Y433">
        <f t="shared" ca="1" si="141"/>
        <v>-0.79457035167624213</v>
      </c>
      <c r="Z433">
        <f t="shared" ca="1" si="143"/>
        <v>-0.71910010794505319</v>
      </c>
      <c r="AA433">
        <f t="shared" ca="1" si="144"/>
        <v>-7.5470243731188935E-2</v>
      </c>
      <c r="AB433">
        <f t="shared" ca="1" si="145"/>
        <v>69.915500000000009</v>
      </c>
    </row>
    <row r="434" spans="1:28" x14ac:dyDescent="0.25">
      <c r="A434" s="20">
        <f t="shared" ca="1" si="125"/>
        <v>45922</v>
      </c>
      <c r="B434" vm="1212">
        <f ca="1"/>
        <v>45923</v>
      </c>
      <c r="C434" vm="1213">
        <f ca="1"/>
        <v>66.709999999999994</v>
      </c>
      <c r="D434" vm="1214">
        <f ca="1"/>
        <v>15072791</v>
      </c>
      <c r="E434">
        <f t="shared" ca="1" si="126"/>
        <v>1005505887.6099999</v>
      </c>
      <c r="F434">
        <f ca="1">SUM($E$2:E434)/SUM($D$2:D434)</f>
        <v>66.353357020619441</v>
      </c>
      <c r="G434">
        <f ca="1">_xlfn.STDEV.P($C$2:C434)</f>
        <v>4.4256375689817853</v>
      </c>
      <c r="H434">
        <f t="shared" ca="1" si="127"/>
        <v>70.778994589601226</v>
      </c>
      <c r="I434">
        <f t="shared" ca="1" si="128"/>
        <v>61.927719451637657</v>
      </c>
      <c r="J434">
        <f t="shared" ca="1" si="137"/>
        <v>67.61050000000003</v>
      </c>
      <c r="K434">
        <f t="shared" ca="1" si="138"/>
        <v>1.0232686275902958</v>
      </c>
      <c r="L434">
        <f t="shared" ca="1" si="139"/>
        <v>69.657037255180626</v>
      </c>
      <c r="M434">
        <f t="shared" ca="1" si="140"/>
        <v>65.563962744819435</v>
      </c>
      <c r="N434">
        <f t="shared" ca="1" si="129"/>
        <v>0.5</v>
      </c>
      <c r="O434">
        <f t="shared" ca="1" si="130"/>
        <v>0.5</v>
      </c>
      <c r="P434">
        <f t="shared" ca="1" si="131"/>
        <v>0</v>
      </c>
      <c r="Q434">
        <f t="shared" ca="1" si="135"/>
        <v>0.16719419033915703</v>
      </c>
      <c r="R434">
        <f t="shared" ca="1" si="136"/>
        <v>0.25356910564754848</v>
      </c>
      <c r="S434">
        <f t="shared" ca="1" si="133"/>
        <v>0.65936341066545645</v>
      </c>
      <c r="T434">
        <f t="shared" ca="1" si="134"/>
        <v>39.735925622286146</v>
      </c>
      <c r="U434">
        <f>70</f>
        <v>70</v>
      </c>
      <c r="V434">
        <f>30</f>
        <v>30</v>
      </c>
      <c r="W434">
        <f t="shared" ca="1" si="132"/>
        <v>66.994441143711427</v>
      </c>
      <c r="X434">
        <f t="shared" ca="1" si="142"/>
        <v>67.789011495387669</v>
      </c>
      <c r="Y434">
        <f t="shared" ca="1" si="141"/>
        <v>-0.77914449093645999</v>
      </c>
      <c r="Z434">
        <f t="shared" ca="1" si="143"/>
        <v>-0.73110898454333451</v>
      </c>
      <c r="AA434">
        <f t="shared" ca="1" si="144"/>
        <v>-4.8035506393125482E-2</v>
      </c>
      <c r="AB434">
        <f t="shared" ca="1" si="145"/>
        <v>69.857100000000003</v>
      </c>
    </row>
    <row r="435" spans="1:28" x14ac:dyDescent="0.25">
      <c r="A435" s="20">
        <f t="shared" ca="1" si="125"/>
        <v>45922</v>
      </c>
      <c r="B435" vm="1215">
        <f ca="1"/>
        <v>45924</v>
      </c>
      <c r="C435" vm="1216">
        <f ca="1"/>
        <v>66.45</v>
      </c>
      <c r="D435" vm="1217">
        <f ca="1"/>
        <v>14759294</v>
      </c>
      <c r="E435">
        <f t="shared" ca="1" si="126"/>
        <v>980755086.30000007</v>
      </c>
      <c r="F435">
        <f ca="1">SUM($E$2:E435)/SUM($D$2:D435)</f>
        <v>66.353572770835484</v>
      </c>
      <c r="G435">
        <f ca="1">_xlfn.STDEV.P($C$2:C435)</f>
        <v>4.4205673925668121</v>
      </c>
      <c r="H435">
        <f t="shared" ca="1" si="127"/>
        <v>70.774140163402294</v>
      </c>
      <c r="I435">
        <f t="shared" ca="1" si="128"/>
        <v>61.933005378268675</v>
      </c>
      <c r="J435">
        <f t="shared" ca="1" si="137"/>
        <v>67.496499999999997</v>
      </c>
      <c r="K435">
        <f t="shared" ca="1" si="138"/>
        <v>1.0189792363981349</v>
      </c>
      <c r="L435">
        <f t="shared" ca="1" si="139"/>
        <v>69.534458472796274</v>
      </c>
      <c r="M435">
        <f t="shared" ca="1" si="140"/>
        <v>65.458541527203721</v>
      </c>
      <c r="N435">
        <f t="shared" ca="1" si="129"/>
        <v>-0.25999999999999091</v>
      </c>
      <c r="O435">
        <f t="shared" ca="1" si="130"/>
        <v>0</v>
      </c>
      <c r="P435">
        <f t="shared" ca="1" si="131"/>
        <v>0.25999999999999091</v>
      </c>
      <c r="Q435">
        <f t="shared" ca="1" si="135"/>
        <v>0.15525174817207438</v>
      </c>
      <c r="R435">
        <f t="shared" ca="1" si="136"/>
        <v>0.25402845524415152</v>
      </c>
      <c r="S435">
        <f t="shared" ca="1" si="133"/>
        <v>0.61115888778231164</v>
      </c>
      <c r="T435">
        <f t="shared" ca="1" si="134"/>
        <v>37.932875051419956</v>
      </c>
      <c r="U435">
        <f>70</f>
        <v>70</v>
      </c>
      <c r="V435">
        <f>30</f>
        <v>30</v>
      </c>
      <c r="W435">
        <f t="shared" ca="1" si="132"/>
        <v>66.910680967755823</v>
      </c>
      <c r="X435">
        <f t="shared" ca="1" si="142"/>
        <v>67.689825458692283</v>
      </c>
      <c r="Y435">
        <f t="shared" ca="1" si="141"/>
        <v>-0.79567244060260123</v>
      </c>
      <c r="Z435">
        <f t="shared" ca="1" si="143"/>
        <v>-0.74402167575518785</v>
      </c>
      <c r="AA435">
        <f t="shared" ca="1" si="144"/>
        <v>-5.1650764847413377E-2</v>
      </c>
      <c r="AB435">
        <f t="shared" ca="1" si="145"/>
        <v>69.808700000000002</v>
      </c>
    </row>
    <row r="436" spans="1:28" x14ac:dyDescent="0.25">
      <c r="A436" s="20">
        <f t="shared" ca="1" si="125"/>
        <v>45922</v>
      </c>
      <c r="B436" vm="1218">
        <f ca="1"/>
        <v>45925</v>
      </c>
      <c r="C436" vm="1219">
        <f ca="1"/>
        <v>65.98</v>
      </c>
      <c r="D436" vm="1220">
        <f ca="1"/>
        <v>14395010</v>
      </c>
      <c r="E436">
        <f t="shared" ca="1" si="126"/>
        <v>949782759.80000007</v>
      </c>
      <c r="F436">
        <f ca="1">SUM($E$2:E436)/SUM($D$2:D436)</f>
        <v>66.352761141102121</v>
      </c>
      <c r="G436">
        <f ca="1">_xlfn.STDEV.P($C$2:C436)</f>
        <v>4.4154872963777745</v>
      </c>
      <c r="H436">
        <f t="shared" ca="1" si="127"/>
        <v>70.768248437479897</v>
      </c>
      <c r="I436">
        <f t="shared" ca="1" si="128"/>
        <v>61.937273844724345</v>
      </c>
      <c r="J436">
        <f t="shared" ca="1" si="137"/>
        <v>67.354000000000013</v>
      </c>
      <c r="K436">
        <f t="shared" ca="1" si="138"/>
        <v>1.0219558132377964</v>
      </c>
      <c r="L436">
        <f t="shared" ca="1" si="139"/>
        <v>69.397911626475604</v>
      </c>
      <c r="M436">
        <f t="shared" ca="1" si="140"/>
        <v>65.310088373524422</v>
      </c>
      <c r="N436">
        <f t="shared" ca="1" si="129"/>
        <v>-0.46999999999999886</v>
      </c>
      <c r="O436">
        <f t="shared" ca="1" si="130"/>
        <v>0</v>
      </c>
      <c r="P436">
        <f t="shared" ca="1" si="131"/>
        <v>0.46999999999999886</v>
      </c>
      <c r="Q436">
        <f t="shared" ca="1" si="135"/>
        <v>0.14416233758835478</v>
      </c>
      <c r="R436">
        <f t="shared" ca="1" si="136"/>
        <v>0.26945499415528346</v>
      </c>
      <c r="S436">
        <f t="shared" ca="1" si="133"/>
        <v>0.53501453198256876</v>
      </c>
      <c r="T436">
        <f t="shared" ca="1" si="134"/>
        <v>34.854036938110511</v>
      </c>
      <c r="U436">
        <f>70</f>
        <v>70</v>
      </c>
      <c r="V436">
        <f>30</f>
        <v>30</v>
      </c>
      <c r="W436">
        <f t="shared" ca="1" si="132"/>
        <v>66.767499280408771</v>
      </c>
      <c r="X436">
        <f t="shared" ca="1" si="142"/>
        <v>67.563171721011372</v>
      </c>
      <c r="Y436">
        <f t="shared" ca="1" si="141"/>
        <v>-0.8242835414452685</v>
      </c>
      <c r="Z436">
        <f t="shared" ca="1" si="143"/>
        <v>-0.76007404889320407</v>
      </c>
      <c r="AA436">
        <f t="shared" ca="1" si="144"/>
        <v>-6.4209492552064429E-2</v>
      </c>
      <c r="AB436">
        <f t="shared" ca="1" si="145"/>
        <v>69.751999999999995</v>
      </c>
    </row>
    <row r="437" spans="1:28" x14ac:dyDescent="0.25">
      <c r="A437" s="20">
        <f t="shared" ca="1" si="125"/>
        <v>45922</v>
      </c>
      <c r="B437" vm="1221">
        <f ca="1"/>
        <v>45926</v>
      </c>
      <c r="C437" vm="1222">
        <f ca="1"/>
        <v>65.67</v>
      </c>
      <c r="D437" vm="1223">
        <f ca="1"/>
        <v>17821566</v>
      </c>
      <c r="E437">
        <f t="shared" ca="1" si="126"/>
        <v>1170342239.22</v>
      </c>
      <c r="F437">
        <f ca="1">SUM($E$2:E437)/SUM($D$2:D437)</f>
        <v>66.350929590866528</v>
      </c>
      <c r="G437">
        <f ca="1">_xlfn.STDEV.P($C$2:C437)</f>
        <v>4.4104693674054101</v>
      </c>
      <c r="H437">
        <f t="shared" ca="1" si="127"/>
        <v>70.76139895827194</v>
      </c>
      <c r="I437">
        <f t="shared" ca="1" si="128"/>
        <v>61.940460223461116</v>
      </c>
      <c r="J437">
        <f t="shared" ca="1" si="137"/>
        <v>67.219500000000011</v>
      </c>
      <c r="K437">
        <f t="shared" ca="1" si="138"/>
        <v>1.0589342954618393</v>
      </c>
      <c r="L437">
        <f t="shared" ca="1" si="139"/>
        <v>69.337368590923688</v>
      </c>
      <c r="M437">
        <f t="shared" ca="1" si="140"/>
        <v>65.101631409076333</v>
      </c>
      <c r="N437">
        <f t="shared" ca="1" si="129"/>
        <v>-0.31000000000000227</v>
      </c>
      <c r="O437">
        <f t="shared" ca="1" si="130"/>
        <v>0</v>
      </c>
      <c r="P437">
        <f t="shared" ca="1" si="131"/>
        <v>0.31000000000000227</v>
      </c>
      <c r="Q437">
        <f t="shared" ca="1" si="135"/>
        <v>0.13386502776061515</v>
      </c>
      <c r="R437">
        <f t="shared" ca="1" si="136"/>
        <v>0.2723510660013348</v>
      </c>
      <c r="S437">
        <f t="shared" ca="1" si="133"/>
        <v>0.49151644502819414</v>
      </c>
      <c r="T437">
        <f t="shared" ca="1" si="134"/>
        <v>32.954141851175024</v>
      </c>
      <c r="U437">
        <f>70</f>
        <v>70</v>
      </c>
      <c r="V437">
        <f>30</f>
        <v>30</v>
      </c>
      <c r="W437">
        <f t="shared" ca="1" si="132"/>
        <v>66.598653237268962</v>
      </c>
      <c r="X437">
        <f t="shared" ca="1" si="142"/>
        <v>67.422936778714231</v>
      </c>
      <c r="Y437">
        <f t="shared" ca="1" si="141"/>
        <v>-0.80779043194657163</v>
      </c>
      <c r="Z437">
        <f t="shared" ca="1" si="143"/>
        <v>-0.76961732550387763</v>
      </c>
      <c r="AA437">
        <f t="shared" ca="1" si="144"/>
        <v>-3.8173106442694005E-2</v>
      </c>
      <c r="AB437">
        <f t="shared" ca="1" si="145"/>
        <v>69.691699999999997</v>
      </c>
    </row>
    <row r="438" spans="1:28" x14ac:dyDescent="0.25">
      <c r="A438" s="20">
        <f t="shared" ca="1" si="125"/>
        <v>45929</v>
      </c>
      <c r="B438" vm="1224">
        <f ca="1"/>
        <v>45929</v>
      </c>
      <c r="C438" vm="1225">
        <f ca="1"/>
        <v>66.040000000000006</v>
      </c>
      <c r="D438" vm="1226">
        <f ca="1"/>
        <v>14818531</v>
      </c>
      <c r="E438">
        <f t="shared" ca="1" si="126"/>
        <v>978615787.24000013</v>
      </c>
      <c r="F438">
        <f ca="1">SUM($E$2:E438)/SUM($D$2:D438)</f>
        <v>66.350237594596422</v>
      </c>
      <c r="G438">
        <f ca="1">_xlfn.STDEV.P($C$2:C438)</f>
        <v>4.4054211658131184</v>
      </c>
      <c r="H438">
        <f t="shared" ca="1" si="127"/>
        <v>70.755658760409545</v>
      </c>
      <c r="I438">
        <f t="shared" ca="1" si="128"/>
        <v>61.944816428783305</v>
      </c>
      <c r="J438">
        <f t="shared" ca="1" si="137"/>
        <v>67.072000000000017</v>
      </c>
      <c r="K438">
        <f t="shared" ca="1" si="138"/>
        <v>1.0033344407524338</v>
      </c>
      <c r="L438">
        <f t="shared" ca="1" si="139"/>
        <v>69.078668881504882</v>
      </c>
      <c r="M438">
        <f t="shared" ca="1" si="140"/>
        <v>65.065331118495152</v>
      </c>
      <c r="N438">
        <f t="shared" ca="1" si="129"/>
        <v>0.37000000000000455</v>
      </c>
      <c r="O438">
        <f t="shared" ca="1" si="130"/>
        <v>0.37000000000000455</v>
      </c>
      <c r="P438">
        <f t="shared" ca="1" si="131"/>
        <v>0</v>
      </c>
      <c r="Q438">
        <f t="shared" ca="1" si="135"/>
        <v>0.15073181149200013</v>
      </c>
      <c r="R438">
        <f t="shared" ca="1" si="136"/>
        <v>0.25289741842981089</v>
      </c>
      <c r="S438">
        <f t="shared" ca="1" si="133"/>
        <v>0.59601957357992652</v>
      </c>
      <c r="T438">
        <f t="shared" ca="1" si="134"/>
        <v>37.34412681688071</v>
      </c>
      <c r="U438">
        <f>70</f>
        <v>70</v>
      </c>
      <c r="V438">
        <f>30</f>
        <v>30</v>
      </c>
      <c r="W438">
        <f t="shared" ca="1" si="132"/>
        <v>66.512706585381423</v>
      </c>
      <c r="X438">
        <f t="shared" ca="1" si="142"/>
        <v>67.320497017327995</v>
      </c>
      <c r="Y438">
        <f t="shared" ca="1" si="141"/>
        <v>-0.76332670875588349</v>
      </c>
      <c r="Z438">
        <f t="shared" ca="1" si="143"/>
        <v>-0.76835920215427889</v>
      </c>
      <c r="AA438">
        <f t="shared" ca="1" si="144"/>
        <v>5.032493398395399E-3</v>
      </c>
      <c r="AB438">
        <f t="shared" ca="1" si="145"/>
        <v>69.634900000000002</v>
      </c>
    </row>
    <row r="439" spans="1:28" x14ac:dyDescent="0.25">
      <c r="A439" s="20">
        <f t="shared" ca="1" si="125"/>
        <v>45929</v>
      </c>
      <c r="B439" vm="1227">
        <f ca="1"/>
        <v>45930</v>
      </c>
      <c r="C439" vm="1228">
        <f ca="1"/>
        <v>66.319999999999993</v>
      </c>
      <c r="D439" vm="1229">
        <f ca="1"/>
        <v>13814992</v>
      </c>
      <c r="E439">
        <f t="shared" ca="1" si="126"/>
        <v>916210269.43999994</v>
      </c>
      <c r="F439">
        <f ca="1">SUM($E$2:E439)/SUM($D$2:D439)</f>
        <v>66.350174985957921</v>
      </c>
      <c r="G439">
        <f ca="1">_xlfn.STDEV.P($C$2:C439)</f>
        <v>4.4004016024967045</v>
      </c>
      <c r="H439">
        <f t="shared" ca="1" si="127"/>
        <v>70.750576588454621</v>
      </c>
      <c r="I439">
        <f t="shared" ca="1" si="128"/>
        <v>61.949773383461213</v>
      </c>
      <c r="J439">
        <f t="shared" ca="1" si="137"/>
        <v>66.935000000000016</v>
      </c>
      <c r="K439">
        <f t="shared" ca="1" si="138"/>
        <v>0.89926578238495214</v>
      </c>
      <c r="L439">
        <f t="shared" ca="1" si="139"/>
        <v>68.733531564769919</v>
      </c>
      <c r="M439">
        <f t="shared" ca="1" si="140"/>
        <v>65.136468435230114</v>
      </c>
      <c r="N439">
        <f t="shared" ca="1" si="129"/>
        <v>0.27999999999998693</v>
      </c>
      <c r="O439">
        <f t="shared" ca="1" si="130"/>
        <v>0.27999999999998693</v>
      </c>
      <c r="P439">
        <f t="shared" ca="1" si="131"/>
        <v>0</v>
      </c>
      <c r="Q439">
        <f t="shared" ca="1" si="135"/>
        <v>0.15996525352828492</v>
      </c>
      <c r="R439">
        <f t="shared" ca="1" si="136"/>
        <v>0.23483331711339583</v>
      </c>
      <c r="S439">
        <f t="shared" ca="1" si="133"/>
        <v>0.68118636441626046</v>
      </c>
      <c r="T439">
        <f t="shared" ca="1" si="134"/>
        <v>40.518194700727378</v>
      </c>
      <c r="U439">
        <f>70</f>
        <v>70</v>
      </c>
      <c r="V439">
        <f>30</f>
        <v>30</v>
      </c>
      <c r="W439">
        <f t="shared" ca="1" si="132"/>
        <v>66.483059418399662</v>
      </c>
      <c r="X439">
        <f t="shared" ca="1" si="142"/>
        <v>67.246386127155546</v>
      </c>
      <c r="Y439">
        <f t="shared" ca="1" si="141"/>
        <v>-0.68309642182579466</v>
      </c>
      <c r="Z439">
        <f t="shared" ca="1" si="143"/>
        <v>-0.75130664608858211</v>
      </c>
      <c r="AA439">
        <f t="shared" ca="1" si="144"/>
        <v>6.8210224262787444E-2</v>
      </c>
      <c r="AB439">
        <f t="shared" ca="1" si="145"/>
        <v>69.574099999999987</v>
      </c>
    </row>
    <row r="440" spans="1:28" x14ac:dyDescent="0.25">
      <c r="A440" s="20">
        <f t="shared" ca="1" si="125"/>
        <v>45929</v>
      </c>
      <c r="B440" vm="1230">
        <f ca="1"/>
        <v>45931</v>
      </c>
      <c r="C440" vm="1231">
        <f ca="1"/>
        <v>66.78</v>
      </c>
      <c r="D440" vm="1232">
        <f ca="1"/>
        <v>14877538</v>
      </c>
      <c r="E440">
        <f t="shared" ca="1" si="126"/>
        <v>993521987.63999999</v>
      </c>
      <c r="F440">
        <f ca="1">SUM($E$2:E440)/SUM($D$2:D440)</f>
        <v>66.351131280816517</v>
      </c>
      <c r="G440">
        <f ca="1">_xlfn.STDEV.P($C$2:C440)</f>
        <v>4.3955056573812135</v>
      </c>
      <c r="H440">
        <f t="shared" ca="1" si="127"/>
        <v>70.746636938197724</v>
      </c>
      <c r="I440">
        <f t="shared" ca="1" si="128"/>
        <v>61.955625623435303</v>
      </c>
      <c r="J440">
        <f t="shared" ca="1" si="137"/>
        <v>66.8245</v>
      </c>
      <c r="K440">
        <f t="shared" ca="1" si="138"/>
        <v>0.75817283823121673</v>
      </c>
      <c r="L440">
        <f t="shared" ca="1" si="139"/>
        <v>68.340845676462436</v>
      </c>
      <c r="M440">
        <f t="shared" ca="1" si="140"/>
        <v>65.308154323537565</v>
      </c>
      <c r="N440">
        <f t="shared" ca="1" si="129"/>
        <v>0.46000000000000796</v>
      </c>
      <c r="O440">
        <f t="shared" ca="1" si="130"/>
        <v>0.46000000000000796</v>
      </c>
      <c r="P440">
        <f t="shared" ca="1" si="131"/>
        <v>0</v>
      </c>
      <c r="Q440">
        <f t="shared" ca="1" si="135"/>
        <v>0.18139630684769373</v>
      </c>
      <c r="R440">
        <f t="shared" ca="1" si="136"/>
        <v>0.2180595087481533</v>
      </c>
      <c r="S440">
        <f t="shared" ca="1" si="133"/>
        <v>0.83186607128055323</v>
      </c>
      <c r="T440">
        <f t="shared" ca="1" si="134"/>
        <v>45.410856411519376</v>
      </c>
      <c r="U440">
        <f>70</f>
        <v>70</v>
      </c>
      <c r="V440">
        <f>30</f>
        <v>30</v>
      </c>
      <c r="W440">
        <f t="shared" ca="1" si="132"/>
        <v>66.528742584799716</v>
      </c>
      <c r="X440">
        <f t="shared" ca="1" si="142"/>
        <v>67.21183900662551</v>
      </c>
      <c r="Y440">
        <f t="shared" ca="1" si="141"/>
        <v>-0.66669837455206959</v>
      </c>
      <c r="Z440">
        <f t="shared" ca="1" si="143"/>
        <v>-0.73438499178127969</v>
      </c>
      <c r="AA440">
        <f t="shared" ca="1" si="144"/>
        <v>6.76866172292101E-2</v>
      </c>
      <c r="AB440">
        <f t="shared" ca="1" si="145"/>
        <v>69.530199999999979</v>
      </c>
    </row>
    <row r="441" spans="1:28" x14ac:dyDescent="0.25">
      <c r="A441" s="20">
        <f t="shared" ca="1" si="125"/>
        <v>45929</v>
      </c>
      <c r="B441" vm="1233">
        <f ca="1"/>
        <v>45932</v>
      </c>
      <c r="C441" vm="1234">
        <f ca="1"/>
        <v>66.099999999999994</v>
      </c>
      <c r="D441" vm="1235">
        <f ca="1"/>
        <v>14350722</v>
      </c>
      <c r="E441">
        <f t="shared" ca="1" si="126"/>
        <v>948582724.19999993</v>
      </c>
      <c r="F441">
        <f ca="1">SUM($E$2:E441)/SUM($D$2:D441)</f>
        <v>66.350593490962837</v>
      </c>
      <c r="G441">
        <f ca="1">_xlfn.STDEV.P($C$2:C441)</f>
        <v>4.3905079270442027</v>
      </c>
      <c r="H441">
        <f t="shared" ca="1" si="127"/>
        <v>70.741101418007034</v>
      </c>
      <c r="I441">
        <f t="shared" ca="1" si="128"/>
        <v>61.960085563918632</v>
      </c>
      <c r="J441">
        <f t="shared" ca="1" si="137"/>
        <v>66.716999999999999</v>
      </c>
      <c r="K441">
        <f t="shared" ca="1" si="138"/>
        <v>0.69522506768444581</v>
      </c>
      <c r="L441">
        <f t="shared" ca="1" si="139"/>
        <v>68.107450135368893</v>
      </c>
      <c r="M441">
        <f t="shared" ca="1" si="140"/>
        <v>65.326549864631104</v>
      </c>
      <c r="N441">
        <f t="shared" ca="1" si="129"/>
        <v>-0.68000000000000682</v>
      </c>
      <c r="O441">
        <f t="shared" ca="1" si="130"/>
        <v>0</v>
      </c>
      <c r="P441">
        <f t="shared" ca="1" si="131"/>
        <v>0.68000000000000682</v>
      </c>
      <c r="Q441">
        <f t="shared" ca="1" si="135"/>
        <v>0.16843942778714419</v>
      </c>
      <c r="R441">
        <f t="shared" ca="1" si="136"/>
        <v>0.25105525812328572</v>
      </c>
      <c r="S441">
        <f t="shared" ca="1" si="133"/>
        <v>0.67092571191808548</v>
      </c>
      <c r="T441">
        <f t="shared" ca="1" si="134"/>
        <v>40.15293481527182</v>
      </c>
      <c r="U441">
        <f>70</f>
        <v>70</v>
      </c>
      <c r="V441">
        <f>30</f>
        <v>30</v>
      </c>
      <c r="W441">
        <f t="shared" ca="1" si="132"/>
        <v>66.462782187138217</v>
      </c>
      <c r="X441">
        <f t="shared" ca="1" si="142"/>
        <v>67.129480561690286</v>
      </c>
      <c r="Y441">
        <f t="shared" ca="1" si="141"/>
        <v>-0.6023785554680785</v>
      </c>
      <c r="Z441">
        <f t="shared" ca="1" si="143"/>
        <v>-0.70798370451863946</v>
      </c>
      <c r="AA441">
        <f t="shared" ca="1" si="144"/>
        <v>0.10560514905056095</v>
      </c>
      <c r="AB441">
        <f t="shared" ca="1" si="145"/>
        <v>69.48599999999999</v>
      </c>
    </row>
    <row r="442" spans="1:28" x14ac:dyDescent="0.25">
      <c r="A442" s="20">
        <f t="shared" ca="1" si="125"/>
        <v>45929</v>
      </c>
      <c r="B442" vm="1236">
        <f ca="1"/>
        <v>45933</v>
      </c>
      <c r="C442" vm="1237">
        <f ca="1"/>
        <v>66.650000000000006</v>
      </c>
      <c r="D442" vm="1238">
        <f ca="1"/>
        <v>12249240</v>
      </c>
      <c r="E442">
        <f t="shared" ca="1" si="126"/>
        <v>816411846.00000012</v>
      </c>
      <c r="F442">
        <f ca="1">SUM($E$2:E442)/SUM($D$2:D442)</f>
        <v>66.351139770974498</v>
      </c>
      <c r="G442">
        <f ca="1">_xlfn.STDEV.P($C$2:C442)</f>
        <v>4.38560416203795</v>
      </c>
      <c r="H442">
        <f t="shared" ca="1" si="127"/>
        <v>70.736743933012448</v>
      </c>
      <c r="I442">
        <f t="shared" ca="1" si="128"/>
        <v>61.965535608936548</v>
      </c>
      <c r="J442">
        <f t="shared" ca="1" si="137"/>
        <v>66.651500000000013</v>
      </c>
      <c r="K442">
        <f t="shared" ca="1" si="138"/>
        <v>0.63066610567090597</v>
      </c>
      <c r="L442">
        <f t="shared" ca="1" si="139"/>
        <v>67.912832211341822</v>
      </c>
      <c r="M442">
        <f t="shared" ca="1" si="140"/>
        <v>65.390167788658204</v>
      </c>
      <c r="N442">
        <f t="shared" ca="1" si="129"/>
        <v>0.55000000000001137</v>
      </c>
      <c r="O442">
        <f t="shared" ca="1" si="130"/>
        <v>0.55000000000001137</v>
      </c>
      <c r="P442">
        <f t="shared" ca="1" si="131"/>
        <v>0</v>
      </c>
      <c r="Q442">
        <f t="shared" ca="1" si="135"/>
        <v>0.19569375437377756</v>
      </c>
      <c r="R442">
        <f t="shared" ca="1" si="136"/>
        <v>0.23312273968590816</v>
      </c>
      <c r="S442">
        <f t="shared" ca="1" si="133"/>
        <v>0.83944515510344653</v>
      </c>
      <c r="T442">
        <f t="shared" ca="1" si="134"/>
        <v>45.635780592557971</v>
      </c>
      <c r="U442">
        <f>70</f>
        <v>70</v>
      </c>
      <c r="V442">
        <f>30</f>
        <v>30</v>
      </c>
      <c r="W442">
        <f t="shared" ca="1" si="132"/>
        <v>66.491584927578486</v>
      </c>
      <c r="X442">
        <f t="shared" ca="1" si="142"/>
        <v>67.093963483046565</v>
      </c>
      <c r="Y442">
        <f t="shared" ca="1" si="141"/>
        <v>-0.58899546581002937</v>
      </c>
      <c r="Z442">
        <f t="shared" ca="1" si="143"/>
        <v>-0.68418605677691746</v>
      </c>
      <c r="AA442">
        <f t="shared" ca="1" si="144"/>
        <v>9.5190590966888089E-2</v>
      </c>
      <c r="AB442">
        <f t="shared" ca="1" si="145"/>
        <v>69.457199999999986</v>
      </c>
    </row>
    <row r="443" spans="1:28" x14ac:dyDescent="0.25">
      <c r="A443" s="20">
        <f t="shared" ca="1" si="125"/>
        <v>45936</v>
      </c>
      <c r="B443" vm="1239">
        <f ca="1"/>
        <v>45936</v>
      </c>
      <c r="C443" vm="1234">
        <f ca="1"/>
        <v>66.099999999999994</v>
      </c>
      <c r="D443" vm="1240">
        <f ca="1"/>
        <v>14333320</v>
      </c>
      <c r="E443">
        <f t="shared" ca="1" si="126"/>
        <v>947432451.99999988</v>
      </c>
      <c r="F443">
        <f ca="1">SUM($E$2:E443)/SUM($D$2:D443)</f>
        <v>66.350604737441543</v>
      </c>
      <c r="G443">
        <f ca="1">_xlfn.STDEV.P($C$2:C443)</f>
        <v>4.3806402686018302</v>
      </c>
      <c r="H443">
        <f t="shared" ca="1" si="127"/>
        <v>70.731245006043366</v>
      </c>
      <c r="I443">
        <f t="shared" ca="1" si="128"/>
        <v>61.969964468839713</v>
      </c>
      <c r="J443">
        <f t="shared" ca="1" si="137"/>
        <v>66.585000000000008</v>
      </c>
      <c r="K443">
        <f t="shared" ca="1" si="138"/>
        <v>0.61416181649635782</v>
      </c>
      <c r="L443">
        <f t="shared" ca="1" si="139"/>
        <v>67.81332363299272</v>
      </c>
      <c r="M443">
        <f t="shared" ca="1" si="140"/>
        <v>65.356676367007296</v>
      </c>
      <c r="N443">
        <f t="shared" ca="1" si="129"/>
        <v>-0.55000000000001137</v>
      </c>
      <c r="O443">
        <f t="shared" ca="1" si="130"/>
        <v>0</v>
      </c>
      <c r="P443">
        <f t="shared" ca="1" si="131"/>
        <v>0.55000000000001137</v>
      </c>
      <c r="Q443">
        <f t="shared" ca="1" si="135"/>
        <v>0.18171562906136488</v>
      </c>
      <c r="R443">
        <f t="shared" ca="1" si="136"/>
        <v>0.25575682970834407</v>
      </c>
      <c r="S443">
        <f t="shared" ca="1" si="133"/>
        <v>0.71050157006007175</v>
      </c>
      <c r="T443">
        <f t="shared" ca="1" si="134"/>
        <v>41.537615778693464</v>
      </c>
      <c r="U443">
        <f>70</f>
        <v>70</v>
      </c>
      <c r="V443">
        <f>30</f>
        <v>30</v>
      </c>
      <c r="W443">
        <f t="shared" ca="1" si="132"/>
        <v>66.431341092566413</v>
      </c>
      <c r="X443">
        <f t="shared" ca="1" si="142"/>
        <v>67.020336558376442</v>
      </c>
      <c r="Y443">
        <f t="shared" ca="1" si="141"/>
        <v>-0.51675520507156136</v>
      </c>
      <c r="Z443">
        <f t="shared" ca="1" si="143"/>
        <v>-0.6506998864358462</v>
      </c>
      <c r="AA443">
        <f t="shared" ca="1" si="144"/>
        <v>0.13394468136428483</v>
      </c>
      <c r="AB443">
        <f t="shared" ca="1" si="145"/>
        <v>69.428599999999989</v>
      </c>
    </row>
    <row r="444" spans="1:28" x14ac:dyDescent="0.25">
      <c r="A444" s="20">
        <f t="shared" ca="1" si="125"/>
        <v>45936</v>
      </c>
      <c r="B444" vm="1241">
        <f ca="1"/>
        <v>45937</v>
      </c>
      <c r="C444" vm="1242">
        <f ca="1"/>
        <v>66.790000000000006</v>
      </c>
      <c r="D444" vm="1243">
        <f ca="1"/>
        <v>13328270</v>
      </c>
      <c r="E444">
        <f t="shared" ca="1" si="126"/>
        <v>890195153.30000007</v>
      </c>
      <c r="F444">
        <f ca="1">SUM($E$2:E444)/SUM($D$2:D444)</f>
        <v>66.351473474526586</v>
      </c>
      <c r="G444">
        <f ca="1">_xlfn.STDEV.P($C$2:C444)</f>
        <v>4.3758139431956895</v>
      </c>
      <c r="H444">
        <f t="shared" ca="1" si="127"/>
        <v>70.72728741772228</v>
      </c>
      <c r="I444">
        <f t="shared" ca="1" si="128"/>
        <v>61.975659531330898</v>
      </c>
      <c r="J444">
        <f t="shared" ca="1" si="137"/>
        <v>66.531499999999994</v>
      </c>
      <c r="K444">
        <f t="shared" ca="1" si="138"/>
        <v>0.53929071351564306</v>
      </c>
      <c r="L444">
        <f t="shared" ca="1" si="139"/>
        <v>67.610081427031275</v>
      </c>
      <c r="M444">
        <f t="shared" ca="1" si="140"/>
        <v>65.452918572968713</v>
      </c>
      <c r="N444">
        <f t="shared" ca="1" si="129"/>
        <v>0.69000000000001194</v>
      </c>
      <c r="O444">
        <f t="shared" ca="1" si="130"/>
        <v>0.69000000000001194</v>
      </c>
      <c r="P444">
        <f t="shared" ca="1" si="131"/>
        <v>0</v>
      </c>
      <c r="Q444">
        <f t="shared" ca="1" si="135"/>
        <v>0.21802165555698252</v>
      </c>
      <c r="R444">
        <f t="shared" ca="1" si="136"/>
        <v>0.23748848472917664</v>
      </c>
      <c r="S444">
        <f t="shared" ca="1" si="133"/>
        <v>0.91803042916209854</v>
      </c>
      <c r="T444">
        <f t="shared" ca="1" si="134"/>
        <v>47.863183774573635</v>
      </c>
      <c r="U444">
        <f>70</f>
        <v>70</v>
      </c>
      <c r="V444">
        <f>30</f>
        <v>30</v>
      </c>
      <c r="W444">
        <f t="shared" ca="1" si="132"/>
        <v>66.486519386017733</v>
      </c>
      <c r="X444">
        <f t="shared" ca="1" si="142"/>
        <v>67.003274591089294</v>
      </c>
      <c r="Y444">
        <f t="shared" ca="1" si="141"/>
        <v>-0.50771505543235662</v>
      </c>
      <c r="Z444">
        <f t="shared" ca="1" si="143"/>
        <v>-0.62210292023514835</v>
      </c>
      <c r="AA444">
        <f t="shared" ca="1" si="144"/>
        <v>0.11438786480279173</v>
      </c>
      <c r="AB444">
        <f t="shared" ca="1" si="145"/>
        <v>69.404899999999984</v>
      </c>
    </row>
    <row r="445" spans="1:28" x14ac:dyDescent="0.25">
      <c r="A445" s="20">
        <f t="shared" ca="1" si="125"/>
        <v>45936</v>
      </c>
      <c r="B445" vm="1244">
        <f ca="1"/>
        <v>45938</v>
      </c>
      <c r="C445" vm="1245">
        <f ca="1"/>
        <v>66.12</v>
      </c>
      <c r="D445" vm="1246">
        <f ca="1"/>
        <v>12606677</v>
      </c>
      <c r="E445">
        <f t="shared" ca="1" si="126"/>
        <v>833553483.24000001</v>
      </c>
      <c r="F445">
        <f ca="1">SUM($E$2:E445)/SUM($D$2:D445)</f>
        <v>66.351041408957386</v>
      </c>
      <c r="G445">
        <f ca="1">_xlfn.STDEV.P($C$2:C445)</f>
        <v>4.370883493574989</v>
      </c>
      <c r="H445">
        <f t="shared" ca="1" si="127"/>
        <v>70.721924902532379</v>
      </c>
      <c r="I445">
        <f t="shared" ca="1" si="128"/>
        <v>61.980157915382399</v>
      </c>
      <c r="J445">
        <f t="shared" ca="1" si="137"/>
        <v>66.446499999999986</v>
      </c>
      <c r="K445">
        <f t="shared" ca="1" si="138"/>
        <v>0.45250501596522208</v>
      </c>
      <c r="L445">
        <f t="shared" ca="1" si="139"/>
        <v>67.351510031930431</v>
      </c>
      <c r="M445">
        <f t="shared" ca="1" si="140"/>
        <v>65.541489968069541</v>
      </c>
      <c r="N445">
        <f t="shared" ca="1" si="129"/>
        <v>-0.67000000000000171</v>
      </c>
      <c r="O445">
        <f t="shared" ca="1" si="130"/>
        <v>0</v>
      </c>
      <c r="P445">
        <f t="shared" ca="1" si="131"/>
        <v>0.67000000000000171</v>
      </c>
      <c r="Q445">
        <f t="shared" ca="1" si="135"/>
        <v>0.20244868016005518</v>
      </c>
      <c r="R445">
        <f t="shared" ca="1" si="136"/>
        <v>0.26838216439137846</v>
      </c>
      <c r="S445">
        <f t="shared" ca="1" si="133"/>
        <v>0.75432985876373937</v>
      </c>
      <c r="T445">
        <f t="shared" ca="1" si="134"/>
        <v>42.998177052935127</v>
      </c>
      <c r="U445">
        <f>70</f>
        <v>70</v>
      </c>
      <c r="V445">
        <f>30</f>
        <v>30</v>
      </c>
      <c r="W445">
        <f t="shared" ca="1" si="132"/>
        <v>66.43013178816885</v>
      </c>
      <c r="X445">
        <f t="shared" ca="1" si="142"/>
        <v>66.937846843601207</v>
      </c>
      <c r="Y445">
        <f t="shared" ca="1" si="141"/>
        <v>-0.47490337061037735</v>
      </c>
      <c r="Z445">
        <f t="shared" ca="1" si="143"/>
        <v>-0.59266301031019419</v>
      </c>
      <c r="AA445">
        <f t="shared" ca="1" si="144"/>
        <v>0.11775963969981684</v>
      </c>
      <c r="AB445">
        <f t="shared" ca="1" si="145"/>
        <v>69.349999999999994</v>
      </c>
    </row>
    <row r="446" spans="1:28" x14ac:dyDescent="0.25">
      <c r="A446" s="20">
        <f t="shared" ca="1" si="125"/>
        <v>45936</v>
      </c>
      <c r="B446" vm="1247">
        <f ca="1"/>
        <v>45939</v>
      </c>
      <c r="C446" vm="1248">
        <f ca="1"/>
        <v>66.37</v>
      </c>
      <c r="D446" vm="1249">
        <f ca="1"/>
        <v>12705190</v>
      </c>
      <c r="E446">
        <f t="shared" ca="1" si="126"/>
        <v>843243460.30000007</v>
      </c>
      <c r="F446">
        <f ca="1">SUM($E$2:E446)/SUM($D$2:D446)</f>
        <v>66.351077006400885</v>
      </c>
      <c r="G446">
        <f ca="1">_xlfn.STDEV.P($C$2:C446)</f>
        <v>4.3659874444222728</v>
      </c>
      <c r="H446">
        <f t="shared" ca="1" si="127"/>
        <v>70.717064450823159</v>
      </c>
      <c r="I446">
        <f t="shared" ca="1" si="128"/>
        <v>61.985089561978612</v>
      </c>
      <c r="J446">
        <f t="shared" ca="1" si="137"/>
        <v>66.383999999999986</v>
      </c>
      <c r="K446">
        <f t="shared" ca="1" si="138"/>
        <v>0.35843813236992955</v>
      </c>
      <c r="L446">
        <f t="shared" ca="1" si="139"/>
        <v>67.100876264739838</v>
      </c>
      <c r="M446">
        <f t="shared" ca="1" si="140"/>
        <v>65.667123735260134</v>
      </c>
      <c r="N446">
        <f t="shared" ca="1" si="129"/>
        <v>0.25</v>
      </c>
      <c r="O446">
        <f t="shared" ca="1" si="130"/>
        <v>0.25</v>
      </c>
      <c r="P446">
        <f t="shared" ca="1" si="131"/>
        <v>0</v>
      </c>
      <c r="Q446">
        <f t="shared" ca="1" si="135"/>
        <v>0.20584520300576553</v>
      </c>
      <c r="R446">
        <f t="shared" ca="1" si="136"/>
        <v>0.24921200979199429</v>
      </c>
      <c r="S446">
        <f t="shared" ca="1" si="133"/>
        <v>0.82598428212819675</v>
      </c>
      <c r="T446">
        <f t="shared" ca="1" si="134"/>
        <v>45.235015997262948</v>
      </c>
      <c r="U446">
        <f>70</f>
        <v>70</v>
      </c>
      <c r="V446">
        <f>30</f>
        <v>30</v>
      </c>
      <c r="W446">
        <f t="shared" ca="1" si="132"/>
        <v>66.420880743835184</v>
      </c>
      <c r="X446">
        <f t="shared" ca="1" si="142"/>
        <v>66.895784114445561</v>
      </c>
      <c r="Y446">
        <f t="shared" ca="1" si="141"/>
        <v>-0.39033691246655167</v>
      </c>
      <c r="Z446">
        <f t="shared" ca="1" si="143"/>
        <v>-0.55219779074146569</v>
      </c>
      <c r="AA446">
        <f t="shared" ca="1" si="144"/>
        <v>0.16186087827491402</v>
      </c>
      <c r="AB446">
        <f t="shared" ca="1" si="145"/>
        <v>69.293699999999987</v>
      </c>
    </row>
    <row r="447" spans="1:28" x14ac:dyDescent="0.25">
      <c r="A447" s="20">
        <f t="shared" ca="1" si="125"/>
        <v>45936</v>
      </c>
      <c r="B447" vm="1250">
        <f ca="1"/>
        <v>45940</v>
      </c>
      <c r="C447" vm="1202">
        <f ca="1"/>
        <v>67.040000000000006</v>
      </c>
      <c r="D447" vm="1251">
        <f ca="1"/>
        <v>17991744</v>
      </c>
      <c r="E447">
        <f t="shared" ca="1" si="126"/>
        <v>1206166517.7600002</v>
      </c>
      <c r="F447">
        <f ca="1">SUM($E$2:E447)/SUM($D$2:D447)</f>
        <v>66.352903938091274</v>
      </c>
      <c r="G447">
        <f ca="1">_xlfn.STDEV.P($C$2:C447)</f>
        <v>4.3613132756553012</v>
      </c>
      <c r="H447">
        <f t="shared" ca="1" si="127"/>
        <v>70.714217213746579</v>
      </c>
      <c r="I447">
        <f t="shared" ca="1" si="128"/>
        <v>61.991590662435975</v>
      </c>
      <c r="J447">
        <f t="shared" ca="1" si="137"/>
        <v>66.385499999999979</v>
      </c>
      <c r="K447">
        <f t="shared" ca="1" si="138"/>
        <v>0.36124747312902605</v>
      </c>
      <c r="L447">
        <f t="shared" ca="1" si="139"/>
        <v>67.107994946258032</v>
      </c>
      <c r="M447">
        <f t="shared" ca="1" si="140"/>
        <v>65.663005053741927</v>
      </c>
      <c r="N447">
        <f t="shared" ca="1" si="129"/>
        <v>0.67000000000000171</v>
      </c>
      <c r="O447">
        <f t="shared" ca="1" si="130"/>
        <v>0.67000000000000171</v>
      </c>
      <c r="P447">
        <f t="shared" ca="1" si="131"/>
        <v>0</v>
      </c>
      <c r="Q447">
        <f t="shared" ca="1" si="135"/>
        <v>0.2389991170767824</v>
      </c>
      <c r="R447">
        <f t="shared" ca="1" si="136"/>
        <v>0.23141115194970899</v>
      </c>
      <c r="S447">
        <f t="shared" ca="1" si="133"/>
        <v>1.0327899717154618</v>
      </c>
      <c r="T447">
        <f t="shared" ca="1" si="134"/>
        <v>50.806526305513763</v>
      </c>
      <c r="U447">
        <f>70</f>
        <v>70</v>
      </c>
      <c r="V447">
        <f>30</f>
        <v>30</v>
      </c>
      <c r="W447">
        <f t="shared" ca="1" si="132"/>
        <v>66.516129860168235</v>
      </c>
      <c r="X447">
        <f t="shared" ca="1" si="142"/>
        <v>66.906466772634786</v>
      </c>
      <c r="Y447">
        <f t="shared" ca="1" si="141"/>
        <v>-0.33877815565907099</v>
      </c>
      <c r="Z447">
        <f t="shared" ca="1" si="143"/>
        <v>-0.50951386372498675</v>
      </c>
      <c r="AA447">
        <f t="shared" ca="1" si="144"/>
        <v>0.17073570806591576</v>
      </c>
      <c r="AB447">
        <f t="shared" ca="1" si="145"/>
        <v>69.244799999999984</v>
      </c>
    </row>
    <row r="448" spans="1:28" x14ac:dyDescent="0.25">
      <c r="A448" s="20">
        <f t="shared" ca="1" si="125"/>
        <v>45943</v>
      </c>
      <c r="B448" vm="1252">
        <f ca="1"/>
        <v>45943</v>
      </c>
      <c r="C448" vm="1253">
        <f ca="1"/>
        <v>66.8</v>
      </c>
      <c r="D448" vm="1254">
        <f ca="1"/>
        <v>13690029</v>
      </c>
      <c r="E448">
        <f t="shared" ca="1" si="126"/>
        <v>914493937.19999993</v>
      </c>
      <c r="F448">
        <f ca="1">SUM($E$2:E448)/SUM($D$2:D448)</f>
        <v>66.353804281382949</v>
      </c>
      <c r="G448">
        <f ca="1">_xlfn.STDEV.P($C$2:C448)</f>
        <v>4.3565543488327521</v>
      </c>
      <c r="H448">
        <f t="shared" ca="1" si="127"/>
        <v>70.710358630215694</v>
      </c>
      <c r="I448">
        <f t="shared" ca="1" si="128"/>
        <v>61.997249932550197</v>
      </c>
      <c r="J448">
        <f t="shared" ca="1" si="137"/>
        <v>66.414999999999992</v>
      </c>
      <c r="K448">
        <f t="shared" ca="1" si="138"/>
        <v>0.37014222017745513</v>
      </c>
      <c r="L448">
        <f t="shared" ca="1" si="139"/>
        <v>67.155284440354905</v>
      </c>
      <c r="M448">
        <f t="shared" ca="1" si="140"/>
        <v>65.67471555964508</v>
      </c>
      <c r="N448">
        <f t="shared" ca="1" si="129"/>
        <v>-0.24000000000000909</v>
      </c>
      <c r="O448">
        <f t="shared" ca="1" si="130"/>
        <v>0</v>
      </c>
      <c r="P448">
        <f t="shared" ca="1" si="131"/>
        <v>0.24000000000000909</v>
      </c>
      <c r="Q448">
        <f t="shared" ca="1" si="135"/>
        <v>0.22192775157129793</v>
      </c>
      <c r="R448">
        <f t="shared" ca="1" si="136"/>
        <v>0.232024641096159</v>
      </c>
      <c r="S448">
        <f t="shared" ca="1" si="133"/>
        <v>0.95648354641489752</v>
      </c>
      <c r="T448">
        <f t="shared" ca="1" si="134"/>
        <v>48.887891143658145</v>
      </c>
      <c r="U448">
        <f>70</f>
        <v>70</v>
      </c>
      <c r="V448">
        <f>30</f>
        <v>30</v>
      </c>
      <c r="W448">
        <f t="shared" ca="1" si="132"/>
        <v>66.55980218937313</v>
      </c>
      <c r="X448">
        <f t="shared" ca="1" si="142"/>
        <v>66.898580345032201</v>
      </c>
      <c r="Y448">
        <f t="shared" ca="1" si="141"/>
        <v>-0.23788422191351799</v>
      </c>
      <c r="Z448">
        <f t="shared" ca="1" si="143"/>
        <v>-0.45518793536269303</v>
      </c>
      <c r="AA448">
        <f t="shared" ca="1" si="144"/>
        <v>0.21730371344917504</v>
      </c>
      <c r="AB448">
        <f t="shared" ca="1" si="145"/>
        <v>69.195899999999995</v>
      </c>
    </row>
    <row r="449" spans="1:28" x14ac:dyDescent="0.25">
      <c r="A449" s="20">
        <f t="shared" ca="1" si="125"/>
        <v>45943</v>
      </c>
      <c r="B449" vm="1255">
        <f ca="1"/>
        <v>45944</v>
      </c>
      <c r="C449" vm="1256">
        <f ca="1"/>
        <v>67.510000000000005</v>
      </c>
      <c r="D449" vm="1257">
        <f ca="1"/>
        <v>14245564</v>
      </c>
      <c r="E449">
        <f t="shared" ca="1" si="126"/>
        <v>961718025.6400001</v>
      </c>
      <c r="F449">
        <f ca="1">SUM($E$2:E449)/SUM($D$2:D449)</f>
        <v>66.356221994819919</v>
      </c>
      <c r="G449">
        <f ca="1">_xlfn.STDEV.P($C$2:C449)</f>
        <v>4.3521903572353375</v>
      </c>
      <c r="H449">
        <f t="shared" ca="1" si="127"/>
        <v>70.708412352055262</v>
      </c>
      <c r="I449">
        <f t="shared" ca="1" si="128"/>
        <v>62.004031637584582</v>
      </c>
      <c r="J449">
        <f t="shared" ca="1" si="137"/>
        <v>66.478499999999983</v>
      </c>
      <c r="K449">
        <f t="shared" ca="1" si="138"/>
        <v>0.44074428676477551</v>
      </c>
      <c r="L449">
        <f t="shared" ca="1" si="139"/>
        <v>67.359988573529535</v>
      </c>
      <c r="M449">
        <f t="shared" ca="1" si="140"/>
        <v>65.597011426470431</v>
      </c>
      <c r="N449">
        <f t="shared" ca="1" si="129"/>
        <v>0.71000000000000796</v>
      </c>
      <c r="O449">
        <f t="shared" ca="1" si="130"/>
        <v>0.71000000000000796</v>
      </c>
      <c r="P449">
        <f t="shared" ca="1" si="131"/>
        <v>0</v>
      </c>
      <c r="Q449">
        <f t="shared" ca="1" si="135"/>
        <v>0.25679005503049152</v>
      </c>
      <c r="R449">
        <f t="shared" ca="1" si="136"/>
        <v>0.21545145244643335</v>
      </c>
      <c r="S449">
        <f t="shared" ca="1" si="133"/>
        <v>1.191869686254893</v>
      </c>
      <c r="T449">
        <f t="shared" ca="1" si="134"/>
        <v>54.37684976114452</v>
      </c>
      <c r="U449">
        <f>70</f>
        <v>70</v>
      </c>
      <c r="V449">
        <f>30</f>
        <v>30</v>
      </c>
      <c r="W449">
        <f t="shared" ca="1" si="132"/>
        <v>66.705986467931112</v>
      </c>
      <c r="X449">
        <f t="shared" ca="1" si="142"/>
        <v>66.94387068984463</v>
      </c>
      <c r="Y449">
        <f t="shared" ca="1" si="141"/>
        <v>-0.1904273311224074</v>
      </c>
      <c r="Z449">
        <f t="shared" ca="1" si="143"/>
        <v>-0.40223581451463597</v>
      </c>
      <c r="AA449">
        <f t="shared" ca="1" si="144"/>
        <v>0.21180848339222857</v>
      </c>
      <c r="AB449">
        <f t="shared" ca="1" si="145"/>
        <v>69.152499999999989</v>
      </c>
    </row>
    <row r="450" spans="1:28" x14ac:dyDescent="0.25">
      <c r="A450" s="20">
        <f t="shared" ca="1" si="125"/>
        <v>45943</v>
      </c>
      <c r="B450" vm="1258">
        <f ca="1"/>
        <v>45945</v>
      </c>
      <c r="C450" vm="1259">
        <f ca="1"/>
        <v>67.08</v>
      </c>
      <c r="D450" vm="1260">
        <f ca="1"/>
        <v>11193715</v>
      </c>
      <c r="E450">
        <f t="shared" ca="1" si="126"/>
        <v>750874402.19999993</v>
      </c>
      <c r="F450">
        <f ca="1">SUM($E$2:E450)/SUM($D$2:D450)</f>
        <v>66.357409294731113</v>
      </c>
      <c r="G450">
        <f ca="1">_xlfn.STDEV.P($C$2:C450)</f>
        <v>4.3475796459105638</v>
      </c>
      <c r="H450">
        <f t="shared" ca="1" si="127"/>
        <v>70.70498894064167</v>
      </c>
      <c r="I450">
        <f t="shared" ca="1" si="128"/>
        <v>62.009829648820549</v>
      </c>
      <c r="J450">
        <f t="shared" ca="1" si="137"/>
        <v>66.480499999999978</v>
      </c>
      <c r="K450">
        <f t="shared" ca="1" si="138"/>
        <v>0.44350844055339694</v>
      </c>
      <c r="L450">
        <f t="shared" ca="1" si="139"/>
        <v>67.367516881106766</v>
      </c>
      <c r="M450">
        <f t="shared" ca="1" si="140"/>
        <v>65.593483118893189</v>
      </c>
      <c r="N450">
        <f t="shared" ca="1" si="129"/>
        <v>-0.43000000000000682</v>
      </c>
      <c r="O450">
        <f t="shared" ca="1" si="130"/>
        <v>0</v>
      </c>
      <c r="P450">
        <f t="shared" ca="1" si="131"/>
        <v>0.43000000000000682</v>
      </c>
      <c r="Q450">
        <f t="shared" ca="1" si="135"/>
        <v>0.23844790824259926</v>
      </c>
      <c r="R450">
        <f t="shared" ca="1" si="136"/>
        <v>0.23077634870026004</v>
      </c>
      <c r="S450">
        <f t="shared" ca="1" si="133"/>
        <v>1.0332423993426783</v>
      </c>
      <c r="T450">
        <f t="shared" ca="1" si="134"/>
        <v>50.817472608121527</v>
      </c>
      <c r="U450">
        <f>70</f>
        <v>70</v>
      </c>
      <c r="V450">
        <f>30</f>
        <v>30</v>
      </c>
      <c r="W450">
        <f t="shared" ca="1" si="132"/>
        <v>66.763527011326318</v>
      </c>
      <c r="X450">
        <f t="shared" ca="1" si="142"/>
        <v>66.953954342448725</v>
      </c>
      <c r="Y450">
        <f t="shared" ca="1" si="141"/>
        <v>-0.11039213370916912</v>
      </c>
      <c r="Z450">
        <f t="shared" ca="1" si="143"/>
        <v>-0.34386707835354258</v>
      </c>
      <c r="AA450">
        <f t="shared" ca="1" si="144"/>
        <v>0.23347494464437346</v>
      </c>
      <c r="AB450">
        <f t="shared" ca="1" si="145"/>
        <v>69.111899999999991</v>
      </c>
    </row>
    <row r="451" spans="1:28" x14ac:dyDescent="0.25">
      <c r="A451" s="20">
        <f t="shared" ref="A451:A514" ca="1" si="146">B451 - WEEKDAY(B451, 2) + 1</f>
        <v>45943</v>
      </c>
      <c r="B451" vm="1261">
        <f ca="1"/>
        <v>45946</v>
      </c>
      <c r="C451" vm="1262">
        <f ca="1"/>
        <v>67.59</v>
      </c>
      <c r="D451" vm="1263">
        <f ca="1"/>
        <v>15707226</v>
      </c>
      <c r="E451">
        <f t="shared" ref="E451:E514" ca="1" si="147">C451*D451</f>
        <v>1061651405.34</v>
      </c>
      <c r="F451">
        <f ca="1">SUM($E$2:E451)/SUM($D$2:D451)</f>
        <v>66.360240039088751</v>
      </c>
      <c r="G451">
        <f ca="1">_xlfn.STDEV.P($C$2:C451)</f>
        <v>4.3433008730204552</v>
      </c>
      <c r="H451">
        <f t="shared" ref="H451:H514" ca="1" si="148">F451 + G451</f>
        <v>70.703540912109204</v>
      </c>
      <c r="I451">
        <f t="shared" ref="I451:I514" ca="1" si="149">F451 - G451</f>
        <v>62.016939166068298</v>
      </c>
      <c r="J451">
        <f t="shared" ca="1" si="137"/>
        <v>66.536999999999992</v>
      </c>
      <c r="K451">
        <f t="shared" ca="1" si="138"/>
        <v>0.50804164769187443</v>
      </c>
      <c r="L451">
        <f t="shared" ca="1" si="139"/>
        <v>67.553083295383743</v>
      </c>
      <c r="M451">
        <f t="shared" ca="1" si="140"/>
        <v>65.520916704616241</v>
      </c>
      <c r="N451">
        <f t="shared" ca="1" si="129"/>
        <v>0.51000000000000512</v>
      </c>
      <c r="O451">
        <f t="shared" ca="1" si="130"/>
        <v>0.51000000000000512</v>
      </c>
      <c r="P451">
        <f t="shared" ca="1" si="131"/>
        <v>0</v>
      </c>
      <c r="Q451">
        <f t="shared" ca="1" si="135"/>
        <v>0.25784448622527112</v>
      </c>
      <c r="R451">
        <f t="shared" ca="1" si="136"/>
        <v>0.21429232379309862</v>
      </c>
      <c r="S451">
        <f t="shared" ca="1" si="133"/>
        <v>1.2032371559618837</v>
      </c>
      <c r="T451">
        <f t="shared" ca="1" si="134"/>
        <v>54.612239663168609</v>
      </c>
      <c r="U451">
        <f>70</f>
        <v>70</v>
      </c>
      <c r="V451">
        <f>30</f>
        <v>30</v>
      </c>
      <c r="W451">
        <f t="shared" ca="1" si="132"/>
        <v>66.890676701891493</v>
      </c>
      <c r="X451">
        <f t="shared" ca="1" si="142"/>
        <v>67.001068835600663</v>
      </c>
      <c r="Y451">
        <f t="shared" ca="1" si="141"/>
        <v>2.1377803109857041E-2</v>
      </c>
      <c r="Z451">
        <f t="shared" ca="1" si="143"/>
        <v>-0.27081810206086265</v>
      </c>
      <c r="AA451">
        <f t="shared" ca="1" si="144"/>
        <v>0.29219590517071969</v>
      </c>
      <c r="AB451">
        <f t="shared" ca="1" si="145"/>
        <v>69.070099999999996</v>
      </c>
    </row>
    <row r="452" spans="1:28" x14ac:dyDescent="0.25">
      <c r="A452" s="20">
        <f t="shared" ca="1" si="146"/>
        <v>45943</v>
      </c>
      <c r="B452" vm="1264">
        <f ca="1"/>
        <v>45947</v>
      </c>
      <c r="C452" vm="1265">
        <f ca="1"/>
        <v>68.44</v>
      </c>
      <c r="D452" vm="1266">
        <f ca="1"/>
        <v>15541769</v>
      </c>
      <c r="E452">
        <f t="shared" ca="1" si="147"/>
        <v>1063678670.36</v>
      </c>
      <c r="F452">
        <f ca="1">SUM($E$2:E452)/SUM($D$2:D452)</f>
        <v>66.364955348171819</v>
      </c>
      <c r="G452">
        <f ca="1">_xlfn.STDEV.P($C$2:C452)</f>
        <v>4.3398559150138603</v>
      </c>
      <c r="H452">
        <f t="shared" ca="1" si="148"/>
        <v>70.704811263185675</v>
      </c>
      <c r="I452">
        <f t="shared" ca="1" si="149"/>
        <v>62.025099433157962</v>
      </c>
      <c r="J452">
        <f t="shared" ca="1" si="137"/>
        <v>66.637500000000003</v>
      </c>
      <c r="K452">
        <f t="shared" ca="1" si="138"/>
        <v>0.66141693992598427</v>
      </c>
      <c r="L452">
        <f t="shared" ca="1" si="139"/>
        <v>67.960333879851973</v>
      </c>
      <c r="M452">
        <f t="shared" ca="1" si="140"/>
        <v>65.314666120148033</v>
      </c>
      <c r="N452">
        <f t="shared" ref="N452:N514" ca="1" si="150">C452-C451</f>
        <v>0.84999999999999432</v>
      </c>
      <c r="O452">
        <f t="shared" ref="O452:O514" ca="1" si="151">MAX(N452,0)</f>
        <v>0.84999999999999432</v>
      </c>
      <c r="P452">
        <f t="shared" ref="P452:P514" ca="1" si="152">MAX(-N452,0)</f>
        <v>0</v>
      </c>
      <c r="Q452">
        <f t="shared" ca="1" si="135"/>
        <v>0.30014130863775135</v>
      </c>
      <c r="R452">
        <f t="shared" ca="1" si="136"/>
        <v>0.19898572923644872</v>
      </c>
      <c r="S452">
        <f t="shared" ca="1" si="133"/>
        <v>1.5083559498937862</v>
      </c>
      <c r="T452">
        <f t="shared" ca="1" si="134"/>
        <v>60.133249826750308</v>
      </c>
      <c r="U452">
        <f>70</f>
        <v>70</v>
      </c>
      <c r="V452">
        <f>30</f>
        <v>30</v>
      </c>
      <c r="W452">
        <f t="shared" ca="1" si="132"/>
        <v>67.129034132369725</v>
      </c>
      <c r="X452">
        <f t="shared" ca="1" si="142"/>
        <v>67.107656329259868</v>
      </c>
      <c r="Y452">
        <f t="shared" ca="1" si="141"/>
        <v>0.12437273590983011</v>
      </c>
      <c r="Z452">
        <f t="shared" ca="1" si="143"/>
        <v>-0.19177993446672412</v>
      </c>
      <c r="AA452">
        <f t="shared" ca="1" si="144"/>
        <v>0.31615267037655426</v>
      </c>
      <c r="AB452">
        <f t="shared" ca="1" si="145"/>
        <v>69.036699999999996</v>
      </c>
    </row>
    <row r="453" spans="1:28" x14ac:dyDescent="0.25">
      <c r="A453" s="20">
        <f t="shared" ca="1" si="146"/>
        <v>45950</v>
      </c>
      <c r="B453" vm="1267">
        <f ca="1"/>
        <v>45950</v>
      </c>
      <c r="C453" vm="1265">
        <f ca="1"/>
        <v>68.44</v>
      </c>
      <c r="D453" vm="1268">
        <f ca="1"/>
        <v>17786778</v>
      </c>
      <c r="E453">
        <f t="shared" ca="1" si="147"/>
        <v>1217327086.3199999</v>
      </c>
      <c r="F453">
        <f ca="1">SUM($E$2:E453)/SUM($D$2:D453)</f>
        <v>66.370325614351955</v>
      </c>
      <c r="G453">
        <f ca="1">_xlfn.STDEV.P($C$2:C453)</f>
        <v>4.3364174163687936</v>
      </c>
      <c r="H453">
        <f t="shared" ca="1" si="148"/>
        <v>70.706743030720745</v>
      </c>
      <c r="I453">
        <f t="shared" ca="1" si="149"/>
        <v>62.033908197983159</v>
      </c>
      <c r="J453">
        <f t="shared" ca="1" si="137"/>
        <v>66.748999999999995</v>
      </c>
      <c r="K453">
        <f t="shared" ca="1" si="138"/>
        <v>0.76535440706972624</v>
      </c>
      <c r="L453">
        <f t="shared" ca="1" si="139"/>
        <v>68.279708814139454</v>
      </c>
      <c r="M453">
        <f t="shared" ca="1" si="140"/>
        <v>65.218291185860537</v>
      </c>
      <c r="N453">
        <f t="shared" ca="1" si="150"/>
        <v>0</v>
      </c>
      <c r="O453">
        <f t="shared" ca="1" si="151"/>
        <v>0</v>
      </c>
      <c r="P453">
        <f t="shared" ca="1" si="152"/>
        <v>0</v>
      </c>
      <c r="Q453">
        <f t="shared" ca="1" si="135"/>
        <v>0.27870264373505482</v>
      </c>
      <c r="R453">
        <f t="shared" ca="1" si="136"/>
        <v>0.18477246286241669</v>
      </c>
      <c r="S453">
        <f t="shared" ca="1" si="133"/>
        <v>1.508355949893786</v>
      </c>
      <c r="T453">
        <f t="shared" ca="1" si="134"/>
        <v>60.133249826750301</v>
      </c>
      <c r="U453">
        <f>70</f>
        <v>70</v>
      </c>
      <c r="V453">
        <f>30</f>
        <v>30</v>
      </c>
      <c r="W453">
        <f t="shared" ca="1" si="132"/>
        <v>67.330721188928223</v>
      </c>
      <c r="X453">
        <f t="shared" ca="1" si="142"/>
        <v>67.206348453018393</v>
      </c>
      <c r="Y453">
        <f t="shared" ca="1" si="141"/>
        <v>0.42541580022992775</v>
      </c>
      <c r="Z453">
        <f t="shared" ca="1" si="143"/>
        <v>-6.834078752739374E-2</v>
      </c>
      <c r="AA453">
        <f t="shared" ca="1" si="144"/>
        <v>0.49375658775732151</v>
      </c>
      <c r="AB453">
        <f t="shared" ca="1" si="145"/>
        <v>69.009599999999992</v>
      </c>
    </row>
    <row r="454" spans="1:28" x14ac:dyDescent="0.25">
      <c r="A454" s="20">
        <f t="shared" ca="1" si="146"/>
        <v>45950</v>
      </c>
      <c r="B454" vm="1269">
        <f ca="1"/>
        <v>45951</v>
      </c>
      <c r="C454" vm="1270">
        <f ca="1"/>
        <v>71.22</v>
      </c>
      <c r="D454" vm="1271">
        <f ca="1"/>
        <v>33651302</v>
      </c>
      <c r="E454">
        <f t="shared" ca="1" si="147"/>
        <v>2396645728.4400001</v>
      </c>
      <c r="F454">
        <f ca="1">SUM($E$2:E454)/SUM($D$2:D454)</f>
        <v>66.393955643781041</v>
      </c>
      <c r="G454">
        <f ca="1">_xlfn.STDEV.P($C$2:C454)</f>
        <v>4.3382115429350341</v>
      </c>
      <c r="H454">
        <f t="shared" ca="1" si="148"/>
        <v>70.732167186716069</v>
      </c>
      <c r="I454">
        <f t="shared" ca="1" si="149"/>
        <v>62.055744100846006</v>
      </c>
      <c r="J454">
        <f t="shared" ca="1" si="137"/>
        <v>66.974500000000006</v>
      </c>
      <c r="K454">
        <f t="shared" ca="1" si="138"/>
        <v>1.2586729645062478</v>
      </c>
      <c r="L454">
        <f t="shared" ca="1" si="139"/>
        <v>69.491845929012499</v>
      </c>
      <c r="M454">
        <f t="shared" ca="1" si="140"/>
        <v>64.457154070987514</v>
      </c>
      <c r="N454">
        <f t="shared" ca="1" si="150"/>
        <v>2.7800000000000011</v>
      </c>
      <c r="O454">
        <f t="shared" ca="1" si="151"/>
        <v>2.7800000000000011</v>
      </c>
      <c r="P454">
        <f t="shared" ca="1" si="152"/>
        <v>0</v>
      </c>
      <c r="Q454">
        <f t="shared" ca="1" si="135"/>
        <v>0.45736674061112242</v>
      </c>
      <c r="R454">
        <f t="shared" ca="1" si="136"/>
        <v>0.1715744298008155</v>
      </c>
      <c r="S454">
        <f t="shared" ca="1" si="133"/>
        <v>2.6657045641479877</v>
      </c>
      <c r="T454">
        <f t="shared" ca="1" si="134"/>
        <v>72.720114714633908</v>
      </c>
      <c r="U454">
        <f>70</f>
        <v>70</v>
      </c>
      <c r="V454">
        <f>30</f>
        <v>30</v>
      </c>
      <c r="W454">
        <f t="shared" ca="1" si="132"/>
        <v>67.929071775246953</v>
      </c>
      <c r="X454">
        <f t="shared" ca="1" si="142"/>
        <v>67.503655975017026</v>
      </c>
      <c r="Y454">
        <f t="shared" ca="1" si="141"/>
        <v>0.62372115489405644</v>
      </c>
      <c r="Z454">
        <f t="shared" ca="1" si="143"/>
        <v>7.0071600956896296E-2</v>
      </c>
      <c r="AA454">
        <f t="shared" ca="1" si="144"/>
        <v>0.5536495539371602</v>
      </c>
      <c r="AB454">
        <f t="shared" ca="1" si="145"/>
        <v>69.006899999999987</v>
      </c>
    </row>
    <row r="455" spans="1:28" x14ac:dyDescent="0.25">
      <c r="A455" s="20">
        <f t="shared" ca="1" si="146"/>
        <v>45950</v>
      </c>
      <c r="B455" vm="1272">
        <f ca="1"/>
        <v>45952</v>
      </c>
      <c r="C455" vm="1273">
        <f ca="1"/>
        <v>70.81</v>
      </c>
      <c r="D455" vm="1274">
        <f ca="1"/>
        <v>18292950</v>
      </c>
      <c r="E455">
        <f t="shared" ca="1" si="147"/>
        <v>1295323789.5</v>
      </c>
      <c r="F455">
        <f ca="1">SUM($E$2:E455)/SUM($D$2:D455)</f>
        <v>66.405621542109046</v>
      </c>
      <c r="G455">
        <f ca="1">_xlfn.STDEV.P($C$2:C455)</f>
        <v>4.338956005394814</v>
      </c>
      <c r="H455">
        <f t="shared" ca="1" si="148"/>
        <v>70.744577547503866</v>
      </c>
      <c r="I455">
        <f t="shared" ca="1" si="149"/>
        <v>62.066665536714233</v>
      </c>
      <c r="J455">
        <f t="shared" ca="1" si="137"/>
        <v>67.192499999999995</v>
      </c>
      <c r="K455">
        <f t="shared" ca="1" si="138"/>
        <v>1.5146021711466362</v>
      </c>
      <c r="L455">
        <f t="shared" ca="1" si="139"/>
        <v>70.221704342293265</v>
      </c>
      <c r="M455">
        <f t="shared" ca="1" si="140"/>
        <v>64.163295657706726</v>
      </c>
      <c r="N455">
        <f t="shared" ca="1" si="150"/>
        <v>-0.40999999999999659</v>
      </c>
      <c r="O455">
        <f t="shared" ca="1" si="151"/>
        <v>0</v>
      </c>
      <c r="P455">
        <f t="shared" ca="1" si="152"/>
        <v>0.40999999999999659</v>
      </c>
      <c r="Q455">
        <f t="shared" ca="1" si="135"/>
        <v>0.42469768771032795</v>
      </c>
      <c r="R455">
        <f t="shared" ca="1" si="136"/>
        <v>0.18860482767218559</v>
      </c>
      <c r="S455">
        <f t="shared" ca="1" si="133"/>
        <v>2.2517858792485197</v>
      </c>
      <c r="T455">
        <f t="shared" ca="1" si="134"/>
        <v>69.247667677580978</v>
      </c>
      <c r="U455">
        <f>70</f>
        <v>70</v>
      </c>
      <c r="V455">
        <f>30</f>
        <v>30</v>
      </c>
      <c r="W455">
        <f t="shared" ca="1" si="132"/>
        <v>68.372291502132043</v>
      </c>
      <c r="X455">
        <f t="shared" ca="1" si="142"/>
        <v>67.748570347237987</v>
      </c>
      <c r="Y455">
        <f t="shared" ca="1" si="141"/>
        <v>0.7025789552161541</v>
      </c>
      <c r="Z455">
        <f t="shared" ca="1" si="143"/>
        <v>0.19657307180874789</v>
      </c>
      <c r="AA455">
        <f t="shared" ca="1" si="144"/>
        <v>0.50600588340740615</v>
      </c>
      <c r="AB455">
        <f t="shared" ca="1" si="145"/>
        <v>68.994</v>
      </c>
    </row>
    <row r="456" spans="1:28" x14ac:dyDescent="0.25">
      <c r="A456" s="20">
        <f t="shared" ca="1" si="146"/>
        <v>45950</v>
      </c>
      <c r="B456" vm="1275">
        <f ca="1"/>
        <v>45953</v>
      </c>
      <c r="C456" vm="847">
        <f ca="1"/>
        <v>69.94</v>
      </c>
      <c r="D456" vm="1276">
        <f ca="1"/>
        <v>13989414</v>
      </c>
      <c r="E456">
        <f t="shared" ca="1" si="147"/>
        <v>978419615.15999997</v>
      </c>
      <c r="F456">
        <f ca="1">SUM($E$2:E456)/SUM($D$2:D456)</f>
        <v>66.412747399030607</v>
      </c>
      <c r="G456">
        <f ca="1">_xlfn.STDEV.P($C$2:C456)</f>
        <v>4.3378154914952578</v>
      </c>
      <c r="H456">
        <f t="shared" ca="1" si="148"/>
        <v>70.75056289052587</v>
      </c>
      <c r="I456">
        <f t="shared" ca="1" si="149"/>
        <v>62.074931907535351</v>
      </c>
      <c r="J456">
        <f t="shared" ca="1" si="137"/>
        <v>67.390500000000003</v>
      </c>
      <c r="K456">
        <f t="shared" ca="1" si="138"/>
        <v>1.6039571952550746</v>
      </c>
      <c r="L456">
        <f t="shared" ca="1" si="139"/>
        <v>70.598414390510158</v>
      </c>
      <c r="M456">
        <f t="shared" ca="1" si="140"/>
        <v>64.182585609489848</v>
      </c>
      <c r="N456">
        <f t="shared" ca="1" si="150"/>
        <v>-0.87000000000000455</v>
      </c>
      <c r="O456">
        <f t="shared" ca="1" si="151"/>
        <v>0</v>
      </c>
      <c r="P456">
        <f t="shared" ca="1" si="152"/>
        <v>0.87000000000000455</v>
      </c>
      <c r="Q456">
        <f t="shared" ca="1" si="135"/>
        <v>0.39436213858816166</v>
      </c>
      <c r="R456">
        <f t="shared" ca="1" si="136"/>
        <v>0.23727591140988696</v>
      </c>
      <c r="S456">
        <f t="shared" ca="1" si="133"/>
        <v>1.6620403489122542</v>
      </c>
      <c r="T456">
        <f t="shared" ca="1" si="134"/>
        <v>62.434829344017508</v>
      </c>
      <c r="U456">
        <f>70</f>
        <v>70</v>
      </c>
      <c r="V456">
        <f>30</f>
        <v>30</v>
      </c>
      <c r="W456">
        <f t="shared" ca="1" si="132"/>
        <v>68.613477424880955</v>
      </c>
      <c r="X456">
        <f t="shared" ca="1" si="142"/>
        <v>67.910898469664801</v>
      </c>
      <c r="Y456">
        <f t="shared" ca="1" si="141"/>
        <v>0.73800795597887259</v>
      </c>
      <c r="Z456">
        <f t="shared" ca="1" si="143"/>
        <v>0.30486004864277283</v>
      </c>
      <c r="AA456">
        <f t="shared" ca="1" si="144"/>
        <v>0.43314790733609976</v>
      </c>
      <c r="AB456">
        <f t="shared" ca="1" si="145"/>
        <v>68.973399999999984</v>
      </c>
    </row>
    <row r="457" spans="1:28" x14ac:dyDescent="0.25">
      <c r="A457" s="20">
        <f t="shared" ca="1" si="146"/>
        <v>45950</v>
      </c>
      <c r="B457" vm="1277">
        <f ca="1"/>
        <v>45954</v>
      </c>
      <c r="C457" vm="864">
        <f ca="1"/>
        <v>69.709999999999994</v>
      </c>
      <c r="D457" vm="1278">
        <f ca="1"/>
        <v>15688202</v>
      </c>
      <c r="E457">
        <f t="shared" ca="1" si="147"/>
        <v>1093624561.4199998</v>
      </c>
      <c r="F457">
        <f ca="1">SUM($E$2:E457)/SUM($D$2:D457)</f>
        <v>66.420185620256703</v>
      </c>
      <c r="G457">
        <f ca="1">_xlfn.STDEV.P($C$2:C457)</f>
        <v>4.3362383835534182</v>
      </c>
      <c r="H457">
        <f t="shared" ca="1" si="148"/>
        <v>70.756424003810125</v>
      </c>
      <c r="I457">
        <f t="shared" ca="1" si="149"/>
        <v>62.083947236703281</v>
      </c>
      <c r="J457">
        <f t="shared" ca="1" si="137"/>
        <v>67.592500000000001</v>
      </c>
      <c r="K457">
        <f t="shared" ca="1" si="138"/>
        <v>1.6300593305314468</v>
      </c>
      <c r="L457">
        <f t="shared" ca="1" si="139"/>
        <v>70.852618661062891</v>
      </c>
      <c r="M457">
        <f t="shared" ca="1" si="140"/>
        <v>64.332381338937111</v>
      </c>
      <c r="N457">
        <f t="shared" ca="1" si="150"/>
        <v>-0.23000000000000398</v>
      </c>
      <c r="O457">
        <f t="shared" ca="1" si="151"/>
        <v>0</v>
      </c>
      <c r="P457">
        <f t="shared" ca="1" si="152"/>
        <v>0.23000000000000398</v>
      </c>
      <c r="Q457">
        <f t="shared" ca="1" si="135"/>
        <v>0.36619341440329295</v>
      </c>
      <c r="R457">
        <f t="shared" ca="1" si="136"/>
        <v>0.23675620345203816</v>
      </c>
      <c r="S457">
        <f t="shared" ca="1" si="133"/>
        <v>1.5467109586316545</v>
      </c>
      <c r="T457">
        <f t="shared" ca="1" si="134"/>
        <v>60.733667218469932</v>
      </c>
      <c r="U457">
        <f>70</f>
        <v>70</v>
      </c>
      <c r="V457">
        <f>30</f>
        <v>30</v>
      </c>
      <c r="W457">
        <f t="shared" ca="1" si="132"/>
        <v>68.782173205668499</v>
      </c>
      <c r="X457">
        <f t="shared" ca="1" si="142"/>
        <v>68.044165249689627</v>
      </c>
      <c r="Y457">
        <f t="shared" ca="1" si="141"/>
        <v>0.78527560095275817</v>
      </c>
      <c r="Z457">
        <f t="shared" ca="1" si="143"/>
        <v>0.40094315910476996</v>
      </c>
      <c r="AA457">
        <f t="shared" ca="1" si="144"/>
        <v>0.3843324418479882</v>
      </c>
      <c r="AB457">
        <f t="shared" ca="1" si="145"/>
        <v>68.9589</v>
      </c>
    </row>
    <row r="458" spans="1:28" x14ac:dyDescent="0.25">
      <c r="A458" s="20">
        <f t="shared" ca="1" si="146"/>
        <v>45957</v>
      </c>
      <c r="B458" vm="1279">
        <f ca="1"/>
        <v>45957</v>
      </c>
      <c r="C458" vm="1280">
        <f ca="1"/>
        <v>70.06</v>
      </c>
      <c r="D458" vm="1281">
        <f ca="1"/>
        <v>13800049</v>
      </c>
      <c r="E458">
        <f t="shared" ca="1" si="147"/>
        <v>966831432.94000006</v>
      </c>
      <c r="F458">
        <f ca="1">SUM($E$2:E458)/SUM($D$2:D458)</f>
        <v>66.427394082255816</v>
      </c>
      <c r="G458">
        <f ca="1">_xlfn.STDEV.P($C$2:C458)</f>
        <v>4.3353090918339063</v>
      </c>
      <c r="H458">
        <f t="shared" ca="1" si="148"/>
        <v>70.762703174089722</v>
      </c>
      <c r="I458">
        <f t="shared" ca="1" si="149"/>
        <v>62.09208499042191</v>
      </c>
      <c r="J458">
        <f t="shared" ca="1" si="137"/>
        <v>67.793500000000009</v>
      </c>
      <c r="K458">
        <f t="shared" ca="1" si="138"/>
        <v>1.6757567811211993</v>
      </c>
      <c r="L458">
        <f t="shared" ca="1" si="139"/>
        <v>71.145013562242411</v>
      </c>
      <c r="M458">
        <f t="shared" ca="1" si="140"/>
        <v>64.441986437757606</v>
      </c>
      <c r="N458">
        <f t="shared" ca="1" si="150"/>
        <v>0.35000000000000853</v>
      </c>
      <c r="O458">
        <f t="shared" ca="1" si="151"/>
        <v>0.35000000000000853</v>
      </c>
      <c r="P458">
        <f t="shared" ca="1" si="152"/>
        <v>0</v>
      </c>
      <c r="Q458">
        <f t="shared" ca="1" si="135"/>
        <v>0.36503674194591545</v>
      </c>
      <c r="R458">
        <f t="shared" ca="1" si="136"/>
        <v>0.21984504606260685</v>
      </c>
      <c r="S458">
        <f t="shared" ca="1" si="133"/>
        <v>1.6604274168723425</v>
      </c>
      <c r="T458">
        <f t="shared" ca="1" si="134"/>
        <v>62.41205478270021</v>
      </c>
      <c r="U458">
        <f>70</f>
        <v>70</v>
      </c>
      <c r="V458">
        <f>30</f>
        <v>30</v>
      </c>
      <c r="W458">
        <f t="shared" ca="1" si="132"/>
        <v>68.978761943257965</v>
      </c>
      <c r="X458">
        <f t="shared" ca="1" si="142"/>
        <v>68.193486342305206</v>
      </c>
      <c r="Y458">
        <f t="shared" ca="1" si="141"/>
        <v>0.82133685441145587</v>
      </c>
      <c r="Z458">
        <f t="shared" ca="1" si="143"/>
        <v>0.48502189816610719</v>
      </c>
      <c r="AA458">
        <f t="shared" ca="1" si="144"/>
        <v>0.33631495624534868</v>
      </c>
      <c r="AB458">
        <f t="shared" ca="1" si="145"/>
        <v>68.945800000000006</v>
      </c>
    </row>
    <row r="459" spans="1:28" x14ac:dyDescent="0.25">
      <c r="A459" s="20">
        <f t="shared" ca="1" si="146"/>
        <v>45957</v>
      </c>
      <c r="B459" vm="1282">
        <f ca="1"/>
        <v>45958</v>
      </c>
      <c r="C459" vm="1283">
        <f ca="1"/>
        <v>70.16</v>
      </c>
      <c r="D459" vm="1284">
        <f ca="1"/>
        <v>12730493</v>
      </c>
      <c r="E459">
        <f t="shared" ca="1" si="147"/>
        <v>893171388.88</v>
      </c>
      <c r="F459">
        <f ca="1">SUM($E$2:E459)/SUM($D$2:D459)</f>
        <v>66.434200951346384</v>
      </c>
      <c r="G459">
        <f ca="1">_xlfn.STDEV.P($C$2:C459)</f>
        <v>4.3345647762654904</v>
      </c>
      <c r="H459">
        <f t="shared" ca="1" si="148"/>
        <v>70.768765727611878</v>
      </c>
      <c r="I459">
        <f t="shared" ca="1" si="149"/>
        <v>62.099636175080896</v>
      </c>
      <c r="J459">
        <f t="shared" ca="1" si="137"/>
        <v>67.985500000000016</v>
      </c>
      <c r="K459">
        <f t="shared" ca="1" si="138"/>
        <v>1.7175088293651841</v>
      </c>
      <c r="L459">
        <f t="shared" ca="1" si="139"/>
        <v>71.42051765873039</v>
      </c>
      <c r="M459">
        <f t="shared" ca="1" si="140"/>
        <v>64.550482341269642</v>
      </c>
      <c r="N459">
        <f t="shared" ca="1" si="150"/>
        <v>9.9999999999994316E-2</v>
      </c>
      <c r="O459">
        <f t="shared" ca="1" si="151"/>
        <v>9.9999999999994316E-2</v>
      </c>
      <c r="P459">
        <f t="shared" ca="1" si="152"/>
        <v>0</v>
      </c>
      <c r="Q459">
        <f t="shared" ca="1" si="135"/>
        <v>0.34610554609263533</v>
      </c>
      <c r="R459">
        <f t="shared" ca="1" si="136"/>
        <v>0.20414182848670634</v>
      </c>
      <c r="S459">
        <f t="shared" ca="1" si="133"/>
        <v>1.6954170963310129</v>
      </c>
      <c r="T459">
        <f t="shared" ca="1" si="134"/>
        <v>62.899990455607238</v>
      </c>
      <c r="U459">
        <f>70</f>
        <v>70</v>
      </c>
      <c r="V459">
        <f>30</f>
        <v>30</v>
      </c>
      <c r="W459">
        <f t="shared" ca="1" si="132"/>
        <v>69.160490875064426</v>
      </c>
      <c r="X459">
        <f t="shared" ca="1" si="142"/>
        <v>68.33915402065297</v>
      </c>
      <c r="Y459">
        <f t="shared" ca="1" si="141"/>
        <v>0.6958425446778449</v>
      </c>
      <c r="Z459">
        <f t="shared" ca="1" si="143"/>
        <v>0.52718602746845478</v>
      </c>
      <c r="AA459">
        <f t="shared" ca="1" si="144"/>
        <v>0.16865651720939012</v>
      </c>
      <c r="AB459">
        <f t="shared" ca="1" si="145"/>
        <v>68.938299999999998</v>
      </c>
    </row>
    <row r="460" spans="1:28" x14ac:dyDescent="0.25">
      <c r="A460" s="20">
        <f t="shared" ca="1" si="146"/>
        <v>45957</v>
      </c>
      <c r="B460" vm="1285">
        <f ca="1"/>
        <v>45959</v>
      </c>
      <c r="C460" vm="1286">
        <f ca="1"/>
        <v>68.349999999999994</v>
      </c>
      <c r="D460" vm="1287">
        <f ca="1"/>
        <v>19789610</v>
      </c>
      <c r="E460">
        <f t="shared" ca="1" si="147"/>
        <v>1352619843.5</v>
      </c>
      <c r="F460">
        <f ca="1">SUM($E$2:E460)/SUM($D$2:D460)</f>
        <v>66.439616566745315</v>
      </c>
      <c r="G460">
        <f ca="1">_xlfn.STDEV.P($C$2:C460)</f>
        <v>4.3310175314615957</v>
      </c>
      <c r="H460">
        <f t="shared" ca="1" si="148"/>
        <v>70.770634098206912</v>
      </c>
      <c r="I460">
        <f t="shared" ca="1" si="149"/>
        <v>62.108599035283717</v>
      </c>
      <c r="J460">
        <f t="shared" ca="1" si="137"/>
        <v>68.064000000000007</v>
      </c>
      <c r="K460">
        <f t="shared" ca="1" si="138"/>
        <v>1.6952453633929396</v>
      </c>
      <c r="L460">
        <f t="shared" ca="1" si="139"/>
        <v>71.454490726785892</v>
      </c>
      <c r="M460">
        <f t="shared" ca="1" si="140"/>
        <v>64.673509273214123</v>
      </c>
      <c r="N460">
        <f t="shared" ca="1" si="150"/>
        <v>-1.8100000000000023</v>
      </c>
      <c r="O460">
        <f t="shared" ca="1" si="151"/>
        <v>0</v>
      </c>
      <c r="P460">
        <f t="shared" ca="1" si="152"/>
        <v>1.8100000000000023</v>
      </c>
      <c r="Q460">
        <f t="shared" ca="1" si="135"/>
        <v>0.32138372137173282</v>
      </c>
      <c r="R460">
        <f t="shared" ca="1" si="136"/>
        <v>0.31884598359479888</v>
      </c>
      <c r="S460">
        <f t="shared" ca="1" si="133"/>
        <v>1.0079591335864497</v>
      </c>
      <c r="T460">
        <f t="shared" ca="1" si="134"/>
        <v>50.198189630787802</v>
      </c>
      <c r="U460">
        <f>70</f>
        <v>70</v>
      </c>
      <c r="V460">
        <f>30</f>
        <v>30</v>
      </c>
      <c r="W460">
        <f t="shared" ca="1" si="132"/>
        <v>69.035799971208363</v>
      </c>
      <c r="X460">
        <f t="shared" ca="1" si="142"/>
        <v>68.339957426530518</v>
      </c>
      <c r="Y460">
        <f t="shared" ca="1" si="141"/>
        <v>0.63984737272497227</v>
      </c>
      <c r="Z460">
        <f t="shared" ca="1" si="143"/>
        <v>0.54971829651975823</v>
      </c>
      <c r="AA460">
        <f t="shared" ca="1" si="144"/>
        <v>9.0129076205214043E-2</v>
      </c>
      <c r="AB460">
        <f t="shared" ca="1" si="145"/>
        <v>68.908299999999997</v>
      </c>
    </row>
    <row r="461" spans="1:28" x14ac:dyDescent="0.25">
      <c r="A461" s="20">
        <f t="shared" ca="1" si="146"/>
        <v>45957</v>
      </c>
      <c r="B461" vm="1288">
        <f ca="1"/>
        <v>45960</v>
      </c>
      <c r="C461" vm="459">
        <f ca="1"/>
        <v>68.98</v>
      </c>
      <c r="D461" vm="1289">
        <f ca="1"/>
        <v>14751735</v>
      </c>
      <c r="E461">
        <f t="shared" ca="1" si="147"/>
        <v>1017574680.3000001</v>
      </c>
      <c r="F461">
        <f ca="1">SUM($E$2:E461)/SUM($D$2:D461)</f>
        <v>66.444958381477051</v>
      </c>
      <c r="G461">
        <f ca="1">_xlfn.STDEV.P($C$2:C461)</f>
        <v>4.328259482671803</v>
      </c>
      <c r="H461">
        <f t="shared" ca="1" si="148"/>
        <v>70.773217864148847</v>
      </c>
      <c r="I461">
        <f t="shared" ca="1" si="149"/>
        <v>62.116698898805247</v>
      </c>
      <c r="J461">
        <f t="shared" ca="1" si="137"/>
        <v>68.208000000000013</v>
      </c>
      <c r="K461">
        <f t="shared" ca="1" si="138"/>
        <v>1.6410894969020124</v>
      </c>
      <c r="L461">
        <f t="shared" ca="1" si="139"/>
        <v>71.490178993804037</v>
      </c>
      <c r="M461">
        <f t="shared" ca="1" si="140"/>
        <v>64.925821006195989</v>
      </c>
      <c r="N461">
        <f t="shared" ca="1" si="150"/>
        <v>0.63000000000000966</v>
      </c>
      <c r="O461">
        <f t="shared" ca="1" si="151"/>
        <v>0.63000000000000966</v>
      </c>
      <c r="P461">
        <f t="shared" ca="1" si="152"/>
        <v>0</v>
      </c>
      <c r="Q461">
        <f t="shared" ca="1" si="135"/>
        <v>0.34342774127375264</v>
      </c>
      <c r="R461">
        <f t="shared" ca="1" si="136"/>
        <v>0.29607127048088466</v>
      </c>
      <c r="S461">
        <f t="shared" ca="1" si="133"/>
        <v>1.1599495645624471</v>
      </c>
      <c r="T461">
        <f t="shared" ca="1" si="134"/>
        <v>53.702622671998569</v>
      </c>
      <c r="U461">
        <f>70</f>
        <v>70</v>
      </c>
      <c r="V461">
        <f>30</f>
        <v>30</v>
      </c>
      <c r="W461">
        <f t="shared" ca="1" si="132"/>
        <v>69.027215360253223</v>
      </c>
      <c r="X461">
        <f t="shared" ca="1" si="142"/>
        <v>68.387367987528251</v>
      </c>
      <c r="Y461">
        <f t="shared" ca="1" si="141"/>
        <v>0.58230303717529353</v>
      </c>
      <c r="Z461">
        <f t="shared" ca="1" si="143"/>
        <v>0.55623524465086538</v>
      </c>
      <c r="AA461">
        <f t="shared" ca="1" si="144"/>
        <v>2.6067792524428146E-2</v>
      </c>
      <c r="AB461">
        <f t="shared" ca="1" si="145"/>
        <v>68.880399999999995</v>
      </c>
    </row>
    <row r="462" spans="1:28" x14ac:dyDescent="0.25">
      <c r="A462" s="20">
        <f t="shared" ca="1" si="146"/>
        <v>45957</v>
      </c>
      <c r="B462" vm="1290">
        <f ca="1"/>
        <v>45961</v>
      </c>
      <c r="C462" vm="1291">
        <f ca="1"/>
        <v>68.900000000000006</v>
      </c>
      <c r="D462" vm="1292">
        <f ca="1"/>
        <v>16742681</v>
      </c>
      <c r="E462">
        <f t="shared" ca="1" si="147"/>
        <v>1153570720.9000001</v>
      </c>
      <c r="F462">
        <f ca="1">SUM($E$2:E462)/SUM($D$2:D462)</f>
        <v>66.450803523609437</v>
      </c>
      <c r="G462">
        <f ca="1">_xlfn.STDEV.P($C$2:C462)</f>
        <v>4.3253933186544771</v>
      </c>
      <c r="H462">
        <f t="shared" ca="1" si="148"/>
        <v>70.776196842263914</v>
      </c>
      <c r="I462">
        <f t="shared" ca="1" si="149"/>
        <v>62.12541020495496</v>
      </c>
      <c r="J462">
        <f t="shared" ca="1" si="137"/>
        <v>68.32050000000001</v>
      </c>
      <c r="K462">
        <f t="shared" ca="1" si="138"/>
        <v>1.6053970651655316</v>
      </c>
      <c r="L462">
        <f t="shared" ca="1" si="139"/>
        <v>71.531294130331077</v>
      </c>
      <c r="M462">
        <f t="shared" ca="1" si="140"/>
        <v>65.109705869668943</v>
      </c>
      <c r="N462">
        <f t="shared" ca="1" si="150"/>
        <v>-7.9999999999998295E-2</v>
      </c>
      <c r="O462">
        <f t="shared" ca="1" si="151"/>
        <v>0</v>
      </c>
      <c r="P462">
        <f t="shared" ca="1" si="152"/>
        <v>7.9999999999998295E-2</v>
      </c>
      <c r="Q462">
        <f t="shared" ca="1" si="135"/>
        <v>0.31889718832562741</v>
      </c>
      <c r="R462">
        <f t="shared" ca="1" si="136"/>
        <v>0.28063760830367851</v>
      </c>
      <c r="S462">
        <f t="shared" ca="1" si="133"/>
        <v>1.1363309082243465</v>
      </c>
      <c r="T462">
        <f t="shared" ca="1" si="134"/>
        <v>53.190772265183874</v>
      </c>
      <c r="U462">
        <f>70</f>
        <v>70</v>
      </c>
      <c r="V462">
        <f>30</f>
        <v>30</v>
      </c>
      <c r="W462">
        <f t="shared" ca="1" si="132"/>
        <v>69.007643766368119</v>
      </c>
      <c r="X462">
        <f t="shared" ca="1" si="142"/>
        <v>68.425340729192826</v>
      </c>
      <c r="Y462">
        <f t="shared" ca="1" si="141"/>
        <v>0.45639447756030904</v>
      </c>
      <c r="Z462">
        <f t="shared" ca="1" si="143"/>
        <v>0.53626709123275407</v>
      </c>
      <c r="AA462">
        <f t="shared" ca="1" si="144"/>
        <v>-7.9872613672445025E-2</v>
      </c>
      <c r="AB462">
        <f t="shared" ca="1" si="145"/>
        <v>68.845899999999986</v>
      </c>
    </row>
    <row r="463" spans="1:28" x14ac:dyDescent="0.25">
      <c r="A463" s="20">
        <f t="shared" ca="1" si="146"/>
        <v>45964</v>
      </c>
      <c r="B463" vm="1293">
        <f ca="1"/>
        <v>45964</v>
      </c>
      <c r="C463" vm="1294">
        <f ca="1"/>
        <v>67.97</v>
      </c>
      <c r="D463" vm="1295">
        <f ca="1"/>
        <v>15660354</v>
      </c>
      <c r="E463">
        <f t="shared" ca="1" si="147"/>
        <v>1064434261.38</v>
      </c>
      <c r="F463">
        <f ca="1">SUM($E$2:E463)/SUM($D$2:D463)</f>
        <v>66.454179198801512</v>
      </c>
      <c r="G463">
        <f ca="1">_xlfn.STDEV.P($C$2:C463)</f>
        <v>4.321491582809168</v>
      </c>
      <c r="H463">
        <f t="shared" ca="1" si="148"/>
        <v>70.775670781610685</v>
      </c>
      <c r="I463">
        <f t="shared" ca="1" si="149"/>
        <v>62.132687615992346</v>
      </c>
      <c r="J463">
        <f t="shared" ca="1" si="137"/>
        <v>68.414000000000016</v>
      </c>
      <c r="K463">
        <f t="shared" ca="1" si="138"/>
        <v>1.521531084830428</v>
      </c>
      <c r="L463">
        <f t="shared" ca="1" si="139"/>
        <v>71.457062169660873</v>
      </c>
      <c r="M463">
        <f t="shared" ca="1" si="140"/>
        <v>65.370937830339159</v>
      </c>
      <c r="N463">
        <f t="shared" ca="1" si="150"/>
        <v>-0.93000000000000682</v>
      </c>
      <c r="O463">
        <f t="shared" ca="1" si="151"/>
        <v>0</v>
      </c>
      <c r="P463">
        <f t="shared" ca="1" si="152"/>
        <v>0.93000000000000682</v>
      </c>
      <c r="Q463">
        <f t="shared" ca="1" si="135"/>
        <v>0.29611881773093973</v>
      </c>
      <c r="R463">
        <f t="shared" ca="1" si="136"/>
        <v>0.32702063628198769</v>
      </c>
      <c r="S463">
        <f t="shared" ca="1" si="133"/>
        <v>0.90550498921908551</v>
      </c>
      <c r="T463">
        <f t="shared" ca="1" si="134"/>
        <v>47.520473278329213</v>
      </c>
      <c r="U463">
        <f>70</f>
        <v>70</v>
      </c>
      <c r="V463">
        <f>30</f>
        <v>30</v>
      </c>
      <c r="W463">
        <f t="shared" ref="W463:W514" ca="1" si="153">C463*(2/(12+1)) + W462*(1-(2/(12+1)))</f>
        <v>68.848006263849953</v>
      </c>
      <c r="X463">
        <f t="shared" ca="1" si="142"/>
        <v>68.391611786289644</v>
      </c>
      <c r="Y463">
        <f t="shared" ca="1" si="141"/>
        <v>0.40758982854501369</v>
      </c>
      <c r="Z463">
        <f t="shared" ca="1" si="143"/>
        <v>0.51053163869520601</v>
      </c>
      <c r="AA463">
        <f t="shared" ca="1" si="144"/>
        <v>-0.10294181015019233</v>
      </c>
      <c r="AB463">
        <f t="shared" ca="1" si="145"/>
        <v>68.804899999999989</v>
      </c>
    </row>
    <row r="464" spans="1:28" x14ac:dyDescent="0.25">
      <c r="A464" s="20">
        <f t="shared" ca="1" si="146"/>
        <v>45964</v>
      </c>
      <c r="B464" vm="1296">
        <f ca="1"/>
        <v>45965</v>
      </c>
      <c r="C464" vm="1297">
        <f ca="1"/>
        <v>68.66</v>
      </c>
      <c r="D464" vm="1298">
        <f ca="1"/>
        <v>12743781</v>
      </c>
      <c r="E464">
        <f t="shared" ca="1" si="147"/>
        <v>874988003.45999992</v>
      </c>
      <c r="F464">
        <f ca="1">SUM($E$2:E464)/SUM($D$2:D464)</f>
        <v>66.458160537116541</v>
      </c>
      <c r="G464">
        <f ca="1">_xlfn.STDEV.P($C$2:C464)</f>
        <v>4.3183265019355055</v>
      </c>
      <c r="H464">
        <f t="shared" ca="1" si="148"/>
        <v>70.776487039052043</v>
      </c>
      <c r="I464">
        <f t="shared" ca="1" si="149"/>
        <v>62.139834035181039</v>
      </c>
      <c r="J464">
        <f t="shared" ca="1" si="137"/>
        <v>68.507500000000022</v>
      </c>
      <c r="K464">
        <f t="shared" ca="1" si="138"/>
        <v>1.4731701406008375</v>
      </c>
      <c r="L464">
        <f t="shared" ca="1" si="139"/>
        <v>71.453840281201693</v>
      </c>
      <c r="M464">
        <f t="shared" ca="1" si="140"/>
        <v>65.561159718798351</v>
      </c>
      <c r="N464">
        <f t="shared" ca="1" si="150"/>
        <v>0.68999999999999773</v>
      </c>
      <c r="O464">
        <f t="shared" ca="1" si="151"/>
        <v>0.68999999999999773</v>
      </c>
      <c r="P464">
        <f t="shared" ca="1" si="152"/>
        <v>0</v>
      </c>
      <c r="Q464">
        <f t="shared" ca="1" si="135"/>
        <v>0.32425318789301533</v>
      </c>
      <c r="R464">
        <f t="shared" ca="1" si="136"/>
        <v>0.30366201940470283</v>
      </c>
      <c r="S464">
        <f t="shared" ref="S464:S514" ca="1" si="154">IF(R464=0,NA(),Q464/R464)</f>
        <v>1.0678094959938662</v>
      </c>
      <c r="T464">
        <f t="shared" ref="T464:T514" ca="1" si="155">100-(100/(1+S464))</f>
        <v>51.639645628024219</v>
      </c>
      <c r="U464">
        <f>70</f>
        <v>70</v>
      </c>
      <c r="V464">
        <f>30</f>
        <v>30</v>
      </c>
      <c r="W464">
        <f t="shared" ca="1" si="153"/>
        <v>68.819082223257652</v>
      </c>
      <c r="X464">
        <f t="shared" ca="1" si="142"/>
        <v>68.411492394712639</v>
      </c>
      <c r="Y464">
        <f t="shared" ca="1" si="141"/>
        <v>0.35274185762368404</v>
      </c>
      <c r="Z464">
        <f t="shared" ca="1" si="143"/>
        <v>0.47897368248090166</v>
      </c>
      <c r="AA464">
        <f t="shared" ca="1" si="144"/>
        <v>-0.12623182485721762</v>
      </c>
      <c r="AB464">
        <f t="shared" ca="1" si="145"/>
        <v>68.769099999999995</v>
      </c>
    </row>
    <row r="465" spans="1:28" x14ac:dyDescent="0.25">
      <c r="A465" s="20">
        <f t="shared" ca="1" si="146"/>
        <v>45964</v>
      </c>
      <c r="B465" vm="1299">
        <f ca="1"/>
        <v>45966</v>
      </c>
      <c r="C465" vm="1300">
        <f ca="1"/>
        <v>68.510000000000005</v>
      </c>
      <c r="D465" vm="1301">
        <f ca="1"/>
        <v>12850125</v>
      </c>
      <c r="E465">
        <f t="shared" ca="1" si="147"/>
        <v>880362063.75000012</v>
      </c>
      <c r="F465">
        <f ca="1">SUM($E$2:E465)/SUM($D$2:D465)</f>
        <v>66.461888070961095</v>
      </c>
      <c r="G465">
        <f ca="1">_xlfn.STDEV.P($C$2:C465)</f>
        <v>4.3149887567401306</v>
      </c>
      <c r="H465">
        <f t="shared" ca="1" si="148"/>
        <v>70.77687682770123</v>
      </c>
      <c r="I465">
        <f t="shared" ca="1" si="149"/>
        <v>62.146899314220967</v>
      </c>
      <c r="J465">
        <f t="shared" ca="1" si="137"/>
        <v>68.62700000000001</v>
      </c>
      <c r="K465">
        <f t="shared" ca="1" si="138"/>
        <v>1.3620537898026595</v>
      </c>
      <c r="L465">
        <f t="shared" ca="1" si="139"/>
        <v>71.351107579605326</v>
      </c>
      <c r="M465">
        <f t="shared" ca="1" si="140"/>
        <v>65.902892420394693</v>
      </c>
      <c r="N465">
        <f t="shared" ca="1" si="150"/>
        <v>-0.14999999999999147</v>
      </c>
      <c r="O465">
        <f t="shared" ca="1" si="151"/>
        <v>0</v>
      </c>
      <c r="P465">
        <f t="shared" ca="1" si="152"/>
        <v>0.14999999999999147</v>
      </c>
      <c r="Q465">
        <f t="shared" ref="Q465:Q514" ca="1" si="156">(Q464*13+O465)/14</f>
        <v>0.30109224590065714</v>
      </c>
      <c r="R465">
        <f t="shared" ref="R465:R514" ca="1" si="157">(R464*13+P465)/14</f>
        <v>0.29268616087579485</v>
      </c>
      <c r="S465">
        <f t="shared" ca="1" si="154"/>
        <v>1.0287204731501791</v>
      </c>
      <c r="T465">
        <f t="shared" ca="1" si="155"/>
        <v>50.707846978681651</v>
      </c>
      <c r="U465">
        <f>70</f>
        <v>70</v>
      </c>
      <c r="V465">
        <f>30</f>
        <v>30</v>
      </c>
      <c r="W465">
        <f t="shared" ca="1" si="153"/>
        <v>68.771531111987244</v>
      </c>
      <c r="X465">
        <f t="shared" ca="1" si="142"/>
        <v>68.41878925436356</v>
      </c>
      <c r="Y465">
        <f t="shared" ca="1" si="141"/>
        <v>0.3496245942793621</v>
      </c>
      <c r="Z465">
        <f t="shared" ca="1" si="143"/>
        <v>0.45310386484059378</v>
      </c>
      <c r="AA465">
        <f t="shared" ca="1" si="144"/>
        <v>-0.10347927056123168</v>
      </c>
      <c r="AB465">
        <f t="shared" ca="1" si="145"/>
        <v>68.743999999999986</v>
      </c>
    </row>
    <row r="466" spans="1:28" x14ac:dyDescent="0.25">
      <c r="A466" s="20">
        <f t="shared" ca="1" si="146"/>
        <v>45964</v>
      </c>
      <c r="B466" vm="1302">
        <f ca="1"/>
        <v>45967</v>
      </c>
      <c r="C466" vm="1171">
        <f ca="1"/>
        <v>69.06</v>
      </c>
      <c r="D466" vm="1303">
        <f ca="1"/>
        <v>15906651</v>
      </c>
      <c r="E466">
        <f t="shared" ca="1" si="147"/>
        <v>1098513318.0599999</v>
      </c>
      <c r="F466">
        <f ca="1">SUM($E$2:E466)/SUM($D$2:D466)</f>
        <v>66.467717579355565</v>
      </c>
      <c r="G466">
        <f ca="1">_xlfn.STDEV.P($C$2:C466)</f>
        <v>4.3123605224964248</v>
      </c>
      <c r="H466">
        <f t="shared" ca="1" si="148"/>
        <v>70.780078101851984</v>
      </c>
      <c r="I466">
        <f t="shared" ca="1" si="149"/>
        <v>62.155357056859138</v>
      </c>
      <c r="J466">
        <f t="shared" ca="1" si="137"/>
        <v>68.761500000000012</v>
      </c>
      <c r="K466">
        <f t="shared" ca="1" si="138"/>
        <v>1.2561481432915207</v>
      </c>
      <c r="L466">
        <f t="shared" ca="1" si="139"/>
        <v>71.27379628658305</v>
      </c>
      <c r="M466">
        <f t="shared" ca="1" si="140"/>
        <v>66.249203713416975</v>
      </c>
      <c r="N466">
        <f t="shared" ca="1" si="150"/>
        <v>0.54999999999999716</v>
      </c>
      <c r="O466">
        <f t="shared" ca="1" si="151"/>
        <v>0.54999999999999716</v>
      </c>
      <c r="P466">
        <f t="shared" ca="1" si="152"/>
        <v>0</v>
      </c>
      <c r="Q466">
        <f t="shared" ca="1" si="156"/>
        <v>0.31887137119346715</v>
      </c>
      <c r="R466">
        <f t="shared" ca="1" si="157"/>
        <v>0.27178000652752382</v>
      </c>
      <c r="S466">
        <f t="shared" ca="1" si="154"/>
        <v>1.1732701579767395</v>
      </c>
      <c r="T466">
        <f t="shared" ca="1" si="155"/>
        <v>53.986392518683687</v>
      </c>
      <c r="U466">
        <f>70</f>
        <v>70</v>
      </c>
      <c r="V466">
        <f>30</f>
        <v>30</v>
      </c>
      <c r="W466">
        <f t="shared" ca="1" si="153"/>
        <v>68.815910940912289</v>
      </c>
      <c r="X466">
        <f t="shared" ca="1" si="142"/>
        <v>68.466286346632927</v>
      </c>
      <c r="Y466">
        <f t="shared" ca="1" si="141"/>
        <v>0.46205836693803803</v>
      </c>
      <c r="Z466">
        <f t="shared" ca="1" si="143"/>
        <v>0.45489476526008266</v>
      </c>
      <c r="AA466">
        <f t="shared" ca="1" si="144"/>
        <v>7.1636016779553779E-3</v>
      </c>
      <c r="AB466">
        <f t="shared" ca="1" si="145"/>
        <v>68.729399999999998</v>
      </c>
    </row>
    <row r="467" spans="1:28" x14ac:dyDescent="0.25">
      <c r="A467" s="20">
        <f t="shared" ca="1" si="146"/>
        <v>45964</v>
      </c>
      <c r="B467" vm="1304">
        <f ca="1"/>
        <v>45968</v>
      </c>
      <c r="C467" vm="1305">
        <f ca="1"/>
        <v>70.55</v>
      </c>
      <c r="D467" vm="1306">
        <f ca="1"/>
        <v>25108308</v>
      </c>
      <c r="E467">
        <f t="shared" ca="1" si="147"/>
        <v>1771391129.3999999</v>
      </c>
      <c r="F467">
        <f ca="1">SUM($E$2:E467)/SUM($D$2:D467)</f>
        <v>66.4821248060546</v>
      </c>
      <c r="G467">
        <f ca="1">_xlfn.STDEV.P($C$2:C467)</f>
        <v>4.3123855758976486</v>
      </c>
      <c r="H467">
        <f t="shared" ca="1" si="148"/>
        <v>70.79451038195225</v>
      </c>
      <c r="I467">
        <f t="shared" ca="1" si="149"/>
        <v>62.169739230156949</v>
      </c>
      <c r="J467">
        <f t="shared" ca="1" si="137"/>
        <v>68.937000000000012</v>
      </c>
      <c r="K467">
        <f t="shared" ca="1" si="138"/>
        <v>1.2481443067715827</v>
      </c>
      <c r="L467">
        <f t="shared" ca="1" si="139"/>
        <v>71.433288613543183</v>
      </c>
      <c r="M467">
        <f t="shared" ca="1" si="140"/>
        <v>66.44071138645684</v>
      </c>
      <c r="N467">
        <f t="shared" ca="1" si="150"/>
        <v>1.4899999999999949</v>
      </c>
      <c r="O467">
        <f t="shared" ca="1" si="151"/>
        <v>1.4899999999999949</v>
      </c>
      <c r="P467">
        <f t="shared" ca="1" si="152"/>
        <v>0</v>
      </c>
      <c r="Q467">
        <f t="shared" ca="1" si="156"/>
        <v>0.40252341610821912</v>
      </c>
      <c r="R467">
        <f t="shared" ca="1" si="157"/>
        <v>0.252367148918415</v>
      </c>
      <c r="S467">
        <f t="shared" ca="1" si="154"/>
        <v>1.5949913363658377</v>
      </c>
      <c r="T467">
        <f t="shared" ca="1" si="155"/>
        <v>61.464225872890481</v>
      </c>
      <c r="U467">
        <f>70</f>
        <v>70</v>
      </c>
      <c r="V467">
        <f>30</f>
        <v>30</v>
      </c>
      <c r="W467">
        <f t="shared" ca="1" si="153"/>
        <v>69.082693873079634</v>
      </c>
      <c r="X467">
        <f t="shared" ca="1" si="142"/>
        <v>68.620635506141596</v>
      </c>
      <c r="Y467">
        <f t="shared" ca="1" si="141"/>
        <v>0.54248872025252126</v>
      </c>
      <c r="Z467">
        <f t="shared" ca="1" si="143"/>
        <v>0.4724135562585704</v>
      </c>
      <c r="AA467">
        <f t="shared" ca="1" si="144"/>
        <v>7.0075163993950862E-2</v>
      </c>
      <c r="AB467">
        <f t="shared" ca="1" si="145"/>
        <v>68.738699999999994</v>
      </c>
    </row>
    <row r="468" spans="1:28" x14ac:dyDescent="0.25">
      <c r="A468" s="20">
        <f t="shared" ca="1" si="146"/>
        <v>45971</v>
      </c>
      <c r="B468" vm="1307">
        <f ca="1"/>
        <v>45971</v>
      </c>
      <c r="C468" vm="553">
        <f ca="1"/>
        <v>70.52</v>
      </c>
      <c r="D468" vm="1308">
        <f ca="1"/>
        <v>15317986</v>
      </c>
      <c r="E468">
        <f t="shared" ca="1" si="147"/>
        <v>1080224372.72</v>
      </c>
      <c r="F468">
        <f ca="1">SUM($E$2:E468)/SUM($D$2:D468)</f>
        <v>66.4908000238471</v>
      </c>
      <c r="G468">
        <f ca="1">_xlfn.STDEV.P($C$2:C468)</f>
        <v>4.31232665794571</v>
      </c>
      <c r="H468">
        <f t="shared" ca="1" si="148"/>
        <v>70.803126681792804</v>
      </c>
      <c r="I468">
        <f t="shared" ca="1" si="149"/>
        <v>62.17847336590139</v>
      </c>
      <c r="J468">
        <f t="shared" ca="1" si="137"/>
        <v>69.12299999999999</v>
      </c>
      <c r="K468">
        <f t="shared" ca="1" si="138"/>
        <v>1.1886883527653485</v>
      </c>
      <c r="L468">
        <f t="shared" ca="1" si="139"/>
        <v>71.500376705530684</v>
      </c>
      <c r="M468">
        <f t="shared" ca="1" si="140"/>
        <v>66.745623294469297</v>
      </c>
      <c r="N468">
        <f t="shared" ca="1" si="150"/>
        <v>-3.0000000000001137E-2</v>
      </c>
      <c r="O468">
        <f t="shared" ca="1" si="151"/>
        <v>0</v>
      </c>
      <c r="P468">
        <f t="shared" ca="1" si="152"/>
        <v>3.0000000000001137E-2</v>
      </c>
      <c r="Q468">
        <f t="shared" ca="1" si="156"/>
        <v>0.37377174352906062</v>
      </c>
      <c r="R468">
        <f t="shared" ca="1" si="157"/>
        <v>0.2364837811385283</v>
      </c>
      <c r="S468">
        <f t="shared" ca="1" si="154"/>
        <v>1.5805385964719132</v>
      </c>
      <c r="T468">
        <f t="shared" ca="1" si="155"/>
        <v>61.248399796569984</v>
      </c>
      <c r="U468">
        <f>70</f>
        <v>70</v>
      </c>
      <c r="V468">
        <f>30</f>
        <v>30</v>
      </c>
      <c r="W468">
        <f t="shared" ca="1" si="153"/>
        <v>69.303817892605849</v>
      </c>
      <c r="X468">
        <f t="shared" ca="1" si="142"/>
        <v>68.761329172353328</v>
      </c>
      <c r="Y468">
        <f t="shared" ca="1" si="141"/>
        <v>0.68627331364416477</v>
      </c>
      <c r="Z468">
        <f t="shared" ca="1" si="143"/>
        <v>0.51518550773568927</v>
      </c>
      <c r="AA468">
        <f t="shared" ca="1" si="144"/>
        <v>0.1710878059084755</v>
      </c>
      <c r="AB468">
        <f t="shared" ca="1" si="145"/>
        <v>68.751800000000003</v>
      </c>
    </row>
    <row r="469" spans="1:28" x14ac:dyDescent="0.25">
      <c r="A469" s="20">
        <f t="shared" ca="1" si="146"/>
        <v>45971</v>
      </c>
      <c r="B469" vm="1309">
        <f ca="1"/>
        <v>45972</v>
      </c>
      <c r="C469" vm="974">
        <f ca="1"/>
        <v>71.61</v>
      </c>
      <c r="D469" vm="1310">
        <f ca="1"/>
        <v>16160212</v>
      </c>
      <c r="E469">
        <f t="shared" ca="1" si="147"/>
        <v>1157232781.3199999</v>
      </c>
      <c r="F469">
        <f ca="1">SUM($E$2:E469)/SUM($D$2:D469)</f>
        <v>66.502376908937862</v>
      </c>
      <c r="G469">
        <f ca="1">_xlfn.STDEV.P($C$2:C469)</f>
        <v>4.3148483029779907</v>
      </c>
      <c r="H469">
        <f t="shared" ca="1" si="148"/>
        <v>70.817225211915854</v>
      </c>
      <c r="I469">
        <f t="shared" ca="1" si="149"/>
        <v>62.187528605959869</v>
      </c>
      <c r="J469">
        <f t="shared" ca="1" si="137"/>
        <v>69.327999999999989</v>
      </c>
      <c r="K469">
        <f t="shared" ca="1" si="138"/>
        <v>1.2479355583902303</v>
      </c>
      <c r="L469">
        <f t="shared" ca="1" si="139"/>
        <v>71.823871116780452</v>
      </c>
      <c r="M469">
        <f t="shared" ca="1" si="140"/>
        <v>66.832128883219525</v>
      </c>
      <c r="N469">
        <f t="shared" ca="1" si="150"/>
        <v>1.0900000000000034</v>
      </c>
      <c r="O469">
        <f t="shared" ca="1" si="151"/>
        <v>1.0900000000000034</v>
      </c>
      <c r="P469">
        <f t="shared" ca="1" si="152"/>
        <v>0</v>
      </c>
      <c r="Q469">
        <f t="shared" ca="1" si="156"/>
        <v>0.4249309047055565</v>
      </c>
      <c r="R469">
        <f t="shared" ca="1" si="157"/>
        <v>0.21959208248577627</v>
      </c>
      <c r="S469">
        <f t="shared" ca="1" si="154"/>
        <v>1.9350921030273518</v>
      </c>
      <c r="T469">
        <f t="shared" ca="1" si="155"/>
        <v>65.929518907820068</v>
      </c>
      <c r="U469">
        <f>70</f>
        <v>70</v>
      </c>
      <c r="V469">
        <f>30</f>
        <v>30</v>
      </c>
      <c r="W469">
        <f t="shared" ca="1" si="153"/>
        <v>69.65861513989725</v>
      </c>
      <c r="X469">
        <f t="shared" ca="1" si="142"/>
        <v>68.972341826253086</v>
      </c>
      <c r="Y469">
        <f t="shared" ca="1" si="141"/>
        <v>0.78312707412317195</v>
      </c>
      <c r="Z469">
        <f t="shared" ca="1" si="143"/>
        <v>0.56877382101318585</v>
      </c>
      <c r="AA469">
        <f t="shared" ca="1" si="144"/>
        <v>0.2143532531099861</v>
      </c>
      <c r="AB469">
        <f t="shared" ca="1" si="145"/>
        <v>68.779499999999999</v>
      </c>
    </row>
    <row r="470" spans="1:28" x14ac:dyDescent="0.25">
      <c r="A470" s="20">
        <f t="shared" ca="1" si="146"/>
        <v>45971</v>
      </c>
      <c r="B470" vm="1311">
        <f ca="1"/>
        <v>45973</v>
      </c>
      <c r="C470" vm="1312">
        <f ca="1"/>
        <v>71.510000000000005</v>
      </c>
      <c r="D470" vm="1313">
        <f ca="1"/>
        <v>13612613</v>
      </c>
      <c r="E470">
        <f t="shared" ca="1" si="147"/>
        <v>973437955.63000011</v>
      </c>
      <c r="F470">
        <f ca="1">SUM($E$2:E470)/SUM($D$2:D470)</f>
        <v>66.511898053993335</v>
      </c>
      <c r="G470">
        <f ca="1">_xlfn.STDEV.P($C$2:C470)</f>
        <v>4.3170657978365412</v>
      </c>
      <c r="H470">
        <f t="shared" ca="1" si="148"/>
        <v>70.828963851829883</v>
      </c>
      <c r="I470">
        <f t="shared" ca="1" si="149"/>
        <v>62.194832256156793</v>
      </c>
      <c r="J470">
        <f t="shared" ref="J470:J514" ca="1" si="158">AVERAGE(C451:C470)</f>
        <v>69.549499999999995</v>
      </c>
      <c r="K470">
        <f t="shared" ref="K470:K514" ca="1" si="159">_xlfn.STDEV.S(C451:C470)</f>
        <v>1.2207826436994811</v>
      </c>
      <c r="L470">
        <f t="shared" ref="L470:L514" ca="1" si="160">J470 + 2*K470</f>
        <v>71.991065287398953</v>
      </c>
      <c r="M470">
        <f t="shared" ref="M470:M514" ca="1" si="161">J470-2*K470</f>
        <v>67.107934712601036</v>
      </c>
      <c r="N470">
        <f t="shared" ca="1" si="150"/>
        <v>-9.9999999999994316E-2</v>
      </c>
      <c r="O470">
        <f t="shared" ca="1" si="151"/>
        <v>0</v>
      </c>
      <c r="P470">
        <f t="shared" ca="1" si="152"/>
        <v>9.9999999999994316E-2</v>
      </c>
      <c r="Q470">
        <f t="shared" ca="1" si="156"/>
        <v>0.39457869722658817</v>
      </c>
      <c r="R470">
        <f t="shared" ca="1" si="157"/>
        <v>0.21104979087964898</v>
      </c>
      <c r="S470">
        <f t="shared" ca="1" si="154"/>
        <v>1.8696000388438976</v>
      </c>
      <c r="T470">
        <f t="shared" ca="1" si="155"/>
        <v>65.151938023987498</v>
      </c>
      <c r="U470">
        <f>70</f>
        <v>70</v>
      </c>
      <c r="V470">
        <f>30</f>
        <v>30</v>
      </c>
      <c r="W470">
        <f t="shared" ca="1" si="153"/>
        <v>69.943443579913065</v>
      </c>
      <c r="X470">
        <f t="shared" ca="1" si="142"/>
        <v>69.160316505789893</v>
      </c>
      <c r="Y470">
        <f t="shared" ca="1" si="141"/>
        <v>0.81498540983608336</v>
      </c>
      <c r="Z470">
        <f t="shared" ca="1" si="143"/>
        <v>0.6180161387777654</v>
      </c>
      <c r="AA470">
        <f t="shared" ca="1" si="144"/>
        <v>0.19696927105831796</v>
      </c>
      <c r="AB470">
        <f t="shared" ca="1" si="145"/>
        <v>68.797200000000004</v>
      </c>
    </row>
    <row r="471" spans="1:28" x14ac:dyDescent="0.25">
      <c r="A471" s="20">
        <f t="shared" ca="1" si="146"/>
        <v>45971</v>
      </c>
      <c r="B471" vm="1314">
        <f ca="1"/>
        <v>45974</v>
      </c>
      <c r="C471" vm="1315">
        <f ca="1"/>
        <v>71.069999999999993</v>
      </c>
      <c r="D471" vm="1316">
        <f ca="1"/>
        <v>14002824</v>
      </c>
      <c r="E471">
        <f t="shared" ca="1" si="147"/>
        <v>995180701.67999995</v>
      </c>
      <c r="F471">
        <f ca="1">SUM($E$2:E471)/SUM($D$2:D471)</f>
        <v>66.520795536386643</v>
      </c>
      <c r="G471">
        <f ca="1">_xlfn.STDEV.P($C$2:C471)</f>
        <v>4.3181563032925325</v>
      </c>
      <c r="H471">
        <f t="shared" ca="1" si="148"/>
        <v>70.838951839679169</v>
      </c>
      <c r="I471">
        <f t="shared" ca="1" si="149"/>
        <v>62.202639233094111</v>
      </c>
      <c r="J471">
        <f t="shared" ca="1" si="158"/>
        <v>69.723499999999987</v>
      </c>
      <c r="K471">
        <f t="shared" ca="1" si="159"/>
        <v>1.1738971307930735</v>
      </c>
      <c r="L471">
        <f t="shared" ca="1" si="160"/>
        <v>72.071294261586132</v>
      </c>
      <c r="M471">
        <f t="shared" ca="1" si="161"/>
        <v>67.375705738413842</v>
      </c>
      <c r="N471">
        <f t="shared" ca="1" si="150"/>
        <v>-0.44000000000001194</v>
      </c>
      <c r="O471">
        <f t="shared" ca="1" si="151"/>
        <v>0</v>
      </c>
      <c r="P471">
        <f t="shared" ca="1" si="152"/>
        <v>0.44000000000001194</v>
      </c>
      <c r="Q471">
        <f t="shared" ca="1" si="156"/>
        <v>0.36639450456754613</v>
      </c>
      <c r="R471">
        <f t="shared" ca="1" si="157"/>
        <v>0.2274033772453892</v>
      </c>
      <c r="S471">
        <f t="shared" ca="1" si="154"/>
        <v>1.6112096003401599</v>
      </c>
      <c r="T471">
        <f t="shared" ca="1" si="155"/>
        <v>61.703572173228416</v>
      </c>
      <c r="U471">
        <f>70</f>
        <v>70</v>
      </c>
      <c r="V471">
        <f>30</f>
        <v>30</v>
      </c>
      <c r="W471">
        <f t="shared" ca="1" si="153"/>
        <v>70.116759952234133</v>
      </c>
      <c r="X471">
        <f t="shared" ca="1" si="142"/>
        <v>69.30177454239805</v>
      </c>
      <c r="Y471">
        <f t="shared" ca="1" si="141"/>
        <v>0.83783754853040193</v>
      </c>
      <c r="Z471">
        <f t="shared" ca="1" si="143"/>
        <v>0.66198042072829277</v>
      </c>
      <c r="AA471">
        <f t="shared" ca="1" si="144"/>
        <v>0.17585712780210916</v>
      </c>
      <c r="AB471">
        <f t="shared" ca="1" si="145"/>
        <v>68.805800000000005</v>
      </c>
    </row>
    <row r="472" spans="1:28" x14ac:dyDescent="0.25">
      <c r="A472" s="20">
        <f t="shared" ca="1" si="146"/>
        <v>45971</v>
      </c>
      <c r="B472" vm="1317">
        <f ca="1"/>
        <v>45975</v>
      </c>
      <c r="C472" vm="1005">
        <f ca="1"/>
        <v>71.16</v>
      </c>
      <c r="D472" vm="1318">
        <f ca="1"/>
        <v>13172016</v>
      </c>
      <c r="E472">
        <f t="shared" ca="1" si="147"/>
        <v>937320658.55999994</v>
      </c>
      <c r="F472">
        <f ca="1">SUM($E$2:E472)/SUM($D$2:D472)</f>
        <v>66.529298425511953</v>
      </c>
      <c r="G472">
        <f ca="1">_xlfn.STDEV.P($C$2:C472)</f>
        <v>4.3194315979935549</v>
      </c>
      <c r="H472">
        <f t="shared" ca="1" si="148"/>
        <v>70.84873002350551</v>
      </c>
      <c r="I472">
        <f t="shared" ca="1" si="149"/>
        <v>62.209866827518397</v>
      </c>
      <c r="J472">
        <f t="shared" ca="1" si="158"/>
        <v>69.859499999999997</v>
      </c>
      <c r="K472">
        <f t="shared" ca="1" si="159"/>
        <v>1.1749332567830124</v>
      </c>
      <c r="L472">
        <f t="shared" ca="1" si="160"/>
        <v>72.209366513566025</v>
      </c>
      <c r="M472">
        <f t="shared" ca="1" si="161"/>
        <v>67.50963348643397</v>
      </c>
      <c r="N472">
        <f t="shared" ca="1" si="150"/>
        <v>9.0000000000003411E-2</v>
      </c>
      <c r="O472">
        <f t="shared" ca="1" si="151"/>
        <v>9.0000000000003411E-2</v>
      </c>
      <c r="P472">
        <f t="shared" ca="1" si="152"/>
        <v>0</v>
      </c>
      <c r="Q472">
        <f t="shared" ca="1" si="156"/>
        <v>0.34665203995557875</v>
      </c>
      <c r="R472">
        <f t="shared" ca="1" si="157"/>
        <v>0.21116027887071853</v>
      </c>
      <c r="S472">
        <f t="shared" ca="1" si="154"/>
        <v>1.6416536377460182</v>
      </c>
      <c r="T472">
        <f t="shared" ca="1" si="155"/>
        <v>62.144923705696463</v>
      </c>
      <c r="U472">
        <f>70</f>
        <v>70</v>
      </c>
      <c r="V472">
        <f>30</f>
        <v>30</v>
      </c>
      <c r="W472">
        <f t="shared" ca="1" si="153"/>
        <v>70.277258421121189</v>
      </c>
      <c r="X472">
        <f t="shared" ca="1" si="142"/>
        <v>69.439420872590787</v>
      </c>
      <c r="Y472">
        <f t="shared" ca="1" si="141"/>
        <v>0.80790304125638102</v>
      </c>
      <c r="Z472">
        <f t="shared" ca="1" si="143"/>
        <v>0.69116494483391044</v>
      </c>
      <c r="AA472">
        <f t="shared" ca="1" si="144"/>
        <v>0.11673809642247057</v>
      </c>
      <c r="AB472">
        <f t="shared" ca="1" si="145"/>
        <v>68.821100000000001</v>
      </c>
    </row>
    <row r="473" spans="1:28" x14ac:dyDescent="0.25">
      <c r="A473" s="20">
        <f t="shared" ca="1" si="146"/>
        <v>45978</v>
      </c>
      <c r="B473" vm="1319">
        <f ca="1"/>
        <v>45978</v>
      </c>
      <c r="C473" vm="1320">
        <f ca="1"/>
        <v>70.680000000000007</v>
      </c>
      <c r="D473" vm="1321">
        <f ca="1"/>
        <v>14772285</v>
      </c>
      <c r="E473">
        <f t="shared" ca="1" si="147"/>
        <v>1044105103.8000001</v>
      </c>
      <c r="F473">
        <f ca="1">SUM($E$2:E473)/SUM($D$2:D473)</f>
        <v>66.53781271010368</v>
      </c>
      <c r="G473">
        <f ca="1">_xlfn.STDEV.P($C$2:C473)</f>
        <v>4.319587150364927</v>
      </c>
      <c r="H473">
        <f t="shared" ca="1" si="148"/>
        <v>70.857399860468604</v>
      </c>
      <c r="I473">
        <f t="shared" ca="1" si="149"/>
        <v>62.218225559738755</v>
      </c>
      <c r="J473">
        <f t="shared" ca="1" si="158"/>
        <v>69.971499999999992</v>
      </c>
      <c r="K473">
        <f t="shared" ca="1" si="159"/>
        <v>1.1387032097961258</v>
      </c>
      <c r="L473">
        <f t="shared" ca="1" si="160"/>
        <v>72.248906419592245</v>
      </c>
      <c r="M473">
        <f t="shared" ca="1" si="161"/>
        <v>67.694093580407738</v>
      </c>
      <c r="N473">
        <f t="shared" ca="1" si="150"/>
        <v>-0.47999999999998977</v>
      </c>
      <c r="O473">
        <f t="shared" ca="1" si="151"/>
        <v>0</v>
      </c>
      <c r="P473">
        <f t="shared" ca="1" si="152"/>
        <v>0.47999999999998977</v>
      </c>
      <c r="Q473">
        <f t="shared" ca="1" si="156"/>
        <v>0.32189117995875172</v>
      </c>
      <c r="R473">
        <f t="shared" ca="1" si="157"/>
        <v>0.2303631160942379</v>
      </c>
      <c r="S473">
        <f t="shared" ca="1" si="154"/>
        <v>1.397320827293685</v>
      </c>
      <c r="T473">
        <f t="shared" ca="1" si="155"/>
        <v>58.28676793631783</v>
      </c>
      <c r="U473">
        <f>70</f>
        <v>70</v>
      </c>
      <c r="V473">
        <f>30</f>
        <v>30</v>
      </c>
      <c r="W473">
        <f t="shared" ca="1" si="153"/>
        <v>70.339218664025623</v>
      </c>
      <c r="X473">
        <f t="shared" ca="1" si="142"/>
        <v>69.531315622769242</v>
      </c>
      <c r="Y473">
        <f t="shared" ca="1" si="141"/>
        <v>0.81832013052878949</v>
      </c>
      <c r="Z473">
        <f t="shared" ca="1" si="143"/>
        <v>0.71659598197288632</v>
      </c>
      <c r="AA473">
        <f t="shared" ca="1" si="144"/>
        <v>0.10172414855590317</v>
      </c>
      <c r="AB473">
        <f t="shared" ca="1" si="145"/>
        <v>68.833199999999991</v>
      </c>
    </row>
    <row r="474" spans="1:28" x14ac:dyDescent="0.25">
      <c r="A474" s="20">
        <f t="shared" ca="1" si="146"/>
        <v>45978</v>
      </c>
      <c r="B474" vm="1322">
        <f ca="1"/>
        <v>45979</v>
      </c>
      <c r="C474" vm="1270">
        <f ca="1"/>
        <v>71.22</v>
      </c>
      <c r="D474" vm="1323">
        <f ca="1"/>
        <v>12838923</v>
      </c>
      <c r="E474">
        <f t="shared" ca="1" si="147"/>
        <v>914388096.05999994</v>
      </c>
      <c r="F474">
        <f ca="1">SUM($E$2:E474)/SUM($D$2:D474)</f>
        <v>66.546145353019995</v>
      </c>
      <c r="G474">
        <f ca="1">_xlfn.STDEV.P($C$2:C474)</f>
        <v>4.3209502429098823</v>
      </c>
      <c r="H474">
        <f t="shared" ca="1" si="148"/>
        <v>70.867095595929882</v>
      </c>
      <c r="I474">
        <f t="shared" ca="1" si="149"/>
        <v>62.225195110110114</v>
      </c>
      <c r="J474">
        <f t="shared" ca="1" si="158"/>
        <v>69.971499999999992</v>
      </c>
      <c r="K474">
        <f t="shared" ca="1" si="159"/>
        <v>1.1387032097961258</v>
      </c>
      <c r="L474">
        <f t="shared" ca="1" si="160"/>
        <v>72.248906419592245</v>
      </c>
      <c r="M474">
        <f t="shared" ca="1" si="161"/>
        <v>67.694093580407738</v>
      </c>
      <c r="N474">
        <f t="shared" ca="1" si="150"/>
        <v>0.53999999999999204</v>
      </c>
      <c r="O474">
        <f t="shared" ca="1" si="151"/>
        <v>0.53999999999999204</v>
      </c>
      <c r="P474">
        <f t="shared" ca="1" si="152"/>
        <v>0</v>
      </c>
      <c r="Q474">
        <f t="shared" ca="1" si="156"/>
        <v>0.33747038139026886</v>
      </c>
      <c r="R474">
        <f t="shared" ca="1" si="157"/>
        <v>0.21390860780179236</v>
      </c>
      <c r="S474">
        <f t="shared" ca="1" si="154"/>
        <v>1.5776381551833987</v>
      </c>
      <c r="T474">
        <f t="shared" ca="1" si="155"/>
        <v>61.20479525067978</v>
      </c>
      <c r="U474">
        <f>70</f>
        <v>70</v>
      </c>
      <c r="V474">
        <f>30</f>
        <v>30</v>
      </c>
      <c r="W474">
        <f t="shared" ca="1" si="153"/>
        <v>70.474723484944761</v>
      </c>
      <c r="X474">
        <f t="shared" ca="1" si="142"/>
        <v>69.656403354415971</v>
      </c>
      <c r="Y474">
        <f t="shared" ca="1" si="141"/>
        <v>0.80838115340002048</v>
      </c>
      <c r="Z474">
        <f t="shared" ca="1" si="143"/>
        <v>0.73495301625831322</v>
      </c>
      <c r="AA474">
        <f t="shared" ca="1" si="144"/>
        <v>7.3428137141707261E-2</v>
      </c>
      <c r="AB474">
        <f t="shared" ca="1" si="145"/>
        <v>68.842100000000002</v>
      </c>
    </row>
    <row r="475" spans="1:28" x14ac:dyDescent="0.25">
      <c r="A475" s="20">
        <f t="shared" ca="1" si="146"/>
        <v>45978</v>
      </c>
      <c r="B475" vm="1324">
        <f ca="1"/>
        <v>45980</v>
      </c>
      <c r="C475" vm="1325">
        <f ca="1"/>
        <v>71.11</v>
      </c>
      <c r="D475" vm="1326">
        <f ca="1"/>
        <v>12401529</v>
      </c>
      <c r="E475">
        <f t="shared" ca="1" si="147"/>
        <v>881872727.18999994</v>
      </c>
      <c r="F475">
        <f ca="1">SUM($E$2:E475)/SUM($D$2:D475)</f>
        <v>66.553977241830808</v>
      </c>
      <c r="G475">
        <f ca="1">_xlfn.STDEV.P($C$2:C475)</f>
        <v>4.3220216948789894</v>
      </c>
      <c r="H475">
        <f t="shared" ca="1" si="148"/>
        <v>70.875998936709792</v>
      </c>
      <c r="I475">
        <f t="shared" ca="1" si="149"/>
        <v>62.231955546951816</v>
      </c>
      <c r="J475">
        <f t="shared" ca="1" si="158"/>
        <v>69.986500000000007</v>
      </c>
      <c r="K475">
        <f t="shared" ca="1" si="159"/>
        <v>1.1522256495011818</v>
      </c>
      <c r="L475">
        <f t="shared" ca="1" si="160"/>
        <v>72.290951299002373</v>
      </c>
      <c r="M475">
        <f t="shared" ca="1" si="161"/>
        <v>67.68204870099764</v>
      </c>
      <c r="N475">
        <f t="shared" ca="1" si="150"/>
        <v>-0.10999999999999943</v>
      </c>
      <c r="O475">
        <f t="shared" ca="1" si="151"/>
        <v>0</v>
      </c>
      <c r="P475">
        <f t="shared" ca="1" si="152"/>
        <v>0.10999999999999943</v>
      </c>
      <c r="Q475">
        <f t="shared" ca="1" si="156"/>
        <v>0.31336535414810679</v>
      </c>
      <c r="R475">
        <f t="shared" ca="1" si="157"/>
        <v>0.20648656438737858</v>
      </c>
      <c r="S475">
        <f t="shared" ca="1" si="154"/>
        <v>1.5176065090618609</v>
      </c>
      <c r="T475">
        <f t="shared" ca="1" si="155"/>
        <v>60.279734088682851</v>
      </c>
      <c r="U475">
        <f>70</f>
        <v>70</v>
      </c>
      <c r="V475">
        <f>30</f>
        <v>30</v>
      </c>
      <c r="W475">
        <f t="shared" ca="1" si="153"/>
        <v>70.572458333414801</v>
      </c>
      <c r="X475">
        <f t="shared" ca="1" si="142"/>
        <v>69.76407718001478</v>
      </c>
      <c r="Y475">
        <f t="shared" ca="1" si="141"/>
        <v>0.79935909264783334</v>
      </c>
      <c r="Z475">
        <f t="shared" ca="1" si="143"/>
        <v>0.74783423153621731</v>
      </c>
      <c r="AA475">
        <f t="shared" ca="1" si="144"/>
        <v>5.1524861111616027E-2</v>
      </c>
      <c r="AB475">
        <f t="shared" ca="1" si="145"/>
        <v>68.845699999999994</v>
      </c>
    </row>
    <row r="476" spans="1:28" x14ac:dyDescent="0.25">
      <c r="A476" s="20">
        <f t="shared" ca="1" si="146"/>
        <v>45978</v>
      </c>
      <c r="B476" vm="1327">
        <f ca="1"/>
        <v>45981</v>
      </c>
      <c r="C476" vm="824">
        <f ca="1"/>
        <v>71.209999999999994</v>
      </c>
      <c r="D476" vm="1328">
        <f ca="1"/>
        <v>15396543</v>
      </c>
      <c r="E476">
        <f t="shared" ca="1" si="147"/>
        <v>1096387827.03</v>
      </c>
      <c r="F476">
        <f ca="1">SUM($E$2:E476)/SUM($D$2:D476)</f>
        <v>66.563875835721362</v>
      </c>
      <c r="G476">
        <f ca="1">_xlfn.STDEV.P($C$2:C476)</f>
        <v>4.3233002687716713</v>
      </c>
      <c r="H476">
        <f t="shared" ca="1" si="148"/>
        <v>70.887176104493037</v>
      </c>
      <c r="I476">
        <f t="shared" ca="1" si="149"/>
        <v>62.240575566949687</v>
      </c>
      <c r="J476">
        <f t="shared" ca="1" si="158"/>
        <v>70.05</v>
      </c>
      <c r="K476">
        <f t="shared" ca="1" si="159"/>
        <v>1.1840830340727568</v>
      </c>
      <c r="L476">
        <f t="shared" ca="1" si="160"/>
        <v>72.41816606814551</v>
      </c>
      <c r="M476">
        <f t="shared" ca="1" si="161"/>
        <v>67.681833931854484</v>
      </c>
      <c r="N476">
        <f t="shared" ca="1" si="150"/>
        <v>9.9999999999994316E-2</v>
      </c>
      <c r="O476">
        <f t="shared" ca="1" si="151"/>
        <v>9.9999999999994316E-2</v>
      </c>
      <c r="P476">
        <f t="shared" ca="1" si="152"/>
        <v>0</v>
      </c>
      <c r="Q476">
        <f t="shared" ca="1" si="156"/>
        <v>0.29812497170895591</v>
      </c>
      <c r="R476">
        <f t="shared" ca="1" si="157"/>
        <v>0.19173752407399441</v>
      </c>
      <c r="S476">
        <f t="shared" ca="1" si="154"/>
        <v>1.5548598176009876</v>
      </c>
      <c r="T476">
        <f t="shared" ca="1" si="155"/>
        <v>60.858909239920656</v>
      </c>
      <c r="U476">
        <f>70</f>
        <v>70</v>
      </c>
      <c r="V476">
        <f>30</f>
        <v>30</v>
      </c>
      <c r="W476">
        <f t="shared" ca="1" si="153"/>
        <v>70.670541666735602</v>
      </c>
      <c r="X476">
        <f t="shared" ca="1" si="142"/>
        <v>69.871182574087769</v>
      </c>
      <c r="Y476">
        <f t="shared" ref="Y476:Y514" ca="1" si="162">W477-X477</f>
        <v>0.92198444000555924</v>
      </c>
      <c r="Z476">
        <f t="shared" ca="1" si="143"/>
        <v>0.78266427323008569</v>
      </c>
      <c r="AA476">
        <f t="shared" ca="1" si="144"/>
        <v>0.13932016677547354</v>
      </c>
      <c r="AB476">
        <f t="shared" ca="1" si="145"/>
        <v>68.841099999999997</v>
      </c>
    </row>
    <row r="477" spans="1:28" x14ac:dyDescent="0.25">
      <c r="A477" s="20">
        <f t="shared" ca="1" si="146"/>
        <v>45978</v>
      </c>
      <c r="B477" vm="1329">
        <f ca="1"/>
        <v>45982</v>
      </c>
      <c r="C477" vm="1330">
        <f ca="1"/>
        <v>72.95</v>
      </c>
      <c r="D477" vm="1331">
        <f ca="1"/>
        <v>26492529</v>
      </c>
      <c r="E477">
        <f t="shared" ca="1" si="147"/>
        <v>1932629990.5500002</v>
      </c>
      <c r="F477">
        <f ca="1">SUM($E$2:E477)/SUM($D$2:D477)</f>
        <v>66.58715193306314</v>
      </c>
      <c r="G477">
        <f ca="1">_xlfn.STDEV.P($C$2:C477)</f>
        <v>4.3294017732147427</v>
      </c>
      <c r="H477">
        <f t="shared" ca="1" si="148"/>
        <v>70.916553706277881</v>
      </c>
      <c r="I477">
        <f t="shared" ca="1" si="149"/>
        <v>62.257750159848399</v>
      </c>
      <c r="J477">
        <f t="shared" ca="1" si="158"/>
        <v>70.212000000000018</v>
      </c>
      <c r="K477">
        <f t="shared" ca="1" si="159"/>
        <v>1.345724614043343</v>
      </c>
      <c r="L477">
        <f t="shared" ca="1" si="160"/>
        <v>72.9034492280867</v>
      </c>
      <c r="M477">
        <f t="shared" ca="1" si="161"/>
        <v>67.520550771913335</v>
      </c>
      <c r="N477">
        <f t="shared" ca="1" si="150"/>
        <v>1.7400000000000091</v>
      </c>
      <c r="O477">
        <f t="shared" ca="1" si="151"/>
        <v>1.7400000000000091</v>
      </c>
      <c r="P477">
        <f t="shared" ca="1" si="152"/>
        <v>0</v>
      </c>
      <c r="Q477">
        <f t="shared" ca="1" si="156"/>
        <v>0.40111604515831684</v>
      </c>
      <c r="R477">
        <f t="shared" ca="1" si="157"/>
        <v>0.17804198664013768</v>
      </c>
      <c r="S477">
        <f t="shared" ca="1" si="154"/>
        <v>2.252929506841896</v>
      </c>
      <c r="T477">
        <f t="shared" ca="1" si="155"/>
        <v>69.258479229362422</v>
      </c>
      <c r="U477">
        <f>70</f>
        <v>70</v>
      </c>
      <c r="V477">
        <f>30</f>
        <v>30</v>
      </c>
      <c r="W477">
        <f t="shared" ca="1" si="153"/>
        <v>71.021227564160895</v>
      </c>
      <c r="X477">
        <f t="shared" ref="X477:X514" ca="1" si="163">C477*(2/(26+1)) + X476*(1-(2/(26+1)))</f>
        <v>70.099243124155336</v>
      </c>
      <c r="Y477">
        <f t="shared" ca="1" si="162"/>
        <v>0.97883353619742763</v>
      </c>
      <c r="Z477">
        <f t="shared" ca="1" si="143"/>
        <v>0.82189812582355415</v>
      </c>
      <c r="AA477">
        <f t="shared" ca="1" si="144"/>
        <v>0.15693541037387349</v>
      </c>
      <c r="AB477">
        <f t="shared" ca="1" si="145"/>
        <v>68.861499999999992</v>
      </c>
    </row>
    <row r="478" spans="1:28" x14ac:dyDescent="0.25">
      <c r="A478" s="20">
        <f t="shared" ca="1" si="146"/>
        <v>45985</v>
      </c>
      <c r="B478" vm="1332">
        <f ca="1"/>
        <v>45985</v>
      </c>
      <c r="C478" vm="1333">
        <f ca="1"/>
        <v>72.59</v>
      </c>
      <c r="D478" vm="1334">
        <f ca="1"/>
        <v>39818553</v>
      </c>
      <c r="E478">
        <f t="shared" ca="1" si="147"/>
        <v>2890428762.27</v>
      </c>
      <c r="F478">
        <f ca="1">SUM($E$2:E478)/SUM($D$2:D478)</f>
        <v>66.619857341026758</v>
      </c>
      <c r="G478">
        <f ca="1">_xlfn.STDEV.P($C$2:C478)</f>
        <v>4.3343071118813477</v>
      </c>
      <c r="H478">
        <f t="shared" ca="1" si="148"/>
        <v>70.954164452908103</v>
      </c>
      <c r="I478">
        <f t="shared" ca="1" si="149"/>
        <v>62.285550229145414</v>
      </c>
      <c r="J478">
        <f t="shared" ca="1" si="158"/>
        <v>70.338499999999982</v>
      </c>
      <c r="K478">
        <f t="shared" ca="1" si="159"/>
        <v>1.4458698893199573</v>
      </c>
      <c r="L478">
        <f t="shared" ca="1" si="160"/>
        <v>73.230239778639898</v>
      </c>
      <c r="M478">
        <f t="shared" ca="1" si="161"/>
        <v>67.446760221360066</v>
      </c>
      <c r="N478">
        <f t="shared" ca="1" si="150"/>
        <v>-0.35999999999999943</v>
      </c>
      <c r="O478">
        <f t="shared" ca="1" si="151"/>
        <v>0</v>
      </c>
      <c r="P478">
        <f t="shared" ca="1" si="152"/>
        <v>0.35999999999999943</v>
      </c>
      <c r="Q478">
        <f t="shared" ca="1" si="156"/>
        <v>0.37246489907557995</v>
      </c>
      <c r="R478">
        <f t="shared" ca="1" si="157"/>
        <v>0.19103898759441354</v>
      </c>
      <c r="S478">
        <f t="shared" ca="1" si="154"/>
        <v>1.9496800300593289</v>
      </c>
      <c r="T478">
        <f t="shared" ca="1" si="155"/>
        <v>66.098017757543474</v>
      </c>
      <c r="U478">
        <f>70</f>
        <v>70</v>
      </c>
      <c r="V478">
        <f>30</f>
        <v>30</v>
      </c>
      <c r="W478">
        <f t="shared" ca="1" si="153"/>
        <v>71.2625771696746</v>
      </c>
      <c r="X478">
        <f t="shared" ca="1" si="163"/>
        <v>70.283743633477172</v>
      </c>
      <c r="Y478">
        <f t="shared" ca="1" si="162"/>
        <v>1.0138140698383893</v>
      </c>
      <c r="Z478">
        <f t="shared" ca="1" si="143"/>
        <v>0.86028131462652113</v>
      </c>
      <c r="AA478">
        <f t="shared" ca="1" si="144"/>
        <v>0.15353275521186815</v>
      </c>
      <c r="AB478">
        <f t="shared" ca="1" si="145"/>
        <v>68.873899999999992</v>
      </c>
    </row>
    <row r="479" spans="1:28" x14ac:dyDescent="0.25">
      <c r="A479" s="20">
        <f t="shared" ca="1" si="146"/>
        <v>45985</v>
      </c>
      <c r="B479" vm="1335">
        <f ca="1"/>
        <v>45986</v>
      </c>
      <c r="C479" vm="1336">
        <f ca="1"/>
        <v>72.61</v>
      </c>
      <c r="D479" vm="1337">
        <f ca="1"/>
        <v>17451155</v>
      </c>
      <c r="E479">
        <f t="shared" ca="1" si="147"/>
        <v>1267128364.55</v>
      </c>
      <c r="F479">
        <f ca="1">SUM($E$2:E479)/SUM($D$2:D479)</f>
        <v>66.634126629165124</v>
      </c>
      <c r="G479">
        <f ca="1">_xlfn.STDEV.P($C$2:C479)</f>
        <v>4.3392072000254505</v>
      </c>
      <c r="H479">
        <f t="shared" ca="1" si="148"/>
        <v>70.97333382919058</v>
      </c>
      <c r="I479">
        <f t="shared" ca="1" si="149"/>
        <v>62.294919429139675</v>
      </c>
      <c r="J479">
        <f t="shared" ca="1" si="158"/>
        <v>70.460999999999984</v>
      </c>
      <c r="K479">
        <f t="shared" ca="1" si="159"/>
        <v>1.5312186409248647</v>
      </c>
      <c r="L479">
        <f t="shared" ca="1" si="160"/>
        <v>73.523437281849709</v>
      </c>
      <c r="M479">
        <f t="shared" ca="1" si="161"/>
        <v>67.398562718150259</v>
      </c>
      <c r="N479">
        <f t="shared" ca="1" si="150"/>
        <v>1.9999999999996021E-2</v>
      </c>
      <c r="O479">
        <f t="shared" ca="1" si="151"/>
        <v>1.9999999999996021E-2</v>
      </c>
      <c r="P479">
        <f t="shared" ca="1" si="152"/>
        <v>0</v>
      </c>
      <c r="Q479">
        <f t="shared" ca="1" si="156"/>
        <v>0.3472888348558954</v>
      </c>
      <c r="R479">
        <f t="shared" ca="1" si="157"/>
        <v>0.17739334562338402</v>
      </c>
      <c r="S479">
        <f t="shared" ca="1" si="154"/>
        <v>1.9577331586789564</v>
      </c>
      <c r="T479">
        <f t="shared" ca="1" si="155"/>
        <v>66.190323928794157</v>
      </c>
      <c r="U479">
        <f>70</f>
        <v>70</v>
      </c>
      <c r="V479">
        <f>30</f>
        <v>30</v>
      </c>
      <c r="W479">
        <f t="shared" ca="1" si="153"/>
        <v>71.469872989724664</v>
      </c>
      <c r="X479">
        <f t="shared" ca="1" si="163"/>
        <v>70.456058919886274</v>
      </c>
      <c r="Y479">
        <f t="shared" ca="1" si="162"/>
        <v>1.0512054956843002</v>
      </c>
      <c r="Z479">
        <f t="shared" ca="1" si="143"/>
        <v>0.89846615083807702</v>
      </c>
      <c r="AA479">
        <f t="shared" ca="1" si="144"/>
        <v>0.1527393448462232</v>
      </c>
      <c r="AB479">
        <f t="shared" ca="1" si="145"/>
        <v>68.889899999999983</v>
      </c>
    </row>
    <row r="480" spans="1:28" x14ac:dyDescent="0.25">
      <c r="A480" s="20">
        <f t="shared" ca="1" si="146"/>
        <v>45985</v>
      </c>
      <c r="B480" vm="1338">
        <f ca="1"/>
        <v>45987</v>
      </c>
      <c r="C480" vm="1339">
        <f ca="1"/>
        <v>72.88</v>
      </c>
      <c r="D480" vm="1340">
        <f ca="1"/>
        <v>11795061</v>
      </c>
      <c r="E480">
        <f t="shared" ca="1" si="147"/>
        <v>859624045.67999995</v>
      </c>
      <c r="F480">
        <f ca="1">SUM($E$2:E480)/SUM($D$2:D480)</f>
        <v>66.644166674092531</v>
      </c>
      <c r="G480">
        <f ca="1">_xlfn.STDEV.P($C$2:C480)</f>
        <v>4.3448683600993334</v>
      </c>
      <c r="H480">
        <f t="shared" ca="1" si="148"/>
        <v>70.989035034191858</v>
      </c>
      <c r="I480">
        <f t="shared" ca="1" si="149"/>
        <v>62.299298313993198</v>
      </c>
      <c r="J480">
        <f t="shared" ca="1" si="158"/>
        <v>70.687499999999972</v>
      </c>
      <c r="K480">
        <f t="shared" ca="1" si="159"/>
        <v>1.5375505982260422</v>
      </c>
      <c r="L480">
        <f t="shared" ca="1" si="160"/>
        <v>73.762601196452053</v>
      </c>
      <c r="M480">
        <f t="shared" ca="1" si="161"/>
        <v>67.61239880354789</v>
      </c>
      <c r="N480">
        <f t="shared" ca="1" si="150"/>
        <v>0.26999999999999602</v>
      </c>
      <c r="O480">
        <f t="shared" ca="1" si="151"/>
        <v>0.26999999999999602</v>
      </c>
      <c r="P480">
        <f t="shared" ca="1" si="152"/>
        <v>0</v>
      </c>
      <c r="Q480">
        <f t="shared" ca="1" si="156"/>
        <v>0.34176820379475975</v>
      </c>
      <c r="R480">
        <f t="shared" ca="1" si="157"/>
        <v>0.16472239236457087</v>
      </c>
      <c r="S480">
        <f t="shared" ca="1" si="154"/>
        <v>2.0748132593797162</v>
      </c>
      <c r="T480">
        <f t="shared" ca="1" si="155"/>
        <v>67.477699761131817</v>
      </c>
      <c r="U480">
        <f>70</f>
        <v>70</v>
      </c>
      <c r="V480">
        <f>30</f>
        <v>30</v>
      </c>
      <c r="W480">
        <f t="shared" ca="1" si="153"/>
        <v>71.686815606690104</v>
      </c>
      <c r="X480">
        <f t="shared" ca="1" si="163"/>
        <v>70.635610111005803</v>
      </c>
      <c r="Y480">
        <f t="shared" ca="1" si="162"/>
        <v>1.087666521681129</v>
      </c>
      <c r="Z480">
        <f t="shared" ca="1" si="143"/>
        <v>0.93630622500668736</v>
      </c>
      <c r="AA480">
        <f t="shared" ca="1" si="144"/>
        <v>0.15136029667444162</v>
      </c>
      <c r="AB480">
        <f t="shared" ca="1" si="145"/>
        <v>68.916300000000007</v>
      </c>
    </row>
    <row r="481" spans="1:28" x14ac:dyDescent="0.25">
      <c r="A481" s="20">
        <f t="shared" ca="1" si="146"/>
        <v>45985</v>
      </c>
      <c r="B481" vm="1341">
        <f ca="1"/>
        <v>45989</v>
      </c>
      <c r="C481" vm="1342">
        <f ca="1"/>
        <v>73.12</v>
      </c>
      <c r="D481" vm="1343">
        <f ca="1"/>
        <v>7423049</v>
      </c>
      <c r="E481">
        <f t="shared" ca="1" si="147"/>
        <v>542773342.88</v>
      </c>
      <c r="F481">
        <f ca="1">SUM($E$2:E481)/SUM($D$2:D481)</f>
        <v>66.650711244638515</v>
      </c>
      <c r="G481">
        <f ca="1">_xlfn.STDEV.P($C$2:C481)</f>
        <v>4.351215864111289</v>
      </c>
      <c r="H481">
        <f t="shared" ca="1" si="148"/>
        <v>71.001927108749811</v>
      </c>
      <c r="I481">
        <f t="shared" ca="1" si="149"/>
        <v>62.299495380527226</v>
      </c>
      <c r="J481">
        <f t="shared" ca="1" si="158"/>
        <v>70.894499999999965</v>
      </c>
      <c r="K481">
        <f t="shared" ca="1" si="159"/>
        <v>1.5738269650090104</v>
      </c>
      <c r="L481">
        <f t="shared" ca="1" si="160"/>
        <v>74.042153930017989</v>
      </c>
      <c r="M481">
        <f t="shared" ca="1" si="161"/>
        <v>67.746846069981942</v>
      </c>
      <c r="N481">
        <f t="shared" ca="1" si="150"/>
        <v>0.24000000000000909</v>
      </c>
      <c r="O481">
        <f t="shared" ca="1" si="151"/>
        <v>0.24000000000000909</v>
      </c>
      <c r="P481">
        <f t="shared" ca="1" si="152"/>
        <v>0</v>
      </c>
      <c r="Q481">
        <f t="shared" ca="1" si="156"/>
        <v>0.33449904638084899</v>
      </c>
      <c r="R481">
        <f t="shared" ca="1" si="157"/>
        <v>0.15295650719567294</v>
      </c>
      <c r="S481">
        <f t="shared" ca="1" si="154"/>
        <v>2.1868899369736119</v>
      </c>
      <c r="T481">
        <f t="shared" ca="1" si="155"/>
        <v>68.621445365959616</v>
      </c>
      <c r="U481">
        <f>70</f>
        <v>70</v>
      </c>
      <c r="V481">
        <f>30</f>
        <v>30</v>
      </c>
      <c r="W481">
        <f t="shared" ca="1" si="153"/>
        <v>71.907305513353165</v>
      </c>
      <c r="X481">
        <f t="shared" ca="1" si="163"/>
        <v>70.819638991672036</v>
      </c>
      <c r="Y481">
        <f t="shared" ca="1" si="162"/>
        <v>1.0105044591808365</v>
      </c>
      <c r="Z481">
        <f t="shared" ca="1" si="143"/>
        <v>0.95114587184151722</v>
      </c>
      <c r="AA481">
        <f t="shared" ca="1" si="144"/>
        <v>5.9358587339319313E-2</v>
      </c>
      <c r="AB481">
        <f t="shared" ca="1" si="145"/>
        <v>68.952699999999993</v>
      </c>
    </row>
    <row r="482" spans="1:28" x14ac:dyDescent="0.25">
      <c r="A482" s="20">
        <f t="shared" ca="1" si="146"/>
        <v>45992</v>
      </c>
      <c r="B482" vm="1344">
        <f ca="1"/>
        <v>45992</v>
      </c>
      <c r="C482" vm="1345">
        <f ca="1"/>
        <v>71.95</v>
      </c>
      <c r="D482" vm="1346">
        <f ca="1"/>
        <v>14388075</v>
      </c>
      <c r="E482">
        <f t="shared" ca="1" si="147"/>
        <v>1035221996.25</v>
      </c>
      <c r="F482">
        <f ca="1">SUM($E$2:E482)/SUM($D$2:D482)</f>
        <v>66.661071573627936</v>
      </c>
      <c r="G482">
        <f ca="1">_xlfn.STDEV.P($C$2:C482)</f>
        <v>4.3540588991000373</v>
      </c>
      <c r="H482">
        <f t="shared" ca="1" si="148"/>
        <v>71.015130472727975</v>
      </c>
      <c r="I482">
        <f t="shared" ca="1" si="149"/>
        <v>62.307012674527897</v>
      </c>
      <c r="J482">
        <f t="shared" ca="1" si="158"/>
        <v>71.046999999999997</v>
      </c>
      <c r="K482">
        <f t="shared" ca="1" si="159"/>
        <v>1.5171410093017934</v>
      </c>
      <c r="L482">
        <f t="shared" ca="1" si="160"/>
        <v>74.081282018603588</v>
      </c>
      <c r="M482">
        <f t="shared" ca="1" si="161"/>
        <v>68.012717981396406</v>
      </c>
      <c r="N482">
        <f t="shared" ca="1" si="150"/>
        <v>-1.1700000000000017</v>
      </c>
      <c r="O482">
        <f t="shared" ca="1" si="151"/>
        <v>0</v>
      </c>
      <c r="P482">
        <f t="shared" ca="1" si="152"/>
        <v>1.1700000000000017</v>
      </c>
      <c r="Q482">
        <f t="shared" ca="1" si="156"/>
        <v>0.3106062573536455</v>
      </c>
      <c r="R482">
        <f t="shared" ca="1" si="157"/>
        <v>0.22560247096741071</v>
      </c>
      <c r="S482">
        <f t="shared" ca="1" si="154"/>
        <v>1.3767857063875597</v>
      </c>
      <c r="T482">
        <f t="shared" ca="1" si="155"/>
        <v>57.926371009699288</v>
      </c>
      <c r="U482">
        <f>70</f>
        <v>70</v>
      </c>
      <c r="V482">
        <f>30</f>
        <v>30</v>
      </c>
      <c r="W482">
        <f t="shared" ca="1" si="153"/>
        <v>71.913873895914207</v>
      </c>
      <c r="X482">
        <f t="shared" ca="1" si="163"/>
        <v>70.903369436733371</v>
      </c>
      <c r="Y482">
        <f t="shared" ca="1" si="162"/>
        <v>0.83642586936801422</v>
      </c>
      <c r="Z482">
        <f t="shared" ca="1" si="143"/>
        <v>0.92820187134681664</v>
      </c>
      <c r="AA482">
        <f t="shared" ca="1" si="144"/>
        <v>-9.1776001978802424E-2</v>
      </c>
      <c r="AB482">
        <f t="shared" ca="1" si="145"/>
        <v>68.974499999999992</v>
      </c>
    </row>
    <row r="483" spans="1:28" x14ac:dyDescent="0.25">
      <c r="A483" s="20">
        <f t="shared" ca="1" si="146"/>
        <v>45992</v>
      </c>
      <c r="B483" vm="1347">
        <f ca="1"/>
        <v>45993</v>
      </c>
      <c r="C483" vm="1348">
        <f ca="1"/>
        <v>70.67</v>
      </c>
      <c r="D483" vm="1349">
        <f ca="1"/>
        <v>19871302</v>
      </c>
      <c r="E483">
        <f t="shared" ca="1" si="147"/>
        <v>1404304912.3400002</v>
      </c>
      <c r="F483">
        <f ca="1">SUM($E$2:E483)/SUM($D$2:D483)</f>
        <v>66.671866926371735</v>
      </c>
      <c r="G483">
        <f ca="1">_xlfn.STDEV.P($C$2:C483)</f>
        <v>4.3538718529997071</v>
      </c>
      <c r="H483">
        <f t="shared" ca="1" si="148"/>
        <v>71.025738779371437</v>
      </c>
      <c r="I483">
        <f t="shared" ca="1" si="149"/>
        <v>62.317995073372025</v>
      </c>
      <c r="J483">
        <f t="shared" ca="1" si="158"/>
        <v>71.182000000000002</v>
      </c>
      <c r="K483">
        <f t="shared" ca="1" si="159"/>
        <v>1.3385443782824609</v>
      </c>
      <c r="L483">
        <f t="shared" ca="1" si="160"/>
        <v>73.85908875656493</v>
      </c>
      <c r="M483">
        <f t="shared" ca="1" si="161"/>
        <v>68.504911243435075</v>
      </c>
      <c r="N483">
        <f t="shared" ca="1" si="150"/>
        <v>-1.2800000000000011</v>
      </c>
      <c r="O483">
        <f t="shared" ca="1" si="151"/>
        <v>0</v>
      </c>
      <c r="P483">
        <f t="shared" ca="1" si="152"/>
        <v>1.2800000000000011</v>
      </c>
      <c r="Q483">
        <f t="shared" ca="1" si="156"/>
        <v>0.28842009611409936</v>
      </c>
      <c r="R483">
        <f t="shared" ca="1" si="157"/>
        <v>0.30091658018402434</v>
      </c>
      <c r="S483">
        <f t="shared" ca="1" si="154"/>
        <v>0.95847193244625206</v>
      </c>
      <c r="T483">
        <f t="shared" ca="1" si="155"/>
        <v>48.939783949268119</v>
      </c>
      <c r="U483">
        <f>70</f>
        <v>70</v>
      </c>
      <c r="V483">
        <f>30</f>
        <v>30</v>
      </c>
      <c r="W483">
        <f t="shared" ca="1" si="153"/>
        <v>71.722508681158175</v>
      </c>
      <c r="X483">
        <f t="shared" ca="1" si="163"/>
        <v>70.88608281179016</v>
      </c>
      <c r="Y483">
        <f t="shared" ca="1" si="162"/>
        <v>0.70167568225690502</v>
      </c>
      <c r="Z483">
        <f t="shared" ca="1" si="143"/>
        <v>0.88289663352883441</v>
      </c>
      <c r="AA483">
        <f t="shared" ca="1" si="144"/>
        <v>-0.18122095127192939</v>
      </c>
      <c r="AB483">
        <f t="shared" ca="1" si="145"/>
        <v>68.982500000000002</v>
      </c>
    </row>
    <row r="484" spans="1:28" x14ac:dyDescent="0.25">
      <c r="A484" s="20">
        <f t="shared" ca="1" si="146"/>
        <v>45992</v>
      </c>
      <c r="B484" vm="1350">
        <f ca="1"/>
        <v>45994</v>
      </c>
      <c r="C484" vm="1273">
        <f ca="1"/>
        <v>70.81</v>
      </c>
      <c r="D484" vm="1351">
        <f ca="1"/>
        <v>17001667</v>
      </c>
      <c r="E484">
        <f t="shared" ca="1" si="147"/>
        <v>1203888040.27</v>
      </c>
      <c r="F484">
        <f ca="1">SUM($E$2:E484)/SUM($D$2:D484)</f>
        <v>66.681379077160287</v>
      </c>
      <c r="G484">
        <f ca="1">_xlfn.STDEV.P($C$2:C484)</f>
        <v>4.3539552560873513</v>
      </c>
      <c r="H484">
        <f t="shared" ca="1" si="148"/>
        <v>71.035334333247633</v>
      </c>
      <c r="I484">
        <f t="shared" ca="1" si="149"/>
        <v>62.327423821072934</v>
      </c>
      <c r="J484">
        <f t="shared" ca="1" si="158"/>
        <v>71.289500000000004</v>
      </c>
      <c r="K484">
        <f t="shared" ca="1" si="159"/>
        <v>1.2050135399981807</v>
      </c>
      <c r="L484">
        <f t="shared" ca="1" si="160"/>
        <v>73.699527079996372</v>
      </c>
      <c r="M484">
        <f t="shared" ca="1" si="161"/>
        <v>68.879472920003636</v>
      </c>
      <c r="N484">
        <f t="shared" ca="1" si="150"/>
        <v>0.14000000000000057</v>
      </c>
      <c r="O484">
        <f t="shared" ca="1" si="151"/>
        <v>0.14000000000000057</v>
      </c>
      <c r="P484">
        <f t="shared" ca="1" si="152"/>
        <v>0</v>
      </c>
      <c r="Q484">
        <f t="shared" ca="1" si="156"/>
        <v>0.27781866067737798</v>
      </c>
      <c r="R484">
        <f t="shared" ca="1" si="157"/>
        <v>0.27942253874230832</v>
      </c>
      <c r="S484">
        <f t="shared" ca="1" si="154"/>
        <v>0.9942600261519724</v>
      </c>
      <c r="T484">
        <f t="shared" ca="1" si="155"/>
        <v>49.856087627171085</v>
      </c>
      <c r="U484">
        <f>70</f>
        <v>70</v>
      </c>
      <c r="V484">
        <f>30</f>
        <v>30</v>
      </c>
      <c r="W484">
        <f t="shared" ca="1" si="153"/>
        <v>71.582122730210756</v>
      </c>
      <c r="X484">
        <f t="shared" ca="1" si="163"/>
        <v>70.880447047953851</v>
      </c>
      <c r="Y484">
        <f t="shared" ca="1" si="162"/>
        <v>0.55938792104727497</v>
      </c>
      <c r="Z484">
        <f t="shared" ca="1" si="143"/>
        <v>0.81819489103252263</v>
      </c>
      <c r="AA484">
        <f t="shared" ca="1" si="144"/>
        <v>-0.25880696998524766</v>
      </c>
      <c r="AB484">
        <f t="shared" ca="1" si="145"/>
        <v>68.995900000000006</v>
      </c>
    </row>
    <row r="485" spans="1:28" x14ac:dyDescent="0.25">
      <c r="A485" s="20">
        <f t="shared" ca="1" si="146"/>
        <v>45992</v>
      </c>
      <c r="B485" vm="1352">
        <f ca="1"/>
        <v>45995</v>
      </c>
      <c r="C485" vm="1353">
        <f ca="1"/>
        <v>70.45</v>
      </c>
      <c r="D485" vm="1354">
        <f ca="1"/>
        <v>17710032</v>
      </c>
      <c r="E485">
        <f t="shared" ca="1" si="147"/>
        <v>1247671754.4000001</v>
      </c>
      <c r="F485">
        <f ca="1">SUM($E$2:E485)/SUM($D$2:D485)</f>
        <v>66.690381220505287</v>
      </c>
      <c r="G485">
        <f ca="1">_xlfn.STDEV.P($C$2:C485)</f>
        <v>4.3533017106967868</v>
      </c>
      <c r="H485">
        <f t="shared" ca="1" si="148"/>
        <v>71.043682931202071</v>
      </c>
      <c r="I485">
        <f t="shared" ca="1" si="149"/>
        <v>62.337079509808504</v>
      </c>
      <c r="J485">
        <f t="shared" ca="1" si="158"/>
        <v>71.386500000000026</v>
      </c>
      <c r="K485">
        <f t="shared" ca="1" si="159"/>
        <v>1.0356806813319495</v>
      </c>
      <c r="L485">
        <f t="shared" ca="1" si="160"/>
        <v>73.45786136266392</v>
      </c>
      <c r="M485">
        <f t="shared" ca="1" si="161"/>
        <v>69.315138637336133</v>
      </c>
      <c r="N485">
        <f t="shared" ca="1" si="150"/>
        <v>-0.35999999999999943</v>
      </c>
      <c r="O485">
        <f t="shared" ca="1" si="151"/>
        <v>0</v>
      </c>
      <c r="P485">
        <f t="shared" ca="1" si="152"/>
        <v>0.35999999999999943</v>
      </c>
      <c r="Q485">
        <f t="shared" ca="1" si="156"/>
        <v>0.25797447062899381</v>
      </c>
      <c r="R485">
        <f t="shared" ca="1" si="157"/>
        <v>0.28517807168928627</v>
      </c>
      <c r="S485">
        <f t="shared" ca="1" si="154"/>
        <v>0.90460837013467166</v>
      </c>
      <c r="T485">
        <f t="shared" ca="1" si="155"/>
        <v>47.495767860702422</v>
      </c>
      <c r="U485">
        <f>70</f>
        <v>70</v>
      </c>
      <c r="V485">
        <f>30</f>
        <v>30</v>
      </c>
      <c r="W485">
        <f t="shared" ca="1" si="153"/>
        <v>71.407950002486032</v>
      </c>
      <c r="X485">
        <f t="shared" ca="1" si="163"/>
        <v>70.848562081438757</v>
      </c>
      <c r="Y485">
        <f t="shared" ca="1" si="162"/>
        <v>0.40563667883405685</v>
      </c>
      <c r="Z485">
        <f t="shared" ca="1" si="143"/>
        <v>0.73568324859282952</v>
      </c>
      <c r="AA485">
        <f t="shared" ca="1" si="144"/>
        <v>-0.33004656975877267</v>
      </c>
      <c r="AB485">
        <f t="shared" ca="1" si="145"/>
        <v>69.006799999999998</v>
      </c>
    </row>
    <row r="486" spans="1:28" x14ac:dyDescent="0.25">
      <c r="A486" s="20">
        <f t="shared" ca="1" si="146"/>
        <v>45992</v>
      </c>
      <c r="B486" vm="1355">
        <f ca="1"/>
        <v>45996</v>
      </c>
      <c r="C486" vm="1356">
        <f ca="1"/>
        <v>70</v>
      </c>
      <c r="D486" vm="1357">
        <f ca="1"/>
        <v>13978242</v>
      </c>
      <c r="E486">
        <f t="shared" ca="1" si="147"/>
        <v>978476940</v>
      </c>
      <c r="F486">
        <f ca="1">SUM($E$2:E486)/SUM($D$2:D486)</f>
        <v>66.696609335395053</v>
      </c>
      <c r="G486">
        <f ca="1">_xlfn.STDEV.P($C$2:C486)</f>
        <v>4.3518273315964846</v>
      </c>
      <c r="H486">
        <f t="shared" ca="1" si="148"/>
        <v>71.048436666991535</v>
      </c>
      <c r="I486">
        <f t="shared" ca="1" si="149"/>
        <v>62.344782003798571</v>
      </c>
      <c r="J486">
        <f t="shared" ca="1" si="158"/>
        <v>71.433500000000009</v>
      </c>
      <c r="K486">
        <f t="shared" ca="1" si="159"/>
        <v>0.94160151924932278</v>
      </c>
      <c r="L486">
        <f t="shared" ca="1" si="160"/>
        <v>73.316703038498659</v>
      </c>
      <c r="M486">
        <f t="shared" ca="1" si="161"/>
        <v>69.55029696150136</v>
      </c>
      <c r="N486">
        <f t="shared" ca="1" si="150"/>
        <v>-0.45000000000000284</v>
      </c>
      <c r="O486">
        <f t="shared" ca="1" si="151"/>
        <v>0</v>
      </c>
      <c r="P486">
        <f t="shared" ca="1" si="152"/>
        <v>0.45000000000000284</v>
      </c>
      <c r="Q486">
        <f t="shared" ca="1" si="156"/>
        <v>0.23954772272692285</v>
      </c>
      <c r="R486">
        <f t="shared" ca="1" si="157"/>
        <v>0.29695106656862319</v>
      </c>
      <c r="S486">
        <f t="shared" ca="1" si="154"/>
        <v>0.80669089858805121</v>
      </c>
      <c r="T486">
        <f t="shared" ca="1" si="155"/>
        <v>44.650188873951208</v>
      </c>
      <c r="U486">
        <f>70</f>
        <v>70</v>
      </c>
      <c r="V486">
        <f>30</f>
        <v>30</v>
      </c>
      <c r="W486">
        <f t="shared" ca="1" si="153"/>
        <v>71.191342309795871</v>
      </c>
      <c r="X486">
        <f t="shared" ca="1" si="163"/>
        <v>70.785705630961814</v>
      </c>
      <c r="Y486">
        <f t="shared" ca="1" si="162"/>
        <v>0.30049668360906878</v>
      </c>
      <c r="Z486">
        <f t="shared" ref="Z486:Z514" ca="1" si="164">Y486*(2/(9+1)) + Z485*(1-(2/(9+1)))</f>
        <v>0.64864593559607742</v>
      </c>
      <c r="AA486">
        <f t="shared" ref="AA486:AA514" ca="1" si="165">Y486-Z486</f>
        <v>-0.34814925198700863</v>
      </c>
      <c r="AB486">
        <f t="shared" ref="AB486:AB514" ca="1" si="166">AVERAGE(C387:C486)</f>
        <v>69.014100000000013</v>
      </c>
    </row>
    <row r="487" spans="1:28" x14ac:dyDescent="0.25">
      <c r="A487" s="20">
        <f t="shared" ca="1" si="146"/>
        <v>45999</v>
      </c>
      <c r="B487" vm="1358">
        <f ca="1"/>
        <v>45999</v>
      </c>
      <c r="C487" vm="1359">
        <f ca="1"/>
        <v>70.25</v>
      </c>
      <c r="D487" vm="1360">
        <f ca="1"/>
        <v>17775097</v>
      </c>
      <c r="E487">
        <f t="shared" ca="1" si="147"/>
        <v>1248700564.25</v>
      </c>
      <c r="F487">
        <f ca="1">SUM($E$2:E487)/SUM($D$2:D487)</f>
        <v>66.70509220928254</v>
      </c>
      <c r="G487">
        <f ca="1">_xlfn.STDEV.P($C$2:C487)</f>
        <v>4.3507813899082874</v>
      </c>
      <c r="H487">
        <f t="shared" ca="1" si="148"/>
        <v>71.055873599190832</v>
      </c>
      <c r="I487">
        <f t="shared" ca="1" si="149"/>
        <v>62.354310819374255</v>
      </c>
      <c r="J487">
        <f t="shared" ca="1" si="158"/>
        <v>71.418500000000009</v>
      </c>
      <c r="K487">
        <f t="shared" ca="1" si="159"/>
        <v>0.95865187688369569</v>
      </c>
      <c r="L487">
        <f t="shared" ca="1" si="160"/>
        <v>73.335803753767394</v>
      </c>
      <c r="M487">
        <f t="shared" ca="1" si="161"/>
        <v>69.501196246232624</v>
      </c>
      <c r="N487">
        <f t="shared" ca="1" si="150"/>
        <v>0.25</v>
      </c>
      <c r="O487">
        <f t="shared" ca="1" si="151"/>
        <v>0.25</v>
      </c>
      <c r="P487">
        <f t="shared" ca="1" si="152"/>
        <v>0</v>
      </c>
      <c r="Q487">
        <f t="shared" ca="1" si="156"/>
        <v>0.24029431396071407</v>
      </c>
      <c r="R487">
        <f t="shared" ca="1" si="157"/>
        <v>0.2757402760994358</v>
      </c>
      <c r="S487">
        <f t="shared" ca="1" si="154"/>
        <v>0.87145163325382535</v>
      </c>
      <c r="T487">
        <f t="shared" ca="1" si="155"/>
        <v>46.565543975008531</v>
      </c>
      <c r="U487">
        <f>70</f>
        <v>70</v>
      </c>
      <c r="V487">
        <f>30</f>
        <v>30</v>
      </c>
      <c r="W487">
        <f t="shared" ca="1" si="153"/>
        <v>71.046520415981121</v>
      </c>
      <c r="X487">
        <f t="shared" ca="1" si="163"/>
        <v>70.746023732372052</v>
      </c>
      <c r="Y487">
        <f t="shared" ca="1" si="162"/>
        <v>0.2019340470811386</v>
      </c>
      <c r="Z487">
        <f t="shared" ca="1" si="164"/>
        <v>0.55930355789308972</v>
      </c>
      <c r="AA487">
        <f t="shared" ca="1" si="165"/>
        <v>-0.35736951081195112</v>
      </c>
      <c r="AB487">
        <f t="shared" ca="1" si="166"/>
        <v>69.0107</v>
      </c>
    </row>
    <row r="488" spans="1:28" x14ac:dyDescent="0.25">
      <c r="A488" s="20">
        <f t="shared" ca="1" si="146"/>
        <v>45999</v>
      </c>
      <c r="B488" vm="1361">
        <f ca="1"/>
        <v>46000</v>
      </c>
      <c r="C488" vm="1362">
        <f ca="1"/>
        <v>70.09</v>
      </c>
      <c r="D488" vm="1363">
        <f ca="1"/>
        <v>13010623</v>
      </c>
      <c r="E488">
        <f t="shared" ca="1" si="147"/>
        <v>911914566.07000005</v>
      </c>
      <c r="F488">
        <f ca="1">SUM($E$2:E488)/SUM($D$2:D488)</f>
        <v>66.710996596021616</v>
      </c>
      <c r="G488">
        <f ca="1">_xlfn.STDEV.P($C$2:C488)</f>
        <v>4.3494445704355087</v>
      </c>
      <c r="H488">
        <f t="shared" ca="1" si="148"/>
        <v>71.060441166457124</v>
      </c>
      <c r="I488">
        <f t="shared" ca="1" si="149"/>
        <v>62.361552025586107</v>
      </c>
      <c r="J488">
        <f t="shared" ca="1" si="158"/>
        <v>71.397000000000006</v>
      </c>
      <c r="K488">
        <f t="shared" ca="1" si="159"/>
        <v>0.98434108337560144</v>
      </c>
      <c r="L488">
        <f t="shared" ca="1" si="160"/>
        <v>73.365682166751213</v>
      </c>
      <c r="M488">
        <f t="shared" ca="1" si="161"/>
        <v>69.428317833248798</v>
      </c>
      <c r="N488">
        <f t="shared" ca="1" si="150"/>
        <v>-0.15999999999999659</v>
      </c>
      <c r="O488">
        <f t="shared" ca="1" si="151"/>
        <v>0</v>
      </c>
      <c r="P488">
        <f t="shared" ca="1" si="152"/>
        <v>0.15999999999999659</v>
      </c>
      <c r="Q488">
        <f t="shared" ca="1" si="156"/>
        <v>0.22313043439209165</v>
      </c>
      <c r="R488">
        <f t="shared" ca="1" si="157"/>
        <v>0.26747311352090442</v>
      </c>
      <c r="S488">
        <f t="shared" ca="1" si="154"/>
        <v>0.83421631226741166</v>
      </c>
      <c r="T488">
        <f t="shared" ca="1" si="155"/>
        <v>45.48080325576074</v>
      </c>
      <c r="U488">
        <f>70</f>
        <v>70</v>
      </c>
      <c r="V488">
        <f>30</f>
        <v>30</v>
      </c>
      <c r="W488">
        <f t="shared" ca="1" si="153"/>
        <v>70.899363428907108</v>
      </c>
      <c r="X488">
        <f t="shared" ca="1" si="163"/>
        <v>70.69742938182597</v>
      </c>
      <c r="Y488">
        <f t="shared" ca="1" si="162"/>
        <v>0.13198401507683855</v>
      </c>
      <c r="Z488">
        <f t="shared" ca="1" si="164"/>
        <v>0.47383964932983952</v>
      </c>
      <c r="AA488">
        <f t="shared" ca="1" si="165"/>
        <v>-0.34185563425300097</v>
      </c>
      <c r="AB488">
        <f t="shared" ca="1" si="166"/>
        <v>69.013100000000009</v>
      </c>
    </row>
    <row r="489" spans="1:28" x14ac:dyDescent="0.25">
      <c r="A489" s="20">
        <f t="shared" ca="1" si="146"/>
        <v>45999</v>
      </c>
      <c r="B489" vm="1364">
        <f ca="1"/>
        <v>46001</v>
      </c>
      <c r="C489" vm="1042">
        <f ca="1"/>
        <v>70.209999999999994</v>
      </c>
      <c r="D489" vm="1365">
        <f ca="1"/>
        <v>29789356</v>
      </c>
      <c r="E489">
        <f t="shared" ca="1" si="147"/>
        <v>2091510684.7599998</v>
      </c>
      <c r="F489">
        <f ca="1">SUM($E$2:E489)/SUM($D$2:D489)</f>
        <v>66.724915476033445</v>
      </c>
      <c r="G489">
        <f ca="1">_xlfn.STDEV.P($C$2:C489)</f>
        <v>4.3483087354558592</v>
      </c>
      <c r="H489">
        <f t="shared" ca="1" si="148"/>
        <v>71.073224211489304</v>
      </c>
      <c r="I489">
        <f t="shared" ca="1" si="149"/>
        <v>62.376606740577586</v>
      </c>
      <c r="J489">
        <f t="shared" ca="1" si="158"/>
        <v>71.326999999999998</v>
      </c>
      <c r="K489">
        <f t="shared" ca="1" si="159"/>
        <v>1.0176138239709811</v>
      </c>
      <c r="L489">
        <f t="shared" ca="1" si="160"/>
        <v>73.362227647941964</v>
      </c>
      <c r="M489">
        <f t="shared" ca="1" si="161"/>
        <v>69.291772352058032</v>
      </c>
      <c r="N489">
        <f t="shared" ca="1" si="150"/>
        <v>0.11999999999999034</v>
      </c>
      <c r="O489">
        <f t="shared" ca="1" si="151"/>
        <v>0.11999999999999034</v>
      </c>
      <c r="P489">
        <f t="shared" ca="1" si="152"/>
        <v>0</v>
      </c>
      <c r="Q489">
        <f t="shared" ca="1" si="156"/>
        <v>0.21576397479265585</v>
      </c>
      <c r="R489">
        <f t="shared" ca="1" si="157"/>
        <v>0.24836789112655411</v>
      </c>
      <c r="S489">
        <f t="shared" ca="1" si="154"/>
        <v>0.86872732950297038</v>
      </c>
      <c r="T489">
        <f t="shared" ca="1" si="155"/>
        <v>46.487645136223691</v>
      </c>
      <c r="U489">
        <f>70</f>
        <v>70</v>
      </c>
      <c r="V489">
        <f>30</f>
        <v>30</v>
      </c>
      <c r="W489">
        <f t="shared" ca="1" si="153"/>
        <v>70.793307516767555</v>
      </c>
      <c r="X489">
        <f t="shared" ca="1" si="163"/>
        <v>70.661323501690717</v>
      </c>
      <c r="Y489">
        <f t="shared" ca="1" si="162"/>
        <v>-1.2073520141086647E-2</v>
      </c>
      <c r="Z489">
        <f t="shared" ca="1" si="164"/>
        <v>0.37665701543565433</v>
      </c>
      <c r="AA489">
        <f t="shared" ca="1" si="165"/>
        <v>-0.38873053557674098</v>
      </c>
      <c r="AB489">
        <f t="shared" ca="1" si="166"/>
        <v>69.014500000000012</v>
      </c>
    </row>
    <row r="490" spans="1:28" x14ac:dyDescent="0.25">
      <c r="A490" s="20">
        <f t="shared" ca="1" si="146"/>
        <v>45999</v>
      </c>
      <c r="B490" vm="1366">
        <f ca="1"/>
        <v>46002</v>
      </c>
      <c r="C490" vm="1367">
        <f ca="1"/>
        <v>69.11</v>
      </c>
      <c r="D490" vm="1368">
        <f ca="1"/>
        <v>23124157</v>
      </c>
      <c r="E490">
        <f t="shared" ca="1" si="147"/>
        <v>1598110490.27</v>
      </c>
      <c r="F490">
        <f ca="1">SUM($E$2:E490)/SUM($D$2:D490)</f>
        <v>66.732257731630128</v>
      </c>
      <c r="G490">
        <f ca="1">_xlfn.STDEV.P($C$2:C490)</f>
        <v>4.3455105262327107</v>
      </c>
      <c r="H490">
        <f t="shared" ca="1" si="148"/>
        <v>71.077768257862843</v>
      </c>
      <c r="I490">
        <f t="shared" ca="1" si="149"/>
        <v>62.38674720539742</v>
      </c>
      <c r="J490">
        <f t="shared" ca="1" si="158"/>
        <v>71.206999999999994</v>
      </c>
      <c r="K490">
        <f t="shared" ca="1" si="159"/>
        <v>1.1301797714476554</v>
      </c>
      <c r="L490">
        <f t="shared" ca="1" si="160"/>
        <v>73.467359542895309</v>
      </c>
      <c r="M490">
        <f t="shared" ca="1" si="161"/>
        <v>68.946640457104678</v>
      </c>
      <c r="N490">
        <f t="shared" ca="1" si="150"/>
        <v>-1.0999999999999943</v>
      </c>
      <c r="O490">
        <f t="shared" ca="1" si="151"/>
        <v>0</v>
      </c>
      <c r="P490">
        <f t="shared" ca="1" si="152"/>
        <v>1.0999999999999943</v>
      </c>
      <c r="Q490">
        <f t="shared" ca="1" si="156"/>
        <v>0.20035226230746614</v>
      </c>
      <c r="R490">
        <f t="shared" ca="1" si="157"/>
        <v>0.30919875604608554</v>
      </c>
      <c r="S490">
        <f t="shared" ca="1" si="154"/>
        <v>0.64797240735859873</v>
      </c>
      <c r="T490">
        <f t="shared" ca="1" si="155"/>
        <v>39.319372367234052</v>
      </c>
      <c r="U490">
        <f>70</f>
        <v>70</v>
      </c>
      <c r="V490">
        <f>30</f>
        <v>30</v>
      </c>
      <c r="W490">
        <f t="shared" ca="1" si="153"/>
        <v>70.534337129572549</v>
      </c>
      <c r="X490">
        <f t="shared" ca="1" si="163"/>
        <v>70.546410649713636</v>
      </c>
      <c r="Y490">
        <f t="shared" ca="1" si="162"/>
        <v>-1.2322887959783202E-2</v>
      </c>
      <c r="Z490">
        <f t="shared" ca="1" si="164"/>
        <v>0.29886103475656689</v>
      </c>
      <c r="AA490">
        <f t="shared" ca="1" si="165"/>
        <v>-0.31118392271635009</v>
      </c>
      <c r="AB490">
        <f t="shared" ca="1" si="166"/>
        <v>69.009</v>
      </c>
    </row>
    <row r="491" spans="1:28" x14ac:dyDescent="0.25">
      <c r="A491" s="20">
        <f t="shared" ca="1" si="146"/>
        <v>45999</v>
      </c>
      <c r="B491" vm="1369">
        <f ca="1"/>
        <v>46003</v>
      </c>
      <c r="C491" vm="553">
        <f ca="1"/>
        <v>70.52</v>
      </c>
      <c r="D491" vm="1370">
        <f ca="1"/>
        <v>18444506</v>
      </c>
      <c r="E491">
        <f t="shared" ca="1" si="147"/>
        <v>1300706563.1199999</v>
      </c>
      <c r="F491">
        <f ca="1">SUM($E$2:E491)/SUM($D$2:D491)</f>
        <v>66.741535471524585</v>
      </c>
      <c r="G491">
        <f ca="1">_xlfn.STDEV.P($C$2:C491)</f>
        <v>4.3449300715351686</v>
      </c>
      <c r="H491">
        <f t="shared" ca="1" si="148"/>
        <v>71.086465543059759</v>
      </c>
      <c r="I491">
        <f t="shared" ca="1" si="149"/>
        <v>62.396605399989419</v>
      </c>
      <c r="J491">
        <f t="shared" ca="1" si="158"/>
        <v>71.17949999999999</v>
      </c>
      <c r="K491">
        <f t="shared" ca="1" si="159"/>
        <v>1.1403345538642786</v>
      </c>
      <c r="L491">
        <f t="shared" ca="1" si="160"/>
        <v>73.460169107728547</v>
      </c>
      <c r="M491">
        <f t="shared" ca="1" si="161"/>
        <v>68.898830892271434</v>
      </c>
      <c r="N491">
        <f t="shared" ca="1" si="150"/>
        <v>1.4099999999999966</v>
      </c>
      <c r="O491">
        <f t="shared" ca="1" si="151"/>
        <v>1.4099999999999966</v>
      </c>
      <c r="P491">
        <f t="shared" ca="1" si="152"/>
        <v>0</v>
      </c>
      <c r="Q491">
        <f t="shared" ca="1" si="156"/>
        <v>0.28675567214264686</v>
      </c>
      <c r="R491">
        <f t="shared" ca="1" si="157"/>
        <v>0.28711313061422228</v>
      </c>
      <c r="S491">
        <f t="shared" ca="1" si="154"/>
        <v>0.99875499086088226</v>
      </c>
      <c r="T491">
        <f t="shared" ca="1" si="155"/>
        <v>49.968855383856187</v>
      </c>
      <c r="U491">
        <f>70</f>
        <v>70</v>
      </c>
      <c r="V491">
        <f>30</f>
        <v>30</v>
      </c>
      <c r="W491">
        <f t="shared" ca="1" si="153"/>
        <v>70.532131417330618</v>
      </c>
      <c r="X491">
        <f t="shared" ca="1" si="163"/>
        <v>70.544454305290401</v>
      </c>
      <c r="Y491">
        <f t="shared" ca="1" si="162"/>
        <v>2.3519606062137655E-2</v>
      </c>
      <c r="Z491">
        <f t="shared" ca="1" si="164"/>
        <v>0.24379274901768105</v>
      </c>
      <c r="AA491">
        <f t="shared" ca="1" si="165"/>
        <v>-0.2202731429555434</v>
      </c>
      <c r="AB491">
        <f t="shared" ca="1" si="166"/>
        <v>69.022600000000011</v>
      </c>
    </row>
    <row r="492" spans="1:28" x14ac:dyDescent="0.25">
      <c r="A492" s="20">
        <f t="shared" ca="1" si="146"/>
        <v>46006</v>
      </c>
      <c r="B492" vm="1371">
        <f ca="1"/>
        <v>46006</v>
      </c>
      <c r="C492" vm="1372">
        <f ca="1"/>
        <v>70.97</v>
      </c>
      <c r="D492" vm="1373">
        <f ca="1"/>
        <v>18660053</v>
      </c>
      <c r="E492">
        <f t="shared" ca="1" si="147"/>
        <v>1324303961.4100001</v>
      </c>
      <c r="F492">
        <f ca="1">SUM($E$2:E492)/SUM($D$2:D492)</f>
        <v>66.751987857604533</v>
      </c>
      <c r="G492">
        <f ca="1">_xlfn.STDEV.P($C$2:C492)</f>
        <v>4.345235542262027</v>
      </c>
      <c r="H492">
        <f t="shared" ca="1" si="148"/>
        <v>71.097223399866564</v>
      </c>
      <c r="I492">
        <f t="shared" ca="1" si="149"/>
        <v>62.406752315342509</v>
      </c>
      <c r="J492">
        <f t="shared" ca="1" si="158"/>
        <v>71.169999999999987</v>
      </c>
      <c r="K492">
        <f t="shared" ca="1" si="159"/>
        <v>1.141296584914212</v>
      </c>
      <c r="L492">
        <f t="shared" ca="1" si="160"/>
        <v>73.452593169828418</v>
      </c>
      <c r="M492">
        <f t="shared" ca="1" si="161"/>
        <v>68.887406830171557</v>
      </c>
      <c r="N492">
        <f t="shared" ca="1" si="150"/>
        <v>0.45000000000000284</v>
      </c>
      <c r="O492">
        <f t="shared" ca="1" si="151"/>
        <v>0.45000000000000284</v>
      </c>
      <c r="P492">
        <f t="shared" ca="1" si="152"/>
        <v>0</v>
      </c>
      <c r="Q492">
        <f t="shared" ca="1" si="156"/>
        <v>0.29841598127531516</v>
      </c>
      <c r="R492">
        <f t="shared" ca="1" si="157"/>
        <v>0.26660504985606354</v>
      </c>
      <c r="S492">
        <f t="shared" ca="1" si="154"/>
        <v>1.1193185629320446</v>
      </c>
      <c r="T492">
        <f t="shared" ca="1" si="155"/>
        <v>52.815021890030764</v>
      </c>
      <c r="U492">
        <f>70</f>
        <v>70</v>
      </c>
      <c r="V492">
        <f>30</f>
        <v>30</v>
      </c>
      <c r="W492">
        <f t="shared" ca="1" si="153"/>
        <v>70.599495814664365</v>
      </c>
      <c r="X492">
        <f t="shared" ca="1" si="163"/>
        <v>70.575976208602228</v>
      </c>
      <c r="Y492">
        <f t="shared" ca="1" si="162"/>
        <v>3.4700545857333509E-3</v>
      </c>
      <c r="Z492">
        <f t="shared" ca="1" si="164"/>
        <v>0.19572821013129152</v>
      </c>
      <c r="AA492">
        <f t="shared" ca="1" si="165"/>
        <v>-0.19225815554555817</v>
      </c>
      <c r="AB492">
        <f t="shared" ca="1" si="166"/>
        <v>69.041300000000021</v>
      </c>
    </row>
    <row r="493" spans="1:28" x14ac:dyDescent="0.25">
      <c r="A493" s="20">
        <f t="shared" ca="1" si="146"/>
        <v>46006</v>
      </c>
      <c r="B493" vm="1374">
        <f ca="1"/>
        <v>46007</v>
      </c>
      <c r="C493" vm="882">
        <f ca="1"/>
        <v>70.37</v>
      </c>
      <c r="D493" vm="1375">
        <f ca="1"/>
        <v>17370016</v>
      </c>
      <c r="E493">
        <f t="shared" ca="1" si="147"/>
        <v>1222328025.9200001</v>
      </c>
      <c r="F493">
        <f ca="1">SUM($E$2:E493)/SUM($D$2:D493)</f>
        <v>66.760293857955247</v>
      </c>
      <c r="G493">
        <f ca="1">_xlfn.STDEV.P($C$2:C493)</f>
        <v>4.344347532609107</v>
      </c>
      <c r="H493">
        <f t="shared" ca="1" si="148"/>
        <v>71.104641390564353</v>
      </c>
      <c r="I493">
        <f t="shared" ca="1" si="149"/>
        <v>62.415946325346141</v>
      </c>
      <c r="J493">
        <f t="shared" ca="1" si="158"/>
        <v>71.154499999999985</v>
      </c>
      <c r="K493">
        <f t="shared" ca="1" si="159"/>
        <v>1.1503705352715938</v>
      </c>
      <c r="L493">
        <f t="shared" ca="1" si="160"/>
        <v>73.455241070543167</v>
      </c>
      <c r="M493">
        <f t="shared" ca="1" si="161"/>
        <v>68.853758929456802</v>
      </c>
      <c r="N493">
        <f t="shared" ca="1" si="150"/>
        <v>-0.59999999999999432</v>
      </c>
      <c r="O493">
        <f t="shared" ca="1" si="151"/>
        <v>0</v>
      </c>
      <c r="P493">
        <f t="shared" ca="1" si="152"/>
        <v>0.59999999999999432</v>
      </c>
      <c r="Q493">
        <f t="shared" ca="1" si="156"/>
        <v>0.27710055404136408</v>
      </c>
      <c r="R493">
        <f t="shared" ca="1" si="157"/>
        <v>0.29041897486634433</v>
      </c>
      <c r="S493">
        <f t="shared" ca="1" si="154"/>
        <v>0.9541406658049475</v>
      </c>
      <c r="T493">
        <f t="shared" ca="1" si="155"/>
        <v>48.826611231280978</v>
      </c>
      <c r="U493">
        <f>70</f>
        <v>70</v>
      </c>
      <c r="V493">
        <f>30</f>
        <v>30</v>
      </c>
      <c r="W493">
        <f t="shared" ca="1" si="153"/>
        <v>70.56418876625446</v>
      </c>
      <c r="X493">
        <f t="shared" ca="1" si="163"/>
        <v>70.560718711668727</v>
      </c>
      <c r="Y493">
        <f t="shared" ca="1" si="162"/>
        <v>1.1653795684438251E-2</v>
      </c>
      <c r="Z493">
        <f t="shared" ca="1" si="164"/>
        <v>0.15891332724192089</v>
      </c>
      <c r="AA493">
        <f t="shared" ca="1" si="165"/>
        <v>-0.14725953155748264</v>
      </c>
      <c r="AB493">
        <f t="shared" ca="1" si="166"/>
        <v>69.053300000000021</v>
      </c>
    </row>
    <row r="494" spans="1:28" x14ac:dyDescent="0.25">
      <c r="A494" s="20">
        <f t="shared" ca="1" si="146"/>
        <v>46006</v>
      </c>
      <c r="B494" vm="1376">
        <f ca="1"/>
        <v>46008</v>
      </c>
      <c r="C494" vm="1348">
        <f ca="1"/>
        <v>70.67</v>
      </c>
      <c r="D494" vm="1377">
        <f ca="1"/>
        <v>13672698</v>
      </c>
      <c r="E494">
        <f t="shared" ca="1" si="147"/>
        <v>966249567.65999997</v>
      </c>
      <c r="F494">
        <f ca="1">SUM($E$2:E494)/SUM($D$2:D494)</f>
        <v>66.767346241938043</v>
      </c>
      <c r="G494">
        <f ca="1">_xlfn.STDEV.P($C$2:C494)</f>
        <v>4.3440120705547223</v>
      </c>
      <c r="H494">
        <f t="shared" ca="1" si="148"/>
        <v>71.111358312492769</v>
      </c>
      <c r="I494">
        <f t="shared" ca="1" si="149"/>
        <v>62.423334171383317</v>
      </c>
      <c r="J494">
        <f t="shared" ca="1" si="158"/>
        <v>71.126999999999995</v>
      </c>
      <c r="K494">
        <f t="shared" ca="1" si="159"/>
        <v>1.1552857928486335</v>
      </c>
      <c r="L494">
        <f t="shared" ca="1" si="160"/>
        <v>73.437571585697256</v>
      </c>
      <c r="M494">
        <f t="shared" ca="1" si="161"/>
        <v>68.816428414302734</v>
      </c>
      <c r="N494">
        <f t="shared" ca="1" si="150"/>
        <v>0.29999999999999716</v>
      </c>
      <c r="O494">
        <f t="shared" ca="1" si="151"/>
        <v>0.29999999999999716</v>
      </c>
      <c r="P494">
        <f t="shared" ca="1" si="152"/>
        <v>0</v>
      </c>
      <c r="Q494">
        <f t="shared" ca="1" si="156"/>
        <v>0.27873622875269499</v>
      </c>
      <c r="R494">
        <f t="shared" ca="1" si="157"/>
        <v>0.26967476237589116</v>
      </c>
      <c r="S494">
        <f t="shared" ca="1" si="154"/>
        <v>1.0336014623577321</v>
      </c>
      <c r="T494">
        <f t="shared" ca="1" si="155"/>
        <v>50.826156525250894</v>
      </c>
      <c r="U494">
        <f>70</f>
        <v>70</v>
      </c>
      <c r="V494">
        <f>30</f>
        <v>30</v>
      </c>
      <c r="W494">
        <f t="shared" ca="1" si="153"/>
        <v>70.58046741759992</v>
      </c>
      <c r="X494">
        <f t="shared" ca="1" si="163"/>
        <v>70.568813621915481</v>
      </c>
      <c r="Y494">
        <f t="shared" ca="1" si="162"/>
        <v>-6.7965928642479412E-3</v>
      </c>
      <c r="Z494">
        <f t="shared" ca="1" si="164"/>
        <v>0.12577134322068712</v>
      </c>
      <c r="AA494">
        <f t="shared" ca="1" si="165"/>
        <v>-0.13256793608493506</v>
      </c>
      <c r="AB494">
        <f t="shared" ca="1" si="166"/>
        <v>69.079100000000011</v>
      </c>
    </row>
    <row r="495" spans="1:28" x14ac:dyDescent="0.25">
      <c r="A495" s="20">
        <f t="shared" ca="1" si="146"/>
        <v>46006</v>
      </c>
      <c r="B495" vm="1378">
        <f ca="1"/>
        <v>46009</v>
      </c>
      <c r="C495" vm="1379">
        <f ca="1"/>
        <v>70.36</v>
      </c>
      <c r="D495" vm="1380">
        <f ca="1"/>
        <v>15524801</v>
      </c>
      <c r="E495">
        <f t="shared" ca="1" si="147"/>
        <v>1092324998.3599999</v>
      </c>
      <c r="F495">
        <f ca="1">SUM($E$2:E495)/SUM($D$2:D495)</f>
        <v>66.774689527619472</v>
      </c>
      <c r="G495">
        <f ca="1">_xlfn.STDEV.P($C$2:C495)</f>
        <v>4.3430823680957129</v>
      </c>
      <c r="H495">
        <f t="shared" ca="1" si="148"/>
        <v>71.11777189571518</v>
      </c>
      <c r="I495">
        <f t="shared" ca="1" si="149"/>
        <v>62.431607159523757</v>
      </c>
      <c r="J495">
        <f t="shared" ca="1" si="158"/>
        <v>71.089500000000015</v>
      </c>
      <c r="K495">
        <f t="shared" ca="1" si="159"/>
        <v>1.1679693353941505</v>
      </c>
      <c r="L495">
        <f t="shared" ca="1" si="160"/>
        <v>73.42543867078831</v>
      </c>
      <c r="M495">
        <f t="shared" ca="1" si="161"/>
        <v>68.75356132921172</v>
      </c>
      <c r="N495">
        <f t="shared" ca="1" si="150"/>
        <v>-0.31000000000000227</v>
      </c>
      <c r="O495">
        <f t="shared" ca="1" si="151"/>
        <v>0</v>
      </c>
      <c r="P495">
        <f t="shared" ca="1" si="152"/>
        <v>0.31000000000000227</v>
      </c>
      <c r="Q495">
        <f t="shared" ca="1" si="156"/>
        <v>0.25882649812750247</v>
      </c>
      <c r="R495">
        <f t="shared" ca="1" si="157"/>
        <v>0.27255513649189911</v>
      </c>
      <c r="S495">
        <f t="shared" ca="1" si="154"/>
        <v>0.94962986740554534</v>
      </c>
      <c r="T495">
        <f t="shared" ca="1" si="155"/>
        <v>48.708212942452398</v>
      </c>
      <c r="U495">
        <f>70</f>
        <v>70</v>
      </c>
      <c r="V495">
        <f>30</f>
        <v>30</v>
      </c>
      <c r="W495">
        <f t="shared" ca="1" si="153"/>
        <v>70.546549353353782</v>
      </c>
      <c r="X495">
        <f t="shared" ca="1" si="163"/>
        <v>70.55334594621803</v>
      </c>
      <c r="Y495">
        <f t="shared" ca="1" si="162"/>
        <v>-4.5106195369768898E-2</v>
      </c>
      <c r="Z495">
        <f t="shared" ca="1" si="164"/>
        <v>9.1595835502595924E-2</v>
      </c>
      <c r="AA495">
        <f t="shared" ca="1" si="165"/>
        <v>-0.13670203087236482</v>
      </c>
      <c r="AB495">
        <f t="shared" ca="1" si="166"/>
        <v>69.08890000000001</v>
      </c>
    </row>
    <row r="496" spans="1:28" x14ac:dyDescent="0.25">
      <c r="A496" s="20">
        <f t="shared" ca="1" si="146"/>
        <v>46006</v>
      </c>
      <c r="B496" vm="1381">
        <f ca="1"/>
        <v>46010</v>
      </c>
      <c r="C496" vm="1280">
        <f ca="1"/>
        <v>70.06</v>
      </c>
      <c r="D496" vm="1382">
        <f ca="1"/>
        <v>36911057</v>
      </c>
      <c r="E496">
        <f t="shared" ca="1" si="147"/>
        <v>2585988653.4200001</v>
      </c>
      <c r="F496">
        <f ca="1">SUM($E$2:E496)/SUM($D$2:D496)</f>
        <v>66.790577793840697</v>
      </c>
      <c r="G496">
        <f ca="1">_xlfn.STDEV.P($C$2:C496)</f>
        <v>4.3416263100855286</v>
      </c>
      <c r="H496">
        <f t="shared" ca="1" si="148"/>
        <v>71.132204103926227</v>
      </c>
      <c r="I496">
        <f t="shared" ca="1" si="149"/>
        <v>62.448951483755167</v>
      </c>
      <c r="J496">
        <f t="shared" ca="1" si="158"/>
        <v>71.032000000000011</v>
      </c>
      <c r="K496">
        <f t="shared" ca="1" si="159"/>
        <v>1.1898279397945699</v>
      </c>
      <c r="L496">
        <f t="shared" ca="1" si="160"/>
        <v>73.411655879589148</v>
      </c>
      <c r="M496">
        <f t="shared" ca="1" si="161"/>
        <v>68.652344120410874</v>
      </c>
      <c r="N496">
        <f t="shared" ca="1" si="150"/>
        <v>-0.29999999999999716</v>
      </c>
      <c r="O496">
        <f t="shared" ca="1" si="151"/>
        <v>0</v>
      </c>
      <c r="P496">
        <f t="shared" ca="1" si="152"/>
        <v>0.29999999999999716</v>
      </c>
      <c r="Q496">
        <f t="shared" ca="1" si="156"/>
        <v>0.24033889111839515</v>
      </c>
      <c r="R496">
        <f t="shared" ca="1" si="157"/>
        <v>0.2745154838853347</v>
      </c>
      <c r="S496">
        <f t="shared" ca="1" si="154"/>
        <v>0.8755021309427663</v>
      </c>
      <c r="T496">
        <f t="shared" ca="1" si="155"/>
        <v>46.680945678407419</v>
      </c>
      <c r="U496">
        <f>70</f>
        <v>70</v>
      </c>
      <c r="V496">
        <f>30</f>
        <v>30</v>
      </c>
      <c r="W496">
        <f t="shared" ca="1" si="153"/>
        <v>70.471695606683966</v>
      </c>
      <c r="X496">
        <f t="shared" ca="1" si="163"/>
        <v>70.516801802053735</v>
      </c>
      <c r="Y496">
        <f t="shared" ca="1" si="162"/>
        <v>-6.2640998525154146E-2</v>
      </c>
      <c r="Z496">
        <f t="shared" ca="1" si="164"/>
        <v>6.0748468697045907E-2</v>
      </c>
      <c r="AA496">
        <f t="shared" ca="1" si="165"/>
        <v>-0.12338946722220005</v>
      </c>
      <c r="AB496">
        <f t="shared" ca="1" si="166"/>
        <v>69.102000000000004</v>
      </c>
    </row>
    <row r="497" spans="1:28" x14ac:dyDescent="0.25">
      <c r="A497" s="20">
        <f t="shared" ca="1" si="146"/>
        <v>46013</v>
      </c>
      <c r="B497" vm="1383">
        <f ca="1"/>
        <v>46013</v>
      </c>
      <c r="C497" vm="1042">
        <f ca="1"/>
        <v>70.209999999999994</v>
      </c>
      <c r="D497" vm="1384">
        <f ca="1"/>
        <v>12828517</v>
      </c>
      <c r="E497">
        <f t="shared" ca="1" si="147"/>
        <v>900690178.56999993</v>
      </c>
      <c r="F497">
        <f ca="1">SUM($E$2:E497)/SUM($D$2:D497)</f>
        <v>66.796315567781662</v>
      </c>
      <c r="G497">
        <f ca="1">_xlfn.STDEV.P($C$2:C497)</f>
        <v>4.3404156594303123</v>
      </c>
      <c r="H497">
        <f t="shared" ca="1" si="148"/>
        <v>71.136731227211968</v>
      </c>
      <c r="I497">
        <f t="shared" ca="1" si="149"/>
        <v>62.455899908351348</v>
      </c>
      <c r="J497">
        <f t="shared" ca="1" si="158"/>
        <v>70.894999999999996</v>
      </c>
      <c r="K497">
        <f t="shared" ca="1" si="159"/>
        <v>1.1126000842029546</v>
      </c>
      <c r="L497">
        <f t="shared" ca="1" si="160"/>
        <v>73.120200168405901</v>
      </c>
      <c r="M497">
        <f t="shared" ca="1" si="161"/>
        <v>68.669799831594091</v>
      </c>
      <c r="N497">
        <f t="shared" ca="1" si="150"/>
        <v>0.14999999999999147</v>
      </c>
      <c r="O497">
        <f t="shared" ca="1" si="151"/>
        <v>0.14999999999999147</v>
      </c>
      <c r="P497">
        <f t="shared" ca="1" si="152"/>
        <v>0</v>
      </c>
      <c r="Q497">
        <f t="shared" ca="1" si="156"/>
        <v>0.23388611318136632</v>
      </c>
      <c r="R497">
        <f t="shared" ca="1" si="157"/>
        <v>0.25490723503638224</v>
      </c>
      <c r="S497">
        <f t="shared" ca="1" si="154"/>
        <v>0.91753422827713915</v>
      </c>
      <c r="T497">
        <f t="shared" ca="1" si="155"/>
        <v>47.849692315611115</v>
      </c>
      <c r="U497">
        <f>70</f>
        <v>70</v>
      </c>
      <c r="V497">
        <f>30</f>
        <v>30</v>
      </c>
      <c r="W497">
        <f t="shared" ca="1" si="153"/>
        <v>70.431434744117198</v>
      </c>
      <c r="X497">
        <f t="shared" ca="1" si="163"/>
        <v>70.494075742642352</v>
      </c>
      <c r="Y497">
        <f t="shared" ca="1" si="162"/>
        <v>-0.1027877417548666</v>
      </c>
      <c r="Z497">
        <f t="shared" ca="1" si="164"/>
        <v>2.8041226606663409E-2</v>
      </c>
      <c r="AA497">
        <f t="shared" ca="1" si="165"/>
        <v>-0.13082896836153002</v>
      </c>
      <c r="AB497">
        <f t="shared" ca="1" si="166"/>
        <v>69.125200000000007</v>
      </c>
    </row>
    <row r="498" spans="1:28" x14ac:dyDescent="0.25">
      <c r="A498" s="20">
        <f t="shared" ca="1" si="146"/>
        <v>46013</v>
      </c>
      <c r="B498" vm="1385">
        <f ca="1"/>
        <v>46014</v>
      </c>
      <c r="C498" vm="1075">
        <f ca="1"/>
        <v>69.87</v>
      </c>
      <c r="D498" vm="1386">
        <f ca="1"/>
        <v>9471036</v>
      </c>
      <c r="E498">
        <f t="shared" ca="1" si="147"/>
        <v>661741285.32000005</v>
      </c>
      <c r="F498">
        <f ca="1">SUM($E$2:E498)/SUM($D$2:D498)</f>
        <v>66.800118629143725</v>
      </c>
      <c r="G498">
        <f ca="1">_xlfn.STDEV.P($C$2:C498)</f>
        <v>4.3386431065026594</v>
      </c>
      <c r="H498">
        <f t="shared" ca="1" si="148"/>
        <v>71.138761735646383</v>
      </c>
      <c r="I498">
        <f t="shared" ca="1" si="149"/>
        <v>62.461475522641067</v>
      </c>
      <c r="J498">
        <f t="shared" ca="1" si="158"/>
        <v>70.759000000000015</v>
      </c>
      <c r="K498">
        <f t="shared" ca="1" si="159"/>
        <v>1.059478024411326</v>
      </c>
      <c r="L498">
        <f t="shared" ca="1" si="160"/>
        <v>72.877956048822668</v>
      </c>
      <c r="M498">
        <f t="shared" ca="1" si="161"/>
        <v>68.640043951177361</v>
      </c>
      <c r="N498">
        <f t="shared" ca="1" si="150"/>
        <v>-0.3399999999999892</v>
      </c>
      <c r="O498">
        <f t="shared" ca="1" si="151"/>
        <v>0</v>
      </c>
      <c r="P498">
        <f t="shared" ca="1" si="152"/>
        <v>0.3399999999999892</v>
      </c>
      <c r="Q498">
        <f t="shared" ca="1" si="156"/>
        <v>0.21717996223984018</v>
      </c>
      <c r="R498">
        <f t="shared" ca="1" si="157"/>
        <v>0.26098528967663986</v>
      </c>
      <c r="S498">
        <f t="shared" ca="1" si="154"/>
        <v>0.8321540363785469</v>
      </c>
      <c r="T498">
        <f t="shared" ca="1" si="155"/>
        <v>45.419436349543538</v>
      </c>
      <c r="U498">
        <f>70</f>
        <v>70</v>
      </c>
      <c r="V498">
        <f>30</f>
        <v>30</v>
      </c>
      <c r="W498">
        <f t="shared" ca="1" si="153"/>
        <v>70.345060168099167</v>
      </c>
      <c r="X498">
        <f t="shared" ca="1" si="163"/>
        <v>70.447847909854033</v>
      </c>
      <c r="Y498">
        <f t="shared" ca="1" si="162"/>
        <v>-0.11392507343904867</v>
      </c>
      <c r="Z498">
        <f t="shared" ca="1" si="164"/>
        <v>-3.5203340247900658E-4</v>
      </c>
      <c r="AA498">
        <f t="shared" ca="1" si="165"/>
        <v>-0.11357304003656966</v>
      </c>
      <c r="AB498">
        <f t="shared" ca="1" si="166"/>
        <v>69.135300000000001</v>
      </c>
    </row>
    <row r="499" spans="1:28" x14ac:dyDescent="0.25">
      <c r="A499" s="20">
        <f t="shared" ca="1" si="146"/>
        <v>46013</v>
      </c>
      <c r="B499" vm="1387">
        <f ca="1"/>
        <v>46015</v>
      </c>
      <c r="C499" vm="1388">
        <f ca="1"/>
        <v>70.11</v>
      </c>
      <c r="D499" vm="1389">
        <f ca="1"/>
        <v>4515327</v>
      </c>
      <c r="E499">
        <f t="shared" ca="1" si="147"/>
        <v>316569575.96999997</v>
      </c>
      <c r="F499">
        <f ca="1">SUM($E$2:E499)/SUM($D$2:D499)</f>
        <v>66.802069920391048</v>
      </c>
      <c r="G499">
        <f ca="1">_xlfn.STDEV.P($C$2:C499)</f>
        <v>4.3372504955349713</v>
      </c>
      <c r="H499">
        <f t="shared" ca="1" si="148"/>
        <v>71.139320415926022</v>
      </c>
      <c r="I499">
        <f t="shared" ca="1" si="149"/>
        <v>62.464819424856074</v>
      </c>
      <c r="J499">
        <f t="shared" ca="1" si="158"/>
        <v>70.634</v>
      </c>
      <c r="K499">
        <f t="shared" ca="1" si="159"/>
        <v>0.97359561474599476</v>
      </c>
      <c r="L499">
        <f t="shared" ca="1" si="160"/>
        <v>72.581191229491992</v>
      </c>
      <c r="M499">
        <f t="shared" ca="1" si="161"/>
        <v>68.686808770508009</v>
      </c>
      <c r="N499">
        <f t="shared" ca="1" si="150"/>
        <v>0.23999999999999488</v>
      </c>
      <c r="O499">
        <f t="shared" ca="1" si="151"/>
        <v>0.23999999999999488</v>
      </c>
      <c r="P499">
        <f t="shared" ca="1" si="152"/>
        <v>0</v>
      </c>
      <c r="Q499">
        <f t="shared" ca="1" si="156"/>
        <v>0.21880996493699409</v>
      </c>
      <c r="R499">
        <f t="shared" ca="1" si="157"/>
        <v>0.24234348327116559</v>
      </c>
      <c r="S499">
        <f t="shared" ca="1" si="154"/>
        <v>0.90289188709960433</v>
      </c>
      <c r="T499">
        <f t="shared" ca="1" si="155"/>
        <v>47.448406986263201</v>
      </c>
      <c r="U499">
        <f>70</f>
        <v>70</v>
      </c>
      <c r="V499">
        <f>30</f>
        <v>30</v>
      </c>
      <c r="W499">
        <f t="shared" ca="1" si="153"/>
        <v>70.308897065314682</v>
      </c>
      <c r="X499">
        <f t="shared" ca="1" si="163"/>
        <v>70.42282213875373</v>
      </c>
      <c r="Y499">
        <f t="shared" ca="1" si="162"/>
        <v>-0.14049791081625074</v>
      </c>
      <c r="Z499">
        <f t="shared" ca="1" si="164"/>
        <v>-2.8381208885233353E-2</v>
      </c>
      <c r="AA499">
        <f t="shared" ca="1" si="165"/>
        <v>-0.11211670193101739</v>
      </c>
      <c r="AB499">
        <f t="shared" ca="1" si="166"/>
        <v>69.146799999999999</v>
      </c>
    </row>
    <row r="500" spans="1:28" x14ac:dyDescent="0.25">
      <c r="A500" s="20">
        <f t="shared" ca="1" si="146"/>
        <v>46013</v>
      </c>
      <c r="B500" vm="1390">
        <f ca="1"/>
        <v>46017</v>
      </c>
      <c r="C500" vm="1075">
        <f ca="1"/>
        <v>69.87</v>
      </c>
      <c r="D500" vm="1391">
        <f ca="1"/>
        <v>5711350</v>
      </c>
      <c r="E500">
        <f t="shared" ca="1" si="147"/>
        <v>399052024.5</v>
      </c>
      <c r="F500">
        <f ca="1">SUM($E$2:E500)/SUM($D$2:D500)</f>
        <v>66.804355945331324</v>
      </c>
      <c r="G500">
        <f ca="1">_xlfn.STDEV.P($C$2:C500)</f>
        <v>4.3354686496033095</v>
      </c>
      <c r="H500">
        <f t="shared" ca="1" si="148"/>
        <v>71.139824594934638</v>
      </c>
      <c r="I500">
        <f t="shared" ca="1" si="149"/>
        <v>62.468887295728017</v>
      </c>
      <c r="J500">
        <f t="shared" ca="1" si="158"/>
        <v>70.483500000000006</v>
      </c>
      <c r="K500">
        <f t="shared" ca="1" si="159"/>
        <v>0.83022048434833273</v>
      </c>
      <c r="L500">
        <f t="shared" ca="1" si="160"/>
        <v>72.143940968696668</v>
      </c>
      <c r="M500">
        <f t="shared" ca="1" si="161"/>
        <v>68.823059031303345</v>
      </c>
      <c r="N500">
        <f t="shared" ca="1" si="150"/>
        <v>-0.23999999999999488</v>
      </c>
      <c r="O500">
        <f t="shared" ca="1" si="151"/>
        <v>0</v>
      </c>
      <c r="P500">
        <f t="shared" ca="1" si="152"/>
        <v>0.23999999999999488</v>
      </c>
      <c r="Q500">
        <f t="shared" ca="1" si="156"/>
        <v>0.2031806817272088</v>
      </c>
      <c r="R500">
        <f t="shared" ca="1" si="157"/>
        <v>0.2421760916089391</v>
      </c>
      <c r="S500">
        <f t="shared" ca="1" si="154"/>
        <v>0.83897910969386991</v>
      </c>
      <c r="T500">
        <f t="shared" ca="1" si="155"/>
        <v>45.622003277325568</v>
      </c>
      <c r="U500">
        <f>70</f>
        <v>70</v>
      </c>
      <c r="V500">
        <f>30</f>
        <v>30</v>
      </c>
      <c r="W500">
        <f t="shared" ca="1" si="153"/>
        <v>70.241374439881653</v>
      </c>
      <c r="X500">
        <f t="shared" ca="1" si="163"/>
        <v>70.381872350697904</v>
      </c>
      <c r="Y500">
        <f t="shared" ca="1" si="162"/>
        <v>-0.13658206647284032</v>
      </c>
      <c r="Z500">
        <f t="shared" ca="1" si="164"/>
        <v>-5.002138040275475E-2</v>
      </c>
      <c r="AA500">
        <f t="shared" ca="1" si="165"/>
        <v>-8.6560686070085574E-2</v>
      </c>
      <c r="AB500">
        <f t="shared" ca="1" si="166"/>
        <v>69.155000000000001</v>
      </c>
    </row>
    <row r="501" spans="1:28" x14ac:dyDescent="0.25">
      <c r="A501" s="20">
        <f t="shared" ca="1" si="146"/>
        <v>46020</v>
      </c>
      <c r="B501" vm="1392">
        <f ca="1"/>
        <v>46020</v>
      </c>
      <c r="C501" vm="1283">
        <f ca="1"/>
        <v>70.16</v>
      </c>
      <c r="D501" vm="1393">
        <f ca="1"/>
        <v>9686936</v>
      </c>
      <c r="E501">
        <f t="shared" ca="1" si="147"/>
        <v>679635429.75999999</v>
      </c>
      <c r="F501">
        <f ca="1">SUM($E$2:E501)/SUM($D$2:D501)</f>
        <v>66.808591502309923</v>
      </c>
      <c r="G501">
        <f ca="1">_xlfn.STDEV.P($C$2:C501)</f>
        <v>4.3341468658087736</v>
      </c>
      <c r="H501">
        <f t="shared" ca="1" si="148"/>
        <v>71.1427383681187</v>
      </c>
      <c r="I501">
        <f t="shared" ca="1" si="149"/>
        <v>62.474444636501147</v>
      </c>
      <c r="J501">
        <f t="shared" ca="1" si="158"/>
        <v>70.33550000000001</v>
      </c>
      <c r="K501">
        <f t="shared" ca="1" si="159"/>
        <v>0.55305348556422385</v>
      </c>
      <c r="L501">
        <f t="shared" ca="1" si="160"/>
        <v>71.441606971128465</v>
      </c>
      <c r="M501">
        <f t="shared" ca="1" si="161"/>
        <v>69.229393028871556</v>
      </c>
      <c r="N501">
        <f t="shared" ca="1" si="150"/>
        <v>0.28999999999999204</v>
      </c>
      <c r="O501">
        <f t="shared" ca="1" si="151"/>
        <v>0.28999999999999204</v>
      </c>
      <c r="P501">
        <f t="shared" ca="1" si="152"/>
        <v>0</v>
      </c>
      <c r="Q501">
        <f t="shared" ca="1" si="156"/>
        <v>0.20938206160383618</v>
      </c>
      <c r="R501">
        <f t="shared" ca="1" si="157"/>
        <v>0.22487779935115773</v>
      </c>
      <c r="S501">
        <f t="shared" ca="1" si="154"/>
        <v>0.93109262989929842</v>
      </c>
      <c r="T501">
        <f t="shared" ca="1" si="155"/>
        <v>48.215845034210119</v>
      </c>
      <c r="U501">
        <f>70</f>
        <v>70</v>
      </c>
      <c r="V501">
        <f>30</f>
        <v>30</v>
      </c>
      <c r="W501">
        <f t="shared" ca="1" si="153"/>
        <v>70.228855295284475</v>
      </c>
      <c r="X501">
        <f t="shared" ca="1" si="163"/>
        <v>70.365437361757316</v>
      </c>
      <c r="Y501">
        <f t="shared" ca="1" si="162"/>
        <v>-0.13913709365139937</v>
      </c>
      <c r="Z501">
        <f t="shared" ca="1" si="164"/>
        <v>-6.7844523052483674E-2</v>
      </c>
      <c r="AA501">
        <f t="shared" ca="1" si="165"/>
        <v>-7.1292570598915694E-2</v>
      </c>
      <c r="AB501">
        <f t="shared" ca="1" si="166"/>
        <v>69.161500000000004</v>
      </c>
    </row>
    <row r="502" spans="1:28" x14ac:dyDescent="0.25">
      <c r="A502" s="20">
        <f t="shared" ca="1" si="146"/>
        <v>46020</v>
      </c>
      <c r="B502" vm="1394">
        <f ca="1"/>
        <v>46021</v>
      </c>
      <c r="C502" vm="803">
        <f ca="1"/>
        <v>70.069999999999993</v>
      </c>
      <c r="D502" vm="1395">
        <f ca="1"/>
        <v>8610896</v>
      </c>
      <c r="E502">
        <f t="shared" ca="1" si="147"/>
        <v>603365482.71999991</v>
      </c>
      <c r="F502">
        <f ca="1">SUM($E$2:E502)/SUM($D$2:D502)</f>
        <v>66.812246732597018</v>
      </c>
      <c r="G502">
        <f ca="1">_xlfn.STDEV.P($C$2:C502)</f>
        <v>4.3326703808796783</v>
      </c>
      <c r="H502">
        <f t="shared" ca="1" si="148"/>
        <v>71.144917113476694</v>
      </c>
      <c r="I502">
        <f t="shared" ca="1" si="149"/>
        <v>62.479576351717341</v>
      </c>
      <c r="J502">
        <f t="shared" ca="1" si="158"/>
        <v>70.241500000000002</v>
      </c>
      <c r="K502">
        <f t="shared" ca="1" si="159"/>
        <v>0.40384044530378321</v>
      </c>
      <c r="L502">
        <f t="shared" ca="1" si="160"/>
        <v>71.049180890607573</v>
      </c>
      <c r="M502">
        <f t="shared" ca="1" si="161"/>
        <v>69.433819109392431</v>
      </c>
      <c r="N502">
        <f t="shared" ca="1" si="150"/>
        <v>-9.0000000000003411E-2</v>
      </c>
      <c r="O502">
        <f t="shared" ca="1" si="151"/>
        <v>0</v>
      </c>
      <c r="P502">
        <f t="shared" ca="1" si="152"/>
        <v>9.0000000000003411E-2</v>
      </c>
      <c r="Q502">
        <f t="shared" ca="1" si="156"/>
        <v>0.19442620006070505</v>
      </c>
      <c r="R502">
        <f t="shared" ca="1" si="157"/>
        <v>0.21524367082607526</v>
      </c>
      <c r="S502">
        <f t="shared" ca="1" si="154"/>
        <v>0.90328416772732201</v>
      </c>
      <c r="T502">
        <f t="shared" ca="1" si="155"/>
        <v>47.459238249531474</v>
      </c>
      <c r="U502">
        <f>70</f>
        <v>70</v>
      </c>
      <c r="V502">
        <f>30</f>
        <v>30</v>
      </c>
      <c r="W502">
        <f t="shared" ca="1" si="153"/>
        <v>70.204416019086864</v>
      </c>
      <c r="X502">
        <f t="shared" ca="1" si="163"/>
        <v>70.343553112738263</v>
      </c>
      <c r="Y502">
        <f t="shared" ca="1" si="162"/>
        <v>-0.1523168204305847</v>
      </c>
      <c r="Z502">
        <f t="shared" ca="1" si="164"/>
        <v>-8.4738982528103884E-2</v>
      </c>
      <c r="AA502">
        <f t="shared" ca="1" si="165"/>
        <v>-6.7577837902480814E-2</v>
      </c>
      <c r="AB502">
        <f t="shared" ca="1" si="166"/>
        <v>69.157899999999998</v>
      </c>
    </row>
    <row r="503" spans="1:28" x14ac:dyDescent="0.25">
      <c r="A503" s="20">
        <f t="shared" ca="1" si="146"/>
        <v>46020</v>
      </c>
      <c r="B503" vm="1396">
        <f ca="1"/>
        <v>46022</v>
      </c>
      <c r="C503" vm="1397">
        <f ca="1"/>
        <v>69.91</v>
      </c>
      <c r="D503" vm="1398">
        <f ca="1"/>
        <v>8127801</v>
      </c>
      <c r="E503">
        <f t="shared" ca="1" si="147"/>
        <v>568214567.90999997</v>
      </c>
      <c r="F503">
        <f ca="1">SUM($E$2:E503)/SUM($D$2:D503)</f>
        <v>66.815520304620193</v>
      </c>
      <c r="G503">
        <f ca="1">_xlfn.STDEV.P($C$2:C503)</f>
        <v>4.3309357251624041</v>
      </c>
      <c r="H503">
        <f t="shared" ca="1" si="148"/>
        <v>71.146456029782598</v>
      </c>
      <c r="I503">
        <f t="shared" ca="1" si="149"/>
        <v>62.484584579457788</v>
      </c>
      <c r="J503">
        <f t="shared" ca="1" si="158"/>
        <v>70.20350000000002</v>
      </c>
      <c r="K503">
        <f t="shared" ca="1" si="159"/>
        <v>0.39709835716502018</v>
      </c>
      <c r="L503">
        <f t="shared" ca="1" si="160"/>
        <v>70.997696714330061</v>
      </c>
      <c r="M503">
        <f t="shared" ca="1" si="161"/>
        <v>69.409303285669978</v>
      </c>
      <c r="N503">
        <f t="shared" ca="1" si="150"/>
        <v>-0.15999999999999659</v>
      </c>
      <c r="O503">
        <f t="shared" ca="1" si="151"/>
        <v>0</v>
      </c>
      <c r="P503">
        <f t="shared" ca="1" si="152"/>
        <v>0.15999999999999659</v>
      </c>
      <c r="Q503">
        <f t="shared" ca="1" si="156"/>
        <v>0.18053861434208326</v>
      </c>
      <c r="R503">
        <f t="shared" ca="1" si="157"/>
        <v>0.21129769433849824</v>
      </c>
      <c r="S503">
        <f t="shared" ca="1" si="154"/>
        <v>0.85442775373053037</v>
      </c>
      <c r="T503">
        <f t="shared" ca="1" si="155"/>
        <v>46.075008962289751</v>
      </c>
      <c r="U503">
        <f>70</f>
        <v>70</v>
      </c>
      <c r="V503">
        <f>30</f>
        <v>30</v>
      </c>
      <c r="W503">
        <f t="shared" ca="1" si="153"/>
        <v>70.159121246919653</v>
      </c>
      <c r="X503">
        <f t="shared" ca="1" si="163"/>
        <v>70.311438067350238</v>
      </c>
      <c r="Y503">
        <f t="shared" ca="1" si="162"/>
        <v>-0.22392695599343426</v>
      </c>
      <c r="Z503">
        <f t="shared" ca="1" si="164"/>
        <v>-0.11257657722116997</v>
      </c>
      <c r="AA503">
        <f t="shared" ca="1" si="165"/>
        <v>-0.11135037877226429</v>
      </c>
      <c r="AB503">
        <f t="shared" ca="1" si="166"/>
        <v>69.153599999999997</v>
      </c>
    </row>
    <row r="504" spans="1:28" x14ac:dyDescent="0.25">
      <c r="A504" s="20">
        <f t="shared" ca="1" si="146"/>
        <v>46020</v>
      </c>
      <c r="B504" vm="1399">
        <f ca="1"/>
        <v>46024</v>
      </c>
      <c r="C504" vm="1400">
        <f ca="1"/>
        <v>69.12</v>
      </c>
      <c r="D504" vm="1401">
        <f ca="1"/>
        <v>12151309</v>
      </c>
      <c r="E504">
        <f t="shared" ca="1" si="147"/>
        <v>839898478.08000004</v>
      </c>
      <c r="F504">
        <f ca="1">SUM($E$2:E504)/SUM($D$2:D504)</f>
        <v>66.819155371221441</v>
      </c>
      <c r="G504">
        <f ca="1">_xlfn.STDEV.P($C$2:C504)</f>
        <v>4.3281279119327527</v>
      </c>
      <c r="H504">
        <f t="shared" ca="1" si="148"/>
        <v>71.147283283154195</v>
      </c>
      <c r="I504">
        <f t="shared" ca="1" si="149"/>
        <v>62.491027459288688</v>
      </c>
      <c r="J504">
        <f t="shared" ca="1" si="158"/>
        <v>70.119</v>
      </c>
      <c r="K504">
        <f t="shared" ca="1" si="159"/>
        <v>0.4388609658746383</v>
      </c>
      <c r="L504">
        <f t="shared" ca="1" si="160"/>
        <v>70.996721931749278</v>
      </c>
      <c r="M504">
        <f t="shared" ca="1" si="161"/>
        <v>69.241278068250722</v>
      </c>
      <c r="N504">
        <f t="shared" ca="1" si="150"/>
        <v>-0.78999999999999204</v>
      </c>
      <c r="O504">
        <f t="shared" ca="1" si="151"/>
        <v>0</v>
      </c>
      <c r="P504">
        <f t="shared" ca="1" si="152"/>
        <v>0.78999999999999204</v>
      </c>
      <c r="Q504">
        <f t="shared" ca="1" si="156"/>
        <v>0.16764299903193444</v>
      </c>
      <c r="R504">
        <f t="shared" ca="1" si="157"/>
        <v>0.25263357331431924</v>
      </c>
      <c r="S504">
        <f t="shared" ca="1" si="154"/>
        <v>0.66358163260968472</v>
      </c>
      <c r="T504">
        <f t="shared" ca="1" si="155"/>
        <v>39.888732816117631</v>
      </c>
      <c r="U504">
        <f>70</f>
        <v>70</v>
      </c>
      <c r="V504">
        <f>30</f>
        <v>30</v>
      </c>
      <c r="W504">
        <f t="shared" ca="1" si="153"/>
        <v>69.999256439701242</v>
      </c>
      <c r="X504">
        <f t="shared" ca="1" si="163"/>
        <v>70.223183395694676</v>
      </c>
      <c r="Y504">
        <f t="shared" ca="1" si="162"/>
        <v>-0.37161094304700271</v>
      </c>
      <c r="Z504">
        <f t="shared" ca="1" si="164"/>
        <v>-0.1643834503863365</v>
      </c>
      <c r="AA504">
        <f t="shared" ca="1" si="165"/>
        <v>-0.2072274926606662</v>
      </c>
      <c r="AB504">
        <f t="shared" ca="1" si="166"/>
        <v>69.137299999999996</v>
      </c>
    </row>
    <row r="505" spans="1:28" x14ac:dyDescent="0.25">
      <c r="A505" s="20">
        <f t="shared" ca="1" si="146"/>
        <v>46027</v>
      </c>
      <c r="B505" vm="1402">
        <f ca="1"/>
        <v>46027</v>
      </c>
      <c r="C505" vm="1403">
        <f ca="1"/>
        <v>67.94</v>
      </c>
      <c r="D505" vm="1404">
        <f ca="1"/>
        <v>21186642</v>
      </c>
      <c r="E505">
        <f t="shared" ca="1" si="147"/>
        <v>1439420457.48</v>
      </c>
      <c r="F505">
        <f ca="1">SUM($E$2:E505)/SUM($D$2:D505)</f>
        <v>66.822229564497405</v>
      </c>
      <c r="G505">
        <f ca="1">_xlfn.STDEV.P($C$2:C505)</f>
        <v>4.3242632494133346</v>
      </c>
      <c r="H505">
        <f t="shared" ca="1" si="148"/>
        <v>71.14649281391074</v>
      </c>
      <c r="I505">
        <f t="shared" ca="1" si="149"/>
        <v>62.497966315084071</v>
      </c>
      <c r="J505">
        <f t="shared" ca="1" si="158"/>
        <v>69.993500000000012</v>
      </c>
      <c r="K505">
        <f t="shared" ca="1" si="159"/>
        <v>0.6481899900167345</v>
      </c>
      <c r="L505">
        <f t="shared" ca="1" si="160"/>
        <v>71.289879980033476</v>
      </c>
      <c r="M505">
        <f t="shared" ca="1" si="161"/>
        <v>68.697120019966547</v>
      </c>
      <c r="N505">
        <f t="shared" ca="1" si="150"/>
        <v>-1.1800000000000068</v>
      </c>
      <c r="O505">
        <f t="shared" ca="1" si="151"/>
        <v>0</v>
      </c>
      <c r="P505">
        <f t="shared" ca="1" si="152"/>
        <v>1.1800000000000068</v>
      </c>
      <c r="Q505">
        <f t="shared" ca="1" si="156"/>
        <v>0.15566849910108196</v>
      </c>
      <c r="R505">
        <f t="shared" ca="1" si="157"/>
        <v>0.31887403236329692</v>
      </c>
      <c r="S505">
        <f t="shared" ca="1" si="154"/>
        <v>0.48818180002731304</v>
      </c>
      <c r="T505">
        <f t="shared" ca="1" si="155"/>
        <v>32.803908770981693</v>
      </c>
      <c r="U505">
        <f>70</f>
        <v>70</v>
      </c>
      <c r="V505">
        <f>30</f>
        <v>30</v>
      </c>
      <c r="W505">
        <f t="shared" ca="1" si="153"/>
        <v>69.682447756670285</v>
      </c>
      <c r="X505">
        <f t="shared" ca="1" si="163"/>
        <v>70.054058699717288</v>
      </c>
      <c r="Y505">
        <f t="shared" ca="1" si="162"/>
        <v>-0.49106009594599698</v>
      </c>
      <c r="Z505">
        <f t="shared" ca="1" si="164"/>
        <v>-0.22971877949826863</v>
      </c>
      <c r="AA505">
        <f t="shared" ca="1" si="165"/>
        <v>-0.26134131644772834</v>
      </c>
      <c r="AB505">
        <f t="shared" ca="1" si="166"/>
        <v>69.109599999999986</v>
      </c>
    </row>
    <row r="506" spans="1:28" x14ac:dyDescent="0.25">
      <c r="A506" s="20">
        <f t="shared" ca="1" si="146"/>
        <v>46027</v>
      </c>
      <c r="B506" vm="1405">
        <f ca="1"/>
        <v>46028</v>
      </c>
      <c r="C506" vm="1406">
        <f ca="1"/>
        <v>67.84</v>
      </c>
      <c r="D506" vm="1407">
        <f ca="1"/>
        <v>21019861</v>
      </c>
      <c r="E506">
        <f t="shared" ca="1" si="147"/>
        <v>1425987370.24</v>
      </c>
      <c r="F506">
        <f ca="1">SUM($E$2:E506)/SUM($D$2:D506)</f>
        <v>66.824991560960285</v>
      </c>
      <c r="G506">
        <f ca="1">_xlfn.STDEV.P($C$2:C506)</f>
        <v>4.3203483854374278</v>
      </c>
      <c r="H506">
        <f t="shared" ca="1" si="148"/>
        <v>71.145339946397712</v>
      </c>
      <c r="I506">
        <f t="shared" ca="1" si="149"/>
        <v>62.504643175522858</v>
      </c>
      <c r="J506">
        <f t="shared" ca="1" si="158"/>
        <v>69.885499999999993</v>
      </c>
      <c r="K506">
        <f t="shared" ca="1" si="159"/>
        <v>0.80743567447881037</v>
      </c>
      <c r="L506">
        <f t="shared" ca="1" si="160"/>
        <v>71.500371348957614</v>
      </c>
      <c r="M506">
        <f t="shared" ca="1" si="161"/>
        <v>68.270628651042372</v>
      </c>
      <c r="N506">
        <f t="shared" ca="1" si="150"/>
        <v>-9.9999999999994316E-2</v>
      </c>
      <c r="O506">
        <f t="shared" ca="1" si="151"/>
        <v>0</v>
      </c>
      <c r="P506">
        <f t="shared" ca="1" si="152"/>
        <v>9.9999999999994316E-2</v>
      </c>
      <c r="Q506">
        <f t="shared" ca="1" si="156"/>
        <v>0.1445493205938618</v>
      </c>
      <c r="R506">
        <f t="shared" ca="1" si="157"/>
        <v>0.30324017290877531</v>
      </c>
      <c r="S506">
        <f t="shared" ca="1" si="154"/>
        <v>0.47668262159099556</v>
      </c>
      <c r="T506">
        <f t="shared" ca="1" si="155"/>
        <v>32.280641393166263</v>
      </c>
      <c r="U506">
        <f>70</f>
        <v>70</v>
      </c>
      <c r="V506">
        <f>30</f>
        <v>30</v>
      </c>
      <c r="W506">
        <f t="shared" ca="1" si="153"/>
        <v>69.398994255644084</v>
      </c>
      <c r="X506">
        <f t="shared" ca="1" si="163"/>
        <v>69.890054351590081</v>
      </c>
      <c r="Y506">
        <f t="shared" ca="1" si="162"/>
        <v>-0.60298111208115301</v>
      </c>
      <c r="Z506">
        <f t="shared" ca="1" si="164"/>
        <v>-0.30437124601484555</v>
      </c>
      <c r="AA506">
        <f t="shared" ca="1" si="165"/>
        <v>-0.29860986606630746</v>
      </c>
      <c r="AB506">
        <f t="shared" ca="1" si="166"/>
        <v>69.083399999999997</v>
      </c>
    </row>
    <row r="507" spans="1:28" x14ac:dyDescent="0.25">
      <c r="A507" s="20">
        <f t="shared" ca="1" si="146"/>
        <v>46027</v>
      </c>
      <c r="B507" vm="1408">
        <f ca="1"/>
        <v>46029</v>
      </c>
      <c r="C507" vm="1409">
        <f ca="1"/>
        <v>67.540000000000006</v>
      </c>
      <c r="D507" vm="1410">
        <f ca="1"/>
        <v>20223362</v>
      </c>
      <c r="E507">
        <f t="shared" ca="1" si="147"/>
        <v>1365885869.48</v>
      </c>
      <c r="F507">
        <f ca="1">SUM($E$2:E507)/SUM($D$2:D507)</f>
        <v>66.826853543189287</v>
      </c>
      <c r="G507">
        <f ca="1">_xlfn.STDEV.P($C$2:C507)</f>
        <v>4.3162908671652618</v>
      </c>
      <c r="H507">
        <f t="shared" ca="1" si="148"/>
        <v>71.143144410354552</v>
      </c>
      <c r="I507">
        <f t="shared" ca="1" si="149"/>
        <v>62.510562676024023</v>
      </c>
      <c r="J507">
        <f t="shared" ca="1" si="158"/>
        <v>69.749999999999986</v>
      </c>
      <c r="K507">
        <f t="shared" ca="1" si="159"/>
        <v>0.95664985620049003</v>
      </c>
      <c r="L507">
        <f t="shared" ca="1" si="160"/>
        <v>71.663299712400971</v>
      </c>
      <c r="M507">
        <f t="shared" ca="1" si="161"/>
        <v>67.836700287599001</v>
      </c>
      <c r="N507">
        <f t="shared" ca="1" si="150"/>
        <v>-0.29999999999999716</v>
      </c>
      <c r="O507">
        <f t="shared" ca="1" si="151"/>
        <v>0</v>
      </c>
      <c r="P507">
        <f t="shared" ca="1" si="152"/>
        <v>0.29999999999999716</v>
      </c>
      <c r="Q507">
        <f t="shared" ca="1" si="156"/>
        <v>0.13422436912287167</v>
      </c>
      <c r="R507">
        <f t="shared" ca="1" si="157"/>
        <v>0.30300873198671974</v>
      </c>
      <c r="S507">
        <f t="shared" ca="1" si="154"/>
        <v>0.44297195081742546</v>
      </c>
      <c r="T507">
        <f t="shared" ca="1" si="155"/>
        <v>30.698583611863512</v>
      </c>
      <c r="U507">
        <f>70</f>
        <v>70</v>
      </c>
      <c r="V507">
        <f>30</f>
        <v>30</v>
      </c>
      <c r="W507">
        <f t="shared" ca="1" si="153"/>
        <v>69.112995139391145</v>
      </c>
      <c r="X507">
        <f t="shared" ca="1" si="163"/>
        <v>69.715976251472298</v>
      </c>
      <c r="Y507">
        <f t="shared" ca="1" si="162"/>
        <v>-0.53781403227728219</v>
      </c>
      <c r="Z507">
        <f t="shared" ca="1" si="164"/>
        <v>-0.35105980326733288</v>
      </c>
      <c r="AA507">
        <f t="shared" ca="1" si="165"/>
        <v>-0.18675422900994931</v>
      </c>
      <c r="AB507">
        <f t="shared" ca="1" si="166"/>
        <v>69.063299999999984</v>
      </c>
    </row>
    <row r="508" spans="1:28" x14ac:dyDescent="0.25">
      <c r="A508" s="20">
        <f t="shared" ca="1" si="146"/>
        <v>46027</v>
      </c>
      <c r="B508" vm="1411">
        <f ca="1"/>
        <v>46030</v>
      </c>
      <c r="C508" vm="1412">
        <f ca="1"/>
        <v>69.37</v>
      </c>
      <c r="D508" vm="1413">
        <f ca="1"/>
        <v>19236983</v>
      </c>
      <c r="E508">
        <f t="shared" ca="1" si="147"/>
        <v>1334469510.71</v>
      </c>
      <c r="F508">
        <f ca="1">SUM($E$2:E508)/SUM($D$2:D508)</f>
        <v>66.833137668970949</v>
      </c>
      <c r="G508">
        <f ca="1">_xlfn.STDEV.P($C$2:C508)</f>
        <v>4.3138151210571545</v>
      </c>
      <c r="H508">
        <f t="shared" ca="1" si="148"/>
        <v>71.146952790028109</v>
      </c>
      <c r="I508">
        <f t="shared" ca="1" si="149"/>
        <v>62.519322547913795</v>
      </c>
      <c r="J508">
        <f t="shared" ca="1" si="158"/>
        <v>69.714000000000013</v>
      </c>
      <c r="K508">
        <f t="shared" ca="1" si="159"/>
        <v>0.95672907675882135</v>
      </c>
      <c r="L508">
        <f t="shared" ca="1" si="160"/>
        <v>71.627458153517651</v>
      </c>
      <c r="M508">
        <f t="shared" ca="1" si="161"/>
        <v>67.800541846482375</v>
      </c>
      <c r="N508">
        <f t="shared" ca="1" si="150"/>
        <v>1.8299999999999983</v>
      </c>
      <c r="O508">
        <f t="shared" ca="1" si="151"/>
        <v>1.8299999999999983</v>
      </c>
      <c r="P508">
        <f t="shared" ca="1" si="152"/>
        <v>0</v>
      </c>
      <c r="Q508">
        <f t="shared" ca="1" si="156"/>
        <v>0.25535119989980931</v>
      </c>
      <c r="R508">
        <f t="shared" ca="1" si="157"/>
        <v>0.28136525113052546</v>
      </c>
      <c r="S508">
        <f t="shared" ca="1" si="154"/>
        <v>0.90754348262199502</v>
      </c>
      <c r="T508">
        <f t="shared" ca="1" si="155"/>
        <v>47.576555443681947</v>
      </c>
      <c r="U508">
        <f>70</f>
        <v>70</v>
      </c>
      <c r="V508">
        <f>30</f>
        <v>30</v>
      </c>
      <c r="W508">
        <f t="shared" ca="1" si="153"/>
        <v>69.152534348715591</v>
      </c>
      <c r="X508">
        <f t="shared" ca="1" si="163"/>
        <v>69.690348380992873</v>
      </c>
      <c r="Y508">
        <f t="shared" ca="1" si="162"/>
        <v>-0.38968809759018086</v>
      </c>
      <c r="Z508">
        <f t="shared" ca="1" si="164"/>
        <v>-0.35878546213190249</v>
      </c>
      <c r="AA508">
        <f t="shared" ca="1" si="165"/>
        <v>-3.0902635458278371E-2</v>
      </c>
      <c r="AB508">
        <f t="shared" ca="1" si="166"/>
        <v>69.057799999999986</v>
      </c>
    </row>
    <row r="509" spans="1:28" x14ac:dyDescent="0.25">
      <c r="A509" s="20">
        <f t="shared" ca="1" si="146"/>
        <v>46027</v>
      </c>
      <c r="B509" vm="1414">
        <f ca="1"/>
        <v>46031</v>
      </c>
      <c r="C509" vm="1415">
        <f ca="1"/>
        <v>70.510000000000005</v>
      </c>
      <c r="D509" vm="1416">
        <f ca="1"/>
        <v>19638646</v>
      </c>
      <c r="E509">
        <f t="shared" ca="1" si="147"/>
        <v>1384720929.46</v>
      </c>
      <c r="F509">
        <f ca="1">SUM($E$2:E509)/SUM($D$2:D509)</f>
        <v>66.84238957635668</v>
      </c>
      <c r="G509">
        <f ca="1">_xlfn.STDEV.P($C$2:C509)</f>
        <v>4.3130856629582333</v>
      </c>
      <c r="H509">
        <f t="shared" ca="1" si="148"/>
        <v>71.15547523931491</v>
      </c>
      <c r="I509">
        <f t="shared" ca="1" si="149"/>
        <v>62.529303913398451</v>
      </c>
      <c r="J509">
        <f t="shared" ca="1" si="158"/>
        <v>69.729000000000013</v>
      </c>
      <c r="K509">
        <f t="shared" ca="1" si="159"/>
        <v>0.96720922463059866</v>
      </c>
      <c r="L509">
        <f t="shared" ca="1" si="160"/>
        <v>71.663418449261215</v>
      </c>
      <c r="M509">
        <f t="shared" ca="1" si="161"/>
        <v>67.794581550738812</v>
      </c>
      <c r="N509">
        <f t="shared" ca="1" si="150"/>
        <v>1.1400000000000006</v>
      </c>
      <c r="O509">
        <f t="shared" ca="1" si="151"/>
        <v>1.1400000000000006</v>
      </c>
      <c r="P509">
        <f t="shared" ca="1" si="152"/>
        <v>0</v>
      </c>
      <c r="Q509">
        <f t="shared" ca="1" si="156"/>
        <v>0.31854039990696581</v>
      </c>
      <c r="R509">
        <f t="shared" ca="1" si="157"/>
        <v>0.2612677331926308</v>
      </c>
      <c r="S509">
        <f t="shared" ca="1" si="154"/>
        <v>1.2192106388893735</v>
      </c>
      <c r="T509">
        <f t="shared" ca="1" si="155"/>
        <v>54.938932678312142</v>
      </c>
      <c r="U509">
        <f>70</f>
        <v>70</v>
      </c>
      <c r="V509">
        <f>30</f>
        <v>30</v>
      </c>
      <c r="W509">
        <f t="shared" ca="1" si="153"/>
        <v>69.361375218143962</v>
      </c>
      <c r="X509">
        <f t="shared" ca="1" si="163"/>
        <v>69.751063315734143</v>
      </c>
      <c r="Y509">
        <f t="shared" ca="1" si="162"/>
        <v>-0.26999184565482892</v>
      </c>
      <c r="Z509">
        <f t="shared" ca="1" si="164"/>
        <v>-0.34102673883648776</v>
      </c>
      <c r="AA509">
        <f t="shared" ca="1" si="165"/>
        <v>7.1034893181658842E-2</v>
      </c>
      <c r="AB509">
        <f t="shared" ca="1" si="166"/>
        <v>69.071599999999989</v>
      </c>
    </row>
    <row r="510" spans="1:28" x14ac:dyDescent="0.25">
      <c r="A510" s="20">
        <f t="shared" ca="1" si="146"/>
        <v>46034</v>
      </c>
      <c r="B510" vm="1417">
        <f ca="1"/>
        <v>46034</v>
      </c>
      <c r="C510" vm="1418">
        <f ca="1"/>
        <v>70.5</v>
      </c>
      <c r="D510" vm="1419">
        <f ca="1"/>
        <v>20582473</v>
      </c>
      <c r="E510">
        <f t="shared" ca="1" si="147"/>
        <v>1451064346.5</v>
      </c>
      <c r="F510">
        <f ca="1">SUM($E$2:E510)/SUM($D$2:D510)</f>
        <v>66.85200998590831</v>
      </c>
      <c r="G510">
        <f ca="1">_xlfn.STDEV.P($C$2:C510)</f>
        <v>4.3123273436036333</v>
      </c>
      <c r="H510">
        <f t="shared" ca="1" si="148"/>
        <v>71.164337329511937</v>
      </c>
      <c r="I510">
        <f t="shared" ca="1" si="149"/>
        <v>62.539682642304676</v>
      </c>
      <c r="J510">
        <f t="shared" ca="1" si="158"/>
        <v>69.798500000000004</v>
      </c>
      <c r="K510">
        <f t="shared" ca="1" si="159"/>
        <v>0.97032428111756197</v>
      </c>
      <c r="L510">
        <f t="shared" ca="1" si="160"/>
        <v>71.73914856223513</v>
      </c>
      <c r="M510">
        <f t="shared" ca="1" si="161"/>
        <v>67.857851437764879</v>
      </c>
      <c r="N510">
        <f t="shared" ca="1" si="150"/>
        <v>-1.0000000000005116E-2</v>
      </c>
      <c r="O510">
        <f t="shared" ca="1" si="151"/>
        <v>0</v>
      </c>
      <c r="P510">
        <f t="shared" ca="1" si="152"/>
        <v>1.0000000000005116E-2</v>
      </c>
      <c r="Q510">
        <f t="shared" ca="1" si="156"/>
        <v>0.29578751419932542</v>
      </c>
      <c r="R510">
        <f t="shared" ca="1" si="157"/>
        <v>0.24332003796458612</v>
      </c>
      <c r="S510">
        <f t="shared" ca="1" si="154"/>
        <v>1.2156315471328984</v>
      </c>
      <c r="T510">
        <f t="shared" ca="1" si="155"/>
        <v>54.866141832380315</v>
      </c>
      <c r="U510">
        <f>70</f>
        <v>70</v>
      </c>
      <c r="V510">
        <f>30</f>
        <v>30</v>
      </c>
      <c r="W510">
        <f t="shared" ca="1" si="153"/>
        <v>69.536548261506425</v>
      </c>
      <c r="X510">
        <f t="shared" ca="1" si="163"/>
        <v>69.806540107161254</v>
      </c>
      <c r="Y510">
        <f t="shared" ca="1" si="162"/>
        <v>-0.11410456170939653</v>
      </c>
      <c r="Z510">
        <f t="shared" ca="1" si="164"/>
        <v>-0.29564230341106956</v>
      </c>
      <c r="AA510">
        <f t="shared" ca="1" si="165"/>
        <v>0.18153774170167303</v>
      </c>
      <c r="AB510">
        <f t="shared" ca="1" si="166"/>
        <v>69.075299999999999</v>
      </c>
    </row>
    <row r="511" spans="1:28" x14ac:dyDescent="0.25">
      <c r="A511" s="20">
        <f t="shared" ca="1" si="146"/>
        <v>46034</v>
      </c>
      <c r="B511" vm="1420">
        <f ca="1"/>
        <v>46035</v>
      </c>
      <c r="C511" vm="1421">
        <f ca="1"/>
        <v>71.239999999999995</v>
      </c>
      <c r="D511" vm="1422">
        <f ca="1"/>
        <v>18324762</v>
      </c>
      <c r="E511">
        <f t="shared" ca="1" si="147"/>
        <v>1305456044.8799999</v>
      </c>
      <c r="F511">
        <f ca="1">SUM($E$2:E511)/SUM($D$2:D511)</f>
        <v>66.862261469518955</v>
      </c>
      <c r="G511">
        <f ca="1">_xlfn.STDEV.P($C$2:C511)</f>
        <v>4.3129936225858225</v>
      </c>
      <c r="H511">
        <f t="shared" ca="1" si="148"/>
        <v>71.175255092104777</v>
      </c>
      <c r="I511">
        <f t="shared" ca="1" si="149"/>
        <v>62.549267846933134</v>
      </c>
      <c r="J511">
        <f t="shared" ca="1" si="158"/>
        <v>69.834500000000006</v>
      </c>
      <c r="K511">
        <f t="shared" ca="1" si="159"/>
        <v>1.0110051017623358</v>
      </c>
      <c r="L511">
        <f t="shared" ca="1" si="160"/>
        <v>71.856510203524678</v>
      </c>
      <c r="M511">
        <f t="shared" ca="1" si="161"/>
        <v>67.812489796475333</v>
      </c>
      <c r="N511">
        <f t="shared" ca="1" si="150"/>
        <v>0.73999999999999488</v>
      </c>
      <c r="O511">
        <f t="shared" ca="1" si="151"/>
        <v>0.73999999999999488</v>
      </c>
      <c r="P511">
        <f t="shared" ca="1" si="152"/>
        <v>0</v>
      </c>
      <c r="Q511">
        <f t="shared" ca="1" si="156"/>
        <v>0.32751697747080183</v>
      </c>
      <c r="R511">
        <f t="shared" ca="1" si="157"/>
        <v>0.22594003525282996</v>
      </c>
      <c r="S511">
        <f t="shared" ca="1" si="154"/>
        <v>1.4495747825492984</v>
      </c>
      <c r="T511">
        <f t="shared" ca="1" si="155"/>
        <v>59.176588233844839</v>
      </c>
      <c r="U511">
        <f>70</f>
        <v>70</v>
      </c>
      <c r="V511">
        <f>30</f>
        <v>30</v>
      </c>
      <c r="W511">
        <f t="shared" ca="1" si="153"/>
        <v>69.798617759736203</v>
      </c>
      <c r="X511">
        <f t="shared" ca="1" si="163"/>
        <v>69.9127223214456</v>
      </c>
      <c r="Y511">
        <f t="shared" ca="1" si="162"/>
        <v>2.5284103053664353E-2</v>
      </c>
      <c r="Z511">
        <f t="shared" ca="1" si="164"/>
        <v>-0.2314570221181228</v>
      </c>
      <c r="AA511">
        <f t="shared" ca="1" si="165"/>
        <v>0.25674112517178715</v>
      </c>
      <c r="AB511">
        <f t="shared" ca="1" si="166"/>
        <v>69.080699999999993</v>
      </c>
    </row>
    <row r="512" spans="1:28" x14ac:dyDescent="0.25">
      <c r="A512" s="20">
        <f t="shared" ca="1" si="146"/>
        <v>46034</v>
      </c>
      <c r="B512" vm="1423">
        <f ca="1"/>
        <v>46036</v>
      </c>
      <c r="C512" vm="1424">
        <f ca="1"/>
        <v>71.44</v>
      </c>
      <c r="D512" vm="1425">
        <f ca="1"/>
        <v>16739070</v>
      </c>
      <c r="E512">
        <f t="shared" ca="1" si="147"/>
        <v>1195839160.8</v>
      </c>
      <c r="F512">
        <f ca="1">SUM($E$2:E512)/SUM($D$2:D512)</f>
        <v>66.872010001443428</v>
      </c>
      <c r="G512">
        <f ca="1">_xlfn.STDEV.P($C$2:C512)</f>
        <v>4.3140668546501288</v>
      </c>
      <c r="H512">
        <f t="shared" ca="1" si="148"/>
        <v>71.186076856093564</v>
      </c>
      <c r="I512">
        <f t="shared" ca="1" si="149"/>
        <v>62.557943146793299</v>
      </c>
      <c r="J512">
        <f t="shared" ca="1" si="158"/>
        <v>69.858000000000018</v>
      </c>
      <c r="K512">
        <f t="shared" ca="1" si="159"/>
        <v>1.0437210758677451</v>
      </c>
      <c r="L512">
        <f t="shared" ca="1" si="160"/>
        <v>71.945442151735506</v>
      </c>
      <c r="M512">
        <f t="shared" ca="1" si="161"/>
        <v>67.770557848264531</v>
      </c>
      <c r="N512">
        <f t="shared" ca="1" si="150"/>
        <v>0.20000000000000284</v>
      </c>
      <c r="O512">
        <f t="shared" ca="1" si="151"/>
        <v>0.20000000000000284</v>
      </c>
      <c r="P512">
        <f t="shared" ca="1" si="152"/>
        <v>0</v>
      </c>
      <c r="Q512">
        <f t="shared" ca="1" si="156"/>
        <v>0.31840862193717329</v>
      </c>
      <c r="R512">
        <f t="shared" ca="1" si="157"/>
        <v>0.20980146130619923</v>
      </c>
      <c r="S512">
        <f t="shared" ca="1" si="154"/>
        <v>1.5176663687411835</v>
      </c>
      <c r="T512">
        <f t="shared" ca="1" si="155"/>
        <v>60.280678472104569</v>
      </c>
      <c r="U512">
        <f>70</f>
        <v>70</v>
      </c>
      <c r="V512">
        <f>30</f>
        <v>30</v>
      </c>
      <c r="W512">
        <f t="shared" ca="1" si="153"/>
        <v>70.05113810439218</v>
      </c>
      <c r="X512">
        <f t="shared" ca="1" si="163"/>
        <v>70.025854001338516</v>
      </c>
      <c r="Y512">
        <f t="shared" ca="1" si="162"/>
        <v>5.7622411878810453E-2</v>
      </c>
      <c r="Z512">
        <f t="shared" ca="1" si="164"/>
        <v>-0.17364113531873615</v>
      </c>
      <c r="AA512">
        <f t="shared" ca="1" si="165"/>
        <v>0.2312635471975466</v>
      </c>
      <c r="AB512">
        <f t="shared" ca="1" si="166"/>
        <v>69.088499999999996</v>
      </c>
    </row>
    <row r="513" spans="1:28" x14ac:dyDescent="0.25">
      <c r="A513" s="20">
        <f t="shared" ca="1" si="146"/>
        <v>46034</v>
      </c>
      <c r="B513" vm="1426">
        <f ca="1"/>
        <v>46037</v>
      </c>
      <c r="C513" vm="1427">
        <f ca="1"/>
        <v>70.48</v>
      </c>
      <c r="D513" vm="1428">
        <f ca="1"/>
        <v>15464124</v>
      </c>
      <c r="E513">
        <f t="shared" ca="1" si="147"/>
        <v>1089911459.52</v>
      </c>
      <c r="F513">
        <f ca="1">SUM($E$2:E513)/SUM($D$2:D513)</f>
        <v>66.879094253206475</v>
      </c>
      <c r="G513">
        <f ca="1">_xlfn.STDEV.P($C$2:C513)</f>
        <v>4.3132299821982016</v>
      </c>
      <c r="H513">
        <f t="shared" ca="1" si="148"/>
        <v>71.192324235404669</v>
      </c>
      <c r="I513">
        <f t="shared" ca="1" si="149"/>
        <v>62.565864271008273</v>
      </c>
      <c r="J513">
        <f t="shared" ca="1" si="158"/>
        <v>69.863500000000016</v>
      </c>
      <c r="K513">
        <f t="shared" ca="1" si="159"/>
        <v>1.0468462662985214</v>
      </c>
      <c r="L513">
        <f t="shared" ca="1" si="160"/>
        <v>71.957192532597062</v>
      </c>
      <c r="M513">
        <f t="shared" ca="1" si="161"/>
        <v>67.76980746740297</v>
      </c>
      <c r="N513">
        <f t="shared" ca="1" si="150"/>
        <v>-0.95999999999999375</v>
      </c>
      <c r="O513">
        <f t="shared" ca="1" si="151"/>
        <v>0</v>
      </c>
      <c r="P513">
        <f t="shared" ca="1" si="152"/>
        <v>0.95999999999999375</v>
      </c>
      <c r="Q513">
        <f t="shared" ca="1" si="156"/>
        <v>0.2956651489416609</v>
      </c>
      <c r="R513">
        <f t="shared" ca="1" si="157"/>
        <v>0.26338707121289884</v>
      </c>
      <c r="S513">
        <f t="shared" ca="1" si="154"/>
        <v>1.1225499702021111</v>
      </c>
      <c r="T513">
        <f t="shared" ca="1" si="155"/>
        <v>52.886857127571929</v>
      </c>
      <c r="U513">
        <f>70</f>
        <v>70</v>
      </c>
      <c r="V513">
        <f>30</f>
        <v>30</v>
      </c>
      <c r="W513">
        <f t="shared" ca="1" si="153"/>
        <v>70.117116857562621</v>
      </c>
      <c r="X513">
        <f t="shared" ca="1" si="163"/>
        <v>70.059494445683811</v>
      </c>
      <c r="Y513">
        <f t="shared" ca="1" si="162"/>
        <v>7.9111144868534211E-2</v>
      </c>
      <c r="Z513">
        <f t="shared" ca="1" si="164"/>
        <v>-0.12309067928128208</v>
      </c>
      <c r="AA513">
        <f t="shared" ca="1" si="165"/>
        <v>0.2022018241498163</v>
      </c>
      <c r="AB513">
        <f t="shared" ca="1" si="166"/>
        <v>69.091999999999985</v>
      </c>
    </row>
    <row r="514" spans="1:28" x14ac:dyDescent="0.25">
      <c r="A514" s="20">
        <f t="shared" ca="1" si="146"/>
        <v>46034</v>
      </c>
      <c r="B514" vm="1429">
        <f ca="1"/>
        <v>46038</v>
      </c>
      <c r="C514" vm="582">
        <f ca="1"/>
        <v>70.44</v>
      </c>
      <c r="D514" vm="1430">
        <f ca="1"/>
        <v>20027535</v>
      </c>
      <c r="E514">
        <f t="shared" ca="1" si="147"/>
        <v>1410739565.3999999</v>
      </c>
      <c r="F514">
        <f ca="1">SUM($E$2:E514)/SUM($D$2:D514)</f>
        <v>66.888126345085098</v>
      </c>
      <c r="G514">
        <f ca="1">_xlfn.STDEV.P($C$2:C514)</f>
        <v>4.3123138054871362</v>
      </c>
      <c r="H514">
        <f t="shared" ca="1" si="148"/>
        <v>71.200440150572234</v>
      </c>
      <c r="I514">
        <f t="shared" ca="1" si="149"/>
        <v>62.575812539597962</v>
      </c>
      <c r="J514">
        <f t="shared" ca="1" si="158"/>
        <v>69.852000000000004</v>
      </c>
      <c r="K514">
        <f t="shared" ca="1" si="159"/>
        <v>1.0387522879827848</v>
      </c>
      <c r="L514">
        <f t="shared" ca="1" si="160"/>
        <v>71.929504575965581</v>
      </c>
      <c r="M514">
        <f t="shared" ca="1" si="161"/>
        <v>67.774495424034427</v>
      </c>
      <c r="N514">
        <f t="shared" ca="1" si="150"/>
        <v>-4.0000000000006253E-2</v>
      </c>
      <c r="O514">
        <f t="shared" ca="1" si="151"/>
        <v>0</v>
      </c>
      <c r="P514">
        <f t="shared" ca="1" si="152"/>
        <v>4.0000000000006253E-2</v>
      </c>
      <c r="Q514">
        <f t="shared" ca="1" si="156"/>
        <v>0.27454620973154226</v>
      </c>
      <c r="R514">
        <f t="shared" ca="1" si="157"/>
        <v>0.24743085184054939</v>
      </c>
      <c r="S514">
        <f t="shared" ca="1" si="154"/>
        <v>1.109587618881362</v>
      </c>
      <c r="T514">
        <f t="shared" ca="1" si="155"/>
        <v>52.597370640131849</v>
      </c>
      <c r="U514">
        <f>70</f>
        <v>70</v>
      </c>
      <c r="V514">
        <f>30</f>
        <v>30</v>
      </c>
      <c r="W514">
        <f t="shared" ca="1" si="153"/>
        <v>70.166791187168371</v>
      </c>
      <c r="X514">
        <f t="shared" ca="1" si="163"/>
        <v>70.087680042299837</v>
      </c>
      <c r="Y514">
        <f t="shared" ca="1" si="162"/>
        <v>0.19954691977652317</v>
      </c>
      <c r="Z514">
        <f t="shared" ca="1" si="164"/>
        <v>-5.8563159469721029E-2</v>
      </c>
      <c r="AA514">
        <f t="shared" ca="1" si="165"/>
        <v>0.25811007924624418</v>
      </c>
      <c r="AB514">
        <f t="shared" ca="1" si="166"/>
        <v>69.107099999999988</v>
      </c>
    </row>
    <row r="515" spans="1:28" x14ac:dyDescent="0.25">
      <c r="A515" s="20">
        <f t="shared" ref="A515:A523" ca="1" si="167">B515 - WEEKDAY(B515, 2) + 1</f>
        <v>46041</v>
      </c>
      <c r="B515" vm="1431">
        <f ca="1"/>
        <v>46042</v>
      </c>
      <c r="C515" vm="479">
        <f ca="1"/>
        <v>71.75</v>
      </c>
      <c r="D515" vm="1432">
        <f ca="1"/>
        <v>22152209</v>
      </c>
      <c r="E515">
        <f t="shared" ref="E515:E523" ca="1" si="168">C515*D515</f>
        <v>1589420995.75</v>
      </c>
      <c r="F515">
        <f ca="1">SUM($E$2:E515)/SUM($D$2:D515)</f>
        <v>66.901728394572032</v>
      </c>
      <c r="G515">
        <f ca="1">_xlfn.STDEV.P($C$2:C515)</f>
        <v>4.3140221565821522</v>
      </c>
      <c r="H515">
        <f t="shared" ref="H515:H523" ca="1" si="169">F515 + G515</f>
        <v>71.215750551154187</v>
      </c>
      <c r="I515">
        <f t="shared" ref="I515:I523" ca="1" si="170">F515 - G515</f>
        <v>62.587706237989877</v>
      </c>
      <c r="J515">
        <f t="shared" ref="J515:J523" ca="1" si="171">AVERAGE(C496:C515)</f>
        <v>69.921500000000009</v>
      </c>
      <c r="K515">
        <f t="shared" ref="K515:K523" ca="1" si="172">_xlfn.STDEV.S(C496:C515)</f>
        <v>1.1180070379215428</v>
      </c>
      <c r="L515">
        <f t="shared" ref="L515:L523" ca="1" si="173">J515 + 2*K515</f>
        <v>72.157514075843096</v>
      </c>
      <c r="M515">
        <f t="shared" ref="M515:M523" ca="1" si="174">J515-2*K515</f>
        <v>67.685485924156922</v>
      </c>
      <c r="N515">
        <f t="shared" ref="N515:N523" ca="1" si="175">C515-C514</f>
        <v>1.3100000000000023</v>
      </c>
      <c r="O515">
        <f t="shared" ref="O515:O523" ca="1" si="176">MAX(N515,0)</f>
        <v>1.3100000000000023</v>
      </c>
      <c r="P515">
        <f t="shared" ref="P515:P523" ca="1" si="177">MAX(-N515,0)</f>
        <v>0</v>
      </c>
      <c r="Q515">
        <f t="shared" ref="Q515:Q523" ca="1" si="178">(Q514*13+O515)/14</f>
        <v>0.34850719475071795</v>
      </c>
      <c r="R515">
        <f t="shared" ref="R515:R523" ca="1" si="179">(R514*13+P515)/14</f>
        <v>0.22975721956622444</v>
      </c>
      <c r="S515">
        <f t="shared" ref="S515:S523" ca="1" si="180">IF(R515=0,NA(),Q515/R515)</f>
        <v>1.5168498095889666</v>
      </c>
      <c r="T515">
        <f t="shared" ref="T515:T523" ca="1" si="181">100-(100/(1+S515))</f>
        <v>60.26779205536652</v>
      </c>
      <c r="U515">
        <f>70</f>
        <v>70</v>
      </c>
      <c r="V515">
        <f>30</f>
        <v>30</v>
      </c>
      <c r="W515">
        <f t="shared" ref="W515:W523" ca="1" si="182">C515*(2/(12+1)) + W514*(1-(2/(12+1)))</f>
        <v>70.410361773757856</v>
      </c>
      <c r="X515">
        <f t="shared" ref="X515:X523" ca="1" si="183">C515*(2/(26+1)) + X514*(1-(2/(26+1)))</f>
        <v>70.210814853981333</v>
      </c>
      <c r="Y515">
        <f t="shared" ref="Y515:Y523" ca="1" si="184">W516-X516</f>
        <v>0.3123721346500048</v>
      </c>
      <c r="Z515">
        <f t="shared" ref="Z515:Z523" ca="1" si="185">Y515*(2/(9+1)) + Z514*(1-(2/(9+1)))</f>
        <v>1.562389935422414E-2</v>
      </c>
      <c r="AA515">
        <f t="shared" ref="AA515:AA523" ca="1" si="186">Y515-Z515</f>
        <v>0.29674823529578065</v>
      </c>
      <c r="AB515">
        <f t="shared" ref="AB515:AB523" ca="1" si="187">AVERAGE(C416:C515)</f>
        <v>69.137299999999982</v>
      </c>
    </row>
    <row r="516" spans="1:28" x14ac:dyDescent="0.25">
      <c r="A516" s="20">
        <f t="shared" ca="1" si="167"/>
        <v>46041</v>
      </c>
      <c r="B516" vm="1433">
        <f ca="1"/>
        <v>46043</v>
      </c>
      <c r="C516" vm="1434">
        <f ca="1"/>
        <v>72.010000000000005</v>
      </c>
      <c r="D516" vm="1435">
        <f ca="1"/>
        <v>21660567</v>
      </c>
      <c r="E516">
        <f t="shared" ca="1" si="168"/>
        <v>1559777429.6700001</v>
      </c>
      <c r="F516">
        <f ca="1">SUM($E$2:E516)/SUM($D$2:D516)</f>
        <v>66.91566448663653</v>
      </c>
      <c r="G516">
        <f ca="1">_xlfn.STDEV.P($C$2:C516)</f>
        <v>4.3163121718455839</v>
      </c>
      <c r="H516">
        <f t="shared" ca="1" si="169"/>
        <v>71.231976658482111</v>
      </c>
      <c r="I516">
        <f t="shared" ca="1" si="170"/>
        <v>62.599352314790949</v>
      </c>
      <c r="J516">
        <f t="shared" ca="1" si="171"/>
        <v>70.019000000000005</v>
      </c>
      <c r="K516">
        <f t="shared" ca="1" si="172"/>
        <v>1.2118142119196837</v>
      </c>
      <c r="L516">
        <f t="shared" ca="1" si="173"/>
        <v>72.442628423839366</v>
      </c>
      <c r="M516">
        <f t="shared" ca="1" si="174"/>
        <v>67.595371576160645</v>
      </c>
      <c r="N516">
        <f t="shared" ca="1" si="175"/>
        <v>0.26000000000000512</v>
      </c>
      <c r="O516">
        <f t="shared" ca="1" si="176"/>
        <v>0.26000000000000512</v>
      </c>
      <c r="P516">
        <f t="shared" ca="1" si="177"/>
        <v>0</v>
      </c>
      <c r="Q516">
        <f t="shared" ca="1" si="178"/>
        <v>0.34218525226852414</v>
      </c>
      <c r="R516">
        <f t="shared" ca="1" si="179"/>
        <v>0.21334598959720844</v>
      </c>
      <c r="S516">
        <f t="shared" ca="1" si="180"/>
        <v>1.6038982167631124</v>
      </c>
      <c r="T516">
        <f t="shared" ca="1" si="181"/>
        <v>61.596041137003695</v>
      </c>
      <c r="U516">
        <f>70</f>
        <v>70</v>
      </c>
      <c r="V516">
        <f>30</f>
        <v>30</v>
      </c>
      <c r="W516">
        <f t="shared" ca="1" si="182"/>
        <v>70.656459962410494</v>
      </c>
      <c r="X516">
        <f t="shared" ca="1" si="183"/>
        <v>70.34408782776049</v>
      </c>
      <c r="Y516">
        <f t="shared" ca="1" si="184"/>
        <v>0.38604007069447732</v>
      </c>
      <c r="Z516">
        <f t="shared" ca="1" si="185"/>
        <v>8.9707133622274782E-2</v>
      </c>
      <c r="AA516">
        <f t="shared" ca="1" si="186"/>
        <v>0.29633293707220254</v>
      </c>
      <c r="AB516">
        <f t="shared" ca="1" si="187"/>
        <v>69.169099999999986</v>
      </c>
    </row>
    <row r="517" spans="1:28" x14ac:dyDescent="0.25">
      <c r="A517" s="20">
        <f t="shared" ca="1" si="167"/>
        <v>46041</v>
      </c>
      <c r="B517" vm="1436">
        <f ca="1"/>
        <v>46044</v>
      </c>
      <c r="C517" vm="888">
        <f ca="1"/>
        <v>71.87</v>
      </c>
      <c r="D517" vm="1437">
        <f ca="1"/>
        <v>13962778</v>
      </c>
      <c r="E517">
        <f t="shared" ca="1" si="168"/>
        <v>1003504854.86</v>
      </c>
      <c r="F517">
        <f ca="1">SUM($E$2:E517)/SUM($D$2:D517)</f>
        <v>66.924361925199435</v>
      </c>
      <c r="G517">
        <f ca="1">_xlfn.STDEV.P($C$2:C517)</f>
        <v>4.3182353282219159</v>
      </c>
      <c r="H517">
        <f t="shared" ca="1" si="169"/>
        <v>71.242597253421351</v>
      </c>
      <c r="I517">
        <f t="shared" ca="1" si="170"/>
        <v>62.606126596977518</v>
      </c>
      <c r="J517">
        <f t="shared" ca="1" si="171"/>
        <v>70.102000000000004</v>
      </c>
      <c r="K517">
        <f t="shared" ca="1" si="172"/>
        <v>1.2804875716119348</v>
      </c>
      <c r="L517">
        <f t="shared" ca="1" si="173"/>
        <v>72.662975143223875</v>
      </c>
      <c r="M517">
        <f t="shared" ca="1" si="174"/>
        <v>67.541024856776133</v>
      </c>
      <c r="N517">
        <f t="shared" ca="1" si="175"/>
        <v>-0.14000000000000057</v>
      </c>
      <c r="O517">
        <f t="shared" ca="1" si="176"/>
        <v>0</v>
      </c>
      <c r="P517">
        <f t="shared" ca="1" si="177"/>
        <v>0.14000000000000057</v>
      </c>
      <c r="Q517">
        <f t="shared" ca="1" si="178"/>
        <v>0.31774344853505815</v>
      </c>
      <c r="R517">
        <f t="shared" ca="1" si="179"/>
        <v>0.20810699034026503</v>
      </c>
      <c r="S517">
        <f t="shared" ca="1" si="180"/>
        <v>1.5268273690159671</v>
      </c>
      <c r="T517">
        <f t="shared" ca="1" si="181"/>
        <v>60.42468067814881</v>
      </c>
      <c r="U517">
        <f>70</f>
        <v>70</v>
      </c>
      <c r="V517">
        <f>30</f>
        <v>30</v>
      </c>
      <c r="W517">
        <f t="shared" ca="1" si="182"/>
        <v>70.843158429731957</v>
      </c>
      <c r="X517">
        <f t="shared" ca="1" si="183"/>
        <v>70.45711835903748</v>
      </c>
      <c r="Y517">
        <f t="shared" ca="1" si="184"/>
        <v>0.51992759812881673</v>
      </c>
      <c r="Z517">
        <f t="shared" ca="1" si="185"/>
        <v>0.17575122652358319</v>
      </c>
      <c r="AA517">
        <f t="shared" ca="1" si="186"/>
        <v>0.34417637160523351</v>
      </c>
      <c r="AB517">
        <f t="shared" ca="1" si="187"/>
        <v>69.204199999999986</v>
      </c>
    </row>
    <row r="518" spans="1:28" x14ac:dyDescent="0.25">
      <c r="A518" s="20">
        <f t="shared" ca="1" si="167"/>
        <v>46041</v>
      </c>
      <c r="B518" vm="1438">
        <f ca="1"/>
        <v>46045</v>
      </c>
      <c r="C518" vm="1339">
        <f ca="1"/>
        <v>72.88</v>
      </c>
      <c r="D518" vm="1439">
        <f ca="1"/>
        <v>18307084</v>
      </c>
      <c r="E518">
        <f t="shared" ca="1" si="168"/>
        <v>1334220281.9199998</v>
      </c>
      <c r="F518">
        <f ca="1">SUM($E$2:E518)/SUM($D$2:D518)</f>
        <v>66.938038681765448</v>
      </c>
      <c r="G518">
        <f ca="1">_xlfn.STDEV.P($C$2:C518)</f>
        <v>4.3227053126863817</v>
      </c>
      <c r="H518">
        <f t="shared" ca="1" si="169"/>
        <v>71.260743994451829</v>
      </c>
      <c r="I518">
        <f t="shared" ca="1" si="170"/>
        <v>62.615333369079067</v>
      </c>
      <c r="J518">
        <f t="shared" ca="1" si="171"/>
        <v>70.252500000000012</v>
      </c>
      <c r="K518">
        <f t="shared" ca="1" si="172"/>
        <v>1.4209665909624951</v>
      </c>
      <c r="L518">
        <f t="shared" ca="1" si="173"/>
        <v>73.094433181924998</v>
      </c>
      <c r="M518">
        <f t="shared" ca="1" si="174"/>
        <v>67.410566818075026</v>
      </c>
      <c r="N518">
        <f t="shared" ca="1" si="175"/>
        <v>1.0099999999999909</v>
      </c>
      <c r="O518">
        <f t="shared" ca="1" si="176"/>
        <v>1.0099999999999909</v>
      </c>
      <c r="P518">
        <f t="shared" ca="1" si="177"/>
        <v>0</v>
      </c>
      <c r="Q518">
        <f t="shared" ca="1" si="178"/>
        <v>0.36719034506826764</v>
      </c>
      <c r="R518">
        <f t="shared" ca="1" si="179"/>
        <v>0.19324220531596037</v>
      </c>
      <c r="S518">
        <f t="shared" ca="1" si="180"/>
        <v>1.9001560475254029</v>
      </c>
      <c r="T518">
        <f t="shared" ca="1" si="181"/>
        <v>65.519096779179748</v>
      </c>
      <c r="U518">
        <f>70</f>
        <v>70</v>
      </c>
      <c r="V518">
        <f>30</f>
        <v>30</v>
      </c>
      <c r="W518">
        <f t="shared" ca="1" si="182"/>
        <v>71.156518671311659</v>
      </c>
      <c r="X518">
        <f t="shared" ca="1" si="183"/>
        <v>70.636591073182842</v>
      </c>
      <c r="Y518">
        <f t="shared" ca="1" si="184"/>
        <v>0.59337306722262895</v>
      </c>
      <c r="Z518">
        <f t="shared" ca="1" si="185"/>
        <v>0.25927559466339234</v>
      </c>
      <c r="AA518">
        <f t="shared" ca="1" si="186"/>
        <v>0.33409747255923661</v>
      </c>
      <c r="AB518">
        <f t="shared" ca="1" si="187"/>
        <v>69.24309999999997</v>
      </c>
    </row>
    <row r="519" spans="1:28" x14ac:dyDescent="0.25">
      <c r="A519" s="20">
        <f t="shared" ca="1" si="167"/>
        <v>46048</v>
      </c>
      <c r="B519" vm="1440">
        <f ca="1"/>
        <v>46048</v>
      </c>
      <c r="C519" vm="491">
        <f ca="1"/>
        <v>72.56</v>
      </c>
      <c r="D519" vm="1441">
        <f ca="1"/>
        <v>14017420</v>
      </c>
      <c r="E519">
        <f t="shared" ca="1" si="168"/>
        <v>1017103995.2</v>
      </c>
      <c r="F519">
        <f ca="1">SUM($E$2:E519)/SUM($D$2:D519)</f>
        <v>66.94790666983944</v>
      </c>
      <c r="G519">
        <f ca="1">_xlfn.STDEV.P($C$2:C519)</f>
        <v>4.3262583020614231</v>
      </c>
      <c r="H519">
        <f t="shared" ca="1" si="169"/>
        <v>71.274164971900859</v>
      </c>
      <c r="I519">
        <f t="shared" ca="1" si="170"/>
        <v>62.621648367778015</v>
      </c>
      <c r="J519">
        <f t="shared" ca="1" si="171"/>
        <v>70.375</v>
      </c>
      <c r="K519">
        <f t="shared" ca="1" si="172"/>
        <v>1.5108014603618756</v>
      </c>
      <c r="L519">
        <f t="shared" ca="1" si="173"/>
        <v>73.396602920723751</v>
      </c>
      <c r="M519">
        <f t="shared" ca="1" si="174"/>
        <v>67.353397079276249</v>
      </c>
      <c r="N519">
        <f t="shared" ca="1" si="175"/>
        <v>-0.31999999999999318</v>
      </c>
      <c r="O519">
        <f t="shared" ca="1" si="176"/>
        <v>0</v>
      </c>
      <c r="P519">
        <f t="shared" ca="1" si="177"/>
        <v>0.31999999999999318</v>
      </c>
      <c r="Q519">
        <f t="shared" ca="1" si="178"/>
        <v>0.34096246327767715</v>
      </c>
      <c r="R519">
        <f t="shared" ca="1" si="179"/>
        <v>0.20229633350767701</v>
      </c>
      <c r="S519">
        <f t="shared" ca="1" si="180"/>
        <v>1.6854604201946046</v>
      </c>
      <c r="T519">
        <f t="shared" ca="1" si="181"/>
        <v>62.762437588726996</v>
      </c>
      <c r="U519">
        <f>70</f>
        <v>70</v>
      </c>
      <c r="V519">
        <f>30</f>
        <v>30</v>
      </c>
      <c r="W519">
        <f t="shared" ca="1" si="182"/>
        <v>71.372438875725251</v>
      </c>
      <c r="X519">
        <f t="shared" ca="1" si="183"/>
        <v>70.779065808502622</v>
      </c>
      <c r="Y519">
        <f t="shared" ca="1" si="184"/>
        <v>0.72312808640184301</v>
      </c>
      <c r="Z519">
        <f t="shared" ca="1" si="185"/>
        <v>0.35204609301108247</v>
      </c>
      <c r="AA519">
        <f t="shared" ca="1" si="186"/>
        <v>0.37108199339076053</v>
      </c>
      <c r="AB519">
        <f t="shared" ca="1" si="187"/>
        <v>69.278099999999981</v>
      </c>
    </row>
    <row r="520" spans="1:28" x14ac:dyDescent="0.25">
      <c r="A520" s="20">
        <f t="shared" ca="1" si="167"/>
        <v>46048</v>
      </c>
      <c r="B520" vm="1442">
        <f ca="1"/>
        <v>46049</v>
      </c>
      <c r="C520" vm="1443">
        <f ca="1"/>
        <v>73.55</v>
      </c>
      <c r="D520" vm="1444">
        <f ca="1"/>
        <v>13239184</v>
      </c>
      <c r="E520">
        <f t="shared" ca="1" si="168"/>
        <v>973741983.19999993</v>
      </c>
      <c r="F520">
        <f ca="1">SUM($E$2:E520)/SUM($D$2:D520)</f>
        <v>66.95883354984791</v>
      </c>
      <c r="G520">
        <f ca="1">_xlfn.STDEV.P($C$2:C520)</f>
        <v>4.3325658726282388</v>
      </c>
      <c r="H520">
        <f t="shared" ca="1" si="169"/>
        <v>71.291399422476147</v>
      </c>
      <c r="I520">
        <f t="shared" ca="1" si="170"/>
        <v>62.626267677219673</v>
      </c>
      <c r="J520">
        <f t="shared" ca="1" si="171"/>
        <v>70.558999999999997</v>
      </c>
      <c r="K520">
        <f t="shared" ca="1" si="172"/>
        <v>1.6625342101743339</v>
      </c>
      <c r="L520">
        <f t="shared" ca="1" si="173"/>
        <v>73.884068420348669</v>
      </c>
      <c r="M520">
        <f t="shared" ca="1" si="174"/>
        <v>67.233931579651326</v>
      </c>
      <c r="N520">
        <f t="shared" ca="1" si="175"/>
        <v>0.98999999999999488</v>
      </c>
      <c r="O520">
        <f t="shared" ca="1" si="176"/>
        <v>0.98999999999999488</v>
      </c>
      <c r="P520">
        <f t="shared" ca="1" si="177"/>
        <v>0</v>
      </c>
      <c r="Q520">
        <f t="shared" ca="1" si="178"/>
        <v>0.38732228732927126</v>
      </c>
      <c r="R520">
        <f t="shared" ca="1" si="179"/>
        <v>0.18784659539998577</v>
      </c>
      <c r="S520">
        <f t="shared" ca="1" si="180"/>
        <v>2.0619074117608447</v>
      </c>
      <c r="T520">
        <f t="shared" ca="1" si="181"/>
        <v>67.340619244103181</v>
      </c>
      <c r="U520">
        <f>70</f>
        <v>70</v>
      </c>
      <c r="V520">
        <f>30</f>
        <v>30</v>
      </c>
      <c r="W520">
        <f t="shared" ca="1" si="182"/>
        <v>71.707448279459825</v>
      </c>
      <c r="X520">
        <f t="shared" ca="1" si="183"/>
        <v>70.984320193057982</v>
      </c>
      <c r="Y520">
        <f t="shared" ca="1" si="184"/>
        <v>0.77745890671147322</v>
      </c>
      <c r="Z520">
        <f t="shared" ca="1" si="185"/>
        <v>0.43712865575116067</v>
      </c>
      <c r="AA520">
        <f t="shared" ca="1" si="186"/>
        <v>0.34033025096031255</v>
      </c>
      <c r="AB520">
        <f t="shared" ca="1" si="187"/>
        <v>69.323699999999974</v>
      </c>
    </row>
    <row r="521" spans="1:28" x14ac:dyDescent="0.25">
      <c r="A521" s="20">
        <f t="shared" ca="1" si="167"/>
        <v>46048</v>
      </c>
      <c r="B521" vm="1445">
        <f ca="1"/>
        <v>46050</v>
      </c>
      <c r="C521" vm="1446">
        <f ca="1"/>
        <v>73.06</v>
      </c>
      <c r="D521" vm="1447">
        <f ca="1"/>
        <v>14633680</v>
      </c>
      <c r="E521">
        <f t="shared" ca="1" si="168"/>
        <v>1069136660.8000001</v>
      </c>
      <c r="F521">
        <f ca="1">SUM($E$2:E521)/SUM($D$2:D521)</f>
        <v>66.969974595522118</v>
      </c>
      <c r="G521">
        <f ca="1">_xlfn.STDEV.P($C$2:C521)</f>
        <v>4.3373672131508503</v>
      </c>
      <c r="H521">
        <f t="shared" ca="1" si="169"/>
        <v>71.307341808672973</v>
      </c>
      <c r="I521">
        <f t="shared" ca="1" si="170"/>
        <v>62.632607382371269</v>
      </c>
      <c r="J521">
        <f t="shared" ca="1" si="171"/>
        <v>70.704000000000008</v>
      </c>
      <c r="K521">
        <f t="shared" ca="1" si="172"/>
        <v>1.7500628560140337</v>
      </c>
      <c r="L521">
        <f t="shared" ca="1" si="173"/>
        <v>74.204125712028073</v>
      </c>
      <c r="M521">
        <f t="shared" ca="1" si="174"/>
        <v>67.203874287971942</v>
      </c>
      <c r="N521">
        <f t="shared" ca="1" si="175"/>
        <v>-0.48999999999999488</v>
      </c>
      <c r="O521">
        <f t="shared" ca="1" si="176"/>
        <v>0</v>
      </c>
      <c r="P521">
        <f t="shared" ca="1" si="177"/>
        <v>0.48999999999999488</v>
      </c>
      <c r="Q521">
        <f t="shared" ca="1" si="178"/>
        <v>0.35965640966289475</v>
      </c>
      <c r="R521">
        <f t="shared" ca="1" si="179"/>
        <v>0.20942898144284358</v>
      </c>
      <c r="S521">
        <f t="shared" ca="1" si="180"/>
        <v>1.7173191942446158</v>
      </c>
      <c r="T521">
        <f t="shared" ca="1" si="181"/>
        <v>63.199023430223527</v>
      </c>
      <c r="U521">
        <f>70</f>
        <v>70</v>
      </c>
      <c r="V521">
        <f>30</f>
        <v>30</v>
      </c>
      <c r="W521">
        <f t="shared" ca="1" si="182"/>
        <v>71.915533159542932</v>
      </c>
      <c r="X521">
        <f t="shared" ca="1" si="183"/>
        <v>71.138074252831458</v>
      </c>
      <c r="Y521">
        <f t="shared" ca="1" si="184"/>
        <v>0.84068152767528659</v>
      </c>
      <c r="Z521">
        <f t="shared" ca="1" si="185"/>
        <v>0.51783923013598587</v>
      </c>
      <c r="AA521">
        <f t="shared" ca="1" si="186"/>
        <v>0.32284229753930072</v>
      </c>
      <c r="AB521">
        <f t="shared" ca="1" si="187"/>
        <v>69.371799999999979</v>
      </c>
    </row>
    <row r="522" spans="1:28" x14ac:dyDescent="0.25">
      <c r="A522" s="20">
        <f t="shared" ca="1" si="167"/>
        <v>46048</v>
      </c>
      <c r="B522" vm="1448">
        <f ca="1"/>
        <v>46051</v>
      </c>
      <c r="C522" vm="1449">
        <f ca="1"/>
        <v>73.430000000000007</v>
      </c>
      <c r="D522" vm="1450">
        <f ca="1"/>
        <v>20862070</v>
      </c>
      <c r="E522">
        <f t="shared" ca="1" si="168"/>
        <v>1531901800.1000001</v>
      </c>
      <c r="F522">
        <f ca="1">SUM($E$2:E522)/SUM($D$2:D522)</f>
        <v>66.98674803170546</v>
      </c>
      <c r="G522">
        <f ca="1">_xlfn.STDEV.P($C$2:C522)</f>
        <v>4.3431774195047055</v>
      </c>
      <c r="H522">
        <f t="shared" ca="1" si="169"/>
        <v>71.329925451210158</v>
      </c>
      <c r="I522">
        <f t="shared" ca="1" si="170"/>
        <v>62.643570612200755</v>
      </c>
      <c r="J522">
        <f t="shared" ca="1" si="171"/>
        <v>70.872</v>
      </c>
      <c r="K522">
        <f t="shared" ca="1" si="172"/>
        <v>1.8447125007779162</v>
      </c>
      <c r="L522">
        <f t="shared" ca="1" si="173"/>
        <v>74.561425001555833</v>
      </c>
      <c r="M522">
        <f t="shared" ca="1" si="174"/>
        <v>67.182574998444167</v>
      </c>
      <c r="N522">
        <f t="shared" ca="1" si="175"/>
        <v>0.37000000000000455</v>
      </c>
      <c r="O522">
        <f t="shared" ca="1" si="176"/>
        <v>0.37000000000000455</v>
      </c>
      <c r="P522">
        <f t="shared" ca="1" si="177"/>
        <v>0</v>
      </c>
      <c r="Q522">
        <f t="shared" ca="1" si="178"/>
        <v>0.3603952375441169</v>
      </c>
      <c r="R522">
        <f t="shared" ca="1" si="179"/>
        <v>0.19446976848264047</v>
      </c>
      <c r="S522">
        <f t="shared" ca="1" si="180"/>
        <v>1.8532198621724998</v>
      </c>
      <c r="T522">
        <f t="shared" ca="1" si="181"/>
        <v>64.951877236737744</v>
      </c>
      <c r="U522">
        <f>70</f>
        <v>70</v>
      </c>
      <c r="V522">
        <f>30</f>
        <v>30</v>
      </c>
      <c r="W522">
        <f t="shared" ca="1" si="182"/>
        <v>72.148528058074788</v>
      </c>
      <c r="X522">
        <f t="shared" ca="1" si="183"/>
        <v>71.307846530399502</v>
      </c>
      <c r="Y522">
        <f t="shared" ca="1" si="184"/>
        <v>0.99071997398398537</v>
      </c>
      <c r="Z522">
        <f t="shared" ca="1" si="185"/>
        <v>0.61241537890558584</v>
      </c>
      <c r="AA522">
        <f t="shared" ca="1" si="186"/>
        <v>0.37830459507839953</v>
      </c>
      <c r="AB522">
        <f t="shared" ca="1" si="187"/>
        <v>69.42649999999999</v>
      </c>
    </row>
    <row r="523" spans="1:28" x14ac:dyDescent="0.25">
      <c r="A523" s="20">
        <f t="shared" ca="1" si="167"/>
        <v>46048</v>
      </c>
      <c r="B523" vm="1451">
        <f ca="1"/>
        <v>46052</v>
      </c>
      <c r="C523" vm="1452">
        <f ca="1"/>
        <v>74.81</v>
      </c>
      <c r="D523" vm="1453">
        <f ca="1"/>
        <v>26420468</v>
      </c>
      <c r="E523">
        <f t="shared" ca="1" si="168"/>
        <v>1976515211.0800002</v>
      </c>
      <c r="F523">
        <f ca="1">SUM($E$2:E523)/SUM($D$2:D523)</f>
        <v>67.012388886237346</v>
      </c>
      <c r="G523">
        <f ca="1">_xlfn.STDEV.P($C$2:C523)</f>
        <v>4.3534061304013951</v>
      </c>
      <c r="H523">
        <f t="shared" ca="1" si="169"/>
        <v>71.365795016638742</v>
      </c>
      <c r="I523">
        <f t="shared" ca="1" si="170"/>
        <v>62.65898275583595</v>
      </c>
      <c r="J523">
        <f t="shared" ca="1" si="171"/>
        <v>71.11699999999999</v>
      </c>
      <c r="K523">
        <f t="shared" ca="1" si="172"/>
        <v>2.0266412452237579</v>
      </c>
      <c r="L523">
        <f t="shared" ca="1" si="173"/>
        <v>75.170282490447505</v>
      </c>
      <c r="M523">
        <f t="shared" ca="1" si="174"/>
        <v>67.063717509552475</v>
      </c>
      <c r="N523">
        <f t="shared" ca="1" si="175"/>
        <v>1.3799999999999955</v>
      </c>
      <c r="O523">
        <f t="shared" ca="1" si="176"/>
        <v>1.3799999999999955</v>
      </c>
      <c r="P523">
        <f t="shared" ca="1" si="177"/>
        <v>0</v>
      </c>
      <c r="Q523">
        <f t="shared" ca="1" si="178"/>
        <v>0.4332241491481082</v>
      </c>
      <c r="R523">
        <f t="shared" ca="1" si="179"/>
        <v>0.18057907073388044</v>
      </c>
      <c r="S523">
        <f t="shared" ca="1" si="180"/>
        <v>2.3990828360533047</v>
      </c>
      <c r="T523">
        <f t="shared" ca="1" si="181"/>
        <v>70.58029920915061</v>
      </c>
      <c r="U523">
        <f>70</f>
        <v>70</v>
      </c>
      <c r="V523">
        <f>30</f>
        <v>30</v>
      </c>
      <c r="W523">
        <f t="shared" ca="1" si="182"/>
        <v>72.557985279909445</v>
      </c>
      <c r="X523">
        <f t="shared" ca="1" si="183"/>
        <v>71.56726530592546</v>
      </c>
      <c r="Y523">
        <f t="shared" si="184"/>
        <v>0</v>
      </c>
      <c r="Z523">
        <f t="shared" ca="1" si="185"/>
        <v>0.48993230312446867</v>
      </c>
      <c r="AA523">
        <f t="shared" ca="1" si="186"/>
        <v>-0.48993230312446867</v>
      </c>
      <c r="AB523">
        <f t="shared" ca="1" si="187"/>
        <v>69.500299999999996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6E33AD-87E5-4482-B5EE-D877F9568BB0}">
  <dimension ref="A1:D120"/>
  <sheetViews>
    <sheetView workbookViewId="0">
      <selection sqref="A1:D1048576"/>
    </sheetView>
  </sheetViews>
  <sheetFormatPr defaultRowHeight="15" x14ac:dyDescent="0.25"/>
  <cols>
    <col min="1" max="1" width="10.42578125" style="20" bestFit="1" customWidth="1"/>
    <col min="2" max="2" width="10.42578125" bestFit="1" customWidth="1"/>
    <col min="4" max="4" width="13.5703125" bestFit="1" customWidth="1"/>
    <col min="5" max="5" width="15.5703125" bestFit="1" customWidth="1"/>
  </cols>
  <sheetData>
    <row r="1" spans="1:4" x14ac:dyDescent="0.25">
      <c r="A1" s="20" t="s">
        <v>45</v>
      </c>
      <c r="B1" t="s">
        <v>46</v>
      </c>
      <c r="C1" t="s">
        <v>47</v>
      </c>
      <c r="D1" t="s">
        <v>48</v>
      </c>
    </row>
    <row r="2" spans="1:4" x14ac:dyDescent="0.25">
      <c r="A2" s="20">
        <v>45292</v>
      </c>
      <c r="B2">
        <v>59.802500000000002</v>
      </c>
    </row>
    <row r="3" spans="1:4" x14ac:dyDescent="0.25">
      <c r="A3" s="20">
        <v>45299</v>
      </c>
      <c r="B3">
        <v>60.102000000000004</v>
      </c>
    </row>
    <row r="4" spans="1:4" x14ac:dyDescent="0.25">
      <c r="A4" s="20">
        <v>45306</v>
      </c>
      <c r="B4">
        <v>59.9925</v>
      </c>
    </row>
    <row r="5" spans="1:4" x14ac:dyDescent="0.25">
      <c r="A5" s="20">
        <v>45313</v>
      </c>
      <c r="B5">
        <v>59.372</v>
      </c>
    </row>
    <row r="6" spans="1:4" x14ac:dyDescent="0.25">
      <c r="A6" s="20">
        <v>45320</v>
      </c>
      <c r="B6">
        <v>60.128</v>
      </c>
    </row>
    <row r="7" spans="1:4" x14ac:dyDescent="0.25">
      <c r="A7" s="20">
        <v>45327</v>
      </c>
      <c r="B7">
        <v>59.872</v>
      </c>
    </row>
    <row r="8" spans="1:4" x14ac:dyDescent="0.25">
      <c r="A8" s="20">
        <v>45334</v>
      </c>
      <c r="B8">
        <v>59.426000000000002</v>
      </c>
    </row>
    <row r="9" spans="1:4" x14ac:dyDescent="0.25">
      <c r="A9" s="20">
        <v>45341</v>
      </c>
      <c r="B9">
        <v>61.072500000000005</v>
      </c>
    </row>
    <row r="10" spans="1:4" x14ac:dyDescent="0.25">
      <c r="A10" s="20">
        <v>45348</v>
      </c>
      <c r="B10">
        <v>60.2</v>
      </c>
    </row>
    <row r="11" spans="1:4" x14ac:dyDescent="0.25">
      <c r="A11" s="20">
        <v>45355</v>
      </c>
      <c r="B11">
        <v>59.567999999999998</v>
      </c>
    </row>
    <row r="12" spans="1:4" x14ac:dyDescent="0.25">
      <c r="A12" s="20">
        <v>45362</v>
      </c>
      <c r="B12">
        <v>60.448</v>
      </c>
    </row>
    <row r="13" spans="1:4" x14ac:dyDescent="0.25">
      <c r="A13" s="20">
        <v>45369</v>
      </c>
      <c r="B13">
        <v>60.414000000000001</v>
      </c>
    </row>
    <row r="14" spans="1:4" x14ac:dyDescent="0.25">
      <c r="A14" s="20">
        <v>45376</v>
      </c>
      <c r="B14">
        <v>60.787500000000001</v>
      </c>
    </row>
    <row r="15" spans="1:4" x14ac:dyDescent="0.25">
      <c r="A15" s="20">
        <v>45383</v>
      </c>
      <c r="B15">
        <v>59.893999999999998</v>
      </c>
    </row>
    <row r="16" spans="1:4" x14ac:dyDescent="0.25">
      <c r="A16" s="20">
        <v>45390</v>
      </c>
      <c r="B16">
        <v>59.048000000000002</v>
      </c>
    </row>
    <row r="17" spans="1:2" x14ac:dyDescent="0.25">
      <c r="A17" s="20">
        <v>45397</v>
      </c>
      <c r="B17">
        <v>58.758000000000003</v>
      </c>
    </row>
    <row r="18" spans="1:2" x14ac:dyDescent="0.25">
      <c r="A18" s="20">
        <v>45404</v>
      </c>
      <c r="B18">
        <v>61.244</v>
      </c>
    </row>
    <row r="19" spans="1:2" x14ac:dyDescent="0.25">
      <c r="A19" s="20">
        <v>45411</v>
      </c>
      <c r="B19">
        <v>61.980000000000004</v>
      </c>
    </row>
    <row r="20" spans="1:2" x14ac:dyDescent="0.25">
      <c r="A20" s="20">
        <v>45418</v>
      </c>
      <c r="B20">
        <v>62.792000000000002</v>
      </c>
    </row>
    <row r="21" spans="1:2" x14ac:dyDescent="0.25">
      <c r="A21" s="20">
        <v>45425</v>
      </c>
      <c r="B21">
        <v>63.231999999999999</v>
      </c>
    </row>
    <row r="22" spans="1:2" x14ac:dyDescent="0.25">
      <c r="A22" s="20">
        <v>45432</v>
      </c>
      <c r="B22">
        <v>62.514000000000003</v>
      </c>
    </row>
    <row r="23" spans="1:2" x14ac:dyDescent="0.25">
      <c r="A23" s="20">
        <v>45439</v>
      </c>
      <c r="B23">
        <v>62.105000000000004</v>
      </c>
    </row>
    <row r="24" spans="1:2" x14ac:dyDescent="0.25">
      <c r="A24" s="20">
        <v>45446</v>
      </c>
      <c r="B24">
        <v>63.77</v>
      </c>
    </row>
    <row r="25" spans="1:2" x14ac:dyDescent="0.25">
      <c r="A25" s="20">
        <v>45453</v>
      </c>
      <c r="B25">
        <v>63.112000000000002</v>
      </c>
    </row>
    <row r="26" spans="1:2" x14ac:dyDescent="0.25">
      <c r="A26" s="20">
        <v>45460</v>
      </c>
      <c r="B26">
        <v>62.55</v>
      </c>
    </row>
    <row r="27" spans="1:2" x14ac:dyDescent="0.25">
      <c r="A27" s="20">
        <v>45467</v>
      </c>
      <c r="B27">
        <v>63.884</v>
      </c>
    </row>
    <row r="28" spans="1:2" x14ac:dyDescent="0.25">
      <c r="A28" s="20">
        <v>45474</v>
      </c>
      <c r="B28">
        <v>63.379999999999995</v>
      </c>
    </row>
    <row r="29" spans="1:2" x14ac:dyDescent="0.25">
      <c r="A29" s="20">
        <v>45481</v>
      </c>
      <c r="B29">
        <v>63.055999999999997</v>
      </c>
    </row>
    <row r="30" spans="1:2" x14ac:dyDescent="0.25">
      <c r="A30" s="20">
        <v>45488</v>
      </c>
      <c r="B30">
        <v>64.673999999999992</v>
      </c>
    </row>
    <row r="31" spans="1:2" x14ac:dyDescent="0.25">
      <c r="A31" s="20">
        <v>45495</v>
      </c>
      <c r="B31">
        <v>65.731999999999999</v>
      </c>
    </row>
    <row r="32" spans="1:2" x14ac:dyDescent="0.25">
      <c r="A32" s="20">
        <v>45502</v>
      </c>
      <c r="B32">
        <v>67.707999999999998</v>
      </c>
    </row>
    <row r="33" spans="1:2" x14ac:dyDescent="0.25">
      <c r="A33" s="20">
        <v>45509</v>
      </c>
      <c r="B33">
        <v>68.403999999999996</v>
      </c>
    </row>
    <row r="34" spans="1:2" x14ac:dyDescent="0.25">
      <c r="A34" s="20">
        <v>45516</v>
      </c>
      <c r="B34">
        <v>68.608000000000004</v>
      </c>
    </row>
    <row r="35" spans="1:2" x14ac:dyDescent="0.25">
      <c r="A35" s="20">
        <v>45523</v>
      </c>
      <c r="B35">
        <v>69.41</v>
      </c>
    </row>
    <row r="36" spans="1:2" x14ac:dyDescent="0.25">
      <c r="A36" s="20">
        <v>45530</v>
      </c>
      <c r="B36">
        <v>71.721999999999994</v>
      </c>
    </row>
    <row r="37" spans="1:2" x14ac:dyDescent="0.25">
      <c r="A37" s="20">
        <v>45537</v>
      </c>
      <c r="B37">
        <v>71.97</v>
      </c>
    </row>
    <row r="38" spans="1:2" x14ac:dyDescent="0.25">
      <c r="A38" s="20">
        <v>45544</v>
      </c>
      <c r="B38">
        <v>71.423999999999992</v>
      </c>
    </row>
    <row r="39" spans="1:2" x14ac:dyDescent="0.25">
      <c r="A39" s="20">
        <v>45551</v>
      </c>
      <c r="B39">
        <v>71.581999999999994</v>
      </c>
    </row>
    <row r="40" spans="1:2" x14ac:dyDescent="0.25">
      <c r="A40" s="20">
        <v>45558</v>
      </c>
      <c r="B40">
        <v>71.540000000000006</v>
      </c>
    </row>
    <row r="41" spans="1:2" x14ac:dyDescent="0.25">
      <c r="A41" s="20">
        <v>45565</v>
      </c>
      <c r="B41">
        <v>71.054000000000002</v>
      </c>
    </row>
    <row r="42" spans="1:2" x14ac:dyDescent="0.25">
      <c r="A42" s="20">
        <v>45572</v>
      </c>
      <c r="B42">
        <v>69.316000000000003</v>
      </c>
    </row>
    <row r="43" spans="1:2" x14ac:dyDescent="0.25">
      <c r="A43" s="20">
        <v>45579</v>
      </c>
      <c r="B43">
        <v>70.317999999999998</v>
      </c>
    </row>
    <row r="44" spans="1:2" x14ac:dyDescent="0.25">
      <c r="A44" s="20">
        <v>45586</v>
      </c>
      <c r="B44">
        <v>68.225999999999999</v>
      </c>
    </row>
    <row r="45" spans="1:2" x14ac:dyDescent="0.25">
      <c r="A45" s="20">
        <v>45593</v>
      </c>
      <c r="B45">
        <v>65.694000000000003</v>
      </c>
    </row>
    <row r="46" spans="1:2" x14ac:dyDescent="0.25">
      <c r="A46" s="20">
        <v>45600</v>
      </c>
      <c r="B46">
        <v>64.352000000000004</v>
      </c>
    </row>
    <row r="47" spans="1:2" x14ac:dyDescent="0.25">
      <c r="A47" s="20">
        <v>45607</v>
      </c>
      <c r="B47">
        <v>62.77</v>
      </c>
    </row>
    <row r="48" spans="1:2" x14ac:dyDescent="0.25">
      <c r="A48" s="20">
        <v>45614</v>
      </c>
      <c r="B48">
        <v>63.024000000000001</v>
      </c>
    </row>
    <row r="49" spans="1:2" x14ac:dyDescent="0.25">
      <c r="A49" s="20">
        <v>45621</v>
      </c>
      <c r="B49">
        <v>64.36</v>
      </c>
    </row>
    <row r="50" spans="1:2" x14ac:dyDescent="0.25">
      <c r="A50" s="20">
        <v>45628</v>
      </c>
      <c r="B50">
        <v>62.966000000000001</v>
      </c>
    </row>
    <row r="51" spans="1:2" x14ac:dyDescent="0.25">
      <c r="A51" s="20">
        <v>45635</v>
      </c>
      <c r="B51">
        <v>63.021999999999998</v>
      </c>
    </row>
    <row r="52" spans="1:2" x14ac:dyDescent="0.25">
      <c r="A52" s="20">
        <v>45642</v>
      </c>
      <c r="B52">
        <v>62.76</v>
      </c>
    </row>
    <row r="53" spans="1:2" x14ac:dyDescent="0.25">
      <c r="A53" s="20">
        <v>45649</v>
      </c>
      <c r="B53">
        <v>62.56</v>
      </c>
    </row>
    <row r="54" spans="1:2" x14ac:dyDescent="0.25">
      <c r="A54" s="20">
        <v>45656</v>
      </c>
      <c r="B54">
        <v>61.97</v>
      </c>
    </row>
    <row r="55" spans="1:2" x14ac:dyDescent="0.25">
      <c r="A55" s="20">
        <v>45663</v>
      </c>
      <c r="B55">
        <v>61.107500000000002</v>
      </c>
    </row>
    <row r="56" spans="1:2" x14ac:dyDescent="0.25">
      <c r="A56" s="20">
        <v>45670</v>
      </c>
      <c r="B56">
        <v>62.084000000000003</v>
      </c>
    </row>
    <row r="57" spans="1:2" x14ac:dyDescent="0.25">
      <c r="A57" s="20">
        <v>45677</v>
      </c>
      <c r="B57">
        <v>61.912500000000001</v>
      </c>
    </row>
    <row r="58" spans="1:2" x14ac:dyDescent="0.25">
      <c r="A58" s="20">
        <v>45684</v>
      </c>
      <c r="B58">
        <v>63.317999999999998</v>
      </c>
    </row>
    <row r="59" spans="1:2" x14ac:dyDescent="0.25">
      <c r="A59" s="20">
        <v>45691</v>
      </c>
      <c r="B59">
        <v>63.268000000000001</v>
      </c>
    </row>
    <row r="60" spans="1:2" x14ac:dyDescent="0.25">
      <c r="A60" s="20">
        <v>45698</v>
      </c>
      <c r="B60">
        <v>67.846000000000004</v>
      </c>
    </row>
    <row r="61" spans="1:2" x14ac:dyDescent="0.25">
      <c r="A61" s="20">
        <v>45705</v>
      </c>
      <c r="B61">
        <v>70.127499999999998</v>
      </c>
    </row>
    <row r="62" spans="1:2" x14ac:dyDescent="0.25">
      <c r="A62" s="20">
        <v>45712</v>
      </c>
      <c r="B62">
        <v>70.992000000000004</v>
      </c>
    </row>
    <row r="63" spans="1:2" x14ac:dyDescent="0.25">
      <c r="A63" s="20">
        <v>45719</v>
      </c>
      <c r="B63">
        <v>70.896000000000001</v>
      </c>
    </row>
    <row r="64" spans="1:2" x14ac:dyDescent="0.25">
      <c r="A64" s="20">
        <v>45726</v>
      </c>
      <c r="B64">
        <v>70.242000000000004</v>
      </c>
    </row>
    <row r="65" spans="1:2" x14ac:dyDescent="0.25">
      <c r="A65" s="20">
        <v>45733</v>
      </c>
      <c r="B65">
        <v>69.432000000000002</v>
      </c>
    </row>
    <row r="66" spans="1:2" x14ac:dyDescent="0.25">
      <c r="A66" s="20">
        <v>45740</v>
      </c>
      <c r="B66">
        <v>69.778000000000006</v>
      </c>
    </row>
    <row r="67" spans="1:2" x14ac:dyDescent="0.25">
      <c r="A67" s="20">
        <v>45747</v>
      </c>
      <c r="B67">
        <v>71.585999999999999</v>
      </c>
    </row>
    <row r="68" spans="1:2" x14ac:dyDescent="0.25">
      <c r="A68" s="20">
        <v>45754</v>
      </c>
      <c r="B68">
        <v>69.786000000000001</v>
      </c>
    </row>
    <row r="69" spans="1:2" x14ac:dyDescent="0.25">
      <c r="A69" s="20">
        <v>45761</v>
      </c>
      <c r="B69">
        <v>72.247500000000002</v>
      </c>
    </row>
    <row r="70" spans="1:2" x14ac:dyDescent="0.25">
      <c r="A70" s="20">
        <v>45768</v>
      </c>
      <c r="B70">
        <v>72.88</v>
      </c>
    </row>
    <row r="71" spans="1:2" x14ac:dyDescent="0.25">
      <c r="A71" s="20">
        <v>45775</v>
      </c>
      <c r="B71">
        <v>71.926000000000002</v>
      </c>
    </row>
    <row r="72" spans="1:2" x14ac:dyDescent="0.25">
      <c r="A72" s="20">
        <v>45782</v>
      </c>
      <c r="B72">
        <v>71.501999999999995</v>
      </c>
    </row>
    <row r="73" spans="1:2" x14ac:dyDescent="0.25">
      <c r="A73" s="20">
        <v>45789</v>
      </c>
      <c r="B73">
        <v>70.251999999999995</v>
      </c>
    </row>
    <row r="74" spans="1:2" x14ac:dyDescent="0.25">
      <c r="A74" s="20">
        <v>45796</v>
      </c>
      <c r="B74">
        <v>71.676000000000002</v>
      </c>
    </row>
    <row r="75" spans="1:2" x14ac:dyDescent="0.25">
      <c r="A75" s="20">
        <v>45803</v>
      </c>
      <c r="B75">
        <v>71.63</v>
      </c>
    </row>
    <row r="76" spans="1:2" x14ac:dyDescent="0.25">
      <c r="A76" s="20">
        <v>45810</v>
      </c>
      <c r="B76">
        <v>71.358000000000004</v>
      </c>
    </row>
    <row r="77" spans="1:2" x14ac:dyDescent="0.25">
      <c r="A77" s="20">
        <v>45817</v>
      </c>
      <c r="B77">
        <v>71.89</v>
      </c>
    </row>
    <row r="78" spans="1:2" x14ac:dyDescent="0.25">
      <c r="A78" s="20">
        <v>45824</v>
      </c>
      <c r="B78">
        <v>69.547499999999999</v>
      </c>
    </row>
    <row r="79" spans="1:2" x14ac:dyDescent="0.25">
      <c r="A79" s="20">
        <v>45831</v>
      </c>
      <c r="B79">
        <v>69.875999999999991</v>
      </c>
    </row>
    <row r="80" spans="1:2" x14ac:dyDescent="0.25">
      <c r="A80" s="20">
        <v>45838</v>
      </c>
      <c r="B80">
        <v>71.17</v>
      </c>
    </row>
    <row r="81" spans="1:2" x14ac:dyDescent="0.25">
      <c r="A81" s="20">
        <v>45845</v>
      </c>
      <c r="B81">
        <v>70.073999999999998</v>
      </c>
    </row>
    <row r="82" spans="1:2" x14ac:dyDescent="0.25">
      <c r="A82" s="20">
        <v>45852</v>
      </c>
      <c r="B82">
        <v>69.707999999999998</v>
      </c>
    </row>
    <row r="83" spans="1:2" x14ac:dyDescent="0.25">
      <c r="A83" s="20">
        <v>45859</v>
      </c>
      <c r="B83">
        <v>69.432000000000002</v>
      </c>
    </row>
    <row r="84" spans="1:2" x14ac:dyDescent="0.25">
      <c r="A84" s="20">
        <v>45866</v>
      </c>
      <c r="B84">
        <v>68.593999999999994</v>
      </c>
    </row>
    <row r="85" spans="1:2" x14ac:dyDescent="0.25">
      <c r="A85" s="20">
        <v>45873</v>
      </c>
      <c r="B85">
        <v>69.658000000000001</v>
      </c>
    </row>
    <row r="86" spans="1:2" x14ac:dyDescent="0.25">
      <c r="A86" s="20">
        <v>45880</v>
      </c>
      <c r="B86">
        <v>70.277999999999992</v>
      </c>
    </row>
    <row r="87" spans="1:2" x14ac:dyDescent="0.25">
      <c r="A87" s="20">
        <v>45887</v>
      </c>
      <c r="B87">
        <v>70.149999999999991</v>
      </c>
    </row>
    <row r="88" spans="1:2" x14ac:dyDescent="0.25">
      <c r="A88" s="20">
        <v>45894</v>
      </c>
      <c r="B88">
        <v>68.768000000000001</v>
      </c>
    </row>
    <row r="89" spans="1:2" x14ac:dyDescent="0.25">
      <c r="A89" s="20">
        <v>45901</v>
      </c>
      <c r="B89">
        <v>68.564999999999998</v>
      </c>
    </row>
    <row r="90" spans="1:2" x14ac:dyDescent="0.25">
      <c r="A90" s="20">
        <v>45908</v>
      </c>
      <c r="B90">
        <v>67.548000000000002</v>
      </c>
    </row>
    <row r="91" spans="1:2" x14ac:dyDescent="0.25">
      <c r="A91" s="20">
        <v>45915</v>
      </c>
      <c r="B91">
        <v>66.475999999999999</v>
      </c>
    </row>
    <row r="92" spans="1:2" x14ac:dyDescent="0.25">
      <c r="A92" s="20">
        <v>45922</v>
      </c>
      <c r="B92">
        <v>66.203999999999994</v>
      </c>
    </row>
    <row r="93" spans="1:2" x14ac:dyDescent="0.25">
      <c r="A93" s="20">
        <v>45929</v>
      </c>
      <c r="B93">
        <v>66.378</v>
      </c>
    </row>
    <row r="94" spans="1:2" x14ac:dyDescent="0.25">
      <c r="A94" s="20">
        <v>45936</v>
      </c>
      <c r="B94">
        <v>66.484000000000009</v>
      </c>
    </row>
    <row r="95" spans="1:2" x14ac:dyDescent="0.25">
      <c r="A95" s="20">
        <v>45943</v>
      </c>
      <c r="B95">
        <v>67.483999999999995</v>
      </c>
    </row>
    <row r="96" spans="1:2" x14ac:dyDescent="0.25">
      <c r="A96" s="20">
        <v>45950</v>
      </c>
      <c r="B96">
        <v>70.024000000000001</v>
      </c>
    </row>
    <row r="97" spans="1:4" x14ac:dyDescent="0.25">
      <c r="A97" s="20">
        <v>45957</v>
      </c>
      <c r="B97">
        <v>69.290000000000006</v>
      </c>
    </row>
    <row r="98" spans="1:4" x14ac:dyDescent="0.25">
      <c r="A98" s="20">
        <v>45964</v>
      </c>
      <c r="B98">
        <v>68.95</v>
      </c>
    </row>
    <row r="99" spans="1:4" x14ac:dyDescent="0.25">
      <c r="A99" s="20">
        <v>45971</v>
      </c>
      <c r="B99">
        <v>71.173999999999992</v>
      </c>
    </row>
    <row r="100" spans="1:4" x14ac:dyDescent="0.25">
      <c r="A100" s="20">
        <v>45978</v>
      </c>
      <c r="B100">
        <v>71.433999999999997</v>
      </c>
    </row>
    <row r="101" spans="1:4" x14ac:dyDescent="0.25">
      <c r="A101" s="20">
        <v>45985</v>
      </c>
      <c r="B101">
        <v>72.8</v>
      </c>
    </row>
    <row r="102" spans="1:4" x14ac:dyDescent="0.25">
      <c r="A102" s="20">
        <v>45992</v>
      </c>
      <c r="B102">
        <v>70.775999999999996</v>
      </c>
    </row>
    <row r="103" spans="1:4" x14ac:dyDescent="0.25">
      <c r="A103" s="20">
        <v>45999</v>
      </c>
      <c r="B103">
        <v>70.036000000000001</v>
      </c>
    </row>
    <row r="104" spans="1:4" x14ac:dyDescent="0.25">
      <c r="A104" s="20">
        <v>46006</v>
      </c>
      <c r="B104">
        <v>70.486000000000004</v>
      </c>
    </row>
    <row r="105" spans="1:4" x14ac:dyDescent="0.25">
      <c r="A105" s="20">
        <v>46013</v>
      </c>
      <c r="B105">
        <v>70.015000000000001</v>
      </c>
    </row>
    <row r="106" spans="1:4" x14ac:dyDescent="0.25">
      <c r="A106" s="20">
        <v>46020</v>
      </c>
      <c r="B106">
        <v>69.814999999999998</v>
      </c>
      <c r="C106">
        <f>_xlfn.FORECAST.ETS(Weekly[[#This Row],[Week]],B2:B105,A2:A105,1,1,1)</f>
        <v>70.737918403452525</v>
      </c>
      <c r="D106">
        <v>70.695881840304907</v>
      </c>
    </row>
    <row r="107" spans="1:4" x14ac:dyDescent="0.25">
      <c r="A107" s="20">
        <v>46027</v>
      </c>
      <c r="B107">
        <v>68.64</v>
      </c>
      <c r="C107">
        <f>_xlfn.FORECAST.ETS(Weekly[[#This Row],[Week]],B3:B106,A3:A106,1,1,1)</f>
        <v>69.299355964734005</v>
      </c>
      <c r="D107">
        <v>72.508321074466096</v>
      </c>
    </row>
    <row r="108" spans="1:4" x14ac:dyDescent="0.25">
      <c r="A108" s="20">
        <v>46034</v>
      </c>
      <c r="B108">
        <v>70.819999999999993</v>
      </c>
      <c r="C108">
        <f>_xlfn.FORECAST.ETS(Weekly[[#This Row],[Week]],B4:B107,A4:A107,1,1,1)</f>
        <v>72.076313519028986</v>
      </c>
      <c r="D108">
        <v>74.087365609396599</v>
      </c>
    </row>
    <row r="109" spans="1:4" x14ac:dyDescent="0.25">
      <c r="A109" s="20">
        <v>46041</v>
      </c>
      <c r="B109">
        <v>72.127499999999998</v>
      </c>
      <c r="C109">
        <f>_xlfn.FORECAST.ETS(Weekly[[#This Row],[Week]],B5:B108,A5:A108,1,1,1)</f>
        <v>71.65889819274922</v>
      </c>
      <c r="D109">
        <v>74.643224090964793</v>
      </c>
    </row>
    <row r="110" spans="1:4" x14ac:dyDescent="0.25">
      <c r="A110" s="20">
        <v>46048</v>
      </c>
      <c r="B110">
        <v>73.481999999999999</v>
      </c>
      <c r="C110">
        <f>_xlfn.FORECAST.ETS(Weekly[[#This Row],[Week]],B6:B109,A6:A109,1,1,1)</f>
        <v>72.635076111396046</v>
      </c>
      <c r="D110">
        <v>75.022906835339697</v>
      </c>
    </row>
    <row r="111" spans="1:4" x14ac:dyDescent="0.25">
      <c r="A111" s="20">
        <v>46055</v>
      </c>
      <c r="C111">
        <f>_xlfn.FORECAST.ETS(Weekly[[#This Row],[Week]],B7:B110,A7:A110,1,1,1)</f>
        <v>73.613568120931461</v>
      </c>
      <c r="D111">
        <v>75.576218632070706</v>
      </c>
    </row>
    <row r="112" spans="1:4" x14ac:dyDescent="0.25">
      <c r="A112" s="20">
        <v>46062</v>
      </c>
      <c r="C112">
        <f>_xlfn.FORECAST.ETS(Weekly[[#This Row],[Week]],B8:B111,A8:A111,1,1,1)</f>
        <v>75.098180315539182</v>
      </c>
      <c r="D112">
        <v>78.070565904075707</v>
      </c>
    </row>
    <row r="113" spans="1:4" x14ac:dyDescent="0.25">
      <c r="A113" s="20">
        <v>46069</v>
      </c>
      <c r="C113">
        <f>_xlfn.FORECAST.ETS(Weekly[[#This Row],[Week]],B9:B112,A9:A112,1,1,1)</f>
        <v>75.187586451774465</v>
      </c>
      <c r="D113">
        <v>78.473228837170396</v>
      </c>
    </row>
    <row r="114" spans="1:4" x14ac:dyDescent="0.25">
      <c r="A114" s="20">
        <v>46076</v>
      </c>
      <c r="C114">
        <f>_xlfn.FORECAST.ETS(Weekly[[#This Row],[Week]],B10:B113,A10:A113,1,1,1)</f>
        <v>74.755804460548831</v>
      </c>
      <c r="D114">
        <v>78.071196843372903</v>
      </c>
    </row>
    <row r="115" spans="1:4" x14ac:dyDescent="0.25">
      <c r="A115" s="20">
        <v>46083</v>
      </c>
      <c r="C115">
        <f>_xlfn.FORECAST.ETS(Weekly[[#This Row],[Week]],B11:B114,A11:A114,1,1,1)</f>
        <v>75.06750631438328</v>
      </c>
      <c r="D115">
        <v>78.277799844608495</v>
      </c>
    </row>
    <row r="116" spans="1:4" x14ac:dyDescent="0.25">
      <c r="A116" s="20">
        <v>46090</v>
      </c>
      <c r="C116">
        <f>_xlfn.FORECAST.ETS(Weekly[[#This Row],[Week]],B12:B115,A12:A115,1,1,1)</f>
        <v>73.524886399141721</v>
      </c>
      <c r="D116">
        <v>77.712671926886003</v>
      </c>
    </row>
    <row r="117" spans="1:4" x14ac:dyDescent="0.25">
      <c r="A117" s="20">
        <v>46097</v>
      </c>
      <c r="C117">
        <f>_xlfn.FORECAST.ETS(Weekly[[#This Row],[Week]],B13:B116,A13:A116,1,1,1)</f>
        <v>73.191957992407978</v>
      </c>
      <c r="D117">
        <v>73.553883080994893</v>
      </c>
    </row>
    <row r="118" spans="1:4" x14ac:dyDescent="0.25">
      <c r="A118" s="20">
        <v>46104</v>
      </c>
      <c r="C118">
        <f>_xlfn.FORECAST.ETS(Weekly[[#This Row],[Week]],B14:B117,A14:A117,1,1,1)</f>
        <v>71.480367122011685</v>
      </c>
      <c r="D118">
        <v>71.735683967074195</v>
      </c>
    </row>
    <row r="119" spans="1:4" x14ac:dyDescent="0.25">
      <c r="A119" s="20">
        <v>46111</v>
      </c>
      <c r="C119">
        <f>_xlfn.FORECAST.ETS(Weekly[[#This Row],[Week]],B15:B118,A15:A118,1,1,1)</f>
        <v>70.051402173618115</v>
      </c>
      <c r="D119">
        <v>70.701065994135107</v>
      </c>
    </row>
    <row r="120" spans="1:4" x14ac:dyDescent="0.25">
      <c r="A120" s="20">
        <v>46118</v>
      </c>
      <c r="C120">
        <f>_xlfn.FORECAST.ETS(Weekly[[#This Row],[Week]],B16:B119,A16:A119,1,1,1)</f>
        <v>69.206166402454855</v>
      </c>
      <c r="D120">
        <v>70.592478216210296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B7306E-4F50-43F4-9EE2-3E27228FC754}">
  <dimension ref="A1:B523"/>
  <sheetViews>
    <sheetView workbookViewId="0">
      <selection activeCell="J5" sqref="J5"/>
    </sheetView>
  </sheetViews>
  <sheetFormatPr defaultRowHeight="15" x14ac:dyDescent="0.25"/>
  <cols>
    <col min="1" max="1" width="10.42578125" style="20" bestFit="1" customWidth="1"/>
  </cols>
  <sheetData>
    <row r="1" spans="1:2" x14ac:dyDescent="0.25">
      <c r="A1" s="20" t="s">
        <v>45</v>
      </c>
      <c r="B1" t="s">
        <v>43</v>
      </c>
    </row>
    <row r="2" spans="1:2" x14ac:dyDescent="0.25">
      <c r="A2" s="20">
        <v>45292</v>
      </c>
      <c r="B2" vm="2">
        <v>59.82</v>
      </c>
    </row>
    <row r="3" spans="1:2" x14ac:dyDescent="0.25">
      <c r="A3" s="20">
        <v>45292</v>
      </c>
      <c r="B3" vm="5">
        <v>59.96</v>
      </c>
    </row>
    <row r="4" spans="1:2" x14ac:dyDescent="0.25">
      <c r="A4" s="20">
        <v>45292</v>
      </c>
      <c r="B4" vm="8">
        <v>59.76</v>
      </c>
    </row>
    <row r="5" spans="1:2" x14ac:dyDescent="0.25">
      <c r="A5" s="20">
        <v>45292</v>
      </c>
      <c r="B5" vm="11">
        <v>59.67</v>
      </c>
    </row>
    <row r="6" spans="1:2" x14ac:dyDescent="0.25">
      <c r="A6" s="20">
        <v>45299</v>
      </c>
      <c r="B6" vm="14">
        <v>60.11</v>
      </c>
    </row>
    <row r="7" spans="1:2" x14ac:dyDescent="0.25">
      <c r="A7" s="20">
        <v>45299</v>
      </c>
      <c r="B7" vm="17">
        <v>60</v>
      </c>
    </row>
    <row r="8" spans="1:2" x14ac:dyDescent="0.25">
      <c r="A8" s="20">
        <v>45299</v>
      </c>
      <c r="B8" vm="20">
        <v>60.2</v>
      </c>
    </row>
    <row r="9" spans="1:2" x14ac:dyDescent="0.25">
      <c r="A9" s="20">
        <v>45299</v>
      </c>
      <c r="B9" vm="23">
        <v>59.81</v>
      </c>
    </row>
    <row r="10" spans="1:2" x14ac:dyDescent="0.25">
      <c r="A10" s="20">
        <v>45299</v>
      </c>
      <c r="B10" vm="26">
        <v>60.39</v>
      </c>
    </row>
    <row r="11" spans="1:2" x14ac:dyDescent="0.25">
      <c r="A11" s="20">
        <v>45306</v>
      </c>
      <c r="B11" vm="29">
        <v>59.99</v>
      </c>
    </row>
    <row r="12" spans="1:2" x14ac:dyDescent="0.25">
      <c r="A12" s="20">
        <v>45306</v>
      </c>
      <c r="B12" vm="29">
        <v>59.99</v>
      </c>
    </row>
    <row r="13" spans="1:2" x14ac:dyDescent="0.25">
      <c r="A13" s="20">
        <v>45306</v>
      </c>
      <c r="B13" vm="34">
        <v>60.16</v>
      </c>
    </row>
    <row r="14" spans="1:2" x14ac:dyDescent="0.25">
      <c r="A14" s="20">
        <v>45306</v>
      </c>
      <c r="B14" vm="37">
        <v>59.83</v>
      </c>
    </row>
    <row r="15" spans="1:2" x14ac:dyDescent="0.25">
      <c r="A15" s="20">
        <v>45313</v>
      </c>
      <c r="B15" vm="40">
        <v>59.57</v>
      </c>
    </row>
    <row r="16" spans="1:2" x14ac:dyDescent="0.25">
      <c r="A16" s="20">
        <v>45313</v>
      </c>
      <c r="B16" vm="43">
        <v>59.85</v>
      </c>
    </row>
    <row r="17" spans="1:2" x14ac:dyDescent="0.25">
      <c r="A17" s="20">
        <v>45313</v>
      </c>
      <c r="B17" vm="46">
        <v>58.91</v>
      </c>
    </row>
    <row r="18" spans="1:2" x14ac:dyDescent="0.25">
      <c r="A18" s="20">
        <v>45313</v>
      </c>
      <c r="B18" vm="49">
        <v>59.16</v>
      </c>
    </row>
    <row r="19" spans="1:2" x14ac:dyDescent="0.25">
      <c r="A19" s="20">
        <v>45313</v>
      </c>
      <c r="B19" vm="52">
        <v>59.37</v>
      </c>
    </row>
    <row r="20" spans="1:2" x14ac:dyDescent="0.25">
      <c r="A20" s="20">
        <v>45320</v>
      </c>
      <c r="B20" vm="55">
        <v>59.73</v>
      </c>
    </row>
    <row r="21" spans="1:2" x14ac:dyDescent="0.25">
      <c r="A21" s="20">
        <v>45320</v>
      </c>
      <c r="B21" vm="58">
        <v>59.9</v>
      </c>
    </row>
    <row r="22" spans="1:2" x14ac:dyDescent="0.25">
      <c r="A22" s="20">
        <v>45320</v>
      </c>
      <c r="B22" vm="61">
        <v>59.49</v>
      </c>
    </row>
    <row r="23" spans="1:2" x14ac:dyDescent="0.25">
      <c r="A23" s="20">
        <v>45320</v>
      </c>
      <c r="B23" vm="64">
        <v>60.98</v>
      </c>
    </row>
    <row r="24" spans="1:2" x14ac:dyDescent="0.25">
      <c r="A24" s="20">
        <v>45320</v>
      </c>
      <c r="B24" vm="67">
        <v>60.54</v>
      </c>
    </row>
    <row r="25" spans="1:2" x14ac:dyDescent="0.25">
      <c r="A25" s="20">
        <v>45327</v>
      </c>
      <c r="B25" vm="70">
        <v>60.04</v>
      </c>
    </row>
    <row r="26" spans="1:2" x14ac:dyDescent="0.25">
      <c r="A26" s="20">
        <v>45327</v>
      </c>
      <c r="B26" vm="73">
        <v>59.94</v>
      </c>
    </row>
    <row r="27" spans="1:2" x14ac:dyDescent="0.25">
      <c r="A27" s="20">
        <v>45327</v>
      </c>
      <c r="B27" vm="29">
        <v>59.99</v>
      </c>
    </row>
    <row r="28" spans="1:2" x14ac:dyDescent="0.25">
      <c r="A28" s="20">
        <v>45327</v>
      </c>
      <c r="B28" vm="37">
        <v>59.83</v>
      </c>
    </row>
    <row r="29" spans="1:2" x14ac:dyDescent="0.25">
      <c r="A29" s="20">
        <v>45327</v>
      </c>
      <c r="B29" vm="80">
        <v>59.56</v>
      </c>
    </row>
    <row r="30" spans="1:2" x14ac:dyDescent="0.25">
      <c r="A30" s="20">
        <v>45334</v>
      </c>
      <c r="B30" vm="83">
        <v>59.7</v>
      </c>
    </row>
    <row r="31" spans="1:2" x14ac:dyDescent="0.25">
      <c r="A31" s="20">
        <v>45334</v>
      </c>
      <c r="B31" vm="86">
        <v>59.35</v>
      </c>
    </row>
    <row r="32" spans="1:2" x14ac:dyDescent="0.25">
      <c r="A32" s="20">
        <v>45334</v>
      </c>
      <c r="B32" vm="89">
        <v>59.29</v>
      </c>
    </row>
    <row r="33" spans="1:2" x14ac:dyDescent="0.25">
      <c r="A33" s="20">
        <v>45334</v>
      </c>
      <c r="B33" vm="92">
        <v>59.4</v>
      </c>
    </row>
    <row r="34" spans="1:2" x14ac:dyDescent="0.25">
      <c r="A34" s="20">
        <v>45334</v>
      </c>
      <c r="B34" vm="95">
        <v>59.39</v>
      </c>
    </row>
    <row r="35" spans="1:2" x14ac:dyDescent="0.25">
      <c r="A35" s="20">
        <v>45341</v>
      </c>
      <c r="B35" vm="98">
        <v>60.7</v>
      </c>
    </row>
    <row r="36" spans="1:2" x14ac:dyDescent="0.25">
      <c r="A36" s="20">
        <v>45341</v>
      </c>
      <c r="B36" vm="101">
        <v>61.24</v>
      </c>
    </row>
    <row r="37" spans="1:2" x14ac:dyDescent="0.25">
      <c r="A37" s="20">
        <v>45341</v>
      </c>
      <c r="B37" vm="104">
        <v>61.15</v>
      </c>
    </row>
    <row r="38" spans="1:2" x14ac:dyDescent="0.25">
      <c r="A38" s="20">
        <v>45341</v>
      </c>
      <c r="B38" vm="107">
        <v>61.2</v>
      </c>
    </row>
    <row r="39" spans="1:2" x14ac:dyDescent="0.25">
      <c r="A39" s="20">
        <v>45348</v>
      </c>
      <c r="B39" vm="110">
        <v>60.71</v>
      </c>
    </row>
    <row r="40" spans="1:2" x14ac:dyDescent="0.25">
      <c r="A40" s="20">
        <v>45348</v>
      </c>
      <c r="B40" vm="113">
        <v>60.34</v>
      </c>
    </row>
    <row r="41" spans="1:2" x14ac:dyDescent="0.25">
      <c r="A41" s="20">
        <v>45348</v>
      </c>
      <c r="B41" vm="116">
        <v>60.4</v>
      </c>
    </row>
    <row r="42" spans="1:2" x14ac:dyDescent="0.25">
      <c r="A42" s="20">
        <v>45348</v>
      </c>
      <c r="B42" vm="119">
        <v>60.02</v>
      </c>
    </row>
    <row r="43" spans="1:2" x14ac:dyDescent="0.25">
      <c r="A43" s="20">
        <v>45348</v>
      </c>
      <c r="B43" vm="122">
        <v>59.53</v>
      </c>
    </row>
    <row r="44" spans="1:2" x14ac:dyDescent="0.25">
      <c r="A44" s="20">
        <v>45355</v>
      </c>
      <c r="B44" vm="23">
        <v>59.81</v>
      </c>
    </row>
    <row r="45" spans="1:2" x14ac:dyDescent="0.25">
      <c r="A45" s="20">
        <v>45355</v>
      </c>
      <c r="B45" vm="127">
        <v>59.52</v>
      </c>
    </row>
    <row r="46" spans="1:2" x14ac:dyDescent="0.25">
      <c r="A46" s="20">
        <v>45355</v>
      </c>
      <c r="B46" vm="130">
        <v>59.55</v>
      </c>
    </row>
    <row r="47" spans="1:2" x14ac:dyDescent="0.25">
      <c r="A47" s="20">
        <v>45355</v>
      </c>
      <c r="B47" vm="133">
        <v>59.44</v>
      </c>
    </row>
    <row r="48" spans="1:2" x14ac:dyDescent="0.25">
      <c r="A48" s="20">
        <v>45355</v>
      </c>
      <c r="B48" vm="127">
        <v>59.52</v>
      </c>
    </row>
    <row r="49" spans="1:2" x14ac:dyDescent="0.25">
      <c r="A49" s="20">
        <v>45362</v>
      </c>
      <c r="B49" vm="138">
        <v>60.24</v>
      </c>
    </row>
    <row r="50" spans="1:2" x14ac:dyDescent="0.25">
      <c r="A50" s="20">
        <v>45362</v>
      </c>
      <c r="B50" vm="141">
        <v>60.5</v>
      </c>
    </row>
    <row r="51" spans="1:2" x14ac:dyDescent="0.25">
      <c r="A51" s="20">
        <v>45362</v>
      </c>
      <c r="B51" vm="144">
        <v>61.12</v>
      </c>
    </row>
    <row r="52" spans="1:2" x14ac:dyDescent="0.25">
      <c r="A52" s="20">
        <v>45362</v>
      </c>
      <c r="B52" vm="141">
        <v>60.5</v>
      </c>
    </row>
    <row r="53" spans="1:2" x14ac:dyDescent="0.25">
      <c r="A53" s="20">
        <v>45362</v>
      </c>
      <c r="B53" vm="149">
        <v>59.88</v>
      </c>
    </row>
    <row r="54" spans="1:2" x14ac:dyDescent="0.25">
      <c r="A54" s="20">
        <v>45369</v>
      </c>
      <c r="B54" vm="152">
        <v>60.13</v>
      </c>
    </row>
    <row r="55" spans="1:2" x14ac:dyDescent="0.25">
      <c r="A55" s="20">
        <v>45369</v>
      </c>
      <c r="B55" vm="155">
        <v>60.23</v>
      </c>
    </row>
    <row r="56" spans="1:2" x14ac:dyDescent="0.25">
      <c r="A56" s="20">
        <v>45369</v>
      </c>
      <c r="B56" vm="158">
        <v>60.75</v>
      </c>
    </row>
    <row r="57" spans="1:2" x14ac:dyDescent="0.25">
      <c r="A57" s="20">
        <v>45369</v>
      </c>
      <c r="B57" vm="161">
        <v>60.47</v>
      </c>
    </row>
    <row r="58" spans="1:2" x14ac:dyDescent="0.25">
      <c r="A58" s="20">
        <v>45369</v>
      </c>
      <c r="B58" vm="164">
        <v>60.49</v>
      </c>
    </row>
    <row r="59" spans="1:2" x14ac:dyDescent="0.25">
      <c r="A59" s="20">
        <v>45376</v>
      </c>
      <c r="B59" vm="116">
        <v>60.4</v>
      </c>
    </row>
    <row r="60" spans="1:2" x14ac:dyDescent="0.25">
      <c r="A60" s="20">
        <v>45376</v>
      </c>
      <c r="B60" vm="67">
        <v>60.54</v>
      </c>
    </row>
    <row r="61" spans="1:2" x14ac:dyDescent="0.25">
      <c r="A61" s="20">
        <v>45376</v>
      </c>
      <c r="B61" vm="171">
        <v>61.03</v>
      </c>
    </row>
    <row r="62" spans="1:2" x14ac:dyDescent="0.25">
      <c r="A62" s="20">
        <v>45376</v>
      </c>
      <c r="B62" vm="174">
        <v>61.18</v>
      </c>
    </row>
    <row r="63" spans="1:2" x14ac:dyDescent="0.25">
      <c r="A63" s="20">
        <v>45383</v>
      </c>
      <c r="B63" vm="177">
        <v>60.68</v>
      </c>
    </row>
    <row r="64" spans="1:2" x14ac:dyDescent="0.25">
      <c r="A64" s="20">
        <v>45383</v>
      </c>
      <c r="B64" vm="180">
        <v>60.15</v>
      </c>
    </row>
    <row r="65" spans="1:2" x14ac:dyDescent="0.25">
      <c r="A65" s="20">
        <v>45383</v>
      </c>
      <c r="B65" vm="37">
        <v>59.83</v>
      </c>
    </row>
    <row r="66" spans="1:2" x14ac:dyDescent="0.25">
      <c r="A66" s="20">
        <v>45383</v>
      </c>
      <c r="B66" vm="185">
        <v>59.3</v>
      </c>
    </row>
    <row r="67" spans="1:2" x14ac:dyDescent="0.25">
      <c r="A67" s="20">
        <v>45383</v>
      </c>
      <c r="B67" vm="188">
        <v>59.51</v>
      </c>
    </row>
    <row r="68" spans="1:2" x14ac:dyDescent="0.25">
      <c r="A68" s="20">
        <v>45390</v>
      </c>
      <c r="B68" vm="191">
        <v>59.27</v>
      </c>
    </row>
    <row r="69" spans="1:2" x14ac:dyDescent="0.25">
      <c r="A69" s="20">
        <v>45390</v>
      </c>
      <c r="B69" vm="194">
        <v>59.72</v>
      </c>
    </row>
    <row r="70" spans="1:2" x14ac:dyDescent="0.25">
      <c r="A70" s="20">
        <v>45390</v>
      </c>
      <c r="B70" vm="197">
        <v>58.92</v>
      </c>
    </row>
    <row r="71" spans="1:2" x14ac:dyDescent="0.25">
      <c r="A71" s="20">
        <v>45390</v>
      </c>
      <c r="B71" vm="200">
        <v>59.05</v>
      </c>
    </row>
    <row r="72" spans="1:2" x14ac:dyDescent="0.25">
      <c r="A72" s="20">
        <v>45390</v>
      </c>
      <c r="B72" vm="203">
        <v>58.28</v>
      </c>
    </row>
    <row r="73" spans="1:2" x14ac:dyDescent="0.25">
      <c r="A73" s="20">
        <v>45397</v>
      </c>
      <c r="B73" vm="206">
        <v>58.14</v>
      </c>
    </row>
    <row r="74" spans="1:2" x14ac:dyDescent="0.25">
      <c r="A74" s="20">
        <v>45397</v>
      </c>
      <c r="B74" vm="209">
        <v>58.06</v>
      </c>
    </row>
    <row r="75" spans="1:2" x14ac:dyDescent="0.25">
      <c r="A75" s="20">
        <v>45397</v>
      </c>
      <c r="B75" vm="212">
        <v>58.51</v>
      </c>
    </row>
    <row r="76" spans="1:2" x14ac:dyDescent="0.25">
      <c r="A76" s="20">
        <v>45397</v>
      </c>
      <c r="B76" vm="46">
        <v>58.91</v>
      </c>
    </row>
    <row r="77" spans="1:2" x14ac:dyDescent="0.25">
      <c r="A77" s="20">
        <v>45397</v>
      </c>
      <c r="B77" vm="217">
        <v>60.17</v>
      </c>
    </row>
    <row r="78" spans="1:2" x14ac:dyDescent="0.25">
      <c r="A78" s="20">
        <v>45404</v>
      </c>
      <c r="B78" vm="220">
        <v>60.55</v>
      </c>
    </row>
    <row r="79" spans="1:2" x14ac:dyDescent="0.25">
      <c r="A79" s="20">
        <v>45404</v>
      </c>
      <c r="B79" vm="223">
        <v>60.64</v>
      </c>
    </row>
    <row r="80" spans="1:2" x14ac:dyDescent="0.25">
      <c r="A80" s="20">
        <v>45404</v>
      </c>
      <c r="B80" vm="226">
        <v>61.55</v>
      </c>
    </row>
    <row r="81" spans="1:2" x14ac:dyDescent="0.25">
      <c r="A81" s="20">
        <v>45404</v>
      </c>
      <c r="B81" vm="229">
        <v>61.74</v>
      </c>
    </row>
    <row r="82" spans="1:2" x14ac:dyDescent="0.25">
      <c r="A82" s="20">
        <v>45404</v>
      </c>
      <c r="B82" vm="229">
        <v>61.74</v>
      </c>
    </row>
    <row r="83" spans="1:2" x14ac:dyDescent="0.25">
      <c r="A83" s="20">
        <v>45411</v>
      </c>
      <c r="B83" vm="234">
        <v>62.04</v>
      </c>
    </row>
    <row r="84" spans="1:2" x14ac:dyDescent="0.25">
      <c r="A84" s="20">
        <v>45411</v>
      </c>
      <c r="B84" vm="237">
        <v>61.77</v>
      </c>
    </row>
    <row r="85" spans="1:2" x14ac:dyDescent="0.25">
      <c r="A85" s="20">
        <v>45411</v>
      </c>
      <c r="B85" vm="240">
        <v>61.93</v>
      </c>
    </row>
    <row r="86" spans="1:2" x14ac:dyDescent="0.25">
      <c r="A86" s="20">
        <v>45411</v>
      </c>
      <c r="B86" vm="243">
        <v>61.99</v>
      </c>
    </row>
    <row r="87" spans="1:2" x14ac:dyDescent="0.25">
      <c r="A87" s="20">
        <v>45411</v>
      </c>
      <c r="B87" vm="246">
        <v>62.17</v>
      </c>
    </row>
    <row r="88" spans="1:2" x14ac:dyDescent="0.25">
      <c r="A88" s="20">
        <v>45418</v>
      </c>
      <c r="B88" vm="249">
        <v>62.35</v>
      </c>
    </row>
    <row r="89" spans="1:2" x14ac:dyDescent="0.25">
      <c r="A89" s="20">
        <v>45418</v>
      </c>
      <c r="B89" vm="252">
        <v>62.62</v>
      </c>
    </row>
    <row r="90" spans="1:2" x14ac:dyDescent="0.25">
      <c r="A90" s="20">
        <v>45418</v>
      </c>
      <c r="B90" vm="255">
        <v>62.85</v>
      </c>
    </row>
    <row r="91" spans="1:2" x14ac:dyDescent="0.25">
      <c r="A91" s="20">
        <v>45418</v>
      </c>
      <c r="B91" vm="258">
        <v>62.88</v>
      </c>
    </row>
    <row r="92" spans="1:2" x14ac:dyDescent="0.25">
      <c r="A92" s="20">
        <v>45418</v>
      </c>
      <c r="B92" vm="261">
        <v>63.26</v>
      </c>
    </row>
    <row r="93" spans="1:2" x14ac:dyDescent="0.25">
      <c r="A93" s="20">
        <v>45425</v>
      </c>
      <c r="B93" vm="264">
        <v>63.58</v>
      </c>
    </row>
    <row r="94" spans="1:2" x14ac:dyDescent="0.25">
      <c r="A94" s="20">
        <v>45425</v>
      </c>
      <c r="B94" vm="267">
        <v>63.1</v>
      </c>
    </row>
    <row r="95" spans="1:2" x14ac:dyDescent="0.25">
      <c r="A95" s="20">
        <v>45425</v>
      </c>
      <c r="B95" vm="270">
        <v>63.13</v>
      </c>
    </row>
    <row r="96" spans="1:2" x14ac:dyDescent="0.25">
      <c r="A96" s="20">
        <v>45425</v>
      </c>
      <c r="B96" vm="273">
        <v>63.32</v>
      </c>
    </row>
    <row r="97" spans="1:2" x14ac:dyDescent="0.25">
      <c r="A97" s="20">
        <v>45425</v>
      </c>
      <c r="B97" vm="276">
        <v>63.03</v>
      </c>
    </row>
    <row r="98" spans="1:2" x14ac:dyDescent="0.25">
      <c r="A98" s="20">
        <v>45432</v>
      </c>
      <c r="B98" vm="279">
        <v>62.57</v>
      </c>
    </row>
    <row r="99" spans="1:2" x14ac:dyDescent="0.25">
      <c r="A99" s="20">
        <v>45432</v>
      </c>
      <c r="B99" vm="282">
        <v>62.91</v>
      </c>
    </row>
    <row r="100" spans="1:2" x14ac:dyDescent="0.25">
      <c r="A100" s="20">
        <v>45432</v>
      </c>
      <c r="B100" vm="285">
        <v>63</v>
      </c>
    </row>
    <row r="101" spans="1:2" x14ac:dyDescent="0.25">
      <c r="A101" s="20">
        <v>45432</v>
      </c>
      <c r="B101" vm="288">
        <v>62.09</v>
      </c>
    </row>
    <row r="102" spans="1:2" x14ac:dyDescent="0.25">
      <c r="A102" s="20">
        <v>45432</v>
      </c>
      <c r="B102" vm="291">
        <v>62</v>
      </c>
    </row>
    <row r="103" spans="1:2" x14ac:dyDescent="0.25">
      <c r="A103" s="20">
        <v>45439</v>
      </c>
      <c r="B103" vm="294">
        <v>61.82</v>
      </c>
    </row>
    <row r="104" spans="1:2" x14ac:dyDescent="0.25">
      <c r="A104" s="20">
        <v>45439</v>
      </c>
      <c r="B104" vm="297">
        <v>61.7</v>
      </c>
    </row>
    <row r="105" spans="1:2" x14ac:dyDescent="0.25">
      <c r="A105" s="20">
        <v>45439</v>
      </c>
      <c r="B105" vm="300">
        <v>61.97</v>
      </c>
    </row>
    <row r="106" spans="1:2" x14ac:dyDescent="0.25">
      <c r="A106" s="20">
        <v>45439</v>
      </c>
      <c r="B106" vm="303">
        <v>62.93</v>
      </c>
    </row>
    <row r="107" spans="1:2" x14ac:dyDescent="0.25">
      <c r="A107" s="20">
        <v>45446</v>
      </c>
      <c r="B107" vm="303">
        <v>62.93</v>
      </c>
    </row>
    <row r="108" spans="1:2" x14ac:dyDescent="0.25">
      <c r="A108" s="20">
        <v>45446</v>
      </c>
      <c r="B108" vm="308">
        <v>63.94</v>
      </c>
    </row>
    <row r="109" spans="1:2" x14ac:dyDescent="0.25">
      <c r="A109" s="20">
        <v>45446</v>
      </c>
      <c r="B109" vm="311">
        <v>63.92</v>
      </c>
    </row>
    <row r="110" spans="1:2" x14ac:dyDescent="0.25">
      <c r="A110" s="20">
        <v>45446</v>
      </c>
      <c r="B110" vm="314">
        <v>64.150000000000006</v>
      </c>
    </row>
    <row r="111" spans="1:2" x14ac:dyDescent="0.25">
      <c r="A111" s="20">
        <v>45446</v>
      </c>
      <c r="B111" vm="317">
        <v>63.91</v>
      </c>
    </row>
    <row r="112" spans="1:2" x14ac:dyDescent="0.25">
      <c r="A112" s="20">
        <v>45453</v>
      </c>
      <c r="B112" vm="320">
        <v>63.59</v>
      </c>
    </row>
    <row r="113" spans="1:2" x14ac:dyDescent="0.25">
      <c r="A113" s="20">
        <v>45453</v>
      </c>
      <c r="B113" vm="323">
        <v>63.55</v>
      </c>
    </row>
    <row r="114" spans="1:2" x14ac:dyDescent="0.25">
      <c r="A114" s="20">
        <v>45453</v>
      </c>
      <c r="B114" vm="258">
        <v>62.88</v>
      </c>
    </row>
    <row r="115" spans="1:2" x14ac:dyDescent="0.25">
      <c r="A115" s="20">
        <v>45453</v>
      </c>
      <c r="B115" vm="328">
        <v>62.99</v>
      </c>
    </row>
    <row r="116" spans="1:2" x14ac:dyDescent="0.25">
      <c r="A116" s="20">
        <v>45453</v>
      </c>
      <c r="B116" vm="331">
        <v>62.55</v>
      </c>
    </row>
    <row r="117" spans="1:2" x14ac:dyDescent="0.25">
      <c r="A117" s="20">
        <v>45460</v>
      </c>
      <c r="B117" vm="252">
        <v>62.62</v>
      </c>
    </row>
    <row r="118" spans="1:2" x14ac:dyDescent="0.25">
      <c r="A118" s="20">
        <v>45460</v>
      </c>
      <c r="B118" vm="336">
        <v>62.63</v>
      </c>
    </row>
    <row r="119" spans="1:2" x14ac:dyDescent="0.25">
      <c r="A119" s="20">
        <v>45460</v>
      </c>
      <c r="B119" vm="339">
        <v>62.18</v>
      </c>
    </row>
    <row r="120" spans="1:2" x14ac:dyDescent="0.25">
      <c r="A120" s="20">
        <v>45460</v>
      </c>
      <c r="B120" vm="342">
        <v>62.77</v>
      </c>
    </row>
    <row r="121" spans="1:2" x14ac:dyDescent="0.25">
      <c r="A121" s="20">
        <v>45467</v>
      </c>
      <c r="B121" vm="345">
        <v>63.97</v>
      </c>
    </row>
    <row r="122" spans="1:2" x14ac:dyDescent="0.25">
      <c r="A122" s="20">
        <v>45467</v>
      </c>
      <c r="B122" vm="348">
        <v>63.84</v>
      </c>
    </row>
    <row r="123" spans="1:2" x14ac:dyDescent="0.25">
      <c r="A123" s="20">
        <v>45467</v>
      </c>
      <c r="B123" vm="351">
        <v>64.05</v>
      </c>
    </row>
    <row r="124" spans="1:2" x14ac:dyDescent="0.25">
      <c r="A124" s="20">
        <v>45467</v>
      </c>
      <c r="B124" vm="317">
        <v>63.91</v>
      </c>
    </row>
    <row r="125" spans="1:2" x14ac:dyDescent="0.25">
      <c r="A125" s="20">
        <v>45467</v>
      </c>
      <c r="B125" vm="356">
        <v>63.65</v>
      </c>
    </row>
    <row r="126" spans="1:2" x14ac:dyDescent="0.25">
      <c r="A126" s="20">
        <v>45474</v>
      </c>
      <c r="B126" vm="359">
        <v>63.28</v>
      </c>
    </row>
    <row r="127" spans="1:2" x14ac:dyDescent="0.25">
      <c r="A127" s="20">
        <v>45474</v>
      </c>
      <c r="B127" vm="362">
        <v>63.15</v>
      </c>
    </row>
    <row r="128" spans="1:2" x14ac:dyDescent="0.25">
      <c r="A128" s="20">
        <v>45474</v>
      </c>
      <c r="B128" vm="365">
        <v>63.33</v>
      </c>
    </row>
    <row r="129" spans="1:2" x14ac:dyDescent="0.25">
      <c r="A129" s="20">
        <v>45474</v>
      </c>
      <c r="B129" vm="368">
        <v>63.76</v>
      </c>
    </row>
    <row r="130" spans="1:2" x14ac:dyDescent="0.25">
      <c r="A130" s="20">
        <v>45481</v>
      </c>
      <c r="B130" vm="371">
        <v>62.96</v>
      </c>
    </row>
    <row r="131" spans="1:2" x14ac:dyDescent="0.25">
      <c r="A131" s="20">
        <v>45481</v>
      </c>
      <c r="B131" vm="374">
        <v>62.69</v>
      </c>
    </row>
    <row r="132" spans="1:2" x14ac:dyDescent="0.25">
      <c r="A132" s="20">
        <v>45481</v>
      </c>
      <c r="B132" vm="377">
        <v>62.83</v>
      </c>
    </row>
    <row r="133" spans="1:2" x14ac:dyDescent="0.25">
      <c r="A133" s="20">
        <v>45481</v>
      </c>
      <c r="B133" vm="267">
        <v>63.1</v>
      </c>
    </row>
    <row r="134" spans="1:2" x14ac:dyDescent="0.25">
      <c r="A134" s="20">
        <v>45481</v>
      </c>
      <c r="B134" vm="382">
        <v>63.7</v>
      </c>
    </row>
    <row r="135" spans="1:2" x14ac:dyDescent="0.25">
      <c r="A135" s="20">
        <v>45488</v>
      </c>
      <c r="B135" vm="385">
        <v>63.41</v>
      </c>
    </row>
    <row r="136" spans="1:2" x14ac:dyDescent="0.25">
      <c r="A136" s="20">
        <v>45488</v>
      </c>
      <c r="B136" vm="388">
        <v>64.27</v>
      </c>
    </row>
    <row r="137" spans="1:2" x14ac:dyDescent="0.25">
      <c r="A137" s="20">
        <v>45488</v>
      </c>
      <c r="B137" vm="391">
        <v>65.209999999999994</v>
      </c>
    </row>
    <row r="138" spans="1:2" x14ac:dyDescent="0.25">
      <c r="A138" s="20">
        <v>45488</v>
      </c>
      <c r="B138" vm="394">
        <v>65.19</v>
      </c>
    </row>
    <row r="139" spans="1:2" x14ac:dyDescent="0.25">
      <c r="A139" s="20">
        <v>45488</v>
      </c>
      <c r="B139" vm="397">
        <v>65.290000000000006</v>
      </c>
    </row>
    <row r="140" spans="1:2" x14ac:dyDescent="0.25">
      <c r="A140" s="20">
        <v>45495</v>
      </c>
      <c r="B140" vm="400">
        <v>64.77</v>
      </c>
    </row>
    <row r="141" spans="1:2" x14ac:dyDescent="0.25">
      <c r="A141" s="20">
        <v>45495</v>
      </c>
      <c r="B141" vm="403">
        <v>64.959999999999994</v>
      </c>
    </row>
    <row r="142" spans="1:2" x14ac:dyDescent="0.25">
      <c r="A142" s="20">
        <v>45495</v>
      </c>
      <c r="B142" vm="406">
        <v>65.81</v>
      </c>
    </row>
    <row r="143" spans="1:2" x14ac:dyDescent="0.25">
      <c r="A143" s="20">
        <v>45495</v>
      </c>
      <c r="B143" vm="409">
        <v>66.069999999999993</v>
      </c>
    </row>
    <row r="144" spans="1:2" x14ac:dyDescent="0.25">
      <c r="A144" s="20">
        <v>45495</v>
      </c>
      <c r="B144" vm="412">
        <v>67.05</v>
      </c>
    </row>
    <row r="145" spans="1:2" x14ac:dyDescent="0.25">
      <c r="A145" s="20">
        <v>45502</v>
      </c>
      <c r="B145" vm="415">
        <v>66.83</v>
      </c>
    </row>
    <row r="146" spans="1:2" x14ac:dyDescent="0.25">
      <c r="A146" s="20">
        <v>45502</v>
      </c>
      <c r="B146" vm="418">
        <v>67.680000000000007</v>
      </c>
    </row>
    <row r="147" spans="1:2" x14ac:dyDescent="0.25">
      <c r="A147" s="20">
        <v>45502</v>
      </c>
      <c r="B147" vm="421">
        <v>66.739999999999995</v>
      </c>
    </row>
    <row r="148" spans="1:2" x14ac:dyDescent="0.25">
      <c r="A148" s="20">
        <v>45502</v>
      </c>
      <c r="B148" vm="424">
        <v>67.959999999999994</v>
      </c>
    </row>
    <row r="149" spans="1:2" x14ac:dyDescent="0.25">
      <c r="A149" s="20">
        <v>45502</v>
      </c>
      <c r="B149" vm="427">
        <v>69.33</v>
      </c>
    </row>
    <row r="150" spans="1:2" x14ac:dyDescent="0.25">
      <c r="A150" s="20">
        <v>45509</v>
      </c>
      <c r="B150" vm="430">
        <v>68.099999999999994</v>
      </c>
    </row>
    <row r="151" spans="1:2" x14ac:dyDescent="0.25">
      <c r="A151" s="20">
        <v>45509</v>
      </c>
      <c r="B151" vm="433">
        <v>68.05</v>
      </c>
    </row>
    <row r="152" spans="1:2" x14ac:dyDescent="0.25">
      <c r="A152" s="20">
        <v>45509</v>
      </c>
      <c r="B152" vm="436">
        <v>68.459999999999994</v>
      </c>
    </row>
    <row r="153" spans="1:2" x14ac:dyDescent="0.25">
      <c r="A153" s="20">
        <v>45509</v>
      </c>
      <c r="B153" vm="439">
        <v>68.73</v>
      </c>
    </row>
    <row r="154" spans="1:2" x14ac:dyDescent="0.25">
      <c r="A154" s="20">
        <v>45509</v>
      </c>
      <c r="B154" vm="442">
        <v>68.680000000000007</v>
      </c>
    </row>
    <row r="155" spans="1:2" x14ac:dyDescent="0.25">
      <c r="A155" s="20">
        <v>45516</v>
      </c>
      <c r="B155" vm="445">
        <v>68.17</v>
      </c>
    </row>
    <row r="156" spans="1:2" x14ac:dyDescent="0.25">
      <c r="A156" s="20">
        <v>45516</v>
      </c>
      <c r="B156" vm="436">
        <v>68.459999999999994</v>
      </c>
    </row>
    <row r="157" spans="1:2" x14ac:dyDescent="0.25">
      <c r="A157" s="20">
        <v>45516</v>
      </c>
      <c r="B157" vm="450">
        <v>68.58</v>
      </c>
    </row>
    <row r="158" spans="1:2" x14ac:dyDescent="0.25">
      <c r="A158" s="20">
        <v>45516</v>
      </c>
      <c r="B158" vm="453">
        <v>68.650000000000006</v>
      </c>
    </row>
    <row r="159" spans="1:2" x14ac:dyDescent="0.25">
      <c r="A159" s="20">
        <v>45516</v>
      </c>
      <c r="B159" vm="456">
        <v>69.180000000000007</v>
      </c>
    </row>
    <row r="160" spans="1:2" x14ac:dyDescent="0.25">
      <c r="A160" s="20">
        <v>45523</v>
      </c>
      <c r="B160" vm="459">
        <v>68.98</v>
      </c>
    </row>
    <row r="161" spans="1:2" x14ac:dyDescent="0.25">
      <c r="A161" s="20">
        <v>45523</v>
      </c>
      <c r="B161" vm="462">
        <v>69.38</v>
      </c>
    </row>
    <row r="162" spans="1:2" x14ac:dyDescent="0.25">
      <c r="A162" s="20">
        <v>45523</v>
      </c>
      <c r="B162" vm="465">
        <v>69.569999999999993</v>
      </c>
    </row>
    <row r="163" spans="1:2" x14ac:dyDescent="0.25">
      <c r="A163" s="20">
        <v>45523</v>
      </c>
      <c r="B163" vm="427">
        <v>69.33</v>
      </c>
    </row>
    <row r="164" spans="1:2" x14ac:dyDescent="0.25">
      <c r="A164" s="20">
        <v>45523</v>
      </c>
      <c r="B164" vm="470">
        <v>69.790000000000006</v>
      </c>
    </row>
    <row r="165" spans="1:2" x14ac:dyDescent="0.25">
      <c r="A165" s="20">
        <v>45530</v>
      </c>
      <c r="B165" vm="473">
        <v>70.84</v>
      </c>
    </row>
    <row r="166" spans="1:2" x14ac:dyDescent="0.25">
      <c r="A166" s="20">
        <v>45530</v>
      </c>
      <c r="B166" vm="476">
        <v>71.5</v>
      </c>
    </row>
    <row r="167" spans="1:2" x14ac:dyDescent="0.25">
      <c r="A167" s="20">
        <v>45530</v>
      </c>
      <c r="B167" vm="479">
        <v>71.75</v>
      </c>
    </row>
    <row r="168" spans="1:2" x14ac:dyDescent="0.25">
      <c r="A168" s="20">
        <v>45530</v>
      </c>
      <c r="B168" vm="482">
        <v>72.05</v>
      </c>
    </row>
    <row r="169" spans="1:2" x14ac:dyDescent="0.25">
      <c r="A169" s="20">
        <v>45530</v>
      </c>
      <c r="B169" vm="485">
        <v>72.47</v>
      </c>
    </row>
    <row r="170" spans="1:2" x14ac:dyDescent="0.25">
      <c r="A170" s="20">
        <v>45537</v>
      </c>
      <c r="B170" vm="488">
        <v>73.010000000000005</v>
      </c>
    </row>
    <row r="171" spans="1:2" x14ac:dyDescent="0.25">
      <c r="A171" s="20">
        <v>45537</v>
      </c>
      <c r="B171" vm="491">
        <v>72.56</v>
      </c>
    </row>
    <row r="172" spans="1:2" x14ac:dyDescent="0.25">
      <c r="A172" s="20">
        <v>45537</v>
      </c>
      <c r="B172" vm="494">
        <v>71.17</v>
      </c>
    </row>
    <row r="173" spans="1:2" x14ac:dyDescent="0.25">
      <c r="A173" s="20">
        <v>45537</v>
      </c>
      <c r="B173" vm="497">
        <v>71.14</v>
      </c>
    </row>
    <row r="174" spans="1:2" x14ac:dyDescent="0.25">
      <c r="A174" s="20">
        <v>45544</v>
      </c>
      <c r="B174" vm="500">
        <v>71.849999999999994</v>
      </c>
    </row>
    <row r="175" spans="1:2" x14ac:dyDescent="0.25">
      <c r="A175" s="20">
        <v>45544</v>
      </c>
      <c r="B175" vm="503">
        <v>71.55</v>
      </c>
    </row>
    <row r="176" spans="1:2" x14ac:dyDescent="0.25">
      <c r="A176" s="20">
        <v>45544</v>
      </c>
      <c r="B176" vm="506">
        <v>71.08</v>
      </c>
    </row>
    <row r="177" spans="1:2" x14ac:dyDescent="0.25">
      <c r="A177" s="20">
        <v>45544</v>
      </c>
      <c r="B177" vm="509">
        <v>71.23</v>
      </c>
    </row>
    <row r="178" spans="1:2" x14ac:dyDescent="0.25">
      <c r="A178" s="20">
        <v>45544</v>
      </c>
      <c r="B178" vm="512">
        <v>71.41</v>
      </c>
    </row>
    <row r="179" spans="1:2" x14ac:dyDescent="0.25">
      <c r="A179" s="20">
        <v>45551</v>
      </c>
      <c r="B179" vm="515">
        <v>72.099999999999994</v>
      </c>
    </row>
    <row r="180" spans="1:2" x14ac:dyDescent="0.25">
      <c r="A180" s="20">
        <v>45551</v>
      </c>
      <c r="B180" vm="518">
        <v>71.8</v>
      </c>
    </row>
    <row r="181" spans="1:2" x14ac:dyDescent="0.25">
      <c r="A181" s="20">
        <v>45551</v>
      </c>
      <c r="B181" vm="479">
        <v>71.75</v>
      </c>
    </row>
    <row r="182" spans="1:2" x14ac:dyDescent="0.25">
      <c r="A182" s="20">
        <v>45551</v>
      </c>
      <c r="B182" vm="523">
        <v>70.62</v>
      </c>
    </row>
    <row r="183" spans="1:2" x14ac:dyDescent="0.25">
      <c r="A183" s="20">
        <v>45551</v>
      </c>
      <c r="B183" vm="526">
        <v>71.64</v>
      </c>
    </row>
    <row r="184" spans="1:2" x14ac:dyDescent="0.25">
      <c r="A184" s="20">
        <v>45558</v>
      </c>
      <c r="B184" vm="529">
        <v>71.73</v>
      </c>
    </row>
    <row r="185" spans="1:2" x14ac:dyDescent="0.25">
      <c r="A185" s="20">
        <v>45558</v>
      </c>
      <c r="B185" vm="532">
        <v>71.33</v>
      </c>
    </row>
    <row r="186" spans="1:2" x14ac:dyDescent="0.25">
      <c r="A186" s="20">
        <v>45558</v>
      </c>
      <c r="B186" vm="535">
        <v>71.45</v>
      </c>
    </row>
    <row r="187" spans="1:2" x14ac:dyDescent="0.25">
      <c r="A187" s="20">
        <v>45558</v>
      </c>
      <c r="B187" vm="538">
        <v>71.400000000000006</v>
      </c>
    </row>
    <row r="188" spans="1:2" x14ac:dyDescent="0.25">
      <c r="A188" s="20">
        <v>45558</v>
      </c>
      <c r="B188" vm="541">
        <v>71.790000000000006</v>
      </c>
    </row>
    <row r="189" spans="1:2" x14ac:dyDescent="0.25">
      <c r="A189" s="20">
        <v>45565</v>
      </c>
      <c r="B189" vm="544">
        <v>71.86</v>
      </c>
    </row>
    <row r="190" spans="1:2" x14ac:dyDescent="0.25">
      <c r="A190" s="20">
        <v>45565</v>
      </c>
      <c r="B190" vm="547">
        <v>71.709999999999994</v>
      </c>
    </row>
    <row r="191" spans="1:2" x14ac:dyDescent="0.25">
      <c r="A191" s="20">
        <v>45565</v>
      </c>
      <c r="B191" vm="550">
        <v>71.010000000000005</v>
      </c>
    </row>
    <row r="192" spans="1:2" x14ac:dyDescent="0.25">
      <c r="A192" s="20">
        <v>45565</v>
      </c>
      <c r="B192" vm="553">
        <v>70.52</v>
      </c>
    </row>
    <row r="193" spans="1:2" x14ac:dyDescent="0.25">
      <c r="A193" s="20">
        <v>45565</v>
      </c>
      <c r="B193" vm="556">
        <v>70.17</v>
      </c>
    </row>
    <row r="194" spans="1:2" x14ac:dyDescent="0.25">
      <c r="A194" s="20">
        <v>45572</v>
      </c>
      <c r="B194" vm="559">
        <v>69.010000000000005</v>
      </c>
    </row>
    <row r="195" spans="1:2" x14ac:dyDescent="0.25">
      <c r="A195" s="20">
        <v>45572</v>
      </c>
      <c r="B195" vm="456">
        <v>69.180000000000007</v>
      </c>
    </row>
    <row r="196" spans="1:2" x14ac:dyDescent="0.25">
      <c r="A196" s="20">
        <v>45572</v>
      </c>
      <c r="B196" vm="465">
        <v>69.569999999999993</v>
      </c>
    </row>
    <row r="197" spans="1:2" x14ac:dyDescent="0.25">
      <c r="A197" s="20">
        <v>45572</v>
      </c>
      <c r="B197" vm="566">
        <v>69.25</v>
      </c>
    </row>
    <row r="198" spans="1:2" x14ac:dyDescent="0.25">
      <c r="A198" s="20">
        <v>45572</v>
      </c>
      <c r="B198" vm="465">
        <v>69.569999999999993</v>
      </c>
    </row>
    <row r="199" spans="1:2" x14ac:dyDescent="0.25">
      <c r="A199" s="20">
        <v>45579</v>
      </c>
      <c r="B199" vm="571">
        <v>70.34</v>
      </c>
    </row>
    <row r="200" spans="1:2" x14ac:dyDescent="0.25">
      <c r="A200" s="20">
        <v>45579</v>
      </c>
      <c r="B200" vm="571">
        <v>70.34</v>
      </c>
    </row>
    <row r="201" spans="1:2" x14ac:dyDescent="0.25">
      <c r="A201" s="20">
        <v>45579</v>
      </c>
      <c r="B201" vm="576">
        <v>70.569999999999993</v>
      </c>
    </row>
    <row r="202" spans="1:2" x14ac:dyDescent="0.25">
      <c r="A202" s="20">
        <v>45579</v>
      </c>
      <c r="B202" vm="579">
        <v>69.900000000000006</v>
      </c>
    </row>
    <row r="203" spans="1:2" x14ac:dyDescent="0.25">
      <c r="A203" s="20">
        <v>45579</v>
      </c>
      <c r="B203" vm="582">
        <v>70.44</v>
      </c>
    </row>
    <row r="204" spans="1:2" x14ac:dyDescent="0.25">
      <c r="A204" s="20">
        <v>45586</v>
      </c>
      <c r="B204" vm="585">
        <v>69.45</v>
      </c>
    </row>
    <row r="205" spans="1:2" x14ac:dyDescent="0.25">
      <c r="A205" s="20">
        <v>45586</v>
      </c>
      <c r="B205" vm="585">
        <v>69.45</v>
      </c>
    </row>
    <row r="206" spans="1:2" x14ac:dyDescent="0.25">
      <c r="A206" s="20">
        <v>45586</v>
      </c>
      <c r="B206" vm="590">
        <v>68.010000000000005</v>
      </c>
    </row>
    <row r="207" spans="1:2" x14ac:dyDescent="0.25">
      <c r="A207" s="20">
        <v>45586</v>
      </c>
      <c r="B207" vm="593">
        <v>67.3</v>
      </c>
    </row>
    <row r="208" spans="1:2" x14ac:dyDescent="0.25">
      <c r="A208" s="20">
        <v>45586</v>
      </c>
      <c r="B208" vm="596">
        <v>66.92</v>
      </c>
    </row>
    <row r="209" spans="1:2" x14ac:dyDescent="0.25">
      <c r="A209" s="20">
        <v>45593</v>
      </c>
      <c r="B209" vm="599">
        <v>66.67</v>
      </c>
    </row>
    <row r="210" spans="1:2" x14ac:dyDescent="0.25">
      <c r="A210" s="20">
        <v>45593</v>
      </c>
      <c r="B210" vm="602">
        <v>65.56</v>
      </c>
    </row>
    <row r="211" spans="1:2" x14ac:dyDescent="0.25">
      <c r="A211" s="20">
        <v>45593</v>
      </c>
      <c r="B211" vm="605">
        <v>65.92</v>
      </c>
    </row>
    <row r="212" spans="1:2" x14ac:dyDescent="0.25">
      <c r="A212" s="20">
        <v>45593</v>
      </c>
      <c r="B212" vm="608">
        <v>65.31</v>
      </c>
    </row>
    <row r="213" spans="1:2" x14ac:dyDescent="0.25">
      <c r="A213" s="20">
        <v>45593</v>
      </c>
      <c r="B213" vm="611">
        <v>65.010000000000005</v>
      </c>
    </row>
    <row r="214" spans="1:2" x14ac:dyDescent="0.25">
      <c r="A214" s="20">
        <v>45600</v>
      </c>
      <c r="B214" vm="614">
        <v>65.11</v>
      </c>
    </row>
    <row r="215" spans="1:2" x14ac:dyDescent="0.25">
      <c r="A215" s="20">
        <v>45600</v>
      </c>
      <c r="B215" vm="617">
        <v>65.37</v>
      </c>
    </row>
    <row r="216" spans="1:2" x14ac:dyDescent="0.25">
      <c r="A216" s="20">
        <v>45600</v>
      </c>
      <c r="B216" vm="382">
        <v>63.7</v>
      </c>
    </row>
    <row r="217" spans="1:2" x14ac:dyDescent="0.25">
      <c r="A217" s="20">
        <v>45600</v>
      </c>
      <c r="B217" vm="622">
        <v>63.66</v>
      </c>
    </row>
    <row r="218" spans="1:2" x14ac:dyDescent="0.25">
      <c r="A218" s="20">
        <v>45600</v>
      </c>
      <c r="B218" vm="311">
        <v>63.92</v>
      </c>
    </row>
    <row r="219" spans="1:2" x14ac:dyDescent="0.25">
      <c r="A219" s="20">
        <v>45607</v>
      </c>
      <c r="B219" vm="627">
        <v>63.36</v>
      </c>
    </row>
    <row r="220" spans="1:2" x14ac:dyDescent="0.25">
      <c r="A220" s="20">
        <v>45607</v>
      </c>
      <c r="B220" vm="630">
        <v>63.2</v>
      </c>
    </row>
    <row r="221" spans="1:2" x14ac:dyDescent="0.25">
      <c r="A221" s="20">
        <v>45607</v>
      </c>
      <c r="B221" vm="285">
        <v>63</v>
      </c>
    </row>
    <row r="222" spans="1:2" x14ac:dyDescent="0.25">
      <c r="A222" s="20">
        <v>45607</v>
      </c>
      <c r="B222" vm="331">
        <v>62.55</v>
      </c>
    </row>
    <row r="223" spans="1:2" x14ac:dyDescent="0.25">
      <c r="A223" s="20">
        <v>45607</v>
      </c>
      <c r="B223" vm="229">
        <v>61.74</v>
      </c>
    </row>
    <row r="224" spans="1:2" x14ac:dyDescent="0.25">
      <c r="A224" s="20">
        <v>45614</v>
      </c>
      <c r="B224" vm="639">
        <v>61.86</v>
      </c>
    </row>
    <row r="225" spans="1:2" x14ac:dyDescent="0.25">
      <c r="A225" s="20">
        <v>45614</v>
      </c>
      <c r="B225" vm="642">
        <v>62.59</v>
      </c>
    </row>
    <row r="226" spans="1:2" x14ac:dyDescent="0.25">
      <c r="A226" s="20">
        <v>45614</v>
      </c>
      <c r="B226" vm="328">
        <v>62.99</v>
      </c>
    </row>
    <row r="227" spans="1:2" x14ac:dyDescent="0.25">
      <c r="A227" s="20">
        <v>45614</v>
      </c>
      <c r="B227" vm="368">
        <v>63.76</v>
      </c>
    </row>
    <row r="228" spans="1:2" x14ac:dyDescent="0.25">
      <c r="A228" s="20">
        <v>45614</v>
      </c>
      <c r="B228" vm="311">
        <v>63.92</v>
      </c>
    </row>
    <row r="229" spans="1:2" x14ac:dyDescent="0.25">
      <c r="A229" s="20">
        <v>45621</v>
      </c>
      <c r="B229" vm="651">
        <v>64.38</v>
      </c>
    </row>
    <row r="230" spans="1:2" x14ac:dyDescent="0.25">
      <c r="A230" s="20">
        <v>45621</v>
      </c>
      <c r="B230" vm="654">
        <v>64.55</v>
      </c>
    </row>
    <row r="231" spans="1:2" x14ac:dyDescent="0.25">
      <c r="A231" s="20">
        <v>45621</v>
      </c>
      <c r="B231" vm="657">
        <v>64.430000000000007</v>
      </c>
    </row>
    <row r="232" spans="1:2" x14ac:dyDescent="0.25">
      <c r="A232" s="20">
        <v>45621</v>
      </c>
      <c r="B232" vm="660">
        <v>64.08</v>
      </c>
    </row>
    <row r="233" spans="1:2" x14ac:dyDescent="0.25">
      <c r="A233" s="20">
        <v>45628</v>
      </c>
      <c r="B233" vm="356">
        <v>63.65</v>
      </c>
    </row>
    <row r="234" spans="1:2" x14ac:dyDescent="0.25">
      <c r="A234" s="20">
        <v>45628</v>
      </c>
      <c r="B234" vm="665">
        <v>63.52</v>
      </c>
    </row>
    <row r="235" spans="1:2" x14ac:dyDescent="0.25">
      <c r="A235" s="20">
        <v>45628</v>
      </c>
      <c r="B235" vm="668">
        <v>62.21</v>
      </c>
    </row>
    <row r="236" spans="1:2" x14ac:dyDescent="0.25">
      <c r="A236" s="20">
        <v>45628</v>
      </c>
      <c r="B236" vm="671">
        <v>62.92</v>
      </c>
    </row>
    <row r="237" spans="1:2" x14ac:dyDescent="0.25">
      <c r="A237" s="20">
        <v>45628</v>
      </c>
      <c r="B237" vm="674">
        <v>62.53</v>
      </c>
    </row>
    <row r="238" spans="1:2" x14ac:dyDescent="0.25">
      <c r="A238" s="20">
        <v>45635</v>
      </c>
      <c r="B238" vm="677">
        <v>62.6</v>
      </c>
    </row>
    <row r="239" spans="1:2" x14ac:dyDescent="0.25">
      <c r="A239" s="20">
        <v>45635</v>
      </c>
      <c r="B239" vm="282">
        <v>62.91</v>
      </c>
    </row>
    <row r="240" spans="1:2" x14ac:dyDescent="0.25">
      <c r="A240" s="20">
        <v>45635</v>
      </c>
      <c r="B240" vm="682">
        <v>62.64</v>
      </c>
    </row>
    <row r="241" spans="1:2" x14ac:dyDescent="0.25">
      <c r="A241" s="20">
        <v>45635</v>
      </c>
      <c r="B241" vm="348">
        <v>63.84</v>
      </c>
    </row>
    <row r="242" spans="1:2" x14ac:dyDescent="0.25">
      <c r="A242" s="20">
        <v>45635</v>
      </c>
      <c r="B242" vm="687">
        <v>63.12</v>
      </c>
    </row>
    <row r="243" spans="1:2" x14ac:dyDescent="0.25">
      <c r="A243" s="20">
        <v>45642</v>
      </c>
      <c r="B243" vm="331">
        <v>62.55</v>
      </c>
    </row>
    <row r="244" spans="1:2" x14ac:dyDescent="0.25">
      <c r="A244" s="20">
        <v>45642</v>
      </c>
      <c r="B244" vm="692">
        <v>63.4</v>
      </c>
    </row>
    <row r="245" spans="1:2" x14ac:dyDescent="0.25">
      <c r="A245" s="20">
        <v>45642</v>
      </c>
      <c r="B245" vm="255">
        <v>62.85</v>
      </c>
    </row>
    <row r="246" spans="1:2" x14ac:dyDescent="0.25">
      <c r="A246" s="20">
        <v>45642</v>
      </c>
      <c r="B246" vm="697">
        <v>62.45</v>
      </c>
    </row>
    <row r="247" spans="1:2" x14ac:dyDescent="0.25">
      <c r="A247" s="20">
        <v>45642</v>
      </c>
      <c r="B247" vm="331">
        <v>62.55</v>
      </c>
    </row>
    <row r="248" spans="1:2" x14ac:dyDescent="0.25">
      <c r="A248" s="20">
        <v>45649</v>
      </c>
      <c r="B248" vm="702">
        <v>62.38</v>
      </c>
    </row>
    <row r="249" spans="1:2" x14ac:dyDescent="0.25">
      <c r="A249" s="20">
        <v>45649</v>
      </c>
      <c r="B249" vm="705">
        <v>62.84</v>
      </c>
    </row>
    <row r="250" spans="1:2" x14ac:dyDescent="0.25">
      <c r="A250" s="20">
        <v>45649</v>
      </c>
      <c r="B250" vm="279">
        <v>62.57</v>
      </c>
    </row>
    <row r="251" spans="1:2" x14ac:dyDescent="0.25">
      <c r="A251" s="20">
        <v>45649</v>
      </c>
      <c r="B251" vm="697">
        <v>62.45</v>
      </c>
    </row>
    <row r="252" spans="1:2" x14ac:dyDescent="0.25">
      <c r="A252" s="20">
        <v>45656</v>
      </c>
      <c r="B252" vm="712">
        <v>62.03</v>
      </c>
    </row>
    <row r="253" spans="1:2" x14ac:dyDescent="0.25">
      <c r="A253" s="20">
        <v>45656</v>
      </c>
      <c r="B253" vm="715">
        <v>62.26</v>
      </c>
    </row>
    <row r="254" spans="1:2" x14ac:dyDescent="0.25">
      <c r="A254" s="20">
        <v>45656</v>
      </c>
      <c r="B254" vm="718">
        <v>61.84</v>
      </c>
    </row>
    <row r="255" spans="1:2" x14ac:dyDescent="0.25">
      <c r="A255" s="20">
        <v>45656</v>
      </c>
      <c r="B255" vm="721">
        <v>61.75</v>
      </c>
    </row>
    <row r="256" spans="1:2" x14ac:dyDescent="0.25">
      <c r="A256" s="20">
        <v>45663</v>
      </c>
      <c r="B256" vm="724">
        <v>60.81</v>
      </c>
    </row>
    <row r="257" spans="1:2" x14ac:dyDescent="0.25">
      <c r="A257" s="20">
        <v>45663</v>
      </c>
      <c r="B257" vm="727">
        <v>60.84</v>
      </c>
    </row>
    <row r="258" spans="1:2" x14ac:dyDescent="0.25">
      <c r="A258" s="20">
        <v>45663</v>
      </c>
      <c r="B258" vm="730">
        <v>61.71</v>
      </c>
    </row>
    <row r="259" spans="1:2" x14ac:dyDescent="0.25">
      <c r="A259" s="20">
        <v>45663</v>
      </c>
      <c r="B259" vm="733">
        <v>61.07</v>
      </c>
    </row>
    <row r="260" spans="1:2" x14ac:dyDescent="0.25">
      <c r="A260" s="20">
        <v>45670</v>
      </c>
      <c r="B260" vm="736">
        <v>61.65</v>
      </c>
    </row>
    <row r="261" spans="1:2" x14ac:dyDescent="0.25">
      <c r="A261" s="20">
        <v>45670</v>
      </c>
      <c r="B261" vm="234">
        <v>62.04</v>
      </c>
    </row>
    <row r="262" spans="1:2" x14ac:dyDescent="0.25">
      <c r="A262" s="20">
        <v>45670</v>
      </c>
      <c r="B262" vm="237">
        <v>61.77</v>
      </c>
    </row>
    <row r="263" spans="1:2" x14ac:dyDescent="0.25">
      <c r="A263" s="20">
        <v>45670</v>
      </c>
      <c r="B263" vm="743">
        <v>62.25</v>
      </c>
    </row>
    <row r="264" spans="1:2" x14ac:dyDescent="0.25">
      <c r="A264" s="20">
        <v>45670</v>
      </c>
      <c r="B264" vm="746">
        <v>62.71</v>
      </c>
    </row>
    <row r="265" spans="1:2" x14ac:dyDescent="0.25">
      <c r="A265" s="20">
        <v>45677</v>
      </c>
      <c r="B265" vm="749">
        <v>62.42</v>
      </c>
    </row>
    <row r="266" spans="1:2" x14ac:dyDescent="0.25">
      <c r="A266" s="20">
        <v>45677</v>
      </c>
      <c r="B266" vm="752">
        <v>61.78</v>
      </c>
    </row>
    <row r="267" spans="1:2" x14ac:dyDescent="0.25">
      <c r="A267" s="20">
        <v>45677</v>
      </c>
      <c r="B267" vm="755">
        <v>61.53</v>
      </c>
    </row>
    <row r="268" spans="1:2" x14ac:dyDescent="0.25">
      <c r="A268" s="20">
        <v>45677</v>
      </c>
      <c r="B268" vm="758">
        <v>61.92</v>
      </c>
    </row>
    <row r="269" spans="1:2" x14ac:dyDescent="0.25">
      <c r="A269" s="20">
        <v>45684</v>
      </c>
      <c r="B269" vm="761">
        <v>63.87</v>
      </c>
    </row>
    <row r="270" spans="1:2" x14ac:dyDescent="0.25">
      <c r="A270" s="20">
        <v>45684</v>
      </c>
      <c r="B270" vm="764">
        <v>62.36</v>
      </c>
    </row>
    <row r="271" spans="1:2" x14ac:dyDescent="0.25">
      <c r="A271" s="20">
        <v>45684</v>
      </c>
      <c r="B271" vm="377">
        <v>62.83</v>
      </c>
    </row>
    <row r="272" spans="1:2" x14ac:dyDescent="0.25">
      <c r="A272" s="20">
        <v>45684</v>
      </c>
      <c r="B272" vm="351">
        <v>64.05</v>
      </c>
    </row>
    <row r="273" spans="1:2" x14ac:dyDescent="0.25">
      <c r="A273" s="20">
        <v>45684</v>
      </c>
      <c r="B273" vm="771">
        <v>63.48</v>
      </c>
    </row>
    <row r="274" spans="1:2" x14ac:dyDescent="0.25">
      <c r="A274" s="20">
        <v>45691</v>
      </c>
      <c r="B274" vm="774">
        <v>63.35</v>
      </c>
    </row>
    <row r="275" spans="1:2" x14ac:dyDescent="0.25">
      <c r="A275" s="20">
        <v>45691</v>
      </c>
      <c r="B275" vm="777">
        <v>62.67</v>
      </c>
    </row>
    <row r="276" spans="1:2" x14ac:dyDescent="0.25">
      <c r="A276" s="20">
        <v>45691</v>
      </c>
      <c r="B276" vm="687">
        <v>63.12</v>
      </c>
    </row>
    <row r="277" spans="1:2" x14ac:dyDescent="0.25">
      <c r="A277" s="20">
        <v>45691</v>
      </c>
      <c r="B277" vm="627">
        <v>63.36</v>
      </c>
    </row>
    <row r="278" spans="1:2" x14ac:dyDescent="0.25">
      <c r="A278" s="20">
        <v>45691</v>
      </c>
      <c r="B278" vm="348">
        <v>63.84</v>
      </c>
    </row>
    <row r="279" spans="1:2" x14ac:dyDescent="0.25">
      <c r="A279" s="20">
        <v>45698</v>
      </c>
      <c r="B279" vm="654">
        <v>64.55</v>
      </c>
    </row>
    <row r="280" spans="1:2" x14ac:dyDescent="0.25">
      <c r="A280" s="20">
        <v>45698</v>
      </c>
      <c r="B280" vm="788">
        <v>67.599999999999994</v>
      </c>
    </row>
    <row r="281" spans="1:2" x14ac:dyDescent="0.25">
      <c r="A281" s="20">
        <v>45698</v>
      </c>
      <c r="B281" vm="791">
        <v>68.709999999999994</v>
      </c>
    </row>
    <row r="282" spans="1:2" x14ac:dyDescent="0.25">
      <c r="A282" s="20">
        <v>45698</v>
      </c>
      <c r="B282" vm="794">
        <v>69.5</v>
      </c>
    </row>
    <row r="283" spans="1:2" x14ac:dyDescent="0.25">
      <c r="A283" s="20">
        <v>45698</v>
      </c>
      <c r="B283" vm="797">
        <v>68.87</v>
      </c>
    </row>
    <row r="284" spans="1:2" x14ac:dyDescent="0.25">
      <c r="A284" s="20">
        <v>45705</v>
      </c>
      <c r="B284" vm="800">
        <v>69.05</v>
      </c>
    </row>
    <row r="285" spans="1:2" x14ac:dyDescent="0.25">
      <c r="A285" s="20">
        <v>45705</v>
      </c>
      <c r="B285" vm="803">
        <v>70.069999999999993</v>
      </c>
    </row>
    <row r="286" spans="1:2" x14ac:dyDescent="0.25">
      <c r="A286" s="20">
        <v>45705</v>
      </c>
      <c r="B286" vm="806">
        <v>70.040000000000006</v>
      </c>
    </row>
    <row r="287" spans="1:2" x14ac:dyDescent="0.25">
      <c r="A287" s="20">
        <v>45705</v>
      </c>
      <c r="B287" vm="809">
        <v>71.349999999999994</v>
      </c>
    </row>
    <row r="288" spans="1:2" x14ac:dyDescent="0.25">
      <c r="A288" s="20">
        <v>45712</v>
      </c>
      <c r="B288" vm="812">
        <v>70.59</v>
      </c>
    </row>
    <row r="289" spans="1:2" x14ac:dyDescent="0.25">
      <c r="A289" s="20">
        <v>45712</v>
      </c>
      <c r="B289" vm="815">
        <v>71.489999999999995</v>
      </c>
    </row>
    <row r="290" spans="1:2" x14ac:dyDescent="0.25">
      <c r="A290" s="20">
        <v>45712</v>
      </c>
      <c r="B290" vm="818">
        <v>70.8</v>
      </c>
    </row>
    <row r="291" spans="1:2" x14ac:dyDescent="0.25">
      <c r="A291" s="20">
        <v>45712</v>
      </c>
      <c r="B291" vm="821">
        <v>70.87</v>
      </c>
    </row>
    <row r="292" spans="1:2" x14ac:dyDescent="0.25">
      <c r="A292" s="20">
        <v>45712</v>
      </c>
      <c r="B292" vm="824">
        <v>71.209999999999994</v>
      </c>
    </row>
    <row r="293" spans="1:2" x14ac:dyDescent="0.25">
      <c r="A293" s="20">
        <v>45719</v>
      </c>
      <c r="B293" vm="827">
        <v>72.319999999999993</v>
      </c>
    </row>
    <row r="294" spans="1:2" x14ac:dyDescent="0.25">
      <c r="A294" s="20">
        <v>45719</v>
      </c>
      <c r="B294" vm="830">
        <v>70.19</v>
      </c>
    </row>
    <row r="295" spans="1:2" x14ac:dyDescent="0.25">
      <c r="A295" s="20">
        <v>45719</v>
      </c>
      <c r="B295" vm="833">
        <v>70.08</v>
      </c>
    </row>
    <row r="296" spans="1:2" x14ac:dyDescent="0.25">
      <c r="A296" s="20">
        <v>45719</v>
      </c>
      <c r="B296" vm="836">
        <v>70.459999999999994</v>
      </c>
    </row>
    <row r="297" spans="1:2" x14ac:dyDescent="0.25">
      <c r="A297" s="20">
        <v>45719</v>
      </c>
      <c r="B297" vm="839">
        <v>71.430000000000007</v>
      </c>
    </row>
    <row r="298" spans="1:2" x14ac:dyDescent="0.25">
      <c r="A298" s="20">
        <v>45726</v>
      </c>
      <c r="B298" vm="535">
        <v>71.45</v>
      </c>
    </row>
    <row r="299" spans="1:2" x14ac:dyDescent="0.25">
      <c r="A299" s="20">
        <v>45726</v>
      </c>
      <c r="B299" vm="844">
        <v>71.040000000000006</v>
      </c>
    </row>
    <row r="300" spans="1:2" x14ac:dyDescent="0.25">
      <c r="A300" s="20">
        <v>45726</v>
      </c>
      <c r="B300" vm="847">
        <v>69.94</v>
      </c>
    </row>
    <row r="301" spans="1:2" x14ac:dyDescent="0.25">
      <c r="A301" s="20">
        <v>45726</v>
      </c>
      <c r="B301" vm="850">
        <v>69.62</v>
      </c>
    </row>
    <row r="302" spans="1:2" x14ac:dyDescent="0.25">
      <c r="A302" s="20">
        <v>45726</v>
      </c>
      <c r="B302" vm="853">
        <v>69.16</v>
      </c>
    </row>
    <row r="303" spans="1:2" x14ac:dyDescent="0.25">
      <c r="A303" s="20">
        <v>45733</v>
      </c>
      <c r="B303" vm="856">
        <v>70.12</v>
      </c>
    </row>
    <row r="304" spans="1:2" x14ac:dyDescent="0.25">
      <c r="A304" s="20">
        <v>45733</v>
      </c>
      <c r="B304" vm="462">
        <v>69.38</v>
      </c>
    </row>
    <row r="305" spans="1:2" x14ac:dyDescent="0.25">
      <c r="A305" s="20">
        <v>45733</v>
      </c>
      <c r="B305" vm="861">
        <v>69.28</v>
      </c>
    </row>
    <row r="306" spans="1:2" x14ac:dyDescent="0.25">
      <c r="A306" s="20">
        <v>45733</v>
      </c>
      <c r="B306" vm="864">
        <v>69.709999999999994</v>
      </c>
    </row>
    <row r="307" spans="1:2" x14ac:dyDescent="0.25">
      <c r="A307" s="20">
        <v>45733</v>
      </c>
      <c r="B307" vm="867">
        <v>68.67</v>
      </c>
    </row>
    <row r="308" spans="1:2" x14ac:dyDescent="0.25">
      <c r="A308" s="20">
        <v>45740</v>
      </c>
      <c r="B308" vm="870">
        <v>68.95</v>
      </c>
    </row>
    <row r="309" spans="1:2" x14ac:dyDescent="0.25">
      <c r="A309" s="20">
        <v>45740</v>
      </c>
      <c r="B309" vm="873">
        <v>68.81</v>
      </c>
    </row>
    <row r="310" spans="1:2" x14ac:dyDescent="0.25">
      <c r="A310" s="20">
        <v>45740</v>
      </c>
      <c r="B310" vm="876">
        <v>70.02</v>
      </c>
    </row>
    <row r="311" spans="1:2" x14ac:dyDescent="0.25">
      <c r="A311" s="20">
        <v>45740</v>
      </c>
      <c r="B311" vm="879">
        <v>70.739999999999995</v>
      </c>
    </row>
    <row r="312" spans="1:2" x14ac:dyDescent="0.25">
      <c r="A312" s="20">
        <v>45740</v>
      </c>
      <c r="B312" vm="882">
        <v>70.37</v>
      </c>
    </row>
    <row r="313" spans="1:2" x14ac:dyDescent="0.25">
      <c r="A313" s="20">
        <v>45747</v>
      </c>
      <c r="B313" vm="885">
        <v>71.62</v>
      </c>
    </row>
    <row r="314" spans="1:2" x14ac:dyDescent="0.25">
      <c r="A314" s="20">
        <v>45747</v>
      </c>
      <c r="B314" vm="888">
        <v>71.87</v>
      </c>
    </row>
    <row r="315" spans="1:2" x14ac:dyDescent="0.25">
      <c r="A315" s="20">
        <v>45747</v>
      </c>
      <c r="B315" vm="532">
        <v>71.33</v>
      </c>
    </row>
    <row r="316" spans="1:2" x14ac:dyDescent="0.25">
      <c r="A316" s="20">
        <v>45747</v>
      </c>
      <c r="B316" vm="893">
        <v>73.180000000000007</v>
      </c>
    </row>
    <row r="317" spans="1:2" x14ac:dyDescent="0.25">
      <c r="A317" s="20">
        <v>45747</v>
      </c>
      <c r="B317" vm="896">
        <v>69.930000000000007</v>
      </c>
    </row>
    <row r="318" spans="1:2" x14ac:dyDescent="0.25">
      <c r="A318" s="20">
        <v>45754</v>
      </c>
      <c r="B318" vm="899">
        <v>68.37</v>
      </c>
    </row>
    <row r="319" spans="1:2" x14ac:dyDescent="0.25">
      <c r="A319" s="20">
        <v>45754</v>
      </c>
      <c r="B319" vm="902">
        <v>68.42</v>
      </c>
    </row>
    <row r="320" spans="1:2" x14ac:dyDescent="0.25">
      <c r="A320" s="20">
        <v>45754</v>
      </c>
      <c r="B320" vm="905">
        <v>69.95</v>
      </c>
    </row>
    <row r="321" spans="1:2" x14ac:dyDescent="0.25">
      <c r="A321" s="20">
        <v>45754</v>
      </c>
      <c r="B321" vm="908">
        <v>70.760000000000005</v>
      </c>
    </row>
    <row r="322" spans="1:2" x14ac:dyDescent="0.25">
      <c r="A322" s="20">
        <v>45754</v>
      </c>
      <c r="B322" vm="839">
        <v>71.430000000000007</v>
      </c>
    </row>
    <row r="323" spans="1:2" x14ac:dyDescent="0.25">
      <c r="A323" s="20">
        <v>45761</v>
      </c>
      <c r="B323" vm="913">
        <v>72.45</v>
      </c>
    </row>
    <row r="324" spans="1:2" x14ac:dyDescent="0.25">
      <c r="A324" s="20">
        <v>45761</v>
      </c>
      <c r="B324" vm="544">
        <v>71.86</v>
      </c>
    </row>
    <row r="325" spans="1:2" x14ac:dyDescent="0.25">
      <c r="A325" s="20">
        <v>45761</v>
      </c>
      <c r="B325" vm="918">
        <v>71.680000000000007</v>
      </c>
    </row>
    <row r="326" spans="1:2" x14ac:dyDescent="0.25">
      <c r="A326" s="20">
        <v>45761</v>
      </c>
      <c r="B326" vm="921">
        <v>73</v>
      </c>
    </row>
    <row r="327" spans="1:2" x14ac:dyDescent="0.25">
      <c r="A327" s="20">
        <v>45768</v>
      </c>
      <c r="B327" vm="924">
        <v>72.77</v>
      </c>
    </row>
    <row r="328" spans="1:2" x14ac:dyDescent="0.25">
      <c r="A328" s="20">
        <v>45768</v>
      </c>
      <c r="B328" vm="927">
        <v>73.900000000000006</v>
      </c>
    </row>
    <row r="329" spans="1:2" x14ac:dyDescent="0.25">
      <c r="A329" s="20">
        <v>45768</v>
      </c>
      <c r="B329" vm="930">
        <v>73.3</v>
      </c>
    </row>
    <row r="330" spans="1:2" x14ac:dyDescent="0.25">
      <c r="A330" s="20">
        <v>45768</v>
      </c>
      <c r="B330" vm="933">
        <v>72.52</v>
      </c>
    </row>
    <row r="331" spans="1:2" x14ac:dyDescent="0.25">
      <c r="A331" s="20">
        <v>45768</v>
      </c>
      <c r="B331" vm="936">
        <v>71.91</v>
      </c>
    </row>
    <row r="332" spans="1:2" x14ac:dyDescent="0.25">
      <c r="A332" s="20">
        <v>45775</v>
      </c>
      <c r="B332" vm="541">
        <v>71.790000000000006</v>
      </c>
    </row>
    <row r="333" spans="1:2" x14ac:dyDescent="0.25">
      <c r="A333" s="20">
        <v>45775</v>
      </c>
      <c r="B333" vm="941">
        <v>72.349999999999994</v>
      </c>
    </row>
    <row r="334" spans="1:2" x14ac:dyDescent="0.25">
      <c r="A334" s="20">
        <v>45775</v>
      </c>
      <c r="B334" vm="944">
        <v>72.55</v>
      </c>
    </row>
    <row r="335" spans="1:2" x14ac:dyDescent="0.25">
      <c r="A335" s="20">
        <v>45775</v>
      </c>
      <c r="B335" vm="947">
        <v>71.290000000000006</v>
      </c>
    </row>
    <row r="336" spans="1:2" x14ac:dyDescent="0.25">
      <c r="A336" s="20">
        <v>45775</v>
      </c>
      <c r="B336" vm="950">
        <v>71.650000000000006</v>
      </c>
    </row>
    <row r="337" spans="1:2" x14ac:dyDescent="0.25">
      <c r="A337" s="20">
        <v>45782</v>
      </c>
      <c r="B337" vm="953">
        <v>71.7</v>
      </c>
    </row>
    <row r="338" spans="1:2" x14ac:dyDescent="0.25">
      <c r="A338" s="20">
        <v>45782</v>
      </c>
      <c r="B338" vm="956">
        <v>71.72</v>
      </c>
    </row>
    <row r="339" spans="1:2" x14ac:dyDescent="0.25">
      <c r="A339" s="20">
        <v>45782</v>
      </c>
      <c r="B339" vm="959">
        <v>72.400000000000006</v>
      </c>
    </row>
    <row r="340" spans="1:2" x14ac:dyDescent="0.25">
      <c r="A340" s="20">
        <v>45782</v>
      </c>
      <c r="B340" vm="494">
        <v>71.17</v>
      </c>
    </row>
    <row r="341" spans="1:2" x14ac:dyDescent="0.25">
      <c r="A341" s="20">
        <v>45782</v>
      </c>
      <c r="B341" vm="553">
        <v>70.52</v>
      </c>
    </row>
    <row r="342" spans="1:2" x14ac:dyDescent="0.25">
      <c r="A342" s="20">
        <v>45789</v>
      </c>
      <c r="B342" vm="966">
        <v>69.53</v>
      </c>
    </row>
    <row r="343" spans="1:2" x14ac:dyDescent="0.25">
      <c r="A343" s="20">
        <v>45789</v>
      </c>
      <c r="B343" vm="969">
        <v>68.959999999999994</v>
      </c>
    </row>
    <row r="344" spans="1:2" x14ac:dyDescent="0.25">
      <c r="A344" s="20">
        <v>45789</v>
      </c>
      <c r="B344" vm="853">
        <v>69.16</v>
      </c>
    </row>
    <row r="345" spans="1:2" x14ac:dyDescent="0.25">
      <c r="A345" s="20">
        <v>45789</v>
      </c>
      <c r="B345" vm="974">
        <v>71.61</v>
      </c>
    </row>
    <row r="346" spans="1:2" x14ac:dyDescent="0.25">
      <c r="A346" s="20">
        <v>45789</v>
      </c>
      <c r="B346" vm="977">
        <v>72</v>
      </c>
    </row>
    <row r="347" spans="1:2" x14ac:dyDescent="0.25">
      <c r="A347" s="20">
        <v>45796</v>
      </c>
      <c r="B347" vm="980">
        <v>71.930000000000007</v>
      </c>
    </row>
    <row r="348" spans="1:2" x14ac:dyDescent="0.25">
      <c r="A348" s="20">
        <v>45796</v>
      </c>
      <c r="B348" vm="983">
        <v>71.69</v>
      </c>
    </row>
    <row r="349" spans="1:2" x14ac:dyDescent="0.25">
      <c r="A349" s="20">
        <v>45796</v>
      </c>
      <c r="B349" vm="500">
        <v>71.849999999999994</v>
      </c>
    </row>
    <row r="350" spans="1:2" x14ac:dyDescent="0.25">
      <c r="A350" s="20">
        <v>45796</v>
      </c>
      <c r="B350" vm="497">
        <v>71.14</v>
      </c>
    </row>
    <row r="351" spans="1:2" x14ac:dyDescent="0.25">
      <c r="A351" s="20">
        <v>45796</v>
      </c>
      <c r="B351" vm="990">
        <v>71.77</v>
      </c>
    </row>
    <row r="352" spans="1:2" x14ac:dyDescent="0.25">
      <c r="A352" s="20">
        <v>45803</v>
      </c>
      <c r="B352" vm="993">
        <v>71.78</v>
      </c>
    </row>
    <row r="353" spans="1:2" x14ac:dyDescent="0.25">
      <c r="A353" s="20">
        <v>45803</v>
      </c>
      <c r="B353" vm="996">
        <v>71.150000000000006</v>
      </c>
    </row>
    <row r="354" spans="1:2" x14ac:dyDescent="0.25">
      <c r="A354" s="20">
        <v>45803</v>
      </c>
      <c r="B354" vm="815">
        <v>71.489999999999995</v>
      </c>
    </row>
    <row r="355" spans="1:2" x14ac:dyDescent="0.25">
      <c r="A355" s="20">
        <v>45803</v>
      </c>
      <c r="B355" vm="515">
        <v>72.099999999999994</v>
      </c>
    </row>
    <row r="356" spans="1:2" x14ac:dyDescent="0.25">
      <c r="A356" s="20">
        <v>45810</v>
      </c>
      <c r="B356" vm="977">
        <v>72</v>
      </c>
    </row>
    <row r="357" spans="1:2" x14ac:dyDescent="0.25">
      <c r="A357" s="20">
        <v>45810</v>
      </c>
      <c r="B357" vm="1005">
        <v>71.16</v>
      </c>
    </row>
    <row r="358" spans="1:2" x14ac:dyDescent="0.25">
      <c r="A358" s="20">
        <v>45810</v>
      </c>
      <c r="B358" vm="1008">
        <v>71.37</v>
      </c>
    </row>
    <row r="359" spans="1:2" x14ac:dyDescent="0.25">
      <c r="A359" s="20">
        <v>45810</v>
      </c>
      <c r="B359" vm="1011">
        <v>70.91</v>
      </c>
    </row>
    <row r="360" spans="1:2" x14ac:dyDescent="0.25">
      <c r="A360" s="20">
        <v>45810</v>
      </c>
      <c r="B360" vm="809">
        <v>71.349999999999994</v>
      </c>
    </row>
    <row r="361" spans="1:2" x14ac:dyDescent="0.25">
      <c r="A361" s="20">
        <v>45817</v>
      </c>
      <c r="B361" vm="990">
        <v>71.77</v>
      </c>
    </row>
    <row r="362" spans="1:2" x14ac:dyDescent="0.25">
      <c r="A362" s="20">
        <v>45817</v>
      </c>
      <c r="B362" vm="941">
        <v>72.349999999999994</v>
      </c>
    </row>
    <row r="363" spans="1:2" x14ac:dyDescent="0.25">
      <c r="A363" s="20">
        <v>45817</v>
      </c>
      <c r="B363" vm="1020">
        <v>72.069999999999993</v>
      </c>
    </row>
    <row r="364" spans="1:2" x14ac:dyDescent="0.25">
      <c r="A364" s="20">
        <v>45817</v>
      </c>
      <c r="B364" vm="1023">
        <v>72.239999999999995</v>
      </c>
    </row>
    <row r="365" spans="1:2" x14ac:dyDescent="0.25">
      <c r="A365" s="20">
        <v>45817</v>
      </c>
      <c r="B365" vm="1026">
        <v>71.02</v>
      </c>
    </row>
    <row r="366" spans="1:2" x14ac:dyDescent="0.25">
      <c r="A366" s="20">
        <v>45824</v>
      </c>
      <c r="B366" vm="553">
        <v>70.52</v>
      </c>
    </row>
    <row r="367" spans="1:2" x14ac:dyDescent="0.25">
      <c r="A367" s="20">
        <v>45824</v>
      </c>
      <c r="B367" vm="850">
        <v>69.62</v>
      </c>
    </row>
    <row r="368" spans="1:2" x14ac:dyDescent="0.25">
      <c r="A368" s="20">
        <v>45824</v>
      </c>
      <c r="B368" vm="1033">
        <v>69.209999999999994</v>
      </c>
    </row>
    <row r="369" spans="1:2" x14ac:dyDescent="0.25">
      <c r="A369" s="20">
        <v>45824</v>
      </c>
      <c r="B369" vm="1036">
        <v>68.84</v>
      </c>
    </row>
    <row r="370" spans="1:2" x14ac:dyDescent="0.25">
      <c r="A370" s="20">
        <v>45831</v>
      </c>
      <c r="B370" vm="1039">
        <v>69.739999999999995</v>
      </c>
    </row>
    <row r="371" spans="1:2" x14ac:dyDescent="0.25">
      <c r="A371" s="20">
        <v>45831</v>
      </c>
      <c r="B371" vm="1042">
        <v>70.209999999999994</v>
      </c>
    </row>
    <row r="372" spans="1:2" x14ac:dyDescent="0.25">
      <c r="A372" s="20">
        <v>45831</v>
      </c>
      <c r="B372" vm="1045">
        <v>69.63</v>
      </c>
    </row>
    <row r="373" spans="1:2" x14ac:dyDescent="0.25">
      <c r="A373" s="20">
        <v>45831</v>
      </c>
      <c r="B373" vm="1048">
        <v>69.47</v>
      </c>
    </row>
    <row r="374" spans="1:2" x14ac:dyDescent="0.25">
      <c r="A374" s="20">
        <v>45831</v>
      </c>
      <c r="B374" vm="1051">
        <v>70.33</v>
      </c>
    </row>
    <row r="375" spans="1:2" x14ac:dyDescent="0.25">
      <c r="A375" s="20">
        <v>45838</v>
      </c>
      <c r="B375" vm="1054">
        <v>70.75</v>
      </c>
    </row>
    <row r="376" spans="1:2" x14ac:dyDescent="0.25">
      <c r="A376" s="20">
        <v>45838</v>
      </c>
      <c r="B376" vm="1057">
        <v>71.67</v>
      </c>
    </row>
    <row r="377" spans="1:2" x14ac:dyDescent="0.25">
      <c r="A377" s="20">
        <v>45838</v>
      </c>
      <c r="B377" vm="1011">
        <v>70.91</v>
      </c>
    </row>
    <row r="378" spans="1:2" x14ac:dyDescent="0.25">
      <c r="A378" s="20">
        <v>45838</v>
      </c>
      <c r="B378" vm="809">
        <v>71.349999999999994</v>
      </c>
    </row>
    <row r="379" spans="1:2" x14ac:dyDescent="0.25">
      <c r="A379" s="20">
        <v>45845</v>
      </c>
      <c r="B379" vm="550">
        <v>71.010000000000005</v>
      </c>
    </row>
    <row r="380" spans="1:2" x14ac:dyDescent="0.25">
      <c r="A380" s="20">
        <v>45845</v>
      </c>
      <c r="B380" vm="1066">
        <v>70.239999999999995</v>
      </c>
    </row>
    <row r="381" spans="1:2" x14ac:dyDescent="0.25">
      <c r="A381" s="20">
        <v>45845</v>
      </c>
      <c r="B381" vm="1069">
        <v>69.48</v>
      </c>
    </row>
    <row r="382" spans="1:2" x14ac:dyDescent="0.25">
      <c r="A382" s="20">
        <v>45845</v>
      </c>
      <c r="B382" vm="1072">
        <v>69.77</v>
      </c>
    </row>
    <row r="383" spans="1:2" x14ac:dyDescent="0.25">
      <c r="A383" s="20">
        <v>45845</v>
      </c>
      <c r="B383" vm="1075">
        <v>69.87</v>
      </c>
    </row>
    <row r="384" spans="1:2" x14ac:dyDescent="0.25">
      <c r="A384" s="20">
        <v>45852</v>
      </c>
      <c r="B384" vm="1048">
        <v>69.47</v>
      </c>
    </row>
    <row r="385" spans="1:2" x14ac:dyDescent="0.25">
      <c r="A385" s="20">
        <v>45852</v>
      </c>
      <c r="B385" vm="1080">
        <v>69.36</v>
      </c>
    </row>
    <row r="386" spans="1:2" x14ac:dyDescent="0.25">
      <c r="A386" s="20">
        <v>45852</v>
      </c>
      <c r="B386" vm="1083">
        <v>69.27</v>
      </c>
    </row>
    <row r="387" spans="1:2" x14ac:dyDescent="0.25">
      <c r="A387" s="20">
        <v>45852</v>
      </c>
      <c r="B387" vm="812">
        <v>70.59</v>
      </c>
    </row>
    <row r="388" spans="1:2" x14ac:dyDescent="0.25">
      <c r="A388" s="20">
        <v>45852</v>
      </c>
      <c r="B388" vm="1088">
        <v>69.849999999999994</v>
      </c>
    </row>
    <row r="389" spans="1:2" x14ac:dyDescent="0.25">
      <c r="A389" s="20">
        <v>45859</v>
      </c>
      <c r="B389" vm="803">
        <v>70.069999999999993</v>
      </c>
    </row>
    <row r="390" spans="1:2" x14ac:dyDescent="0.25">
      <c r="A390" s="20">
        <v>45859</v>
      </c>
      <c r="B390" vm="1093">
        <v>69.66</v>
      </c>
    </row>
    <row r="391" spans="1:2" x14ac:dyDescent="0.25">
      <c r="A391" s="20">
        <v>45859</v>
      </c>
      <c r="B391" vm="853">
        <v>69.16</v>
      </c>
    </row>
    <row r="392" spans="1:2" x14ac:dyDescent="0.25">
      <c r="A392" s="20">
        <v>45859</v>
      </c>
      <c r="B392" vm="1098">
        <v>69.099999999999994</v>
      </c>
    </row>
    <row r="393" spans="1:2" x14ac:dyDescent="0.25">
      <c r="A393" s="20">
        <v>45859</v>
      </c>
      <c r="B393" vm="1101">
        <v>69.17</v>
      </c>
    </row>
    <row r="394" spans="1:2" x14ac:dyDescent="0.25">
      <c r="A394" s="20">
        <v>45866</v>
      </c>
      <c r="B394" vm="1104">
        <v>68.09</v>
      </c>
    </row>
    <row r="395" spans="1:2" x14ac:dyDescent="0.25">
      <c r="A395" s="20">
        <v>45866</v>
      </c>
      <c r="B395" vm="462">
        <v>69.38</v>
      </c>
    </row>
    <row r="396" spans="1:2" x14ac:dyDescent="0.25">
      <c r="A396" s="20">
        <v>45866</v>
      </c>
      <c r="B396" vm="1109">
        <v>68.75</v>
      </c>
    </row>
    <row r="397" spans="1:2" x14ac:dyDescent="0.25">
      <c r="A397" s="20">
        <v>45866</v>
      </c>
      <c r="B397" vm="1112">
        <v>67.89</v>
      </c>
    </row>
    <row r="398" spans="1:2" x14ac:dyDescent="0.25">
      <c r="A398" s="20">
        <v>45866</v>
      </c>
      <c r="B398" vm="1115">
        <v>68.86</v>
      </c>
    </row>
    <row r="399" spans="1:2" x14ac:dyDescent="0.25">
      <c r="A399" s="20">
        <v>45873</v>
      </c>
      <c r="B399" vm="969">
        <v>68.959999999999994</v>
      </c>
    </row>
    <row r="400" spans="1:2" x14ac:dyDescent="0.25">
      <c r="A400" s="20">
        <v>45873</v>
      </c>
      <c r="B400" vm="800">
        <v>69.05</v>
      </c>
    </row>
    <row r="401" spans="1:2" x14ac:dyDescent="0.25">
      <c r="A401" s="20">
        <v>45873</v>
      </c>
      <c r="B401" vm="1122">
        <v>69.510000000000005</v>
      </c>
    </row>
    <row r="402" spans="1:2" x14ac:dyDescent="0.25">
      <c r="A402" s="20">
        <v>45873</v>
      </c>
      <c r="B402" vm="1125">
        <v>70.430000000000007</v>
      </c>
    </row>
    <row r="403" spans="1:2" x14ac:dyDescent="0.25">
      <c r="A403" s="20">
        <v>45873</v>
      </c>
      <c r="B403" vm="571">
        <v>70.34</v>
      </c>
    </row>
    <row r="404" spans="1:2" x14ac:dyDescent="0.25">
      <c r="A404" s="20">
        <v>45880</v>
      </c>
      <c r="B404" vm="1054">
        <v>70.75</v>
      </c>
    </row>
    <row r="405" spans="1:2" x14ac:dyDescent="0.25">
      <c r="A405" s="20">
        <v>45880</v>
      </c>
      <c r="B405" vm="1132">
        <v>70.709999999999994</v>
      </c>
    </row>
    <row r="406" spans="1:2" x14ac:dyDescent="0.25">
      <c r="A406" s="20">
        <v>45880</v>
      </c>
      <c r="B406" vm="836">
        <v>70.459999999999994</v>
      </c>
    </row>
    <row r="407" spans="1:2" x14ac:dyDescent="0.25">
      <c r="A407" s="20">
        <v>45880</v>
      </c>
      <c r="B407" vm="1137">
        <v>69.55</v>
      </c>
    </row>
    <row r="408" spans="1:2" x14ac:dyDescent="0.25">
      <c r="A408" s="20">
        <v>45880</v>
      </c>
      <c r="B408" vm="1140">
        <v>69.92</v>
      </c>
    </row>
    <row r="409" spans="1:2" x14ac:dyDescent="0.25">
      <c r="A409" s="20">
        <v>45887</v>
      </c>
      <c r="B409" vm="1143">
        <v>69.13</v>
      </c>
    </row>
    <row r="410" spans="1:2" x14ac:dyDescent="0.25">
      <c r="A410" s="20">
        <v>45887</v>
      </c>
      <c r="B410" vm="1146">
        <v>70.13</v>
      </c>
    </row>
    <row r="411" spans="1:2" x14ac:dyDescent="0.25">
      <c r="A411" s="20">
        <v>45887</v>
      </c>
      <c r="B411" vm="1149">
        <v>70.7</v>
      </c>
    </row>
    <row r="412" spans="1:2" x14ac:dyDescent="0.25">
      <c r="A412" s="20">
        <v>45887</v>
      </c>
      <c r="B412" vm="1152">
        <v>70.66</v>
      </c>
    </row>
    <row r="413" spans="1:2" x14ac:dyDescent="0.25">
      <c r="A413" s="20">
        <v>45887</v>
      </c>
      <c r="B413" vm="1146">
        <v>70.13</v>
      </c>
    </row>
    <row r="414" spans="1:2" x14ac:dyDescent="0.25">
      <c r="A414" s="20">
        <v>45894</v>
      </c>
      <c r="B414" vm="1157">
        <v>68.930000000000007</v>
      </c>
    </row>
    <row r="415" spans="1:2" x14ac:dyDescent="0.25">
      <c r="A415" s="20">
        <v>45894</v>
      </c>
      <c r="B415" vm="439">
        <v>68.73</v>
      </c>
    </row>
    <row r="416" spans="1:2" x14ac:dyDescent="0.25">
      <c r="A416" s="20">
        <v>45894</v>
      </c>
      <c r="B416" vm="1162">
        <v>68.83</v>
      </c>
    </row>
    <row r="417" spans="1:2" x14ac:dyDescent="0.25">
      <c r="A417" s="20">
        <v>45894</v>
      </c>
      <c r="B417" vm="1165">
        <v>68.36</v>
      </c>
    </row>
    <row r="418" spans="1:2" x14ac:dyDescent="0.25">
      <c r="A418" s="20">
        <v>45894</v>
      </c>
      <c r="B418" vm="1168">
        <v>68.989999999999995</v>
      </c>
    </row>
    <row r="419" spans="1:2" x14ac:dyDescent="0.25">
      <c r="A419" s="20">
        <v>45901</v>
      </c>
      <c r="B419" vm="1171">
        <v>69.06</v>
      </c>
    </row>
    <row r="420" spans="1:2" x14ac:dyDescent="0.25">
      <c r="A420" s="20">
        <v>45901</v>
      </c>
      <c r="B420" vm="1168">
        <v>68.989999999999995</v>
      </c>
    </row>
    <row r="421" spans="1:2" x14ac:dyDescent="0.25">
      <c r="A421" s="20">
        <v>45901</v>
      </c>
      <c r="B421" vm="1176">
        <v>68.25</v>
      </c>
    </row>
    <row r="422" spans="1:2" x14ac:dyDescent="0.25">
      <c r="A422" s="20">
        <v>45901</v>
      </c>
      <c r="B422" vm="424">
        <v>67.959999999999994</v>
      </c>
    </row>
    <row r="423" spans="1:2" x14ac:dyDescent="0.25">
      <c r="A423" s="20">
        <v>45908</v>
      </c>
      <c r="B423" vm="1181">
        <v>67.430000000000007</v>
      </c>
    </row>
    <row r="424" spans="1:2" x14ac:dyDescent="0.25">
      <c r="A424" s="20">
        <v>45908</v>
      </c>
      <c r="B424" vm="1184">
        <v>67.86</v>
      </c>
    </row>
    <row r="425" spans="1:2" x14ac:dyDescent="0.25">
      <c r="A425" s="20">
        <v>45908</v>
      </c>
      <c r="B425" vm="1187">
        <v>67.819999999999993</v>
      </c>
    </row>
    <row r="426" spans="1:2" x14ac:dyDescent="0.25">
      <c r="A426" s="20">
        <v>45908</v>
      </c>
      <c r="B426" vm="1190">
        <v>67.62</v>
      </c>
    </row>
    <row r="427" spans="1:2" x14ac:dyDescent="0.25">
      <c r="A427" s="20">
        <v>45908</v>
      </c>
      <c r="B427" vm="1193">
        <v>67.010000000000005</v>
      </c>
    </row>
    <row r="428" spans="1:2" x14ac:dyDescent="0.25">
      <c r="A428" s="20">
        <v>45915</v>
      </c>
      <c r="B428" vm="1196">
        <v>66.209999999999994</v>
      </c>
    </row>
    <row r="429" spans="1:2" x14ac:dyDescent="0.25">
      <c r="A429" s="20">
        <v>45915</v>
      </c>
      <c r="B429" vm="1199">
        <v>66.239999999999995</v>
      </c>
    </row>
    <row r="430" spans="1:2" x14ac:dyDescent="0.25">
      <c r="A430" s="20">
        <v>45915</v>
      </c>
      <c r="B430" vm="1202">
        <v>67.040000000000006</v>
      </c>
    </row>
    <row r="431" spans="1:2" x14ac:dyDescent="0.25">
      <c r="A431" s="20">
        <v>45915</v>
      </c>
      <c r="B431" vm="1205">
        <v>66.459999999999994</v>
      </c>
    </row>
    <row r="432" spans="1:2" x14ac:dyDescent="0.25">
      <c r="A432" s="20">
        <v>45915</v>
      </c>
      <c r="B432" vm="1208">
        <v>66.430000000000007</v>
      </c>
    </row>
    <row r="433" spans="1:2" x14ac:dyDescent="0.25">
      <c r="A433" s="20">
        <v>45922</v>
      </c>
      <c r="B433" vm="1196">
        <v>66.209999999999994</v>
      </c>
    </row>
    <row r="434" spans="1:2" x14ac:dyDescent="0.25">
      <c r="A434" s="20">
        <v>45922</v>
      </c>
      <c r="B434" vm="1213">
        <v>66.709999999999994</v>
      </c>
    </row>
    <row r="435" spans="1:2" x14ac:dyDescent="0.25">
      <c r="A435" s="20">
        <v>45922</v>
      </c>
      <c r="B435" vm="1216">
        <v>66.45</v>
      </c>
    </row>
    <row r="436" spans="1:2" x14ac:dyDescent="0.25">
      <c r="A436" s="20">
        <v>45922</v>
      </c>
      <c r="B436" vm="1219">
        <v>65.98</v>
      </c>
    </row>
    <row r="437" spans="1:2" x14ac:dyDescent="0.25">
      <c r="A437" s="20">
        <v>45922</v>
      </c>
      <c r="B437" vm="1222">
        <v>65.67</v>
      </c>
    </row>
    <row r="438" spans="1:2" x14ac:dyDescent="0.25">
      <c r="A438" s="20">
        <v>45929</v>
      </c>
      <c r="B438" vm="1225">
        <v>66.040000000000006</v>
      </c>
    </row>
    <row r="439" spans="1:2" x14ac:dyDescent="0.25">
      <c r="A439" s="20">
        <v>45929</v>
      </c>
      <c r="B439" vm="1228">
        <v>66.319999999999993</v>
      </c>
    </row>
    <row r="440" spans="1:2" x14ac:dyDescent="0.25">
      <c r="A440" s="20">
        <v>45929</v>
      </c>
      <c r="B440" vm="1231">
        <v>66.78</v>
      </c>
    </row>
    <row r="441" spans="1:2" x14ac:dyDescent="0.25">
      <c r="A441" s="20">
        <v>45929</v>
      </c>
      <c r="B441" vm="1234">
        <v>66.099999999999994</v>
      </c>
    </row>
    <row r="442" spans="1:2" x14ac:dyDescent="0.25">
      <c r="A442" s="20">
        <v>45929</v>
      </c>
      <c r="B442" vm="1237">
        <v>66.650000000000006</v>
      </c>
    </row>
    <row r="443" spans="1:2" x14ac:dyDescent="0.25">
      <c r="A443" s="20">
        <v>45936</v>
      </c>
      <c r="B443" vm="1234">
        <v>66.099999999999994</v>
      </c>
    </row>
    <row r="444" spans="1:2" x14ac:dyDescent="0.25">
      <c r="A444" s="20">
        <v>45936</v>
      </c>
      <c r="B444" vm="1242">
        <v>66.790000000000006</v>
      </c>
    </row>
    <row r="445" spans="1:2" x14ac:dyDescent="0.25">
      <c r="A445" s="20">
        <v>45936</v>
      </c>
      <c r="B445" vm="1245">
        <v>66.12</v>
      </c>
    </row>
    <row r="446" spans="1:2" x14ac:dyDescent="0.25">
      <c r="A446" s="20">
        <v>45936</v>
      </c>
      <c r="B446" vm="1248">
        <v>66.37</v>
      </c>
    </row>
    <row r="447" spans="1:2" x14ac:dyDescent="0.25">
      <c r="A447" s="20">
        <v>45936</v>
      </c>
      <c r="B447" vm="1202">
        <v>67.040000000000006</v>
      </c>
    </row>
    <row r="448" spans="1:2" x14ac:dyDescent="0.25">
      <c r="A448" s="20">
        <v>45943</v>
      </c>
      <c r="B448" vm="1253">
        <v>66.8</v>
      </c>
    </row>
    <row r="449" spans="1:2" x14ac:dyDescent="0.25">
      <c r="A449" s="20">
        <v>45943</v>
      </c>
      <c r="B449" vm="1256">
        <v>67.510000000000005</v>
      </c>
    </row>
    <row r="450" spans="1:2" x14ac:dyDescent="0.25">
      <c r="A450" s="20">
        <v>45943</v>
      </c>
      <c r="B450" vm="1259">
        <v>67.08</v>
      </c>
    </row>
    <row r="451" spans="1:2" x14ac:dyDescent="0.25">
      <c r="A451" s="20">
        <v>45943</v>
      </c>
      <c r="B451" vm="1262">
        <v>67.59</v>
      </c>
    </row>
    <row r="452" spans="1:2" x14ac:dyDescent="0.25">
      <c r="A452" s="20">
        <v>45943</v>
      </c>
      <c r="B452" vm="1265">
        <v>68.44</v>
      </c>
    </row>
    <row r="453" spans="1:2" x14ac:dyDescent="0.25">
      <c r="A453" s="20">
        <v>45950</v>
      </c>
      <c r="B453" vm="1265">
        <v>68.44</v>
      </c>
    </row>
    <row r="454" spans="1:2" x14ac:dyDescent="0.25">
      <c r="A454" s="20">
        <v>45950</v>
      </c>
      <c r="B454" vm="1270">
        <v>71.22</v>
      </c>
    </row>
    <row r="455" spans="1:2" x14ac:dyDescent="0.25">
      <c r="A455" s="20">
        <v>45950</v>
      </c>
      <c r="B455" vm="1273">
        <v>70.81</v>
      </c>
    </row>
    <row r="456" spans="1:2" x14ac:dyDescent="0.25">
      <c r="A456" s="20">
        <v>45950</v>
      </c>
      <c r="B456" vm="847">
        <v>69.94</v>
      </c>
    </row>
    <row r="457" spans="1:2" x14ac:dyDescent="0.25">
      <c r="A457" s="20">
        <v>45950</v>
      </c>
      <c r="B457" vm="864">
        <v>69.709999999999994</v>
      </c>
    </row>
    <row r="458" spans="1:2" x14ac:dyDescent="0.25">
      <c r="A458" s="20">
        <v>45957</v>
      </c>
      <c r="B458" vm="1280">
        <v>70.06</v>
      </c>
    </row>
    <row r="459" spans="1:2" x14ac:dyDescent="0.25">
      <c r="A459" s="20">
        <v>45957</v>
      </c>
      <c r="B459" vm="1283">
        <v>70.16</v>
      </c>
    </row>
    <row r="460" spans="1:2" x14ac:dyDescent="0.25">
      <c r="A460" s="20">
        <v>45957</v>
      </c>
      <c r="B460" vm="1286">
        <v>68.349999999999994</v>
      </c>
    </row>
    <row r="461" spans="1:2" x14ac:dyDescent="0.25">
      <c r="A461" s="20">
        <v>45957</v>
      </c>
      <c r="B461" vm="459">
        <v>68.98</v>
      </c>
    </row>
    <row r="462" spans="1:2" x14ac:dyDescent="0.25">
      <c r="A462" s="20">
        <v>45957</v>
      </c>
      <c r="B462" vm="1291">
        <v>68.900000000000006</v>
      </c>
    </row>
    <row r="463" spans="1:2" x14ac:dyDescent="0.25">
      <c r="A463" s="20">
        <v>45964</v>
      </c>
      <c r="B463" vm="1294">
        <v>67.97</v>
      </c>
    </row>
    <row r="464" spans="1:2" x14ac:dyDescent="0.25">
      <c r="A464" s="20">
        <v>45964</v>
      </c>
      <c r="B464" vm="1297">
        <v>68.66</v>
      </c>
    </row>
    <row r="465" spans="1:2" x14ac:dyDescent="0.25">
      <c r="A465" s="20">
        <v>45964</v>
      </c>
      <c r="B465" vm="1300">
        <v>68.510000000000005</v>
      </c>
    </row>
    <row r="466" spans="1:2" x14ac:dyDescent="0.25">
      <c r="A466" s="20">
        <v>45964</v>
      </c>
      <c r="B466" vm="1171">
        <v>69.06</v>
      </c>
    </row>
    <row r="467" spans="1:2" x14ac:dyDescent="0.25">
      <c r="A467" s="20">
        <v>45964</v>
      </c>
      <c r="B467" vm="1305">
        <v>70.55</v>
      </c>
    </row>
    <row r="468" spans="1:2" x14ac:dyDescent="0.25">
      <c r="A468" s="20">
        <v>45971</v>
      </c>
      <c r="B468" vm="553">
        <v>70.52</v>
      </c>
    </row>
    <row r="469" spans="1:2" x14ac:dyDescent="0.25">
      <c r="A469" s="20">
        <v>45971</v>
      </c>
      <c r="B469" vm="974">
        <v>71.61</v>
      </c>
    </row>
    <row r="470" spans="1:2" x14ac:dyDescent="0.25">
      <c r="A470" s="20">
        <v>45971</v>
      </c>
      <c r="B470" vm="1312">
        <v>71.510000000000005</v>
      </c>
    </row>
    <row r="471" spans="1:2" x14ac:dyDescent="0.25">
      <c r="A471" s="20">
        <v>45971</v>
      </c>
      <c r="B471" vm="1315">
        <v>71.069999999999993</v>
      </c>
    </row>
    <row r="472" spans="1:2" x14ac:dyDescent="0.25">
      <c r="A472" s="20">
        <v>45971</v>
      </c>
      <c r="B472" vm="1005">
        <v>71.16</v>
      </c>
    </row>
    <row r="473" spans="1:2" x14ac:dyDescent="0.25">
      <c r="A473" s="20">
        <v>45978</v>
      </c>
      <c r="B473" vm="1320">
        <v>70.680000000000007</v>
      </c>
    </row>
    <row r="474" spans="1:2" x14ac:dyDescent="0.25">
      <c r="A474" s="20">
        <v>45978</v>
      </c>
      <c r="B474" vm="1270">
        <v>71.22</v>
      </c>
    </row>
    <row r="475" spans="1:2" x14ac:dyDescent="0.25">
      <c r="A475" s="20">
        <v>45978</v>
      </c>
      <c r="B475" vm="1325">
        <v>71.11</v>
      </c>
    </row>
    <row r="476" spans="1:2" x14ac:dyDescent="0.25">
      <c r="A476" s="20">
        <v>45978</v>
      </c>
      <c r="B476" vm="824">
        <v>71.209999999999994</v>
      </c>
    </row>
    <row r="477" spans="1:2" x14ac:dyDescent="0.25">
      <c r="A477" s="20">
        <v>45978</v>
      </c>
      <c r="B477" vm="1330">
        <v>72.95</v>
      </c>
    </row>
    <row r="478" spans="1:2" x14ac:dyDescent="0.25">
      <c r="A478" s="20">
        <v>45985</v>
      </c>
      <c r="B478" vm="1333">
        <v>72.59</v>
      </c>
    </row>
    <row r="479" spans="1:2" x14ac:dyDescent="0.25">
      <c r="A479" s="20">
        <v>45985</v>
      </c>
      <c r="B479" vm="1336">
        <v>72.61</v>
      </c>
    </row>
    <row r="480" spans="1:2" x14ac:dyDescent="0.25">
      <c r="A480" s="20">
        <v>45985</v>
      </c>
      <c r="B480" vm="1339">
        <v>72.88</v>
      </c>
    </row>
    <row r="481" spans="1:2" x14ac:dyDescent="0.25">
      <c r="A481" s="20">
        <v>45985</v>
      </c>
      <c r="B481" vm="1342">
        <v>73.12</v>
      </c>
    </row>
    <row r="482" spans="1:2" x14ac:dyDescent="0.25">
      <c r="A482" s="20">
        <v>45992</v>
      </c>
      <c r="B482" vm="1345">
        <v>71.95</v>
      </c>
    </row>
    <row r="483" spans="1:2" x14ac:dyDescent="0.25">
      <c r="A483" s="20">
        <v>45992</v>
      </c>
      <c r="B483" vm="1348">
        <v>70.67</v>
      </c>
    </row>
    <row r="484" spans="1:2" x14ac:dyDescent="0.25">
      <c r="A484" s="20">
        <v>45992</v>
      </c>
      <c r="B484" vm="1273">
        <v>70.81</v>
      </c>
    </row>
    <row r="485" spans="1:2" x14ac:dyDescent="0.25">
      <c r="A485" s="20">
        <v>45992</v>
      </c>
      <c r="B485" vm="1353">
        <v>70.45</v>
      </c>
    </row>
    <row r="486" spans="1:2" x14ac:dyDescent="0.25">
      <c r="A486" s="20">
        <v>45992</v>
      </c>
      <c r="B486" vm="1356">
        <v>70</v>
      </c>
    </row>
    <row r="487" spans="1:2" x14ac:dyDescent="0.25">
      <c r="A487" s="20">
        <v>45999</v>
      </c>
      <c r="B487" vm="1359">
        <v>70.25</v>
      </c>
    </row>
    <row r="488" spans="1:2" x14ac:dyDescent="0.25">
      <c r="A488" s="20">
        <v>45999</v>
      </c>
      <c r="B488" vm="1362">
        <v>70.09</v>
      </c>
    </row>
    <row r="489" spans="1:2" x14ac:dyDescent="0.25">
      <c r="A489" s="20">
        <v>45999</v>
      </c>
      <c r="B489" vm="1042">
        <v>70.209999999999994</v>
      </c>
    </row>
    <row r="490" spans="1:2" x14ac:dyDescent="0.25">
      <c r="A490" s="20">
        <v>45999</v>
      </c>
      <c r="B490" vm="1367">
        <v>69.11</v>
      </c>
    </row>
    <row r="491" spans="1:2" x14ac:dyDescent="0.25">
      <c r="A491" s="20">
        <v>45999</v>
      </c>
      <c r="B491" vm="553">
        <v>70.52</v>
      </c>
    </row>
    <row r="492" spans="1:2" x14ac:dyDescent="0.25">
      <c r="A492" s="20">
        <v>46006</v>
      </c>
      <c r="B492" vm="1372">
        <v>70.97</v>
      </c>
    </row>
    <row r="493" spans="1:2" x14ac:dyDescent="0.25">
      <c r="A493" s="20">
        <v>46006</v>
      </c>
      <c r="B493" vm="882">
        <v>70.37</v>
      </c>
    </row>
    <row r="494" spans="1:2" x14ac:dyDescent="0.25">
      <c r="A494" s="20">
        <v>46006</v>
      </c>
      <c r="B494" vm="1348">
        <v>70.67</v>
      </c>
    </row>
    <row r="495" spans="1:2" x14ac:dyDescent="0.25">
      <c r="A495" s="20">
        <v>46006</v>
      </c>
      <c r="B495" vm="1379">
        <v>70.36</v>
      </c>
    </row>
    <row r="496" spans="1:2" x14ac:dyDescent="0.25">
      <c r="A496" s="20">
        <v>46006</v>
      </c>
      <c r="B496" vm="1280">
        <v>70.06</v>
      </c>
    </row>
    <row r="497" spans="1:2" x14ac:dyDescent="0.25">
      <c r="A497" s="20">
        <v>46013</v>
      </c>
      <c r="B497" vm="1042">
        <v>70.209999999999994</v>
      </c>
    </row>
    <row r="498" spans="1:2" x14ac:dyDescent="0.25">
      <c r="A498" s="20">
        <v>46013</v>
      </c>
      <c r="B498" vm="1075">
        <v>69.87</v>
      </c>
    </row>
    <row r="499" spans="1:2" x14ac:dyDescent="0.25">
      <c r="A499" s="20">
        <v>46013</v>
      </c>
      <c r="B499" vm="1388">
        <v>70.11</v>
      </c>
    </row>
    <row r="500" spans="1:2" x14ac:dyDescent="0.25">
      <c r="A500" s="20">
        <v>46013</v>
      </c>
      <c r="B500" vm="1075">
        <v>69.87</v>
      </c>
    </row>
    <row r="501" spans="1:2" x14ac:dyDescent="0.25">
      <c r="A501" s="20">
        <v>46020</v>
      </c>
      <c r="B501" vm="1283">
        <v>70.16</v>
      </c>
    </row>
    <row r="502" spans="1:2" x14ac:dyDescent="0.25">
      <c r="A502" s="20">
        <v>46020</v>
      </c>
      <c r="B502" vm="803">
        <v>70.069999999999993</v>
      </c>
    </row>
    <row r="503" spans="1:2" x14ac:dyDescent="0.25">
      <c r="A503" s="20">
        <v>46020</v>
      </c>
      <c r="B503" vm="1397">
        <v>69.91</v>
      </c>
    </row>
    <row r="504" spans="1:2" x14ac:dyDescent="0.25">
      <c r="A504" s="20">
        <v>46020</v>
      </c>
      <c r="B504" vm="1400">
        <v>69.12</v>
      </c>
    </row>
    <row r="505" spans="1:2" x14ac:dyDescent="0.25">
      <c r="A505" s="20">
        <v>46027</v>
      </c>
      <c r="B505" vm="1403">
        <v>67.94</v>
      </c>
    </row>
    <row r="506" spans="1:2" x14ac:dyDescent="0.25">
      <c r="A506" s="20">
        <v>46027</v>
      </c>
      <c r="B506" vm="1406">
        <v>67.84</v>
      </c>
    </row>
    <row r="507" spans="1:2" x14ac:dyDescent="0.25">
      <c r="A507" s="20">
        <v>46027</v>
      </c>
      <c r="B507" vm="1409">
        <v>67.540000000000006</v>
      </c>
    </row>
    <row r="508" spans="1:2" x14ac:dyDescent="0.25">
      <c r="A508" s="20">
        <v>46027</v>
      </c>
      <c r="B508" vm="1412">
        <v>69.37</v>
      </c>
    </row>
    <row r="509" spans="1:2" x14ac:dyDescent="0.25">
      <c r="A509" s="20">
        <v>46027</v>
      </c>
      <c r="B509" vm="1415">
        <v>70.510000000000005</v>
      </c>
    </row>
    <row r="510" spans="1:2" x14ac:dyDescent="0.25">
      <c r="A510" s="20">
        <v>46034</v>
      </c>
      <c r="B510" vm="1418">
        <v>70.5</v>
      </c>
    </row>
    <row r="511" spans="1:2" x14ac:dyDescent="0.25">
      <c r="A511" s="20">
        <v>46034</v>
      </c>
      <c r="B511" vm="1421">
        <v>71.239999999999995</v>
      </c>
    </row>
    <row r="512" spans="1:2" x14ac:dyDescent="0.25">
      <c r="A512" s="20">
        <v>46034</v>
      </c>
      <c r="B512" vm="1424">
        <v>71.44</v>
      </c>
    </row>
    <row r="513" spans="1:2" x14ac:dyDescent="0.25">
      <c r="A513" s="20">
        <v>46034</v>
      </c>
      <c r="B513" vm="1427">
        <v>70.48</v>
      </c>
    </row>
    <row r="514" spans="1:2" x14ac:dyDescent="0.25">
      <c r="A514" s="20">
        <v>46034</v>
      </c>
      <c r="B514" vm="582">
        <v>70.44</v>
      </c>
    </row>
    <row r="515" spans="1:2" x14ac:dyDescent="0.25">
      <c r="A515" s="20">
        <v>46041</v>
      </c>
      <c r="B515" vm="479">
        <v>71.75</v>
      </c>
    </row>
    <row r="516" spans="1:2" x14ac:dyDescent="0.25">
      <c r="A516" s="20">
        <v>46041</v>
      </c>
      <c r="B516" vm="1434">
        <v>72.010000000000005</v>
      </c>
    </row>
    <row r="517" spans="1:2" x14ac:dyDescent="0.25">
      <c r="A517" s="20">
        <v>46041</v>
      </c>
      <c r="B517" vm="888">
        <v>71.87</v>
      </c>
    </row>
    <row r="518" spans="1:2" x14ac:dyDescent="0.25">
      <c r="A518" s="20">
        <v>46041</v>
      </c>
      <c r="B518" vm="1339">
        <v>72.88</v>
      </c>
    </row>
    <row r="519" spans="1:2" x14ac:dyDescent="0.25">
      <c r="A519" s="20">
        <v>46048</v>
      </c>
      <c r="B519" vm="491">
        <v>72.56</v>
      </c>
    </row>
    <row r="520" spans="1:2" x14ac:dyDescent="0.25">
      <c r="A520" s="20">
        <v>46048</v>
      </c>
      <c r="B520" vm="1443">
        <v>73.55</v>
      </c>
    </row>
    <row r="521" spans="1:2" x14ac:dyDescent="0.25">
      <c r="A521" s="20">
        <v>46048</v>
      </c>
      <c r="B521" vm="1446">
        <v>73.06</v>
      </c>
    </row>
    <row r="522" spans="1:2" x14ac:dyDescent="0.25">
      <c r="A522" s="20">
        <v>46048</v>
      </c>
      <c r="B522" vm="1449">
        <v>73.430000000000007</v>
      </c>
    </row>
    <row r="523" spans="1:2" x14ac:dyDescent="0.25">
      <c r="A523" s="20">
        <v>46048</v>
      </c>
      <c r="B523" vm="1452">
        <v>74.81</v>
      </c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1D0568-B321-401D-B457-33B556BF8509}">
  <dimension ref="A1"/>
  <sheetViews>
    <sheetView tabSelected="1" topLeftCell="A77" workbookViewId="0">
      <selection activeCell="K87" sqref="K87"/>
    </sheetView>
  </sheetViews>
  <sheetFormatPr defaultRowHeight="15" x14ac:dyDescent="0.25"/>
  <cols>
    <col min="1" max="16384" width="9.140625" style="21"/>
  </cols>
  <sheetData/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614C35-70BE-41E7-92F0-6607B2127896}">
  <dimension ref="A1:B106"/>
  <sheetViews>
    <sheetView workbookViewId="0">
      <selection activeCell="O7" sqref="O7"/>
    </sheetView>
  </sheetViews>
  <sheetFormatPr defaultRowHeight="15" x14ac:dyDescent="0.25"/>
  <cols>
    <col min="1" max="1" width="20.7109375" style="23" customWidth="1"/>
    <col min="2" max="2" width="9.140625" style="25"/>
  </cols>
  <sheetData>
    <row r="1" spans="1:2" x14ac:dyDescent="0.25">
      <c r="A1" s="22" t="s">
        <v>49</v>
      </c>
      <c r="B1" s="24" t="s">
        <v>50</v>
      </c>
    </row>
    <row r="2" spans="1:2" x14ac:dyDescent="0.25">
      <c r="A2" s="23">
        <v>36598</v>
      </c>
      <c r="B2" s="25">
        <v>8.5000000000000006E-2</v>
      </c>
    </row>
    <row r="3" spans="1:2" x14ac:dyDescent="0.25">
      <c r="A3" s="23">
        <v>36690</v>
      </c>
      <c r="B3" s="25">
        <v>8.5000000000000006E-2</v>
      </c>
    </row>
    <row r="4" spans="1:2" x14ac:dyDescent="0.25">
      <c r="A4" s="23">
        <v>36782</v>
      </c>
      <c r="B4" s="25">
        <v>8.5000000000000006E-2</v>
      </c>
    </row>
    <row r="5" spans="1:2" x14ac:dyDescent="0.25">
      <c r="A5" s="23">
        <v>36859</v>
      </c>
      <c r="B5" s="25">
        <v>8.5000000000000006E-2</v>
      </c>
    </row>
    <row r="6" spans="1:2" x14ac:dyDescent="0.25">
      <c r="A6" s="23">
        <v>36963</v>
      </c>
      <c r="B6" s="25">
        <v>0.09</v>
      </c>
    </row>
    <row r="7" spans="1:2" x14ac:dyDescent="0.25">
      <c r="A7" s="23">
        <v>37055</v>
      </c>
      <c r="B7" s="25">
        <v>0.09</v>
      </c>
    </row>
    <row r="8" spans="1:2" x14ac:dyDescent="0.25">
      <c r="A8" s="23">
        <v>37146</v>
      </c>
      <c r="B8" s="25">
        <v>0.18</v>
      </c>
    </row>
    <row r="9" spans="1:2" x14ac:dyDescent="0.25">
      <c r="A9" s="23">
        <v>37151</v>
      </c>
      <c r="B9" s="25">
        <v>0.09</v>
      </c>
    </row>
    <row r="10" spans="1:2" x14ac:dyDescent="0.25">
      <c r="A10" s="23">
        <v>37223</v>
      </c>
      <c r="B10" s="25">
        <v>0.09</v>
      </c>
    </row>
    <row r="11" spans="1:2" x14ac:dyDescent="0.25">
      <c r="A11" s="23">
        <v>37328</v>
      </c>
      <c r="B11" s="25">
        <v>0.1</v>
      </c>
    </row>
    <row r="12" spans="1:2" x14ac:dyDescent="0.25">
      <c r="A12" s="23">
        <v>37419</v>
      </c>
      <c r="B12" s="25">
        <v>0.1</v>
      </c>
    </row>
    <row r="13" spans="1:2" x14ac:dyDescent="0.25">
      <c r="A13" s="23">
        <v>37510</v>
      </c>
      <c r="B13" s="25">
        <v>0.1</v>
      </c>
    </row>
    <row r="14" spans="1:2" x14ac:dyDescent="0.25">
      <c r="A14" s="23">
        <v>37586</v>
      </c>
      <c r="B14" s="25">
        <v>0.1</v>
      </c>
    </row>
    <row r="15" spans="1:2" x14ac:dyDescent="0.25">
      <c r="A15" s="23">
        <v>37692</v>
      </c>
      <c r="B15" s="25">
        <v>0.11</v>
      </c>
    </row>
    <row r="16" spans="1:2" x14ac:dyDescent="0.25">
      <c r="A16" s="23">
        <v>37783</v>
      </c>
      <c r="B16" s="25">
        <v>0.11</v>
      </c>
    </row>
    <row r="17" spans="1:2" x14ac:dyDescent="0.25">
      <c r="A17" s="23">
        <v>37875</v>
      </c>
      <c r="B17" s="25">
        <v>0.11</v>
      </c>
    </row>
    <row r="18" spans="1:2" x14ac:dyDescent="0.25">
      <c r="A18" s="23">
        <v>37951</v>
      </c>
      <c r="B18" s="25">
        <v>0.11</v>
      </c>
    </row>
    <row r="19" spans="1:2" x14ac:dyDescent="0.25">
      <c r="A19" s="23">
        <v>38057</v>
      </c>
      <c r="B19" s="25">
        <v>0.125</v>
      </c>
    </row>
    <row r="20" spans="1:2" x14ac:dyDescent="0.25">
      <c r="A20" s="23">
        <v>38152</v>
      </c>
      <c r="B20" s="25">
        <v>0.125</v>
      </c>
    </row>
    <row r="21" spans="1:2" x14ac:dyDescent="0.25">
      <c r="A21" s="23">
        <v>38243</v>
      </c>
      <c r="B21" s="25">
        <v>0.125</v>
      </c>
    </row>
    <row r="22" spans="1:2" x14ac:dyDescent="0.25">
      <c r="A22" s="23">
        <v>38320</v>
      </c>
      <c r="B22" s="25">
        <v>0.125</v>
      </c>
    </row>
    <row r="23" spans="1:2" x14ac:dyDescent="0.25">
      <c r="A23" s="23">
        <v>38422</v>
      </c>
      <c r="B23" s="25">
        <v>0.14000000000000001</v>
      </c>
    </row>
    <row r="24" spans="1:2" x14ac:dyDescent="0.25">
      <c r="A24" s="23">
        <v>38516</v>
      </c>
      <c r="B24" s="25">
        <v>0.14000000000000001</v>
      </c>
    </row>
    <row r="25" spans="1:2" x14ac:dyDescent="0.25">
      <c r="A25" s="23">
        <v>38608</v>
      </c>
      <c r="B25" s="25">
        <v>0.14000000000000001</v>
      </c>
    </row>
    <row r="26" spans="1:2" x14ac:dyDescent="0.25">
      <c r="A26" s="23">
        <v>38685</v>
      </c>
      <c r="B26" s="25">
        <v>0.14000000000000001</v>
      </c>
    </row>
    <row r="27" spans="1:2" x14ac:dyDescent="0.25">
      <c r="A27" s="23">
        <v>38789</v>
      </c>
      <c r="B27" s="25">
        <v>0.155</v>
      </c>
    </row>
    <row r="28" spans="1:2" x14ac:dyDescent="0.25">
      <c r="A28" s="23">
        <v>38881</v>
      </c>
      <c r="B28" s="25">
        <v>0.155</v>
      </c>
    </row>
    <row r="29" spans="1:2" x14ac:dyDescent="0.25">
      <c r="A29" s="23">
        <v>38973</v>
      </c>
      <c r="B29" s="25">
        <v>0.155</v>
      </c>
    </row>
    <row r="30" spans="1:2" x14ac:dyDescent="0.25">
      <c r="A30" s="23">
        <v>39050</v>
      </c>
      <c r="B30" s="25">
        <v>0.155</v>
      </c>
    </row>
    <row r="31" spans="1:2" x14ac:dyDescent="0.25">
      <c r="A31" s="23">
        <v>39154</v>
      </c>
      <c r="B31" s="25">
        <v>0.17</v>
      </c>
    </row>
    <row r="32" spans="1:2" x14ac:dyDescent="0.25">
      <c r="A32" s="23">
        <v>39246</v>
      </c>
      <c r="B32" s="25">
        <v>0.17</v>
      </c>
    </row>
    <row r="33" spans="1:2" x14ac:dyDescent="0.25">
      <c r="A33" s="23">
        <v>39337</v>
      </c>
      <c r="B33" s="25">
        <v>0.17</v>
      </c>
    </row>
    <row r="34" spans="1:2" x14ac:dyDescent="0.25">
      <c r="A34" s="23">
        <v>39414</v>
      </c>
      <c r="B34" s="25">
        <v>0.17</v>
      </c>
    </row>
    <row r="35" spans="1:2" x14ac:dyDescent="0.25">
      <c r="A35" s="23">
        <v>39519</v>
      </c>
      <c r="B35" s="25">
        <v>0.19</v>
      </c>
    </row>
    <row r="36" spans="1:2" x14ac:dyDescent="0.25">
      <c r="A36" s="23">
        <v>39610</v>
      </c>
      <c r="B36" s="25">
        <v>0.19</v>
      </c>
    </row>
    <row r="37" spans="1:2" x14ac:dyDescent="0.25">
      <c r="A37" s="23">
        <v>39702</v>
      </c>
      <c r="B37" s="25">
        <v>0.19</v>
      </c>
    </row>
    <row r="38" spans="1:2" x14ac:dyDescent="0.25">
      <c r="A38" s="23">
        <v>39778</v>
      </c>
      <c r="B38" s="25">
        <v>0.19</v>
      </c>
    </row>
    <row r="39" spans="1:2" x14ac:dyDescent="0.25">
      <c r="A39" s="23">
        <v>39883</v>
      </c>
      <c r="B39" s="25">
        <v>0.20499999999999999</v>
      </c>
    </row>
    <row r="40" spans="1:2" x14ac:dyDescent="0.25">
      <c r="A40" s="23">
        <v>39975</v>
      </c>
      <c r="B40" s="25">
        <v>0.20499999999999999</v>
      </c>
    </row>
    <row r="41" spans="1:2" x14ac:dyDescent="0.25">
      <c r="A41" s="23">
        <v>40067</v>
      </c>
      <c r="B41" s="25">
        <v>0.20499999999999999</v>
      </c>
    </row>
    <row r="42" spans="1:2" x14ac:dyDescent="0.25">
      <c r="A42" s="23">
        <v>40144</v>
      </c>
      <c r="B42" s="25">
        <v>0.20499999999999999</v>
      </c>
    </row>
    <row r="43" spans="1:2" x14ac:dyDescent="0.25">
      <c r="A43" s="23">
        <v>40248</v>
      </c>
      <c r="B43" s="25">
        <v>0.22</v>
      </c>
    </row>
    <row r="44" spans="1:2" x14ac:dyDescent="0.25">
      <c r="A44" s="23">
        <v>40340</v>
      </c>
      <c r="B44" s="25">
        <v>0.22</v>
      </c>
    </row>
    <row r="45" spans="1:2" x14ac:dyDescent="0.25">
      <c r="A45" s="23">
        <v>40434</v>
      </c>
      <c r="B45" s="25">
        <v>0.22</v>
      </c>
    </row>
    <row r="46" spans="1:2" x14ac:dyDescent="0.25">
      <c r="A46" s="23">
        <v>40511</v>
      </c>
      <c r="B46" s="25">
        <v>0.22</v>
      </c>
    </row>
    <row r="47" spans="1:2" x14ac:dyDescent="0.25">
      <c r="A47" s="23">
        <v>40613</v>
      </c>
      <c r="B47" s="25">
        <v>0.23499999999999999</v>
      </c>
    </row>
    <row r="48" spans="1:2" x14ac:dyDescent="0.25">
      <c r="A48" s="23">
        <v>40707</v>
      </c>
      <c r="B48" s="25">
        <v>0.23499999999999999</v>
      </c>
    </row>
    <row r="49" spans="1:2" x14ac:dyDescent="0.25">
      <c r="A49" s="23">
        <v>40799</v>
      </c>
      <c r="B49" s="25">
        <v>0.23499999999999999</v>
      </c>
    </row>
    <row r="50" spans="1:2" x14ac:dyDescent="0.25">
      <c r="A50" s="23">
        <v>40876</v>
      </c>
      <c r="B50" s="25">
        <v>0.23499999999999999</v>
      </c>
    </row>
    <row r="51" spans="1:2" x14ac:dyDescent="0.25">
      <c r="A51" s="23">
        <v>40981</v>
      </c>
      <c r="B51" s="25">
        <v>0.255</v>
      </c>
    </row>
    <row r="52" spans="1:2" x14ac:dyDescent="0.25">
      <c r="A52" s="23">
        <v>41073</v>
      </c>
      <c r="B52" s="25">
        <v>0.255</v>
      </c>
    </row>
    <row r="53" spans="1:2" x14ac:dyDescent="0.25">
      <c r="A53" s="23">
        <v>41164</v>
      </c>
      <c r="B53" s="25">
        <v>0.255</v>
      </c>
    </row>
    <row r="54" spans="1:2" x14ac:dyDescent="0.25">
      <c r="A54" s="23">
        <v>41241</v>
      </c>
      <c r="B54" s="25">
        <v>0.255</v>
      </c>
    </row>
    <row r="55" spans="1:2" x14ac:dyDescent="0.25">
      <c r="A55" s="23">
        <v>41346</v>
      </c>
      <c r="B55" s="25">
        <v>0.28000000000000003</v>
      </c>
    </row>
    <row r="56" spans="1:2" x14ac:dyDescent="0.25">
      <c r="A56" s="23">
        <v>41437</v>
      </c>
      <c r="B56" s="25">
        <v>0.28000000000000003</v>
      </c>
    </row>
    <row r="57" spans="1:2" x14ac:dyDescent="0.25">
      <c r="A57" s="23">
        <v>41529</v>
      </c>
      <c r="B57" s="25">
        <v>0.28000000000000003</v>
      </c>
    </row>
    <row r="58" spans="1:2" x14ac:dyDescent="0.25">
      <c r="A58" s="23">
        <v>41605</v>
      </c>
      <c r="B58" s="25">
        <v>0.28000000000000003</v>
      </c>
    </row>
    <row r="59" spans="1:2" x14ac:dyDescent="0.25">
      <c r="A59" s="23">
        <v>41710</v>
      </c>
      <c r="B59" s="25">
        <v>0.30499999999999999</v>
      </c>
    </row>
    <row r="60" spans="1:2" x14ac:dyDescent="0.25">
      <c r="A60" s="23">
        <v>41802</v>
      </c>
      <c r="B60" s="25">
        <v>0.30499999999999999</v>
      </c>
    </row>
    <row r="61" spans="1:2" x14ac:dyDescent="0.25">
      <c r="A61" s="23">
        <v>41893</v>
      </c>
      <c r="B61" s="25">
        <v>0.30499999999999999</v>
      </c>
    </row>
    <row r="62" spans="1:2" x14ac:dyDescent="0.25">
      <c r="A62" s="23">
        <v>41969</v>
      </c>
      <c r="B62" s="25">
        <v>0.30499999999999999</v>
      </c>
    </row>
    <row r="63" spans="1:2" x14ac:dyDescent="0.25">
      <c r="A63" s="23">
        <v>42075</v>
      </c>
      <c r="B63" s="25">
        <v>0.33</v>
      </c>
    </row>
    <row r="64" spans="1:2" x14ac:dyDescent="0.25">
      <c r="A64" s="23">
        <v>42166</v>
      </c>
      <c r="B64" s="25">
        <v>0.33</v>
      </c>
    </row>
    <row r="65" spans="1:2" x14ac:dyDescent="0.25">
      <c r="A65" s="23">
        <v>42258</v>
      </c>
      <c r="B65" s="25">
        <v>0.33</v>
      </c>
    </row>
    <row r="66" spans="1:2" x14ac:dyDescent="0.25">
      <c r="A66" s="23">
        <v>42335</v>
      </c>
      <c r="B66" s="25">
        <v>0.33</v>
      </c>
    </row>
    <row r="67" spans="1:2" x14ac:dyDescent="0.25">
      <c r="A67" s="23">
        <v>42440</v>
      </c>
      <c r="B67" s="25">
        <v>0.35</v>
      </c>
    </row>
    <row r="68" spans="1:2" x14ac:dyDescent="0.25">
      <c r="A68" s="23">
        <v>42534</v>
      </c>
      <c r="B68" s="25">
        <v>0.35</v>
      </c>
    </row>
    <row r="69" spans="1:2" x14ac:dyDescent="0.25">
      <c r="A69" s="23">
        <v>42626</v>
      </c>
      <c r="B69" s="25">
        <v>0.35</v>
      </c>
    </row>
    <row r="70" spans="1:2" x14ac:dyDescent="0.25">
      <c r="A70" s="23">
        <v>42703</v>
      </c>
      <c r="B70" s="25">
        <v>0.35</v>
      </c>
    </row>
    <row r="71" spans="1:2" x14ac:dyDescent="0.25">
      <c r="A71" s="23">
        <v>42807</v>
      </c>
      <c r="B71" s="25">
        <v>0.37</v>
      </c>
    </row>
    <row r="72" spans="1:2" x14ac:dyDescent="0.25">
      <c r="A72" s="23">
        <v>42899</v>
      </c>
      <c r="B72" s="25">
        <v>0.37</v>
      </c>
    </row>
    <row r="73" spans="1:2" x14ac:dyDescent="0.25">
      <c r="A73" s="23">
        <v>42992</v>
      </c>
      <c r="B73" s="25">
        <v>0.37</v>
      </c>
    </row>
    <row r="74" spans="1:2" x14ac:dyDescent="0.25">
      <c r="A74" s="23">
        <v>43069</v>
      </c>
      <c r="B74" s="25">
        <v>0.37</v>
      </c>
    </row>
    <row r="75" spans="1:2" x14ac:dyDescent="0.25">
      <c r="A75" s="23">
        <v>43173</v>
      </c>
      <c r="B75" s="25">
        <v>0.39</v>
      </c>
    </row>
    <row r="76" spans="1:2" x14ac:dyDescent="0.25">
      <c r="A76" s="23">
        <v>43265</v>
      </c>
      <c r="B76" s="25">
        <v>0.39</v>
      </c>
    </row>
    <row r="77" spans="1:2" x14ac:dyDescent="0.25">
      <c r="A77" s="23">
        <v>43356</v>
      </c>
      <c r="B77" s="25">
        <v>0.39</v>
      </c>
    </row>
    <row r="78" spans="1:2" x14ac:dyDescent="0.25">
      <c r="A78" s="23">
        <v>43433</v>
      </c>
      <c r="B78" s="25">
        <v>0.39</v>
      </c>
    </row>
    <row r="79" spans="1:2" x14ac:dyDescent="0.25">
      <c r="A79" s="23">
        <v>43538</v>
      </c>
      <c r="B79" s="25">
        <v>0.4</v>
      </c>
    </row>
    <row r="80" spans="1:2" x14ac:dyDescent="0.25">
      <c r="A80" s="23">
        <v>43629</v>
      </c>
      <c r="B80" s="25">
        <v>0.4</v>
      </c>
    </row>
    <row r="81" spans="1:2" x14ac:dyDescent="0.25">
      <c r="A81" s="23">
        <v>43721</v>
      </c>
      <c r="B81" s="25">
        <v>0.4</v>
      </c>
    </row>
    <row r="82" spans="1:2" x14ac:dyDescent="0.25">
      <c r="A82" s="23">
        <v>43798</v>
      </c>
      <c r="B82" s="25">
        <v>0.4</v>
      </c>
    </row>
    <row r="83" spans="1:2" x14ac:dyDescent="0.25">
      <c r="A83" s="23">
        <v>43903</v>
      </c>
      <c r="B83" s="25">
        <v>0.41</v>
      </c>
    </row>
    <row r="84" spans="1:2" x14ac:dyDescent="0.25">
      <c r="A84" s="23">
        <v>43994</v>
      </c>
      <c r="B84" s="25">
        <v>0.41</v>
      </c>
    </row>
    <row r="85" spans="1:2" x14ac:dyDescent="0.25">
      <c r="A85" s="23">
        <v>44088</v>
      </c>
      <c r="B85" s="25">
        <v>0.41</v>
      </c>
    </row>
    <row r="86" spans="1:2" x14ac:dyDescent="0.25">
      <c r="A86" s="23">
        <v>44165</v>
      </c>
      <c r="B86" s="25">
        <v>0.41</v>
      </c>
    </row>
    <row r="87" spans="1:2" x14ac:dyDescent="0.25">
      <c r="A87" s="23">
        <v>44267</v>
      </c>
      <c r="B87" s="25">
        <v>0.42</v>
      </c>
    </row>
    <row r="88" spans="1:2" x14ac:dyDescent="0.25">
      <c r="A88" s="23">
        <v>44361</v>
      </c>
      <c r="B88" s="25">
        <v>0.42</v>
      </c>
    </row>
    <row r="89" spans="1:2" x14ac:dyDescent="0.25">
      <c r="A89" s="23">
        <v>44453</v>
      </c>
      <c r="B89" s="25">
        <v>0.42</v>
      </c>
    </row>
    <row r="90" spans="1:2" x14ac:dyDescent="0.25">
      <c r="A90" s="23">
        <v>44530</v>
      </c>
      <c r="B90" s="25">
        <v>0.42</v>
      </c>
    </row>
    <row r="91" spans="1:2" x14ac:dyDescent="0.25">
      <c r="A91" s="23">
        <v>44634</v>
      </c>
      <c r="B91" s="25">
        <v>0.44</v>
      </c>
    </row>
    <row r="92" spans="1:2" x14ac:dyDescent="0.25">
      <c r="A92" s="23">
        <v>44726</v>
      </c>
      <c r="B92" s="25">
        <v>0.44</v>
      </c>
    </row>
    <row r="93" spans="1:2" x14ac:dyDescent="0.25">
      <c r="A93" s="23">
        <v>44819</v>
      </c>
      <c r="B93" s="25">
        <v>0.44</v>
      </c>
    </row>
    <row r="94" spans="1:2" x14ac:dyDescent="0.25">
      <c r="A94" s="23">
        <v>44895</v>
      </c>
      <c r="B94" s="25">
        <v>0.44</v>
      </c>
    </row>
    <row r="95" spans="1:2" x14ac:dyDescent="0.25">
      <c r="A95" s="23">
        <v>45001</v>
      </c>
      <c r="B95" s="25">
        <v>0.46</v>
      </c>
    </row>
    <row r="96" spans="1:2" x14ac:dyDescent="0.25">
      <c r="A96" s="23">
        <v>45092</v>
      </c>
      <c r="B96" s="25">
        <v>0.46</v>
      </c>
    </row>
    <row r="97" spans="1:2" x14ac:dyDescent="0.25">
      <c r="A97" s="23">
        <v>45183</v>
      </c>
      <c r="B97" s="25">
        <v>0.46</v>
      </c>
    </row>
    <row r="98" spans="1:2" x14ac:dyDescent="0.25">
      <c r="A98" s="23">
        <v>45260</v>
      </c>
      <c r="B98" s="25">
        <v>0.46</v>
      </c>
    </row>
    <row r="99" spans="1:2" x14ac:dyDescent="0.25">
      <c r="A99" s="23">
        <v>45365</v>
      </c>
      <c r="B99" s="25">
        <v>0.48499999999999999</v>
      </c>
    </row>
    <row r="100" spans="1:2" x14ac:dyDescent="0.25">
      <c r="A100" s="23">
        <v>45457</v>
      </c>
      <c r="B100" s="25">
        <v>0.48499999999999999</v>
      </c>
    </row>
    <row r="101" spans="1:2" x14ac:dyDescent="0.25">
      <c r="A101" s="23">
        <v>45548</v>
      </c>
      <c r="B101" s="25">
        <v>0.48499999999999999</v>
      </c>
    </row>
    <row r="102" spans="1:2" x14ac:dyDescent="0.25">
      <c r="A102" s="23">
        <v>45625</v>
      </c>
      <c r="B102" s="25">
        <v>0.48499999999999999</v>
      </c>
    </row>
    <row r="103" spans="1:2" x14ac:dyDescent="0.25">
      <c r="A103" s="23">
        <v>45730</v>
      </c>
      <c r="B103" s="25">
        <v>0.51</v>
      </c>
    </row>
    <row r="104" spans="1:2" x14ac:dyDescent="0.25">
      <c r="A104" s="23">
        <v>45821</v>
      </c>
      <c r="B104" s="25">
        <v>0.51</v>
      </c>
    </row>
    <row r="105" spans="1:2" x14ac:dyDescent="0.25">
      <c r="A105" s="23">
        <v>45915</v>
      </c>
      <c r="B105" s="25">
        <v>0.51</v>
      </c>
    </row>
    <row r="106" spans="1:2" x14ac:dyDescent="0.25">
      <c r="A106" s="23">
        <v>45992</v>
      </c>
      <c r="B106" s="25">
        <v>0.51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6380F720-A55F-4C9A-BC8B-B653E2D6BBF4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1</vt:i4>
      </vt:variant>
    </vt:vector>
  </HeadingPairs>
  <TitlesOfParts>
    <vt:vector size="7" baseType="lpstr">
      <vt:lpstr>Intro</vt:lpstr>
      <vt:lpstr>Data</vt:lpstr>
      <vt:lpstr>Weekly</vt:lpstr>
      <vt:lpstr>Forecast</vt:lpstr>
      <vt:lpstr>Dashboard</vt:lpstr>
      <vt:lpstr>Dividends</vt:lpstr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David Jackson</dc:creator>
  <cp:lastModifiedBy>David Jackson</cp:lastModifiedBy>
  <dcterms:created xsi:type="dcterms:W3CDTF">2026-01-19T03:32:40Z</dcterms:created>
  <dcterms:modified xsi:type="dcterms:W3CDTF">2026-02-02T20:08:14Z</dcterms:modified>
</cp:coreProperties>
</file>